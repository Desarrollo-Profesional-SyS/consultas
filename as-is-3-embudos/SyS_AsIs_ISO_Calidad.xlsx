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étricas semanales" sheetId="2" state="visible" r:id="rId4"/>
    <sheet name="Embudo" sheetId="3" state="visible" r:id="rId5"/>
    <sheet name="Tiempos" sheetId="4" state="visible" r:id="rId6"/>
    <sheet name="Ofertas y ventas" sheetId="5" state="visible" r:id="rId7"/>
    <sheet name="Perfil y asesores" sheetId="6" state="visible" r:id="rId8"/>
    <sheet name="Datos" sheetId="7" state="visible" r:id="rId9"/>
    <sheet name="Respuestas" sheetId="8" state="visible" r:id="rId10"/>
    <sheet name="Notas" sheetId="9" state="visible" r:id="rId11"/>
  </sheets>
  <definedNames>
    <definedName function="false" hidden="true" localSheetId="6" name="_xlnm._FilterDatabase" vbProcedure="false">Datos!$A$1:$AU$408</definedName>
    <definedName function="false" hidden="true" localSheetId="7" name="_xlnm._FilterDatabase" vbProcedure="false">Respuestas!$A$1:$I$1034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<sst xmlns="http://schemas.openxmlformats.org/spreadsheetml/2006/main" count="17126" uniqueCount="576">
  <si>
    <t xml:space="preserve">DESARROLLO PROFESIONAL SyS</t>
  </si>
  <si>
    <t xml:space="preserve">Línea base (As Is) · Embudo ISO + Calidad</t>
  </si>
  <si>
    <t xml:space="preserve">CRM · 407 leads del 5 al 15 de octubre de 2026 · corte: 15 oct 2026, 23:59 h (Monterrey) · medido en solo lectura, sin mover ni enviar nada</t>
  </si>
  <si>
    <t xml:space="preserve">Los números</t>
  </si>
  <si>
    <t xml:space="preserve">Qué medimos</t>
  </si>
  <si>
    <t xml:space="preserve">Valor</t>
  </si>
  <si>
    <t xml:space="preserve">Cómo leerlo</t>
  </si>
  <si>
    <t xml:space="preserve">Leads que entraron</t>
  </si>
  <si>
    <t xml:space="preserve">Del 5 al 15 de octubre de 2026. Semana completa del 5 al 11 y 4 días de la siguiente.</t>
  </si>
  <si>
    <t xml:space="preserve">Contestaron el saludo</t>
  </si>
  <si>
    <t xml:space="preserve">Escribieron después de que el bot pidió el nombre.</t>
  </si>
  <si>
    <t xml:space="preserve">Dejaron de escribir en el saludo o antes</t>
  </si>
  <si>
    <t xml:space="preserve">La caída más grande del embudo.</t>
  </si>
  <si>
    <t xml:space="preserve">Llegaron a facilidades de pago</t>
  </si>
  <si>
    <t xml:space="preserve">Etapa 1.3 o más lejos.</t>
  </si>
  <si>
    <t xml:space="preserve">Recibieron al menos una oferta</t>
  </si>
  <si>
    <t xml:space="preserve">$3,799, $3,400, $2,799 o $1,950.</t>
  </si>
  <si>
    <t xml:space="preserve">Primeras ofertas que manda el bot</t>
  </si>
  <si>
    <t xml:space="preserve">Por tiempo, no por lo que dice el lead.</t>
  </si>
  <si>
    <t xml:space="preserve">Entraron fuera de horario (antes de 9 h o desde 21 h)</t>
  </si>
  <si>
    <t xml:space="preserve">El equipo en la práctica atiende de 7 a 22 h.</t>
  </si>
  <si>
    <t xml:space="preserve">Horas hasta el 1er mensaje de una persona (mediana)</t>
  </si>
  <si>
    <t xml:space="preserve">Mover de etapa llega en minutos; el primer mensaje escrito, no.</t>
  </si>
  <si>
    <t xml:space="preserve">Nunca recibieron un mensaje de una persona</t>
  </si>
  <si>
    <t xml:space="preserve">Hasta el corte, solo les escribió el bot.</t>
  </si>
  <si>
    <t xml:space="preserve">Leads donde intervino auxiliar</t>
  </si>
  <si>
    <t xml:space="preserve">Escribió o movió de etapa al lead.</t>
  </si>
  <si>
    <t xml:space="preserve">Ventas</t>
  </si>
  <si>
    <t xml:space="preserve">Leads en la etapa Ganado al corte.</t>
  </si>
  <si>
    <t xml:space="preserve">Conversión (ventas ÷ leads)</t>
  </si>
  <si>
    <t xml:space="preserve">Ventas a precio de lista ($3,999 o más)</t>
  </si>
  <si>
    <t xml:space="preserve">El resto fueron con descuento.</t>
  </si>
  <si>
    <t xml:space="preserve">Precio promedio de venta</t>
  </si>
  <si>
    <t xml:space="preserve">Precio de lista: $3,999.</t>
  </si>
  <si>
    <t xml:space="preserve">Leads abiertos al corte</t>
  </si>
  <si>
    <t xml:space="preserve">Todavía pueden avanzar; sobre todo los de la última semana.</t>
  </si>
  <si>
    <t xml:space="preserve">Lo más importante</t>
  </si>
  <si>
    <t xml:space="preserve">•  La mitad de los leads (50%) deja de escribir en el saludo o antes.</t>
  </si>
  <si>
    <t xml:space="preserve">•  Si el lead contesta el saludo (63%), el bot se detiene y espera a que una persona lo mueva; 29 leads esperaron más de 1 hora.</t>
  </si>
  <si>
    <t xml:space="preserve">•  El primer mensaje de una persona tarda 7.5 h (mediana); 13% de los leads nunca recibe uno.</t>
  </si>
  <si>
    <t xml:space="preserve">•  El bot manda las ofertas por tiempo: la primera llega a las 31.6 h (mediana) y el 86% recibe al menos una.</t>
  </si>
  <si>
    <t xml:space="preserve">•  10 ventas (2.5%); 8 con descuento y 2 a precio de lista. Precio promedio $3,239.</t>
  </si>
  <si>
    <t xml:space="preserve">•  Quien abre un link compra 6.7% contra 1.0% de quien no lo abre, y esa señal no detona ninguna acción.</t>
  </si>
  <si>
    <t xml:space="preserve">Puntos a mejorar</t>
  </si>
  <si>
    <t xml:space="preserve">Punto</t>
  </si>
  <si>
    <t xml:space="preserve">Dato</t>
  </si>
  <si>
    <t xml:space="preserve">Qué muestra el dato</t>
  </si>
  <si>
    <t xml:space="preserve">1 · La mitad deja de escribir en el saludo o antes</t>
  </si>
  <si>
    <t xml:space="preserve">27% solo mandó su primer mensaje y 24% contestó el saludo (casi siempre su nombre) y ya no volvió a escribir. Es la caída más grande del embudo.</t>
  </si>
  <si>
    <t xml:space="preserve">2 · Si el lead contesta el saludo, el bot se detiene y espera a una persona</t>
  </si>
  <si>
    <t xml:space="preserve">Leads que esperaron más de 1 hora para pasar a 1.1. Contesta el 63% y casi siempre lo mueve una persona: en horario tarda 0.5 min (mediana); fuera de horario, 18.4 min, y quien escribe de noche espera hasta la mañana.</t>
  </si>
  <si>
    <t xml:space="preserve">3 · El primer mensaje de una persona llega tarde</t>
  </si>
  <si>
    <t xml:space="preserve">Horas (mediana). Una persona mueve al lead en 5.3 min, pero su primer mensaje escrito tarda 7.5 h; 36% lo recibe después de 1 día y 13% nunca. Con mensaje en la 1.ª hora compra el 4.8%; después de 1 día, el 0.7% (relación, no causa).</t>
  </si>
  <si>
    <t xml:space="preserve">4 · Las ofertas salen por tiempo y casi todo se vende con descuento</t>
  </si>
  <si>
    <t xml:space="preserve">Ventas con descuento. El 86% recibe al menos una oferta y el bot manda el 79% de las primeras, a las 31.6 h (mediana) de entrar, conteste o no. De 10 ventas, 8 fueron con descuento; precio promedio $3,239 contra $3,999 de lista.</t>
  </si>
  <si>
    <t xml:space="preserve">5 · Los leads que piden cómo pagar se enfrían</t>
  </si>
  <si>
    <t xml:space="preserve">Compran de los que llegan a facilidades de pago. 139 leads (34%) llegaron a 1.3 o más lejos y 10 compraron; 56 dejaron de escribir ya en facilidades o en forma de pago.</t>
  </si>
  <si>
    <t xml:space="preserve">6 · La pregunta de ocupación casi no se contesta y no cambia el flujo</t>
  </si>
  <si>
    <t xml:space="preserve">Contestan su área en 24 h. El bot sigue igual para todos: 2 h después de preguntar pasa al lead a Negativo, haya contestado o no.</t>
  </si>
  <si>
    <t xml:space="preserve">7 · Las señales de interés no detonan una acción</t>
  </si>
  <si>
    <t xml:space="preserve">Compran de los que abren un link. El 26% abrió su ruta, la clase demo o el mapa; de ellos compra el 6.7%, contra 1.0% de los que no. El CRM solo lo deja como nota interna.</t>
  </si>
  <si>
    <t xml:space="preserve">8 · Los Perdidos se cierran a mano y sin diagnóstico</t>
  </si>
  <si>
    <t xml:space="preserve">De los Perdidos con razón «No contestaron». Una persona marca el 97% de los 274 Perdidos, a las 88.2 h (mediana) de entrar, y la razón no dice en qué etapa ni por qué se fue. 13 leads volvieron a escribir ya en Perdido y 1 de las 10 ventas salió de ahí.</t>
  </si>
  <si>
    <t xml:space="preserve">9 · El reparto de leads está cargado a una sola asesora</t>
  </si>
  <si>
    <t xml:space="preserve">Leads a nombre de Salma. También quedan a su nombre el 84% de los que entran fuera de horario. En horario, su primera acción tarda 7.7 min (mediana) contra 1.7 min del resto del equipo; con los de fuera de horario, 45.4 min.</t>
  </si>
  <si>
    <t xml:space="preserve">10 · Fuera de horario la atención baja</t>
  </si>
  <si>
    <t xml:space="preserve">De los mensajes del lead fuera de horario que una persona contesta en 15 min, contra 81% en horario. El 25% de los leads entra fuera de 9 a 21 h y espera 30.7 h (mediana) su primer mensaje de una persona, contra 2.3 h en horario.</t>
  </si>
  <si>
    <t xml:space="preserve">Valor y Dato se calculan con fórmulas sobre las hojas Datos y Respuestas. Los textos se escribieron con los datos al corte del 15 de octubre de 2026.</t>
  </si>
  <si>
    <t xml:space="preserve">Muestra chica en ventas (10): un solo caso mueve mucho los porcentajes. 123 leads siguen abiertos.</t>
  </si>
  <si>
    <t xml:space="preserve">Métricas por semana</t>
  </si>
  <si>
    <t xml:space="preserve">ISO + Calidad · semana según la fecha en que entró el lead · corte: 15 oct 2026, 23:59 h (Monterrey)</t>
  </si>
  <si>
    <t xml:space="preserve">Métrica</t>
  </si>
  <si>
    <t xml:space="preserve">2026-S41</t>
  </si>
  <si>
    <t xml:space="preserve">2026-S42</t>
  </si>
  <si>
    <t xml:space="preserve">Total</t>
  </si>
  <si>
    <t xml:space="preserve">Cómo se calcula</t>
  </si>
  <si>
    <t xml:space="preserve">5 al 11 oct (completa)</t>
  </si>
  <si>
    <t xml:space="preserve">12 al 15 oct (4 días)</t>
  </si>
  <si>
    <t xml:space="preserve">Volumen</t>
  </si>
  <si>
    <t xml:space="preserve">Leads</t>
  </si>
  <si>
    <t xml:space="preserve">Leads que entraron.</t>
  </si>
  <si>
    <t xml:space="preserve">% que entra fuera de horario</t>
  </si>
  <si>
    <t xml:space="preserve">Antes de 9 h o desde 21 h (horario de los bots en el CRM).</t>
  </si>
  <si>
    <t xml:space="preserve">Saludo</t>
  </si>
  <si>
    <t xml:space="preserve">% que contesta el saludo</t>
  </si>
  <si>
    <t xml:space="preserve">Escribió después de que el bot pidió el nombre y antes de salir de 1 Saludo.</t>
  </si>
  <si>
    <t xml:space="preserve">% que da su nombre</t>
  </si>
  <si>
    <t xml:space="preserve">Su nombre aparece en lo que contestó al saludo.</t>
  </si>
  <si>
    <t xml:space="preserve">Minutos de su respuesta al paso a 1.1 · mediana, de 9 a 21 h</t>
  </si>
  <si>
    <t xml:space="preserve">Solo quienes contestaron. La mediana es el caso de en medio: no la mueven los extremos.</t>
  </si>
  <si>
    <t xml:space="preserve">Minutos de su respuesta al paso a 1.1 · mediana, fuera de horario</t>
  </si>
  <si>
    <t xml:space="preserve">Minutos de su respuesta al paso a 1.1 · promedio, de 9 a 21 h</t>
  </si>
  <si>
    <t xml:space="preserve">Minutos de su respuesta al paso a 1.1 · promedio, fuera de horario</t>
  </si>
  <si>
    <t xml:space="preserve">Lo sube quien escribe de noche y espera hasta la mañana.</t>
  </si>
  <si>
    <t xml:space="preserve">Esperaron más de 1 hora para pasar a 1.1</t>
  </si>
  <si>
    <t xml:space="preserve">Contestaron y nadie los movió en la primera hora.</t>
  </si>
  <si>
    <t xml:space="preserve">Avance</t>
  </si>
  <si>
    <t xml:space="preserve">% que pasa de 1.1 a 1.2</t>
  </si>
  <si>
    <t xml:space="preserve">Es automático, a los 8 segundos.</t>
  </si>
  <si>
    <t xml:space="preserve">% que contesta la ocupación (de los que llegan a 1.2)</t>
  </si>
  <si>
    <t xml:space="preserve">Contestó en 24 h con su área o si estudia.</t>
  </si>
  <si>
    <t xml:space="preserve">% que entra a Negativo</t>
  </si>
  <si>
    <t xml:space="preserve">El bot lo pasa solo si nadie lo mueve en 2 h.</t>
  </si>
  <si>
    <t xml:space="preserve">% que llega a facilidades de pago</t>
  </si>
  <si>
    <t xml:space="preserve">Etapa 1.3 o 1.4, o más lejos.</t>
  </si>
  <si>
    <t xml:space="preserve">% que llega a forma de pago</t>
  </si>
  <si>
    <t xml:space="preserve">Etapas 2.x, MSI y 3.x, o Ganado.</t>
  </si>
  <si>
    <t xml:space="preserve">Atención de personas</t>
  </si>
  <si>
    <t xml:space="preserve">Minutos hasta la 1a acción de una persona · mediana</t>
  </si>
  <si>
    <t xml:space="preserve">Un mensaje o un cambio de etapa hecho por una persona.</t>
  </si>
  <si>
    <t xml:space="preserve">Horas hasta el 1er mensaje de una persona · mediana</t>
  </si>
  <si>
    <t xml:space="preserve">Desde que entra el lead. Mover de etapa no cuenta.</t>
  </si>
  <si>
    <t xml:space="preserve">% que nunca recibió un mensaje de una persona</t>
  </si>
  <si>
    <t xml:space="preserve">Hasta el corte, solo le escribió el bot.</t>
  </si>
  <si>
    <t xml:space="preserve">Minutos que tarda una persona en contestarle al lead · mediana</t>
  </si>
  <si>
    <t xml:space="preserve">Mediana por lead y luego la de todos. Detalle en la hoja Respuestas.</t>
  </si>
  <si>
    <t xml:space="preserve">% con audio del equipo</t>
  </si>
  <si>
    <t xml:space="preserve">Nota de voz de una persona, no del bot.</t>
  </si>
  <si>
    <t xml:space="preserve">% donde intervino auxiliar</t>
  </si>
  <si>
    <t xml:space="preserve">La auxiliar escribió o movió al lead de etapa.</t>
  </si>
  <si>
    <t xml:space="preserve">Ofertas</t>
  </si>
  <si>
    <t xml:space="preserve">% que recibe alguna oferta</t>
  </si>
  <si>
    <t xml:space="preserve">$3,799, $3,400, $2,799 o $1,950 escrito en un mensaje.</t>
  </si>
  <si>
    <t xml:space="preserve">% que recibe $3,799</t>
  </si>
  <si>
    <t xml:space="preserve">% que recibe $2,799</t>
  </si>
  <si>
    <t xml:space="preserve">% que recibe $1,950</t>
  </si>
  <si>
    <t xml:space="preserve">% de primeras ofertas que manda el bot</t>
  </si>
  <si>
    <t xml:space="preserve">El resto lo manda una persona, casi siempre con plantilla.</t>
  </si>
  <si>
    <t xml:space="preserve">Horas hasta la 1a oferta · mediana</t>
  </si>
  <si>
    <t xml:space="preserve">Desde que entra el lead.</t>
  </si>
  <si>
    <t xml:space="preserve">Interés y volumen de mensajes</t>
  </si>
  <si>
    <t xml:space="preserve">% que abrió algún link</t>
  </si>
  <si>
    <t xml:space="preserve">Ruta, clase demo, mapa o perfil de ejemplo (aviso del CRM).</t>
  </si>
  <si>
    <t xml:space="preserve">Mensajes del lead por lead · promedio</t>
  </si>
  <si>
    <t xml:space="preserve">Mensajes del bot por lead · promedio</t>
  </si>
  <si>
    <t xml:space="preserve">Mensajes de personas por lead · promedio</t>
  </si>
  <si>
    <t xml:space="preserve">Ventas y precio</t>
  </si>
  <si>
    <t xml:space="preserve">Leads en Ganado al corte.</t>
  </si>
  <si>
    <t xml:space="preserve">Ventas a $3,999 o más</t>
  </si>
  <si>
    <t xml:space="preserve">Precio que quedó registrado en el CRM.</t>
  </si>
  <si>
    <t xml:space="preserve">Ventas con descuento</t>
  </si>
  <si>
    <t xml:space="preserve">Lista: $3,999.</t>
  </si>
  <si>
    <t xml:space="preserve">Ingreso registrado</t>
  </si>
  <si>
    <t xml:space="preserve">Suma de los precios de venta.</t>
  </si>
  <si>
    <t xml:space="preserve">Horas hasta la venta · mediana</t>
  </si>
  <si>
    <t xml:space="preserve">Desde que entra el lead hasta Ganado.</t>
  </si>
  <si>
    <t xml:space="preserve">Dónde dejó de escribir (% de los leads)</t>
  </si>
  <si>
    <t xml:space="preserve">Solo su primer mensaje</t>
  </si>
  <si>
    <t xml:space="preserve">Saludo: contestó y no volvió</t>
  </si>
  <si>
    <t xml:space="preserve">1.2 Lista de cursos</t>
  </si>
  <si>
    <t xml:space="preserve">Negativo</t>
  </si>
  <si>
    <t xml:space="preserve">Facilidades de pago</t>
  </si>
  <si>
    <t xml:space="preserve">Forma o medio de pago</t>
  </si>
  <si>
    <t xml:space="preserve">Ya marcado como Perdido</t>
  </si>
  <si>
    <t xml:space="preserve">Compró</t>
  </si>
  <si>
    <t xml:space="preserve">Estado al corte</t>
  </si>
  <si>
    <t xml:space="preserve">Abiertos</t>
  </si>
  <si>
    <t xml:space="preserve">Todavía pueden avanzar.</t>
  </si>
  <si>
    <t xml:space="preserve">Perdidos</t>
  </si>
  <si>
    <t xml:space="preserve">Ganados</t>
  </si>
  <si>
    <t xml:space="preserve">% de Perdidos que marcó una persona</t>
  </si>
  <si>
    <t xml:space="preserve">El resto lo mandó el bot al final de Negativo.</t>
  </si>
  <si>
    <t xml:space="preserve">% de Perdidos con razón «No contestaron»</t>
  </si>
  <si>
    <t xml:space="preserve">Horas hasta Perdido · mediana</t>
  </si>
  <si>
    <t xml:space="preserve">Leads que escribieron después de marcarlos Perdido</t>
  </si>
  <si>
    <t xml:space="preserve">El lead volvió a escribir cuando ya estaba en Perdido.</t>
  </si>
  <si>
    <t xml:space="preserve">Ventas de leads que estuvieron en Perdido</t>
  </si>
  <si>
    <t xml:space="preserve">Los sacaron de Perdido y compraron.</t>
  </si>
  <si>
    <t xml:space="preserve">De 9 a 21 h contra fuera de horario (todo el período)</t>
  </si>
  <si>
    <t xml:space="preserve">De 9 a 21 h</t>
  </si>
  <si>
    <t xml:space="preserve">Fuera</t>
  </si>
  <si>
    <t xml:space="preserve">Nota</t>
  </si>
  <si>
    <t xml:space="preserve">Minutos de su respuesta a 1.1 · mediana</t>
  </si>
  <si>
    <t xml:space="preserve">Escribieron de noche y los movieron en la mañana.</t>
  </si>
  <si>
    <t xml:space="preserve">De noche el lead se queda con el bot.</t>
  </si>
  <si>
    <t xml:space="preserve">Conversión</t>
  </si>
  <si>
    <t xml:space="preserve">Embudo</t>
  </si>
  <si>
    <t xml:space="preserve">ISO + Calidad · 407 leads del 5 al 15 de octubre de 2026 · conteos con fórmulas sobre la hoja Datos</t>
  </si>
  <si>
    <t xml:space="preserve">Leads que llegaron a cada etapa</t>
  </si>
  <si>
    <t xml:space="preserve">Etapa</t>
  </si>
  <si>
    <t xml:space="preserve">% de la etapa anterior</t>
  </si>
  <si>
    <t xml:space="preserve">% de los que entraron</t>
  </si>
  <si>
    <t xml:space="preserve">Entraron a 1 Saludo</t>
  </si>
  <si>
    <t xml:space="preserve">—</t>
  </si>
  <si>
    <t xml:space="preserve">Todos reciben el saludo y la petición de nombre.</t>
  </si>
  <si>
    <t xml:space="preserve">1.1 Informes</t>
  </si>
  <si>
    <t xml:space="preserve">Lo mueve una persona si contestó; el bot, si no contestó.</t>
  </si>
  <si>
    <t xml:space="preserve">Automático.</t>
  </si>
  <si>
    <t xml:space="preserve">Facilidades de pago, 1.3 y 1.4</t>
  </si>
  <si>
    <t xml:space="preserve">Lo mueve una persona o el lead contesta la oferta del bot.</t>
  </si>
  <si>
    <t xml:space="preserve">Forma o medio de pago, 2.x y 3.x</t>
  </si>
  <si>
    <t xml:space="preserve">Eligió cómo pagar o recibió los datos.</t>
  </si>
  <si>
    <t xml:space="preserve">Compraron</t>
  </si>
  <si>
    <t xml:space="preserve">Etapa Ganado.</t>
  </si>
  <si>
    <t xml:space="preserve">Además: entraron a Negativo</t>
  </si>
  <si>
    <t xml:space="preserve">Seguimiento automático del bot si nadie mueve al lead en 2 h.</t>
  </si>
  <si>
    <t xml:space="preserve">Dónde dejó de escribir el lead</t>
  </si>
  <si>
    <t xml:space="preserve">Etapa de su último mensaje</t>
  </si>
  <si>
    <t xml:space="preserve">% de los leads</t>
  </si>
  <si>
    <t xml:space="preserve">No volvió a escribir después de su primer mensaje.</t>
  </si>
  <si>
    <t xml:space="preserve">Contestó el saludo (casi siempre su nombre) y ya no escribió.</t>
  </si>
  <si>
    <t xml:space="preserve">Incluye 1.1 Informes (dura 8 segundos).</t>
  </si>
  <si>
    <t xml:space="preserve">Seguimiento automático del bot.</t>
  </si>
  <si>
    <t xml:space="preserve">1.3 y 1.4: ya pidió o recibió cómo pagar.</t>
  </si>
  <si>
    <t xml:space="preserve">2.x, MSI y 3.x: eligió cómo pagar o recibió los datos.</t>
  </si>
  <si>
    <t xml:space="preserve">Escribió cuando ya estaba en Perdido.</t>
  </si>
  <si>
    <t xml:space="preserve">«Llegó a una etapa» = llegó a esa etapa o a una más lejana. Una venta cuenta como que pasó por todas.</t>
  </si>
  <si>
    <t xml:space="preserve">Tiempos de atención</t>
  </si>
  <si>
    <t xml:space="preserve">ISO + Calidad · desde que entra el lead y cuando el lead escribe · corte: 15 oct 2026, 23:59 h (Monterrey)</t>
  </si>
  <si>
    <t xml:space="preserve">¿Cuánto tarda el primer mensaje de una persona?</t>
  </si>
  <si>
    <t xml:space="preserve">Tiempo desde que entró</t>
  </si>
  <si>
    <t xml:space="preserve">% que contestó el saludo</t>
  </si>
  <si>
    <t xml:space="preserve">% que llegó a facilidades</t>
  </si>
  <si>
    <t xml:space="preserve">5 min o menos</t>
  </si>
  <si>
    <t xml:space="preserve">5 a 15 min</t>
  </si>
  <si>
    <t xml:space="preserve">15 a 60 min</t>
  </si>
  <si>
    <t xml:space="preserve">1 a 4 h</t>
  </si>
  <si>
    <t xml:space="preserve">4 a 24 h</t>
  </si>
  <si>
    <t xml:space="preserve">Más de 1 día</t>
  </si>
  <si>
    <t xml:space="preserve">Nunca (solo el bot)</t>
  </si>
  <si>
    <t xml:space="preserve">Relación, no causa: quien contesta más rápido también recibe antes el mensaje de una persona.</t>
  </si>
  <si>
    <t xml:space="preserve">Cuando el lead escribe, ¿cuánto tarda una persona en contestar?</t>
  </si>
  <si>
    <t xml:space="preserve">Tiempo de respuesta</t>
  </si>
  <si>
    <t xml:space="preserve">% de 9 a 21 h</t>
  </si>
  <si>
    <t xml:space="preserve">Fuera de horario</t>
  </si>
  <si>
    <t xml:space="preserve">% fuera</t>
  </si>
  <si>
    <t xml:space="preserve">% total</t>
  </si>
  <si>
    <t xml:space="preserve">Más de 4 h</t>
  </si>
  <si>
    <t xml:space="preserve">Sin respuesta de una persona</t>
  </si>
  <si>
    <t xml:space="preserve">Mensajes del lead (rachas)</t>
  </si>
  <si>
    <t xml:space="preserve">Minutos de respuesta · mediana</t>
  </si>
  <si>
    <t xml:space="preserve">% en que el bot contestó primero</t>
  </si>
  <si>
    <t xml:space="preserve">Racha = uno o varios mensajes seguidos del lead, después de que el bot pidió el nombre. Se mide hasta el siguiente mensaje de una persona.</t>
  </si>
  <si>
    <t xml:space="preserve">Según la hora en que entró el lead</t>
  </si>
  <si>
    <t xml:space="preserve">Hora de entrada</t>
  </si>
  <si>
    <t xml:space="preserve">Min. a 1.1 (mediana)</t>
  </si>
  <si>
    <t xml:space="preserve">00:00 a 00:59  (fuera de horario)</t>
  </si>
  <si>
    <t xml:space="preserve">01:00 a 01:59  (fuera de horario)</t>
  </si>
  <si>
    <t xml:space="preserve">02:00 a 02:59  (fuera de horario)</t>
  </si>
  <si>
    <t xml:space="preserve">03:00 a 03:59  (fuera de horario)</t>
  </si>
  <si>
    <t xml:space="preserve">04:00 a 04:59  (fuera de horario)</t>
  </si>
  <si>
    <t xml:space="preserve">05:00 a 05:59  (fuera de horario)</t>
  </si>
  <si>
    <t xml:space="preserve">06:00 a 06:59  (fuera de horario)</t>
  </si>
  <si>
    <t xml:space="preserve">07:00 a 07:59  (fuera de horario)</t>
  </si>
  <si>
    <t xml:space="preserve">08:00 a 08:59  (fuera de horario)</t>
  </si>
  <si>
    <t xml:space="preserve">09:00 a 09:59</t>
  </si>
  <si>
    <t xml:space="preserve">10:00 a 10:59</t>
  </si>
  <si>
    <t xml:space="preserve">11:00 a 11:59</t>
  </si>
  <si>
    <t xml:space="preserve">12:00 a 12:59</t>
  </si>
  <si>
    <t xml:space="preserve">13:00 a 13:59</t>
  </si>
  <si>
    <t xml:space="preserve">14:00 a 14:59</t>
  </si>
  <si>
    <t xml:space="preserve">15:00 a 15:59</t>
  </si>
  <si>
    <t xml:space="preserve">16:00 a 16:59</t>
  </si>
  <si>
    <t xml:space="preserve">17:00 a 17:59</t>
  </si>
  <si>
    <t xml:space="preserve">18:00 a 18:59</t>
  </si>
  <si>
    <t xml:space="preserve">19:00 a 19:59</t>
  </si>
  <si>
    <t xml:space="preserve">20:00 a 20:59</t>
  </si>
  <si>
    <t xml:space="preserve">21:00 a 21:59  (fuera de horario)</t>
  </si>
  <si>
    <t xml:space="preserve">22:00 a 22:59  (fuera de horario)</t>
  </si>
  <si>
    <t xml:space="preserve">23:00 a 23:59  (fuera de horario)</t>
  </si>
  <si>
    <t xml:space="preserve">Ofertas y ventas</t>
  </si>
  <si>
    <t xml:space="preserve">ISO + Calidad · ofertas escritas en mensajes y ventas registradas en el CRM · corte: 15 oct 2026, 23:59 h (Monterrey)</t>
  </si>
  <si>
    <t xml:space="preserve">Ofertas que recibió el lead</t>
  </si>
  <si>
    <t xml:space="preserve">Oferta</t>
  </si>
  <si>
    <t xml:space="preserve">Alguna oferta</t>
  </si>
  <si>
    <t xml:space="preserve">$3,799</t>
  </si>
  <si>
    <t xml:space="preserve">$3,400</t>
  </si>
  <si>
    <t xml:space="preserve">$2,799</t>
  </si>
  <si>
    <t xml:space="preserve">$1,950</t>
  </si>
  <si>
    <t xml:space="preserve">Ninguna oferta</t>
  </si>
  <si>
    <t xml:space="preserve">Un lead puede recibir varias ofertas. «Compraron» incluye a quien compró a otro precio.</t>
  </si>
  <si>
    <t xml:space="preserve">¿Quién mandó la primera oferta?</t>
  </si>
  <si>
    <t xml:space="preserve">Primera oferta enviada por</t>
  </si>
  <si>
    <t xml:space="preserve">% de las primeras ofertas</t>
  </si>
  <si>
    <t xml:space="preserve">Horas a la 1a oferta (mediana)</t>
  </si>
  <si>
    <t xml:space="preserve">Bot</t>
  </si>
  <si>
    <t xml:space="preserve">Joceline</t>
  </si>
  <si>
    <t xml:space="preserve">Salma</t>
  </si>
  <si>
    <t xml:space="preserve">Alexander</t>
  </si>
  <si>
    <t xml:space="preserve">Victoria</t>
  </si>
  <si>
    <t xml:space="preserve">Cuando una persona manda la oferta casi siempre es con una plantilla de Meta (imagen con el precio y botones).</t>
  </si>
  <si>
    <t xml:space="preserve">Precio al que se vendió</t>
  </si>
  <si>
    <t xml:space="preserve">Precio de venta</t>
  </si>
  <si>
    <t xml:space="preserve">% de las ventas</t>
  </si>
  <si>
    <t xml:space="preserve">Ingreso</t>
  </si>
  <si>
    <t xml:space="preserve">$3,999 o más (lista)</t>
  </si>
  <si>
    <t xml:space="preserve">$2,000</t>
  </si>
  <si>
    <t xml:space="preserve">Ingreso si todas fueran a $3,999</t>
  </si>
  <si>
    <t xml:space="preserve">Precio = presupuesto registrado al pasar a Ganado.</t>
  </si>
  <si>
    <t xml:space="preserve">Las ventas, una por una</t>
  </si>
  <si>
    <t xml:space="preserve">ID (#)</t>
  </si>
  <si>
    <t xml:space="preserve">Entrada</t>
  </si>
  <si>
    <t xml:space="preserve">Asesor asignado</t>
  </si>
  <si>
    <t xml:space="preserve">Ofertas recibidas</t>
  </si>
  <si>
    <t xml:space="preserve">Estado del cobro</t>
  </si>
  <si>
    <t xml:space="preserve">Horas hasta la venta</t>
  </si>
  <si>
    <t xml:space="preserve">Cada celda apunta a su fila en la hoja Datos.</t>
  </si>
  <si>
    <t xml:space="preserve">Perfil del lead, señales y asesores</t>
  </si>
  <si>
    <t xml:space="preserve">ISO + Calidad · corte: 15 oct 2026, 23:59 h (Monterrey)</t>
  </si>
  <si>
    <t xml:space="preserve">Ocupación (de quienes la contestaron)</t>
  </si>
  <si>
    <t xml:space="preserve">Ocupación</t>
  </si>
  <si>
    <t xml:space="preserve">% de los que contestaron</t>
  </si>
  <si>
    <t xml:space="preserve">Llegaron a facilidades</t>
  </si>
  <si>
    <t xml:space="preserve">Calidad</t>
  </si>
  <si>
    <t xml:space="preserve">Producción u operaciones</t>
  </si>
  <si>
    <t xml:space="preserve">Supervisión o jefatura</t>
  </si>
  <si>
    <t xml:space="preserve">Ingeniería</t>
  </si>
  <si>
    <t xml:space="preserve">Estudiante o recién egresado</t>
  </si>
  <si>
    <t xml:space="preserve">Sin empleo o buscando</t>
  </si>
  <si>
    <t xml:space="preserve">Otra área</t>
  </si>
  <si>
    <t xml:space="preserve">Agrupado por palabras de lo que contestó en 24 h. Si trabaja y estudia, cuenta su área de trabajo.</t>
  </si>
  <si>
    <t xml:space="preserve">Señales y conversión</t>
  </si>
  <si>
    <t xml:space="preserve">Señal</t>
  </si>
  <si>
    <t xml:space="preserve">Sí: leads</t>
  </si>
  <si>
    <t xml:space="preserve">Sí: ventas</t>
  </si>
  <si>
    <t xml:space="preserve">Sí: conversión</t>
  </si>
  <si>
    <t xml:space="preserve">No: leads</t>
  </si>
  <si>
    <t xml:space="preserve">No: ventas</t>
  </si>
  <si>
    <t xml:space="preserve">No: conversión</t>
  </si>
  <si>
    <t xml:space="preserve">Contestó el saludo</t>
  </si>
  <si>
    <t xml:space="preserve">Contestó la ocupación</t>
  </si>
  <si>
    <t xml:space="preserve">Abrió algún link</t>
  </si>
  <si>
    <t xml:space="preserve">Recibió audio del equipo</t>
  </si>
  <si>
    <t xml:space="preserve">Intervino auxiliar</t>
  </si>
  <si>
    <t xml:space="preserve">Entró de 9 a 21 h</t>
  </si>
  <si>
    <t xml:space="preserve">Recibió oferta</t>
  </si>
  <si>
    <t xml:space="preserve">Relación, no causa. Con pocas ventas, cada caso pesa mucho.</t>
  </si>
  <si>
    <t xml:space="preserve">Links que abrió el lead (aviso del CRM)</t>
  </si>
  <si>
    <t xml:space="preserve">Link</t>
  </si>
  <si>
    <t xml:space="preserve">Su ruta (temario)</t>
  </si>
  <si>
    <t xml:space="preserve">Clase demo</t>
  </si>
  <si>
    <t xml:space="preserve">Mapa de las 64 certificaciones</t>
  </si>
  <si>
    <t xml:space="preserve">Perfil profesional de ejemplo</t>
  </si>
  <si>
    <t xml:space="preserve">Por asesor asignado</t>
  </si>
  <si>
    <t xml:space="preserve">Asesor</t>
  </si>
  <si>
    <t xml:space="preserve">Min. a la 1a acción (mediana)</t>
  </si>
  <si>
    <t xml:space="preserve">Horas al 1er mensaje (mediana)</t>
  </si>
  <si>
    <t xml:space="preserve">% de los leads fuera de horario</t>
  </si>
  <si>
    <t xml:space="preserve">Sin asignar</t>
  </si>
  <si>
    <t xml:space="preserve">La última columna dice qué parte de los leads que entran fuera de horario queda a nombre de cada asesor.</t>
  </si>
  <si>
    <t xml:space="preserve">Asesor = a nombre de quién quedó el lead. Joceline apoya como auxiliar: los leads no quedan a su nombre.</t>
  </si>
  <si>
    <t xml:space="preserve">Cómo se cierran los Perdidos</t>
  </si>
  <si>
    <t xml:space="preserve">Concepto</t>
  </si>
  <si>
    <t xml:space="preserve">% de los Perdidos</t>
  </si>
  <si>
    <t xml:space="preserve">Horas hasta Perdido (mediana)</t>
  </si>
  <si>
    <t xml:space="preserve">Los marcó una persona</t>
  </si>
  <si>
    <t xml:space="preserve">Los pasó el bot</t>
  </si>
  <si>
    <t xml:space="preserve">Razón: No contestaron</t>
  </si>
  <si>
    <t xml:space="preserve">Razón: Por el momento no</t>
  </si>
  <si>
    <t xml:space="preserve">Razón: No le interesa</t>
  </si>
  <si>
    <t xml:space="preserve">Sin razón</t>
  </si>
  <si>
    <t xml:space="preserve">Otra razón</t>
  </si>
  <si>
    <t xml:space="preserve">Semana</t>
  </si>
  <si>
    <t xml:space="preserve">¿Entró de 9 a 21 h?</t>
  </si>
  <si>
    <t xml:space="preserve">¿Contestó el saludo?</t>
  </si>
  <si>
    <t xml:space="preserve">¿Dio su nombre?</t>
  </si>
  <si>
    <t xml:space="preserve">¿Llegó a 1.1?</t>
  </si>
  <si>
    <t xml:space="preserve">Minutos de su respuesta a 1.1</t>
  </si>
  <si>
    <t xml:space="preserve">Lo pasó a 1.1</t>
  </si>
  <si>
    <t xml:space="preserve">¿Llegó a 1.2?</t>
  </si>
  <si>
    <t xml:space="preserve">¿Contestó la ocupación?</t>
  </si>
  <si>
    <t xml:space="preserve">¿Entró a Negativo?</t>
  </si>
  <si>
    <t xml:space="preserve">¿Llegó a facilidades de pago?</t>
  </si>
  <si>
    <t xml:space="preserve">¿Llegó a forma de pago?</t>
  </si>
  <si>
    <t xml:space="preserve">¿Intervino auxiliar?</t>
  </si>
  <si>
    <t xml:space="preserve">Minutos hasta el 1er mensaje de una persona</t>
  </si>
  <si>
    <t xml:space="preserve">1er mensaje de una persona por</t>
  </si>
  <si>
    <t xml:space="preserve">Minutos hasta la 1a acción de una persona</t>
  </si>
  <si>
    <t xml:space="preserve">Mediana de minutos de respuesta de una persona</t>
  </si>
  <si>
    <t xml:space="preserve">Mensajes del lead sin respuesta de una persona</t>
  </si>
  <si>
    <t xml:space="preserve">¿Audio del equipo?</t>
  </si>
  <si>
    <t xml:space="preserve">¿Recibió oferta?</t>
  </si>
  <si>
    <t xml:space="preserve">Horas hasta la 1a oferta</t>
  </si>
  <si>
    <t xml:space="preserve">Mensajes del lead</t>
  </si>
  <si>
    <t xml:space="preserve">Mensajes del bot</t>
  </si>
  <si>
    <t xml:space="preserve">Mensajes de personas</t>
  </si>
  <si>
    <t xml:space="preserve">¿Abrió algún link?</t>
  </si>
  <si>
    <t xml:space="preserve">Links abiertos</t>
  </si>
  <si>
    <t xml:space="preserve">Mensajes del bot bloqueados (24 h)</t>
  </si>
  <si>
    <t xml:space="preserve">Dejó de escribir en</t>
  </si>
  <si>
    <t xml:space="preserve">Estado</t>
  </si>
  <si>
    <t xml:space="preserve">Cómo llegó a Perdido</t>
  </si>
  <si>
    <t xml:space="preserve">Razón de pérdida</t>
  </si>
  <si>
    <t xml:space="preserve">Horas hasta Perdido</t>
  </si>
  <si>
    <t xml:space="preserve">¿Lo marcaron Perdido alguna vez?</t>
  </si>
  <si>
    <t xml:space="preserve">¿Escribió después de marcarlo Perdido?</t>
  </si>
  <si>
    <t xml:space="preserve">¿Compró?</t>
  </si>
  <si>
    <t xml:space="preserve">Anuncio (utm_medium)</t>
  </si>
  <si>
    <t xml:space="preserve">ISO + Calidad</t>
  </si>
  <si>
    <t xml:space="preserve">Sí</t>
  </si>
  <si>
    <t xml:space="preserve">No</t>
  </si>
  <si>
    <t xml:space="preserve">Perdido</t>
  </si>
  <si>
    <t xml:space="preserve">Persona</t>
  </si>
  <si>
    <t xml:space="preserve">Lo está atendiendo Kommo: desde Kommo le escribieron a este cliente y se apagó</t>
  </si>
  <si>
    <t xml:space="preserve">plano</t>
  </si>
  <si>
    <t xml:space="preserve">$3,799, $2,799</t>
  </si>
  <si>
    <t xml:space="preserve">No contestaron</t>
  </si>
  <si>
    <t xml:space="preserve">Plano</t>
  </si>
  <si>
    <t xml:space="preserve">Ruta</t>
  </si>
  <si>
    <t xml:space="preserve">GreenBelt</t>
  </si>
  <si>
    <t xml:space="preserve">50% Descuento DC-3👉</t>
  </si>
  <si>
    <t xml:space="preserve">PLANO #2</t>
  </si>
  <si>
    <t xml:space="preserve">Abierto</t>
  </si>
  <si>
    <t xml:space="preserve">Verde</t>
  </si>
  <si>
    <t xml:space="preserve">Por el momento no</t>
  </si>
  <si>
    <t xml:space="preserve">Ruta, Clase demo</t>
  </si>
  <si>
    <t xml:space="preserve">No le interesa</t>
  </si>
  <si>
    <t xml:space="preserve">Ganado</t>
  </si>
  <si>
    <t xml:space="preserve">Pagada completa</t>
  </si>
  <si>
    <t xml:space="preserve">nos bloqueo</t>
  </si>
  <si>
    <t xml:space="preserve">Perfil ejemplo</t>
  </si>
  <si>
    <t xml:space="preserve">Con saldo pendiente</t>
  </si>
  <si>
    <t xml:space="preserve">Mapa 64</t>
  </si>
  <si>
    <t xml:space="preserve">Clase demo, Mapa 64, Perfil ejemplo</t>
  </si>
  <si>
    <t xml:space="preserve">Ruta, Mapa 64</t>
  </si>
  <si>
    <t xml:space="preserve">Clase demo, Perfil ejemplo, Mapa 64</t>
  </si>
  <si>
    <t xml:space="preserve">$2,799, $3,799</t>
  </si>
  <si>
    <t xml:space="preserve">VERDE</t>
  </si>
  <si>
    <t xml:space="preserve">se paso a eje empresas</t>
  </si>
  <si>
    <t xml:space="preserve">$3,400, $3,799, $2,799</t>
  </si>
  <si>
    <t xml:space="preserve">$3,399, $3,799, $2,799</t>
  </si>
  <si>
    <t xml:space="preserve">Clase demo, Ruta</t>
  </si>
  <si>
    <t xml:space="preserve">Ruta, Clase demo, Mapa 64</t>
  </si>
  <si>
    <t xml:space="preserve">Mensaje del lead</t>
  </si>
  <si>
    <t xml:space="preserve">Hora</t>
  </si>
  <si>
    <t xml:space="preserve">¿De 9 a 21 h?</t>
  </si>
  <si>
    <t xml:space="preserve">Etapa en ese momento</t>
  </si>
  <si>
    <t xml:space="preserve">¿Le contestó una persona?</t>
  </si>
  <si>
    <t xml:space="preserve">Minutos hasta la respuesta de una persona</t>
  </si>
  <si>
    <t xml:space="preserve">Primero le contestó</t>
  </si>
  <si>
    <t xml:space="preserve">1 Saludo</t>
  </si>
  <si>
    <t xml:space="preserve">1.1 / 1.2 Informes y lista</t>
  </si>
  <si>
    <t xml:space="preserve">Nadie</t>
  </si>
  <si>
    <t xml:space="preserve">Notas y definiciones</t>
  </si>
  <si>
    <t xml:space="preserve">ISO + Calidad · cómo se midió cada dato</t>
  </si>
  <si>
    <t xml:space="preserve">Período</t>
  </si>
  <si>
    <t xml:space="preserve">Del 5 al 15 de octubre de 2026: la semana completa del 5 al 11 (S41) y 4 días de la siguiente (S42, del 12 al 15). El CRM atiende leads nuevos desde el 5 de octubre; lo anterior está en Kommo y no se incluye.</t>
  </si>
  <si>
    <t xml:space="preserve">Corte</t>
  </si>
  <si>
    <t xml:space="preserve">Todo se midió hasta el 15 de octubre a las 23:59 h (hora de Monterrey): solo cuentan leads que entraron hasta esa hora, y los mensajes, cambios de etapa y ventas que pasaron hasta esa hora, aunque el lead haya avanzado el 16. Así el As Is no se mueve.</t>
  </si>
  <si>
    <t xml:space="preserve">Fuente</t>
  </si>
  <si>
    <t xml:space="preserve">CRM de SyS. Se usó el usuario de Joceline, que ve todos los embudos.</t>
  </si>
  <si>
    <t xml:space="preserve">Cómo se midió</t>
  </si>
  <si>
    <t xml:space="preserve">Solo lectura: tablero de cada embudo, historial de etapas y mensajes de cada lead, y la configuración de los bots. Solo se hicieron consultas: no se movió, editó ni envió nada, y ni siquiera se marcaron los chats como vistos.</t>
  </si>
  <si>
    <t xml:space="preserve">A qué embudo pertenece un lead</t>
  </si>
  <si>
    <t xml:space="preserve">Al primer embudo de venta al que entró (sin contar «Leads entrantes», que solo reparte). 4 leads de los 3 embudos se movieron después a otro embudo y siguen contando en el de entrada.</t>
  </si>
  <si>
    <t xml:space="preserve">Cuando el lead escribió por primera vez. Casi todos pasan al embudo en menos de un segundo. 5 leads (4 de ISO + Calidad y 1 de Core Tools Premium) los atendió una persona desde «Leads entrantes», sin bot, y pasaron al embudo ya avanzados; 3 de ellos son ventas.</t>
  </si>
  <si>
    <t xml:space="preserve">Exclusiones</t>
  </si>
  <si>
    <t xml:space="preserve">Se excluyeron 2 leads de prueba interna del 8 de septiembre (#1 «Prueba» y #7 «Hoolaa»), creados cuando se armó el embudo.</t>
  </si>
  <si>
    <t xml:space="preserve">Privacidad</t>
  </si>
  <si>
    <t xml:space="preserve">Sin nombres, teléfonos ni textos de los leads. Del equipo solo aparece el nombre con el que se le conoce. En los textos del bot se ocultan los datos bancarios.</t>
  </si>
  <si>
    <t xml:space="preserve">Horario</t>
  </si>
  <si>
    <t xml:space="preserve">«De 9 a 21 h» es el horario de los bots en el CRM (los 7 días). En la práctica el equipo escribe de 7 a 22 h.</t>
  </si>
  <si>
    <t xml:space="preserve">Escribió algo después de que el bot pidió el nombre y antes de salir de 1 Saludo. Es la misma regla que usa el bot: si contesta en 30 min, el bot reacciona y se detiene.</t>
  </si>
  <si>
    <t xml:space="preserve">Dio su nombre</t>
  </si>
  <si>
    <t xml:space="preserve">El nombre que quedó en el contacto aparece en lo que contestó al saludo. A quien no contestó, el bot lo llama «Inge».</t>
  </si>
  <si>
    <t xml:space="preserve">Desde su primera respuesta al saludo hasta que pasó a 1.1 (o a una etapa más lejana). Solo para quien contestó.</t>
  </si>
  <si>
    <t xml:space="preserve">Lo que contestó en 24 h a «¿en qué área trabajas?», agrupado por palabras: calidad, producción u operaciones, supervisión o jefatura, ingeniería, estudiante o recién egresado, sin empleo, otra área. Si escribió una duda u otro tema, cuenta como No.</t>
  </si>
  <si>
    <t xml:space="preserve">Llegó a una etapa</t>
  </si>
  <si>
    <t xml:space="preserve">Sí = llegó a esa etapa o a una más lejana. Una venta cuenta como que pasó por todas. Facilidades de pago = 1.3 o 1.4; forma de pago = 2.x, MSI y 3.x.</t>
  </si>
  <si>
    <t xml:space="preserve">Sí = la auxiliar (Joceline) escribió en la conversación o movió al lead de etapa antes del corte.</t>
  </si>
  <si>
    <t xml:space="preserve">1er mensaje y 1a acción de una persona</t>
  </si>
  <si>
    <t xml:space="preserve">1er mensaje = primer mensaje escrito por una persona (texto, audio, imagen o plantilla). 1a acción = ese mensaje o un cambio de etapa hecho a mano, lo que pase primero. Se miden desde que entró el lead.</t>
  </si>
  <si>
    <t xml:space="preserve">Tiempo de respuesta de una persona</t>
  </si>
  <si>
    <t xml:space="preserve">Cada racha de mensajes del lead (después de que el bot pidió el nombre) se mide hasta el siguiente mensaje de una persona. Detalle en la hoja Respuestas.</t>
  </si>
  <si>
    <t xml:space="preserve">Ofertas y audios</t>
  </si>
  <si>
    <t xml:space="preserve">Oferta = mensaje que dice $3,799, $3,400, $2,799 o $1,950 (también en el texto de una plantilla). Una oferta dentro de una imagen o un audio no se cuenta. Audio del equipo = nota de voz de una persona; los audios automáticos del bot no cuentan.</t>
  </si>
  <si>
    <t xml:space="preserve">Avisos que el CRM deja como nota interna cuando el lead abre su ruta, la clase demo, el mapa de las 64 certificaciones o el perfil de ejemplo.</t>
  </si>
  <si>
    <t xml:space="preserve">Etapa en la que estaba el lead cuando mandó su último mensaje. «Solo su primer mensaje» = no escribió después de que el bot pidió el nombre.</t>
  </si>
  <si>
    <t xml:space="preserve">Estado, venta y precio</t>
  </si>
  <si>
    <t xml:space="preserve">Estado al corte, según el historial de etapas. Venta = lead en Ganado. Precio = el que quedó registrado en el CRM. Estado del cobro = registro de ventas del CRM (pagada o con saldo).</t>
  </si>
  <si>
    <t xml:space="preserve">Cómo llegó: «Persona» si lo movió alguien del equipo; «Bot» si lo pasó el bot. Razón = la que quedó registrada en el CRM. «¿Escribió después de marcarlo Perdido?» = el lead mandó un mensaje cuando ya estaba en Perdido.</t>
  </si>
  <si>
    <t xml:space="preserve">Límites</t>
  </si>
  <si>
    <t xml:space="preserve">Pocas ventas: un solo caso mueve mucho los porcentajes. Los leads de la última semana todavía están abiertos, así que su conversión aún puede subir. Las relaciones entre señales y ventas no prueban causa.</t>
  </si>
  <si>
    <t xml:space="preserve">Qué dispara las ofertas</t>
  </si>
  <si>
    <t xml:space="preserve">El bot, por tiempo. Si nadie mueve al lead, 2 h después de la pregunta de ocupación pasa a Negativo. Desde ahí, solo en horario: $3,799 unas 24 h después, $2,799 unas 64 h después, «la cerramos hoy» a las 88 h y Perdido a las 112 h. En los pasos de pago el bot puede ofrecer $1,950.</t>
  </si>
  <si>
    <t xml:space="preserve">Etapas de este embudo</t>
  </si>
  <si>
    <t xml:space="preserve">Saludo = «1 Saludo» · Negativo = «1 Negativo» · Facilidades de pago = «1.3 Llamadita y facilidades de pago», «1.4 Facilidades de pago» · Forma de pago = «2 Una sola exhibición», «2 Parcialidades», «MSI», «2 MSI 3999», «MSI 2799», «3 Transferencia / OXXO», «3 PayPal», «3 Débito / Crédito»</t>
  </si>
  <si>
    <t xml:space="preserve">Textos del bot por etapa · ISO + Calidad (configuración vigente desde el 5 de octubre)</t>
  </si>
  <si>
    <t xml:space="preserve">Mensaje o acción</t>
  </si>
  <si>
    <t xml:space="preserve">Espera</t>
  </si>
  <si>
    <t xml:space="preserve">¡Hola excelente día Inge👋! Te saluda *Salma Pérez* de _*SyS*_ 😊
Con mucho gusto te comparto la información referente a los cursos que solicitas.</t>
  </si>
  <si>
    <t xml:space="preserve">(pausa)</t>
  </si>
  <si>
    <t xml:space="preserve">3 s</t>
  </si>
  <si>
    <t xml:space="preserve">Para continuar,
¿Me puedes compartir tu nombre? 🙌</t>
  </si>
  <si>
    <t xml:space="preserve">Espera la respuesta del lead</t>
  </si>
  <si>
    <t xml:space="preserve">30 min</t>
  </si>
  <si>
    <t xml:space="preserve">5 s</t>
  </si>
  <si>
    <t xml:space="preserve">Reacciona al mensaje del lead</t>
  </si>
  <si>
    <t xml:space="preserve">Se detiene y espera a una persona</t>
  </si>
  <si>
    <t xml:space="preserve">Hola Inge👋 no te preocupes, igual te comparto la información del curso por si te interesa.
Si después me pasas tu nombre, con gusto te la personalizo 😊</t>
  </si>
  <si>
    <t xml:space="preserve">Guarda nombre = «Inge»</t>
  </si>
  <si>
    <t xml:space="preserve">8 s</t>
  </si>
  <si>
    <t xml:space="preserve">Pasa a «1.1 Informes»</t>
  </si>
  <si>
    <t xml:space="preserve">Excelente {{nombre}} que gustazo! Muchas gracias por interesarte🙌
Te explico rapidito, tu programa *ISO + Calidad* son *9 certificaciones*, y por cada una se entrega diploma y constancia *DC-3 avalada ante la STPS*.
Van en ruta: arrancas con ISO 9001 y cierras con Liderazgo, para que al final tengas el perfil completo de Calidad y no cursos sueltos.
Y algunas cuentan con *Certificación Internacional*, que le da más peso a tu currículum 🏅</t>
  </si>
  <si>
    <t xml:space="preserve">Pasa a «1.2 Lista de cursos»</t>
  </si>
  <si>
    <t xml:space="preserve">Aquí te comparto tus *9 certificaciones* con sus horas académicas y costo total😊
[con archivo]</t>
  </si>
  <si>
    <t xml:space="preserve">7 s</t>
  </si>
  <si>
    <t xml:space="preserve">Y aquí puedes abrir el temario de cada una, ver cuánto dura y qué documento te llevas 👇
https://academy.dpsys.com.mx/ruta-iso/{{numero}}</t>
  </si>
  <si>
    <t xml:space="preserve">Y para que sepas cómo funciona aquí en SyS {{nombre}} 🙌
Cuando compras una ruta con nosotros, tienes acceso a *todas las demás rutas* y a todo nuestro catálogo — que actualmente son *64 certificaciones*.
Tu ruta es *ISO + Calidad*: esas 9 son las que te voy llevando en orden hasta que las termines. El resto se queda abierto por si algún día lo ocupas.</t>
  </si>
  <si>
    <t xml:space="preserve">2 min</t>
  </si>
  <si>
    <t xml:space="preserve">Solo una pregunta {{nombre}}, ¿en qué área trabajas actualmente? o ¿estás estudiando?
Así te armo cuáles de los otros cursos del catálogo te conviene tomar *además de tus 9* 🙌</t>
  </si>
  <si>
    <t xml:space="preserve">2 h</t>
  </si>
  <si>
    <t xml:space="preserve">Pasa a «1 Negativo»</t>
  </si>
  <si>
    <t xml:space="preserve">1 Negativo (solo en horario)</t>
  </si>
  <si>
    <t xml:space="preserve">Si Paso del negativo = «1», salta a otro paso</t>
  </si>
  <si>
    <t xml:space="preserve">Si Paso del negativo = «2», salta a otro paso</t>
  </si>
  <si>
    <t xml:space="preserve">Si Paso del negativo = «3», salta a otro paso</t>
  </si>
  <si>
    <t xml:space="preserve">[con archivo]</t>
  </si>
  <si>
    <t xml:space="preserve">Además, aquí puedes buscar por nombre a cualquiera de nuestros egresados y verificar su certificación tú mismo. 
Es una bitácora pública, no un testimonio que yo te cuente 👇
https://academy.dpsys.com.mx/egresados</t>
  </si>
  <si>
    <t xml:space="preserve">Guarda Paso del negativo = «1»</t>
  </si>
  <si>
    <t xml:space="preserve">{{nombre}}, antes de que tomes una decisión, quiero que conozcas exactamente lo que vas a recibir 🙌
Aquí puedes ver una *clase demo completa, gratis y sin registro:*
https://academy.dpsys.com.mx/clase-demo/{{numero}} 
Así puedes conocer la plataforma y nuestra forma de explicar antes de inscribirte.</t>
  </si>
  <si>
    <t xml:space="preserve">Cuando la veas, dime qué te pareció y te ayudo con lo siguiente 😊</t>
  </si>
  <si>
    <t xml:space="preserve">Guarda Paso del negativo = «2»</t>
  </si>
  <si>
    <t xml:space="preserve">18 h</t>
  </si>
  <si>
    <t xml:space="preserve">Que onda {{nombre}}, recuerda que esta membresía incluye las demás rutas🦾</t>
  </si>
  <si>
    <t xml:space="preserve">En total son *64 certificaciones*.
Estoy seguro de que te van a ayudar un montón</t>
  </si>
  <si>
    <t xml:space="preserve">Puedes empezar por tu ruta que son 9 certificaciones y de ahí pasarte a otros cursos🙌
https://academy.dpsys.com.mx/mapa/{{numero}}
Te comparto *todos los cursos* que vas a obtener☝️</t>
  </si>
  <si>
    <t xml:space="preserve">1 min</t>
  </si>
  <si>
    <t xml:space="preserve">Si te interesa aprovechar la membresía, dime y te comparto las *facilidades de pago y los medios disponibles para que puedas iniciar*🙌</t>
  </si>
  <si>
    <t xml:space="preserve">4 h</t>
  </si>
  <si>
    <t xml:space="preserve">¡Qué tal, Inge! 😊
⚡ ¡Tenemos una OFERTA RELÁMPAGO disponible solo por hoy! ⚡
Esta oferta está disponible únicamente para las primeras 3 personas que realicen su apartado o pago.
🎓 Llévate los 64 cursos de la membresía + sus certificaciones correspondientes por solo $3,799 MXN.
Contamos con diferentes opciones de pago para facilitar tu inscripción. 🙌
¿Quieres que te comparta los medios de pago disponibles para aprovechar la oferta? 🤗</t>
  </si>
  <si>
    <t xml:space="preserve">Si mensaje = «Reservar mi lugar», salta a otro paso</t>
  </si>
  <si>
    <t xml:space="preserve">Si mensaje = «Ver métodos pago», salta a otro paso</t>
  </si>
  <si>
    <t xml:space="preserve">Guarda Paso del negativo = «3»</t>
  </si>
  <si>
    <t xml:space="preserve">Da clic en *"leer más"* para darle más valor a tu *CV* 👇
Algo que debes saber es que algunos de nuestros cursos incluidos en la membresía cuentan con *Certificación Internacional*, lo que respalda los conocimientos y habilidades que desarrollas durante tu formación.
Al finalizar tus cursos puedes contar con un *perfil profesional público con tus certificaciones*, horas de capacitación, DC-3 y competencias desarrolladas, para compartirlo en tu CV o LinkedIn.
Así puede verse tu perfil👇:
https://academy.dpsys.com.mx/demo-perfil-ingeniero/{{numero}}
¿Qué tanto valor crees que tendría esto para tu crecimiento profesional? 🙌</t>
  </si>
  <si>
    <t xml:space="preserve">Inge, te aviso antes de cerrar la promoción 👌
[con archivo]</t>
  </si>
  <si>
    <t xml:space="preserve">Nos quedan 4 lugares y hoy puedo dejarte la membresía anual de _$3,999_ en *$2,799 MXN.*</t>
  </si>
  <si>
    <t xml:space="preserve">24 h</t>
  </si>
  <si>
    <t xml:space="preserve">La promoción la cerramos *hoy.*
*¿Te aparto uno de los 4 lugares?*</t>
  </si>
  <si>
    <t xml:space="preserve">Pasa a «Perdido»</t>
  </si>
  <si>
    <t xml:space="preserve">10 s</t>
  </si>
  <si>
    <t xml:space="preserve">Pasa a «1.4 Facilidades de pago»</t>
  </si>
  <si>
    <t xml:space="preserve">1.3 Llamadita y facilidades de pago</t>
  </si>
  <si>
    <t xml:space="preserve">5 min</t>
  </si>
  <si>
    <t xml:space="preserve">Igual si gustas {{nombre}} te puedo hacer una llamadita para explicarte todo más claro</t>
  </si>
  <si>
    <t xml:space="preserve">10 min</t>
  </si>
  <si>
    <t xml:space="preserve">También para que sea más accesible, tenemos facilidades de pago💳
¿Quieres que te muestre cómo quedaría en tu caso?</t>
  </si>
  <si>
    <t xml:space="preserve">1.4 Facilidades de pago</t>
  </si>
  <si>
    <t xml:space="preserve">Manejamos 3 facilidades de pago:
*Pago en una sola exhibición
*Pago en 3 parcialidades
*Meses sin intereses (3, 6 , 9 Y 12 meses) con tu tarjeta de crédito</t>
  </si>
  <si>
    <t xml:space="preserve">Cuál de estos 3 te interesa más {{nombre}}?</t>
  </si>
  <si>
    <t xml:space="preserve">2 Una sola exhibición</t>
  </si>
  <si>
    <t xml:space="preserve">Excelente, mira lo puedes realizar a través de:
-Paypal
-Tarjetas de débito/crédito.
-Transferencias electrónicas.
-Depósitos/Pago en Oxxo
Que opción tomarías {{nombre}}?</t>
  </si>
  <si>
    <t xml:space="preserve">2 Parcialidades</t>
  </si>
  <si>
    <t xml:space="preserve">Excelente, mira te comparto como quedaría el desglose de tus pagos a continuación 🤗</t>
  </si>
  <si>
    <t xml:space="preserve">Lo puedes realizar a través de:
-Paypal
-Tarjetas de débito/crédito.
-Transferencias electrónicas.
-Depósitos/Pago en Oxxo
Que opción tomarías {{nombre}} ?</t>
  </si>
  <si>
    <t xml:space="preserve">MSI</t>
  </si>
  <si>
    <t xml:space="preserve">Para poder aplicar es entrando al link:
https://buy.stripe.com/aFafZi3cGelg0B92ARbsd0x</t>
  </si>
  <si>
    <t xml:space="preserve">2.0 h</t>
  </si>
  <si>
    <t xml:space="preserve">2 MSI 3999</t>
  </si>
  <si>
    <t xml:space="preserve">Excelente, Inge. Mira:</t>
  </si>
  <si>
    <t xml:space="preserve">Te envío un ejemplo y como se ve en el link para comprar a meses sin intereses. 
Para poder aplicar es entrando al link: 
https://buy.stripe.com/aFafZi3cGelg0B92ARbsd0x
Cuando ingreses tu tarjeta de crédito te saldrá la opción de pagar a meses (como se ve en la imagen) es MUY IMPORTANTE tener DISPONIBLE el MONTO TOTAL en tu tarjeta de crédito🙌 
Una vez que realices el pago me envías de favor los siguientes datos: 
-Comprobante (con la cantidad visible) 
-Nombre Completo 
-Correo electrónico 
¡Quedo al pendiente del comprobante y de cualquier duda! 🤗
[con archivo]</t>
  </si>
  <si>
    <t xml:space="preserve">45 min</t>
  </si>
  <si>
    <t xml:space="preserve">Hola, Inge 🙌 Solo paso a confirmar que recibiste los medios de pago.
La idea es apoyarte en lo que necesites y que no se te quede pendiente tu lugar en la membresía. ✅
Estoy a tus órdenes para cualquier duda o detalle que quieras aclarar 😉.</t>
  </si>
  <si>
    <t xml:space="preserve">MSI 2799</t>
  </si>
  <si>
    <t xml:space="preserve">Te envío un ejemplo y como se ve en el link para comprar a meses sin intereses.
Para poder aplicar es entrando al link:
https://buy.stripe.com/14A5kE9B43GC4Rp7Vbbsd2w
Cuando ingreses tu tarjeta de crédito te saldrá la opción de pagar a meses (como se ve en la imagen).
[con archivo]</t>
  </si>
  <si>
    <t xml:space="preserve">Hola, Inge 🙌 Solo paso a confirmar que recibiste los medios de pago.
La idea es apoyarte en lo que necesites y que no se te quede pendiente tu lugar en la membresía. ✅
Estoy a tus órdenes para cualquier duda o detalle que quieras aclarar 😉.</t>
  </si>
  <si>
    <t xml:space="preserve">Qué tal {{nombre}}, me preguntaba si tuviste oportunidad de realizar tu pago o hay algo en lo que te pueda apoyar. Recuerda que puedes consultarme 😀</t>
  </si>
  <si>
    <t xml:space="preserve">3 Transferencia / OXXO</t>
  </si>
  <si>
    <t xml:space="preserve">Aquí te comparto la cuenta Inge
[con archivo]</t>
  </si>
  <si>
    <t xml:space="preserve">BANCO:
BBVA
NÚMERO DE TARJETA:
[número oculto]
CUENTA CLABE:
[número oculto]
BENEFICIARIO:
[nombre oculto]</t>
  </si>
  <si>
    <t xml:space="preserve">👉 Ya con el pago quedas dentro y aseguras tu lugar en la membresía, ¿quieres que te lo separe de una vez?</t>
  </si>
  <si>
    <t xml:space="preserve">Hola Inge 🙌, solo paso a confirmar que recibiste los medios de pago
La idea es apoyarte en lo que necesites y que no se te quede pendiente tu lugar en la membresía ✅
Estoy a tus órdenes para cualquier duda o detalle que quieras aclarar 😉</t>
  </si>
  <si>
    <t xml:space="preserve">3 PayPal</t>
  </si>
  <si>
    <t xml:space="preserve">*Te dejo el link para pagar vía PayPal:*
http://paypal.me/desarrollosys
Una vez realizado el pago, me comparte los siguientes datos de favor:
- Comprobante (Donde se aprecie el monto)
- Nombre Completo
- Correo
-Número de teléfono</t>
  </si>
  <si>
    <t xml:space="preserve">Hola Inge 🙌, solo paso a confirmar que recibiste los medios de pago.
La idea es apoyarte en lo que necesites y que no se te quede pendiente tu lugar en la membresía ✅.</t>
  </si>
  <si>
    <t xml:space="preserve">20 h</t>
  </si>
  <si>
    <t xml:space="preserve">Ingee {{nombre}}!
Ando contactando a todos los interesados porque me asignaron 10 accesos para una membresía premium🙌</t>
  </si>
  <si>
    <t xml:space="preserve">Es el mismo precio de la membresía pasada pero en esta se incluyen 50 certificaciones más!!! 
Te interesa? Para explicarte cuales son todas las certificaciones que incluyen🙏</t>
  </si>
  <si>
    <t xml:space="preserve">Algo que debes sabes es que algunos de nuestros cursos de la membresía cuentan con *Certificación Internacional!*
Sabes que tan importante es esto en tu carrera profesional?</t>
  </si>
  <si>
    <t xml:space="preserve">Inge solamente nos quedan 4 lugares para la promoción, así que si te animas del costo total que era $3999 te lo dejamos a $1950.
Únicamente para inscripciones de *hoy*
Si te interesa, dime y ahorita mismo me encargo de mandarte la info</t>
  </si>
  <si>
    <t xml:space="preserve">3 Débito / Crédito</t>
  </si>
  <si>
    <t xml:space="preserve">Para poder pagar con tarjeta de débito o crédito es es este link que te compartire Inge:
https://buy.stripe.com/dRmbJ23cGcd81FdfnDbsd0y</t>
  </si>
  <si>
    <t xml:space="preserve">Hola Inge 🙌, solo paso a confirmar que recibiste los medios de pago
La idea es apoyarte en lo que necesites y que no se te quede pendiente tu lugar en el diplomado ✅
Estoy a tus órdenes para cualquier duda o detalle que quieras aclarar 😉</t>
  </si>
  <si>
    <t xml:space="preserve">¡Listo {{nombre}} ! 🎉 Ya quedó registrado tu pago y tu cuenta ya está creada en nuestra plataforma 🙌
Solo falta un paso y empiezas 🎓✨
Te acaba de llegar un correo:
📩 De: Academy SyS (contacto@dpsys.com.mx)
✉️ Asunto: "Gracias por tu compra — tu acceso ya está listo"
Qué hacer:
Abre ese correo 📬
Dale al botón "Crear mi contraseña"
Escribe la contraseña que tú quieras (mínimo 8 caracteres) 🔒
¡Listo! Ya puedes entrar a tus cursos 🚀</t>
  </si>
  <si>
    <t xml:space="preserve">2 s</t>
  </si>
  <si>
    <t xml:space="preserve">En ese mismo correo viene tu nota de pago y hasta qué fecha tienes acceso 📅
⚠️ Si no lo ves, revisa tu carpeta de spam o correo no deseado — a veces se va para allá. Si aun así no aparece, avísame por aquí y te lo reenvío 🤗
Para entrar después: academy.dpsys.com.mx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</si>
</sst>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"/>
    <numFmt numFmtId="168" formatCode="0.0%"/>
    <numFmt numFmtId="169" formatCode="\$#,##0"/>
    <numFmt numFmtId="170" formatCode="0"/>
    <numFmt numFmtId="171" formatCode="dd/mm/yyyy\ hh:m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7"/>
      <color rgb="FF330A28"/>
      <name val="Arial"/>
      <family val="0"/>
      <charset val="1"/>
    </font>
    <font>
      <i val="true"/>
      <sz val="9"/>
      <color rgb="FF6F6270"/>
      <name val="Arial"/>
      <family val="0"/>
      <charset val="1"/>
    </font>
    <font>
      <b val="true"/>
      <sz val="12"/>
      <color rgb="FF800E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A3540"/>
      <name val="Arial"/>
      <family val="0"/>
      <charset val="1"/>
    </font>
    <font>
      <b val="true"/>
      <sz val="10"/>
      <color rgb="FF330A28"/>
      <name val="Arial"/>
      <family val="0"/>
      <charset val="1"/>
    </font>
    <font>
      <sz val="9"/>
      <color rgb="FF6F6270"/>
      <name val="Arial"/>
      <family val="0"/>
      <charset val="1"/>
    </font>
    <font>
      <b val="true"/>
      <sz val="11"/>
      <color rgb="FF800E64"/>
      <name val="Arial"/>
      <family val="0"/>
      <charset val="1"/>
    </font>
    <font>
      <sz val="9"/>
      <color rgb="FF4A3540"/>
      <name val="Arial"/>
      <family val="0"/>
      <charset val="1"/>
    </font>
    <font>
      <i val="true"/>
      <sz val="8"/>
      <color rgb="FF6F6270"/>
      <name val="Arial"/>
      <family val="0"/>
      <charset val="1"/>
    </font>
    <font>
      <b val="true"/>
      <sz val="10"/>
      <color rgb="FF800E64"/>
      <name val="Arial"/>
      <family val="0"/>
      <charset val="1"/>
    </font>
    <font>
      <b val="true"/>
      <sz val="10"/>
      <color rgb="FF4A3540"/>
      <name val="Arial"/>
      <family val="0"/>
      <charset val="1"/>
    </font>
    <font>
      <sz val="10"/>
      <color rgb="FF6F627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00E64"/>
        <bgColor rgb="FF800080"/>
      </patternFill>
    </fill>
    <fill>
      <patternFill patternType="solid">
        <fgColor rgb="FFFFFFFF"/>
        <bgColor rgb="FFFBF8FA"/>
      </patternFill>
    </fill>
    <fill>
      <patternFill patternType="solid">
        <fgColor rgb="FFFBF8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00E64"/>
      </bottom>
      <diagonal/>
    </border>
    <border diagonalUp="false" diagonalDown="false">
      <left style="thin">
        <color rgb="FFE6DCE3"/>
      </left>
      <right style="thin">
        <color rgb="FFE6DCE3"/>
      </right>
      <top style="thin">
        <color rgb="FFE6DCE3"/>
      </top>
      <bottom style="thin">
        <color rgb="FFE6DCE3"/>
      </bottom>
      <diagonal/>
    </border>
    <border diagonalUp="false" diagonalDown="false">
      <left/>
      <right/>
      <top/>
      <bottom style="thin">
        <color rgb="FFE6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00E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A354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E64"/>
      <rgbColor rgb="FF008080"/>
      <rgbColor rgb="FFC0C0C0"/>
      <rgbColor rgb="FF878787"/>
      <rgbColor rgb="FF9999FF"/>
      <rgbColor rgb="FFC94F9B"/>
      <rgbColor rgb="FFFBF8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DCE3"/>
      <rgbColor rgb="FF3366FF"/>
      <rgbColor rgb="FF33CCCC"/>
      <rgbColor rgb="FF99CC00"/>
      <rgbColor rgb="FFFFCC00"/>
      <rgbColor rgb="FFFF9900"/>
      <rgbColor rgb="FFFF6600"/>
      <rgbColor rgb="FF6F6270"/>
      <rgbColor rgb="FFB98AAA"/>
      <rgbColor rgb="FF003366"/>
      <rgbColor rgb="FF339966"/>
      <rgbColor rgb="FF003300"/>
      <rgbColor rgb="FF330A28"/>
      <rgbColor rgb="FF993300"/>
      <rgbColor rgb="FF993366"/>
      <rgbColor rgb="FF333399"/>
      <rgbColor rgb="FF4A3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que llegaron a cada 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Embudo!$A$7:$A$12</c:f>
              <c:strCache>
                <c:ptCount val="6"/>
                <c:pt idx="0">
                  <c:v>Entraron a 1 Saludo</c:v>
                </c:pt>
                <c:pt idx="1">
                  <c:v>1.1 Informes</c:v>
                </c:pt>
                <c:pt idx="2">
                  <c:v>1.2 Lista de cursos</c:v>
                </c:pt>
                <c:pt idx="3">
                  <c:v>Facilidades de pago, 1.3 y 1.4</c:v>
                </c:pt>
                <c:pt idx="4">
                  <c:v>Forma o medio de pago, 2.x y 3.x</c:v>
                </c:pt>
                <c:pt idx="5">
                  <c:v>Compraron</c:v>
                </c:pt>
              </c:strCache>
            </c:strRef>
          </c:cat>
          <c:val>
            <c:numRef>
              <c:f>Embudo!$B$7:$B$12</c:f>
              <c:numCache>
                <c:formatCode>#,##0</c:formatCode>
                <c:ptCount val="6"/>
                <c:pt idx="0">
                  <c:v>407</c:v>
                </c:pt>
                <c:pt idx="1">
                  <c:v>405</c:v>
                </c:pt>
                <c:pt idx="2">
                  <c:v>405</c:v>
                </c:pt>
                <c:pt idx="3">
                  <c:v>139</c:v>
                </c:pt>
                <c:pt idx="4">
                  <c:v>30</c:v>
                </c:pt>
                <c:pt idx="5">
                  <c:v>10</c:v>
                </c:pt>
              </c:numCache>
            </c:numRef>
          </c:val>
        </c:ser>
        <c:gapWidth val="60"/>
        <c:overlap val="0"/>
        <c:axId val="2558712"/>
        <c:axId val="73780266"/>
      </c:barChart>
      <c:catAx>
        <c:axId val="25587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80266"/>
        <c:crosses val="autoZero"/>
        <c:auto val="1"/>
        <c:lblAlgn val="ctr"/>
        <c:lblOffset val="100"/>
        <c:noMultiLvlLbl val="0"/>
      </c:catAx>
      <c:valAx>
        <c:axId val="7378026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871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Dónde dejó de escribir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Embudo!$A$18:$A$25</c:f>
              <c:strCache>
                <c:ptCount val="8"/>
                <c:pt idx="0">
                  <c:v>Solo su primer mensaje</c:v>
                </c:pt>
                <c:pt idx="1">
                  <c:v>Saludo: contestó y no volvió</c:v>
                </c:pt>
                <c:pt idx="2">
                  <c:v>1.2 Lista de cursos</c:v>
                </c:pt>
                <c:pt idx="3">
                  <c:v>Negativo</c:v>
                </c:pt>
                <c:pt idx="4">
                  <c:v>Facilidades de pago</c:v>
                </c:pt>
                <c:pt idx="5">
                  <c:v>Forma o medio de pago</c:v>
                </c:pt>
                <c:pt idx="6">
                  <c:v>Ya marcado como Perdido</c:v>
                </c:pt>
                <c:pt idx="7">
                  <c:v>Compró</c:v>
                </c:pt>
              </c:strCache>
            </c:strRef>
          </c:cat>
          <c:val>
            <c:numRef>
              <c:f>Embudo!$B$18:$B$25</c:f>
              <c:numCache>
                <c:formatCode>#,##0</c:formatCode>
                <c:ptCount val="8"/>
                <c:pt idx="0">
                  <c:v>108</c:v>
                </c:pt>
                <c:pt idx="1">
                  <c:v>96</c:v>
                </c:pt>
                <c:pt idx="2">
                  <c:v>74</c:v>
                </c:pt>
                <c:pt idx="3">
                  <c:v>51</c:v>
                </c:pt>
                <c:pt idx="4">
                  <c:v>48</c:v>
                </c:pt>
                <c:pt idx="5">
                  <c:v>8</c:v>
                </c:pt>
                <c:pt idx="6">
                  <c:v>12</c:v>
                </c:pt>
                <c:pt idx="7">
                  <c:v>10</c:v>
                </c:pt>
              </c:numCache>
            </c:numRef>
          </c:val>
        </c:ser>
        <c:gapWidth val="60"/>
        <c:overlap val="0"/>
        <c:axId val="95002976"/>
        <c:axId val="77684413"/>
      </c:barChart>
      <c:catAx>
        <c:axId val="950029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84413"/>
        <c:crosses val="autoZero"/>
        <c:auto val="1"/>
        <c:lblAlgn val="ctr"/>
        <c:lblOffset val="100"/>
        <c:noMultiLvlLbl val="0"/>
      </c:catAx>
      <c:valAx>
        <c:axId val="7768441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0297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Conversión según el primer mensaje de una persona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Tiempos!$A$7:$A$13</c:f>
              <c:strCache>
                <c:ptCount val="7"/>
                <c:pt idx="0">
                  <c:v>5 min o menos</c:v>
                </c:pt>
                <c:pt idx="1">
                  <c:v>5 a 15 min</c:v>
                </c:pt>
                <c:pt idx="2">
                  <c:v>15 a 60 min</c:v>
                </c:pt>
                <c:pt idx="3">
                  <c:v>1 a 4 h</c:v>
                </c:pt>
                <c:pt idx="4">
                  <c:v>4 a 24 h</c:v>
                </c:pt>
                <c:pt idx="5">
                  <c:v>Más de 1 día</c:v>
                </c:pt>
                <c:pt idx="6">
                  <c:v>Nunca (solo el bot)</c:v>
                </c:pt>
              </c:strCache>
            </c:strRef>
          </c:cat>
          <c:val>
            <c:numRef>
              <c:f>Tiempos!$G$7:$G$13</c:f>
              <c:numCache>
                <c:formatCode>0.0%</c:formatCode>
                <c:ptCount val="7"/>
                <c:pt idx="0">
                  <c:v>0.1</c:v>
                </c:pt>
                <c:pt idx="1">
                  <c:v>0.0303030303030303</c:v>
                </c:pt>
                <c:pt idx="2">
                  <c:v>0.0408163265306122</c:v>
                </c:pt>
                <c:pt idx="3">
                  <c:v>0</c:v>
                </c:pt>
                <c:pt idx="4">
                  <c:v>0.0571428571428571</c:v>
                </c:pt>
                <c:pt idx="5">
                  <c:v>0.00680272108843537</c:v>
                </c:pt>
                <c:pt idx="6">
                  <c:v>0</c:v>
                </c:pt>
              </c:numCache>
            </c:numRef>
          </c:val>
        </c:ser>
        <c:gapWidth val="60"/>
        <c:overlap val="0"/>
        <c:axId val="76719801"/>
        <c:axId val="88420561"/>
      </c:barChart>
      <c:catAx>
        <c:axId val="767198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20561"/>
        <c:crosses val="autoZero"/>
        <c:auto val="1"/>
        <c:lblAlgn val="ctr"/>
        <c:lblOffset val="100"/>
        <c:noMultiLvlLbl val="0"/>
      </c:catAx>
      <c:valAx>
        <c:axId val="88420561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1980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según la hora en que entraron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Tiempos!$A$32:$A$55</c:f>
              <c:strCache>
                <c:ptCount val="24"/>
                <c:pt idx="0">
                  <c:v>00:00 a 00:59  (fuera de horario)</c:v>
                </c:pt>
                <c:pt idx="1">
                  <c:v>01:00 a 01:59  (fuera de horario)</c:v>
                </c:pt>
                <c:pt idx="2">
                  <c:v>02:00 a 02:59  (fuera de horario)</c:v>
                </c:pt>
                <c:pt idx="3">
                  <c:v>03:00 a 03:59  (fuera de horario)</c:v>
                </c:pt>
                <c:pt idx="4">
                  <c:v>04:00 a 04:59  (fuera de horario)</c:v>
                </c:pt>
                <c:pt idx="5">
                  <c:v>05:00 a 05:59  (fuera de horario)</c:v>
                </c:pt>
                <c:pt idx="6">
                  <c:v>06:00 a 06:59  (fuera de horario)</c:v>
                </c:pt>
                <c:pt idx="7">
                  <c:v>07:00 a 07:59  (fuera de horario)</c:v>
                </c:pt>
                <c:pt idx="8">
                  <c:v>08:00 a 08:59  (fuera de horario)</c:v>
                </c:pt>
                <c:pt idx="9">
                  <c:v>09:00 a 09:59</c:v>
                </c:pt>
                <c:pt idx="10">
                  <c:v>10:00 a 10:59</c:v>
                </c:pt>
                <c:pt idx="11">
                  <c:v>11:00 a 11:59</c:v>
                </c:pt>
                <c:pt idx="12">
                  <c:v>12:00 a 12:59</c:v>
                </c:pt>
                <c:pt idx="13">
                  <c:v>13:00 a 13:59</c:v>
                </c:pt>
                <c:pt idx="14">
                  <c:v>14:00 a 14:59</c:v>
                </c:pt>
                <c:pt idx="15">
                  <c:v>15:00 a 15:59</c:v>
                </c:pt>
                <c:pt idx="16">
                  <c:v>16:00 a 16:59</c:v>
                </c:pt>
                <c:pt idx="17">
                  <c:v>17:00 a 17:59</c:v>
                </c:pt>
                <c:pt idx="18">
                  <c:v>18:00 a 18:59</c:v>
                </c:pt>
                <c:pt idx="19">
                  <c:v>19:00 a 19:59</c:v>
                </c:pt>
                <c:pt idx="20">
                  <c:v>20:00 a 20:59</c:v>
                </c:pt>
                <c:pt idx="21">
                  <c:v>21:00 a 21:59  (fuera de horario)</c:v>
                </c:pt>
                <c:pt idx="22">
                  <c:v>22:00 a 22:59  (fuera de horario)</c:v>
                </c:pt>
                <c:pt idx="23">
                  <c:v>23:00 a 23:59  (fuera de horario)</c:v>
                </c:pt>
              </c:strCache>
            </c:strRef>
          </c:cat>
          <c:val>
            <c:numRef>
              <c:f>Tiempos!$B$32:$B$55</c:f>
              <c:numCache>
                <c:formatCode>#,##0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9</c:v>
                </c:pt>
                <c:pt idx="7">
                  <c:v>14</c:v>
                </c:pt>
                <c:pt idx="8">
                  <c:v>11</c:v>
                </c:pt>
                <c:pt idx="9">
                  <c:v>15</c:v>
                </c:pt>
                <c:pt idx="10">
                  <c:v>27</c:v>
                </c:pt>
                <c:pt idx="11">
                  <c:v>34</c:v>
                </c:pt>
                <c:pt idx="12">
                  <c:v>29</c:v>
                </c:pt>
                <c:pt idx="13">
                  <c:v>23</c:v>
                </c:pt>
                <c:pt idx="14">
                  <c:v>22</c:v>
                </c:pt>
                <c:pt idx="15">
                  <c:v>26</c:v>
                </c:pt>
                <c:pt idx="16">
                  <c:v>35</c:v>
                </c:pt>
                <c:pt idx="17">
                  <c:v>18</c:v>
                </c:pt>
                <c:pt idx="18">
                  <c:v>27</c:v>
                </c:pt>
                <c:pt idx="19">
                  <c:v>26</c:v>
                </c:pt>
                <c:pt idx="20">
                  <c:v>23</c:v>
                </c:pt>
                <c:pt idx="21">
                  <c:v>19</c:v>
                </c:pt>
                <c:pt idx="22">
                  <c:v>14</c:v>
                </c:pt>
                <c:pt idx="23">
                  <c:v>16</c:v>
                </c:pt>
              </c:numCache>
            </c:numRef>
          </c:val>
        </c:ser>
        <c:gapWidth val="60"/>
        <c:overlap val="0"/>
        <c:axId val="40778284"/>
        <c:axId val="68096436"/>
      </c:barChart>
      <c:catAx>
        <c:axId val="407782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96436"/>
        <c:crosses val="autoZero"/>
        <c:auto val="1"/>
        <c:lblAlgn val="ctr"/>
        <c:lblOffset val="100"/>
        <c:noMultiLvlLbl val="0"/>
      </c:catAx>
      <c:valAx>
        <c:axId val="6809643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7828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16</xdr:col>
      <xdr:colOff>4680</xdr:colOff>
      <xdr:row>16</xdr:row>
      <xdr:rowOff>231480</xdr:rowOff>
    </xdr:to>
    <xdr:graphicFrame>
      <xdr:nvGraphicFramePr>
        <xdr:cNvPr id="0" name="Chart 1"/>
        <xdr:cNvGraphicFramePr/>
      </xdr:nvGraphicFramePr>
      <xdr:xfrm>
        <a:off x="9586080" y="10857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16</xdr:col>
      <xdr:colOff>4680</xdr:colOff>
      <xdr:row>38</xdr:row>
      <xdr:rowOff>1080</xdr:rowOff>
    </xdr:to>
    <xdr:graphicFrame>
      <xdr:nvGraphicFramePr>
        <xdr:cNvPr id="1" name="Chart 2"/>
        <xdr:cNvGraphicFramePr/>
      </xdr:nvGraphicFramePr>
      <xdr:xfrm>
        <a:off x="9586080" y="48769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18</xdr:col>
      <xdr:colOff>4320</xdr:colOff>
      <xdr:row>17</xdr:row>
      <xdr:rowOff>41040</xdr:rowOff>
    </xdr:to>
    <xdr:graphicFrame>
      <xdr:nvGraphicFramePr>
        <xdr:cNvPr id="2" name="Chart 1"/>
        <xdr:cNvGraphicFramePr/>
      </xdr:nvGraphicFramePr>
      <xdr:xfrm>
        <a:off x="7682760" y="10857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19</xdr:col>
      <xdr:colOff>473040</xdr:colOff>
      <xdr:row>42</xdr:row>
      <xdr:rowOff>127080</xdr:rowOff>
    </xdr:to>
    <xdr:graphicFrame>
      <xdr:nvGraphicFramePr>
        <xdr:cNvPr id="3" name="Chart 2"/>
        <xdr:cNvGraphicFramePr/>
      </xdr:nvGraphicFramePr>
      <xdr:xfrm>
        <a:off x="7682760" y="64008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E64"/>
    <pageSetUpPr fitToPage="tru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78"/>
    <col collapsed="false" customWidth="true" hidden="false" outlineLevel="0" max="5" min="5" style="0" width="2"/>
  </cols>
  <sheetData>
    <row r="1" customFormat="false" ht="25.5" hidden="false" customHeight="true" outlineLevel="0" collapsed="false">
      <c r="A1" s="1"/>
      <c r="B1" s="2" t="s">
        <v>0</v>
      </c>
      <c r="C1" s="1"/>
      <c r="D1" s="1"/>
      <c r="E1" s="1"/>
    </row>
    <row r="2" customFormat="false" ht="30" hidden="false" customHeight="true" outlineLevel="0" collapsed="false">
      <c r="A2" s="3"/>
      <c r="B2" s="4" t="s">
        <v>1</v>
      </c>
      <c r="C2" s="3"/>
      <c r="D2" s="3"/>
      <c r="E2" s="3"/>
    </row>
    <row r="3" customFormat="false" ht="15" hidden="false" customHeight="false" outlineLevel="0" collapsed="false">
      <c r="A3" s="5"/>
      <c r="B3" s="6" t="s">
        <v>2</v>
      </c>
      <c r="C3" s="5"/>
      <c r="D3" s="5"/>
      <c r="E3" s="5"/>
    </row>
    <row r="5" customFormat="false" ht="21.75" hidden="false" customHeight="true" outlineLevel="0" collapsed="false">
      <c r="B5" s="7" t="s">
        <v>3</v>
      </c>
    </row>
    <row r="6" customFormat="false" ht="30" hidden="false" customHeight="true" outlineLevel="0" collapsed="false">
      <c r="B6" s="8" t="s">
        <v>4</v>
      </c>
      <c r="C6" s="9" t="s">
        <v>5</v>
      </c>
      <c r="D6" s="9" t="s">
        <v>6</v>
      </c>
    </row>
    <row r="7" customFormat="false" ht="15" hidden="false" customHeight="false" outlineLevel="0" collapsed="false">
      <c r="B7" s="10" t="s">
        <v>7</v>
      </c>
      <c r="C7" s="11" t="n">
        <f aca="false">COUNT(Datos!$B$2:$B$408)</f>
        <v>407</v>
      </c>
      <c r="D7" s="12" t="s">
        <v>8</v>
      </c>
    </row>
    <row r="8" customFormat="false" ht="15" hidden="false" customHeight="false" outlineLevel="0" collapsed="false">
      <c r="B8" s="13" t="s">
        <v>9</v>
      </c>
      <c r="C8" s="14" t="n">
        <f aca="false">IFERROR(COUNTIFS(Datos!$G$2:$G$408,"Sí")/COUNT(Datos!$B$2:$B$408),"—")</f>
        <v>0.628992628992629</v>
      </c>
      <c r="D8" s="15" t="s">
        <v>10</v>
      </c>
    </row>
    <row r="9" customFormat="false" ht="15" hidden="false" customHeight="false" outlineLevel="0" collapsed="false">
      <c r="B9" s="10" t="s">
        <v>11</v>
      </c>
      <c r="C9" s="16" t="n">
        <f aca="false">IFERROR((COUNTIFS(Datos!$AJ$2:$AJ$408,"Solo su primer mensaje")+COUNTIFS(Datos!$AJ$2:$AJ$408,"Saludo: contestó y no volvió"))/COUNT(Datos!$B$2:$B$408),"—")</f>
        <v>0.501228501228501</v>
      </c>
      <c r="D9" s="12" t="s">
        <v>12</v>
      </c>
    </row>
    <row r="10" customFormat="false" ht="15" hidden="false" customHeight="false" outlineLevel="0" collapsed="false">
      <c r="B10" s="13" t="s">
        <v>13</v>
      </c>
      <c r="C10" s="14" t="n">
        <f aca="false">IFERROR(COUNTIFS(Datos!$P$2:$P$408,"Sí")/COUNT(Datos!$B$2:$B$408),"—")</f>
        <v>0.341523341523342</v>
      </c>
      <c r="D10" s="15" t="s">
        <v>14</v>
      </c>
    </row>
    <row r="11" customFormat="false" ht="15" hidden="false" customHeight="false" outlineLevel="0" collapsed="false">
      <c r="B11" s="10" t="s">
        <v>15</v>
      </c>
      <c r="C11" s="16" t="n">
        <f aca="false">IFERROR(COUNTIFS(Datos!$Z$2:$Z$408,"Sí")/COUNT(Datos!$B$2:$B$408),"—")</f>
        <v>0.864864864864865</v>
      </c>
      <c r="D11" s="12" t="s">
        <v>16</v>
      </c>
    </row>
    <row r="12" customFormat="false" ht="15" hidden="false" customHeight="false" outlineLevel="0" collapsed="false">
      <c r="B12" s="13" t="s">
        <v>17</v>
      </c>
      <c r="C12" s="14" t="n">
        <f aca="false">IFERROR(COUNTIFS(Datos!$AB$2:$AB$408,"Bot")/COUNTIFS(Datos!$Z$2:$Z$408,"Sí"),"—")</f>
        <v>0.792613636363636</v>
      </c>
      <c r="D12" s="15" t="s">
        <v>18</v>
      </c>
    </row>
    <row r="13" customFormat="false" ht="15" hidden="false" customHeight="false" outlineLevel="0" collapsed="false">
      <c r="B13" s="10" t="s">
        <v>19</v>
      </c>
      <c r="C13" s="16" t="n">
        <f aca="false">IFERROR(COUNTIFS(Datos!$F$2:$F$408,"No")/COUNT(Datos!$B$2:$B$408),"—")</f>
        <v>0.250614250614251</v>
      </c>
      <c r="D13" s="12" t="s">
        <v>20</v>
      </c>
    </row>
    <row r="14" customFormat="false" ht="15" hidden="false" customHeight="false" outlineLevel="0" collapsed="false">
      <c r="B14" s="13" t="s">
        <v>21</v>
      </c>
      <c r="C14" s="17" t="n">
        <f aca="false">IFERROR(MEDIAN(Datos!$T$2:$T$408)/60,"—")</f>
        <v>7.49166666666667</v>
      </c>
      <c r="D14" s="15" t="s">
        <v>22</v>
      </c>
    </row>
    <row r="15" customFormat="false" ht="15" hidden="false" customHeight="false" outlineLevel="0" collapsed="false">
      <c r="B15" s="10" t="s">
        <v>23</v>
      </c>
      <c r="C15" s="16" t="n">
        <f aca="false">IFERROR(COUNTBLANK(Datos!$T$2:$T$408)/COUNT(Datos!$B$2:$B$408),"—")</f>
        <v>0.125307125307125</v>
      </c>
      <c r="D15" s="12" t="s">
        <v>24</v>
      </c>
    </row>
    <row r="16" customFormat="false" ht="15" hidden="false" customHeight="false" outlineLevel="0" collapsed="false">
      <c r="B16" s="13" t="s">
        <v>25</v>
      </c>
      <c r="C16" s="14" t="n">
        <f aca="false">IFERROR(COUNTIFS(Datos!$S$2:$S$408,"Sí")/COUNT(Datos!$B$2:$B$408),"—")</f>
        <v>0.513513513513514</v>
      </c>
      <c r="D16" s="15" t="s">
        <v>26</v>
      </c>
    </row>
    <row r="17" customFormat="false" ht="15" hidden="false" customHeight="false" outlineLevel="0" collapsed="false">
      <c r="B17" s="10" t="s">
        <v>27</v>
      </c>
      <c r="C17" s="11" t="n">
        <f aca="false">COUNTIFS(Datos!$AQ$2:$AQ$408,"Sí")</f>
        <v>10</v>
      </c>
      <c r="D17" s="12" t="s">
        <v>28</v>
      </c>
    </row>
    <row r="18" customFormat="false" ht="15" hidden="false" customHeight="false" outlineLevel="0" collapsed="false">
      <c r="B18" s="13" t="s">
        <v>29</v>
      </c>
      <c r="C18" s="18" t="n">
        <f aca="false">IFERROR(COUNTIFS(Datos!$AQ$2:$AQ$408,"Sí")/COUNT(Datos!$B$2:$B$408),"—")</f>
        <v>0.0245700245700246</v>
      </c>
      <c r="D18" s="15"/>
    </row>
    <row r="19" customFormat="false" ht="15" hidden="false" customHeight="false" outlineLevel="0" collapsed="false">
      <c r="B19" s="10" t="s">
        <v>30</v>
      </c>
      <c r="C19" s="11" t="n">
        <f aca="false">COUNTIFS(Datos!$AQ$2:$AQ$408,"Sí",Datos!$AR$2:$AR$408,"&gt;=3999")</f>
        <v>2</v>
      </c>
      <c r="D19" s="12" t="s">
        <v>31</v>
      </c>
    </row>
    <row r="20" customFormat="false" ht="15" hidden="false" customHeight="false" outlineLevel="0" collapsed="false">
      <c r="B20" s="13" t="s">
        <v>32</v>
      </c>
      <c r="C20" s="19" t="n">
        <f aca="false">IFERROR(AVERAGEIFS(Datos!$AR$2:$AR$408,Datos!$AQ$2:$AQ$408,"Sí"),"—")</f>
        <v>3239</v>
      </c>
      <c r="D20" s="15" t="s">
        <v>33</v>
      </c>
    </row>
    <row r="21" customFormat="false" ht="15" hidden="false" customHeight="false" outlineLevel="0" collapsed="false">
      <c r="B21" s="10" t="s">
        <v>34</v>
      </c>
      <c r="C21" s="11" t="n">
        <f aca="false">COUNTIFS(Datos!$AK$2:$AK$408,"Abierto")</f>
        <v>123</v>
      </c>
      <c r="D21" s="12" t="s">
        <v>35</v>
      </c>
    </row>
    <row r="23" customFormat="false" ht="21.75" hidden="false" customHeight="true" outlineLevel="0" collapsed="false">
      <c r="B23" s="7" t="s">
        <v>36</v>
      </c>
    </row>
    <row r="24" customFormat="false" ht="18" hidden="false" customHeight="true" outlineLevel="0" collapsed="false">
      <c r="B24" s="20" t="s">
        <v>37</v>
      </c>
      <c r="C24" s="20"/>
      <c r="D24" s="20"/>
    </row>
    <row r="25" customFormat="false" ht="18" hidden="false" customHeight="true" outlineLevel="0" collapsed="false">
      <c r="B25" s="20" t="s">
        <v>38</v>
      </c>
      <c r="C25" s="20"/>
      <c r="D25" s="20"/>
    </row>
    <row r="26" customFormat="false" ht="18" hidden="false" customHeight="true" outlineLevel="0" collapsed="false">
      <c r="B26" s="20" t="s">
        <v>39</v>
      </c>
      <c r="C26" s="20"/>
      <c r="D26" s="20"/>
    </row>
    <row r="27" customFormat="false" ht="18" hidden="false" customHeight="true" outlineLevel="0" collapsed="false">
      <c r="B27" s="20" t="s">
        <v>40</v>
      </c>
      <c r="C27" s="20"/>
      <c r="D27" s="20"/>
    </row>
    <row r="28" customFormat="false" ht="18" hidden="false" customHeight="true" outlineLevel="0" collapsed="false">
      <c r="B28" s="20" t="s">
        <v>41</v>
      </c>
      <c r="C28" s="20"/>
      <c r="D28" s="20"/>
    </row>
    <row r="29" customFormat="false" ht="18" hidden="false" customHeight="true" outlineLevel="0" collapsed="false">
      <c r="B29" s="20" t="s">
        <v>42</v>
      </c>
      <c r="C29" s="20"/>
      <c r="D29" s="20"/>
    </row>
    <row r="31" customFormat="false" ht="21.75" hidden="false" customHeight="true" outlineLevel="0" collapsed="false">
      <c r="B31" s="7" t="s">
        <v>43</v>
      </c>
    </row>
    <row r="32" customFormat="false" ht="30" hidden="false" customHeight="true" outlineLevel="0" collapsed="false">
      <c r="B32" s="8" t="s">
        <v>44</v>
      </c>
      <c r="C32" s="9" t="s">
        <v>45</v>
      </c>
      <c r="D32" s="9" t="s">
        <v>46</v>
      </c>
    </row>
    <row r="33" customFormat="false" ht="51.75" hidden="false" customHeight="true" outlineLevel="0" collapsed="false">
      <c r="B33" s="21" t="s">
        <v>47</v>
      </c>
      <c r="C33" s="22" t="n">
        <f aca="false">IFERROR((COUNTIFS(Datos!$AJ$2:$AJ$408,"Solo su primer mensaje")+COUNTIFS(Datos!$AJ$2:$AJ$408,"Saludo: contestó y no volvió"))/COUNT(Datos!$B$2:$B$408),"—")</f>
        <v>0.501228501228501</v>
      </c>
      <c r="D33" s="23" t="s">
        <v>48</v>
      </c>
    </row>
    <row r="34" customFormat="false" ht="51.75" hidden="false" customHeight="true" outlineLevel="0" collapsed="false">
      <c r="B34" s="24" t="s">
        <v>49</v>
      </c>
      <c r="C34" s="25" t="n">
        <f aca="false">COUNTIFS(Datos!$J$2:$J$408,"&gt;60")</f>
        <v>29</v>
      </c>
      <c r="D34" s="26" t="s">
        <v>50</v>
      </c>
    </row>
    <row r="35" customFormat="false" ht="51.75" hidden="false" customHeight="true" outlineLevel="0" collapsed="false">
      <c r="B35" s="21" t="s">
        <v>51</v>
      </c>
      <c r="C35" s="27" t="n">
        <f aca="false">IFERROR(MEDIAN(Datos!$T$2:$T$408)/60,"—")</f>
        <v>7.49166666666667</v>
      </c>
      <c r="D35" s="23" t="s">
        <v>52</v>
      </c>
    </row>
    <row r="36" customFormat="false" ht="51.75" hidden="false" customHeight="true" outlineLevel="0" collapsed="false">
      <c r="B36" s="24" t="s">
        <v>53</v>
      </c>
      <c r="C36" s="28" t="n">
        <f aca="false">IFERROR(COUNTIFS(Datos!$AQ$2:$AQ$408,"Sí",Datos!$AR$2:$AR$408,"&lt;3999")/COUNTIFS(Datos!$AQ$2:$AQ$408,"Sí"),"—")</f>
        <v>0.8</v>
      </c>
      <c r="D36" s="26" t="s">
        <v>54</v>
      </c>
    </row>
    <row r="37" customFormat="false" ht="51.75" hidden="false" customHeight="true" outlineLevel="0" collapsed="false">
      <c r="B37" s="21" t="s">
        <v>55</v>
      </c>
      <c r="C37" s="29" t="n">
        <f aca="false">IFERROR(COUNTIFS(Datos!$P$2:$P$408,"Sí",Datos!$AQ$2:$AQ$408,"Sí")/COUNTIFS(Datos!$P$2:$P$408,"Sí"),"—")</f>
        <v>0.0719424460431655</v>
      </c>
      <c r="D37" s="23" t="s">
        <v>56</v>
      </c>
    </row>
    <row r="38" customFormat="false" ht="51.75" hidden="false" customHeight="true" outlineLevel="0" collapsed="false">
      <c r="B38" s="24" t="s">
        <v>57</v>
      </c>
      <c r="C38" s="28" t="n">
        <f aca="false">IFERROR(COUNTIFS(Datos!$L$2:$L$408,"Sí",Datos!$M$2:$M$408,"Sí")/COUNTIFS(Datos!$L$2:$L$408,"Sí"),"—")</f>
        <v>0.390123456790123</v>
      </c>
      <c r="D38" s="26" t="s">
        <v>58</v>
      </c>
    </row>
    <row r="39" customFormat="false" ht="51.75" hidden="false" customHeight="true" outlineLevel="0" collapsed="false">
      <c r="B39" s="21" t="s">
        <v>59</v>
      </c>
      <c r="C39" s="29" t="n">
        <f aca="false">IFERROR(COUNTIFS(Datos!$AG$2:$AG$408,"Sí",Datos!$AQ$2:$AQ$408,"Sí")/COUNTIFS(Datos!$AG$2:$AG$408,"Sí"),"—")</f>
        <v>0.0666666666666667</v>
      </c>
      <c r="D39" s="23" t="s">
        <v>60</v>
      </c>
    </row>
    <row r="40" customFormat="false" ht="51.75" hidden="false" customHeight="true" outlineLevel="0" collapsed="false">
      <c r="B40" s="24" t="s">
        <v>61</v>
      </c>
      <c r="C40" s="28" t="n">
        <f aca="false">IFERROR(COUNTIFS(Datos!$AM$2:$AM$408,"No contestaron")/COUNTIFS(Datos!$AK$2:$AK$408,"Perdido"),"—")</f>
        <v>0.934306569343066</v>
      </c>
      <c r="D40" s="26" t="s">
        <v>62</v>
      </c>
    </row>
    <row r="41" customFormat="false" ht="51.75" hidden="false" customHeight="true" outlineLevel="0" collapsed="false">
      <c r="B41" s="21" t="s">
        <v>63</v>
      </c>
      <c r="C41" s="22" t="n">
        <f aca="false">IFERROR(COUNTIFS(Datos!$R$2:$R$408,"Salma")/COUNT(Datos!$B$2:$B$408),"—")</f>
        <v>0.683046683046683</v>
      </c>
      <c r="D41" s="23" t="s">
        <v>64</v>
      </c>
    </row>
    <row r="42" customFormat="false" ht="51.75" hidden="false" customHeight="true" outlineLevel="0" collapsed="false">
      <c r="B42" s="24" t="s">
        <v>65</v>
      </c>
      <c r="C42" s="28" t="n">
        <f aca="false">IFERROR(COUNTIFS(Respuestas!$E$2:$E$1034,"No",Respuestas!$H$2:$H$1034,"&lt;=15")/COUNTIFS(Respuestas!$E$2:$E$1034,"No"),"—")</f>
        <v>0.607655502392344</v>
      </c>
      <c r="D42" s="26" t="s">
        <v>66</v>
      </c>
    </row>
    <row r="44" customFormat="false" ht="15" hidden="false" customHeight="false" outlineLevel="0" collapsed="false">
      <c r="B44" s="30" t="s">
        <v>67</v>
      </c>
    </row>
    <row r="45" customFormat="false" ht="15" hidden="false" customHeight="false" outlineLevel="0" collapsed="false">
      <c r="B45" s="30" t="s">
        <v>68</v>
      </c>
    </row>
  </sheetData>
  <mergeCells count="6">
    <mergeCell ref="B24:D24"/>
    <mergeCell ref="B25:D25"/>
    <mergeCell ref="B26:D26"/>
    <mergeCell ref="B27:D27"/>
    <mergeCell ref="B28:D28"/>
    <mergeCell ref="B29:D29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E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</row>
    <row r="2" customFormat="false" ht="30" hidden="false" customHeight="true" outlineLevel="0" collapsed="false">
      <c r="A2" s="4" t="s">
        <v>69</v>
      </c>
      <c r="B2" s="3"/>
      <c r="C2" s="3"/>
      <c r="D2" s="3"/>
      <c r="E2" s="3"/>
    </row>
    <row r="3" customFormat="false" ht="15" hidden="false" customHeight="false" outlineLevel="0" collapsed="false">
      <c r="A3" s="6" t="s">
        <v>70</v>
      </c>
      <c r="B3" s="5"/>
      <c r="C3" s="5"/>
      <c r="D3" s="5"/>
      <c r="E3" s="5"/>
    </row>
    <row r="5" customFormat="false" ht="30" hidden="false" customHeight="true" outlineLevel="0" collapsed="false">
      <c r="A5" s="8" t="s">
        <v>71</v>
      </c>
      <c r="B5" s="9" t="s">
        <v>72</v>
      </c>
      <c r="C5" s="9" t="s">
        <v>73</v>
      </c>
      <c r="D5" s="9" t="s">
        <v>74</v>
      </c>
      <c r="E5" s="9" t="s">
        <v>75</v>
      </c>
    </row>
    <row r="6" customFormat="false" ht="15" hidden="false" customHeight="false" outlineLevel="0" collapsed="false">
      <c r="B6" s="31" t="s">
        <v>76</v>
      </c>
      <c r="C6" s="31" t="s">
        <v>77</v>
      </c>
      <c r="D6" s="31"/>
    </row>
    <row r="8" customFormat="false" ht="15" hidden="false" customHeight="false" outlineLevel="0" collapsed="false">
      <c r="A8" s="32" t="s">
        <v>78</v>
      </c>
      <c r="B8" s="33"/>
      <c r="C8" s="33"/>
      <c r="D8" s="33"/>
      <c r="E8" s="33"/>
    </row>
    <row r="9" customFormat="false" ht="15" hidden="false" customHeight="false" outlineLevel="0" collapsed="false">
      <c r="A9" s="10" t="s">
        <v>79</v>
      </c>
      <c r="B9" s="34" t="n">
        <f aca="false">COUNTIFS(Datos!$D$2:$D$408,B$5)</f>
        <v>253</v>
      </c>
      <c r="C9" s="34" t="n">
        <f aca="false">COUNTIFS(Datos!$D$2:$D$408,C$5)</f>
        <v>154</v>
      </c>
      <c r="D9" s="35" t="n">
        <f aca="false">COUNT(Datos!$B$2:$B$408)</f>
        <v>407</v>
      </c>
      <c r="E9" s="12" t="s">
        <v>80</v>
      </c>
    </row>
    <row r="10" customFormat="false" ht="15" hidden="false" customHeight="false" outlineLevel="0" collapsed="false">
      <c r="A10" s="13" t="s">
        <v>81</v>
      </c>
      <c r="B10" s="36" t="n">
        <f aca="false">IFERROR(COUNTIFS(Datos!$D$2:$D$408,B$5,Datos!$F$2:$F$408,"No")/COUNTIFS(Datos!$D$2:$D$408,B$5),"—")</f>
        <v>0.24901185770751</v>
      </c>
      <c r="C10" s="36" t="n">
        <f aca="false">IFERROR(COUNTIFS(Datos!$D$2:$D$408,C$5,Datos!$F$2:$F$408,"No")/COUNTIFS(Datos!$D$2:$D$408,C$5),"—")</f>
        <v>0.253246753246753</v>
      </c>
      <c r="D10" s="37" t="n">
        <f aca="false">IFERROR(COUNTIFS(Datos!$F$2:$F$408,"No")/COUNT(Datos!$B$2:$B$408),"—")</f>
        <v>0.250614250614251</v>
      </c>
      <c r="E10" s="15" t="s">
        <v>82</v>
      </c>
    </row>
    <row r="12" customFormat="false" ht="15" hidden="false" customHeight="false" outlineLevel="0" collapsed="false">
      <c r="A12" s="32" t="s">
        <v>83</v>
      </c>
      <c r="B12" s="33"/>
      <c r="C12" s="33"/>
      <c r="D12" s="33"/>
      <c r="E12" s="33"/>
    </row>
    <row r="13" customFormat="false" ht="15" hidden="false" customHeight="false" outlineLevel="0" collapsed="false">
      <c r="A13" s="10" t="s">
        <v>84</v>
      </c>
      <c r="B13" s="38" t="n">
        <f aca="false">IFERROR(COUNTIFS(Datos!$D$2:$D$408,B$5,Datos!$G$2:$G$408,"Sí")/COUNTIFS(Datos!$D$2:$D$408,B$5),"—")</f>
        <v>0.620553359683794</v>
      </c>
      <c r="C13" s="38" t="n">
        <f aca="false">IFERROR(COUNTIFS(Datos!$D$2:$D$408,C$5,Datos!$G$2:$G$408,"Sí")/COUNTIFS(Datos!$D$2:$D$408,C$5),"—")</f>
        <v>0.642857142857143</v>
      </c>
      <c r="D13" s="39" t="n">
        <f aca="false">IFERROR(COUNTIFS(Datos!$G$2:$G$408,"Sí")/COUNT(Datos!$B$2:$B$408),"—")</f>
        <v>0.628992628992629</v>
      </c>
      <c r="E13" s="12" t="s">
        <v>85</v>
      </c>
    </row>
    <row r="14" customFormat="false" ht="15" hidden="false" customHeight="false" outlineLevel="0" collapsed="false">
      <c r="A14" s="13" t="s">
        <v>86</v>
      </c>
      <c r="B14" s="36" t="n">
        <f aca="false">IFERROR(COUNTIFS(Datos!$D$2:$D$408,B$5,Datos!$H$2:$H$408,"Sí")/COUNTIFS(Datos!$D$2:$D$408,B$5),"—")</f>
        <v>0.604743083003953</v>
      </c>
      <c r="C14" s="36" t="n">
        <f aca="false">IFERROR(COUNTIFS(Datos!$D$2:$D$408,C$5,Datos!$H$2:$H$408,"Sí")/COUNTIFS(Datos!$D$2:$D$408,C$5),"—")</f>
        <v>0.623376623376623</v>
      </c>
      <c r="D14" s="37" t="n">
        <f aca="false">IFERROR(COUNTIFS(Datos!$H$2:$H$408,"Sí")/COUNT(Datos!$B$2:$B$408),"—")</f>
        <v>0.611793611793612</v>
      </c>
      <c r="E14" s="15" t="s">
        <v>87</v>
      </c>
    </row>
    <row r="15" customFormat="false" ht="22.35" hidden="false" customHeight="false" outlineLevel="0" collapsed="false">
      <c r="A15" s="10" t="s">
        <v>88</v>
      </c>
      <c r="B15" s="40" t="n">
        <f aca="false" t="array" ref="B15:B15">IFERROR(MEDIAN(IF((Datos!$D$2:$D$408=B$5)*(Datos!$F$2:$F$408="Sí")*(Datos!$J$2:$J$408&lt;&gt;""),Datos!$J$2:$J$408)),"—")</f>
        <v>0.5</v>
      </c>
      <c r="C15" s="40" t="n">
        <f aca="false" t="array" ref="C15:C15">IFERROR(MEDIAN(IF((Datos!$D$2:$D$408=C$5)*(Datos!$F$2:$F$408="Sí")*(Datos!$J$2:$J$408&lt;&gt;""),Datos!$J$2:$J$408)),"—")</f>
        <v>0.4</v>
      </c>
      <c r="D15" s="41" t="n">
        <f aca="false" t="array" ref="D15:D15">IFERROR(MEDIAN(IF((Datos!$F$2:$F$408="Sí")*(Datos!$J$2:$J$408&lt;&gt;""),Datos!$J$2:$J$408)),"—")</f>
        <v>0.5</v>
      </c>
      <c r="E15" s="12" t="s">
        <v>89</v>
      </c>
    </row>
    <row r="16" customFormat="false" ht="15" hidden="false" customHeight="false" outlineLevel="0" collapsed="false">
      <c r="A16" s="13" t="s">
        <v>90</v>
      </c>
      <c r="B16" s="42" t="n">
        <f aca="false" t="array" ref="B16:B16">IFERROR(MEDIAN(IF((Datos!$D$2:$D$408=B$5)*(Datos!$F$2:$F$408="No")*(Datos!$J$2:$J$408&lt;&gt;""),Datos!$J$2:$J$408)),"—")</f>
        <v>25.5</v>
      </c>
      <c r="C16" s="42" t="n">
        <f aca="false" t="array" ref="C16:C16">IFERROR(MEDIAN(IF((Datos!$D$2:$D$408=C$5)*(Datos!$F$2:$F$408="No")*(Datos!$J$2:$J$408&lt;&gt;""),Datos!$J$2:$J$408)),"—")</f>
        <v>12.9</v>
      </c>
      <c r="D16" s="43" t="n">
        <f aca="false" t="array" ref="D16:D16">IFERROR(MEDIAN(IF((Datos!$F$2:$F$408="No")*(Datos!$J$2:$J$408&lt;&gt;""),Datos!$J$2:$J$408)),"—")</f>
        <v>18.4</v>
      </c>
      <c r="E16" s="15"/>
    </row>
    <row r="17" customFormat="false" ht="15" hidden="false" customHeight="false" outlineLevel="0" collapsed="false">
      <c r="A17" s="10" t="s">
        <v>91</v>
      </c>
      <c r="B17" s="40" t="n">
        <f aca="false">IFERROR(AVERAGEIFS(Datos!$J$2:$J$408,Datos!$D$2:$D$408,B$5,Datos!$F$2:$F$408,"Sí"),"—")</f>
        <v>1.66810344827586</v>
      </c>
      <c r="C17" s="40" t="n">
        <f aca="false">IFERROR(AVERAGEIFS(Datos!$J$2:$J$408,Datos!$D$2:$D$408,C$5,Datos!$F$2:$F$408,"Sí"),"—")</f>
        <v>1.26197183098592</v>
      </c>
      <c r="D17" s="41" t="n">
        <f aca="false">IFERROR(AVERAGEIFS(Datos!$J$2:$J$408,Datos!$F$2:$F$408,"Sí"),"—")</f>
        <v>1.51390374331551</v>
      </c>
      <c r="E17" s="12"/>
    </row>
    <row r="18" customFormat="false" ht="15" hidden="false" customHeight="false" outlineLevel="0" collapsed="false">
      <c r="A18" s="13" t="s">
        <v>92</v>
      </c>
      <c r="B18" s="42" t="n">
        <f aca="false">IFERROR(AVERAGEIFS(Datos!$J$2:$J$408,Datos!$D$2:$D$408,B$5,Datos!$F$2:$F$408,"No"),"—")</f>
        <v>170.717073170732</v>
      </c>
      <c r="C18" s="42" t="n">
        <f aca="false">IFERROR(AVERAGEIFS(Datos!$J$2:$J$408,Datos!$D$2:$D$408,C$5,Datos!$F$2:$F$408,"No"),"—")</f>
        <v>144.796296296296</v>
      </c>
      <c r="D18" s="43" t="n">
        <f aca="false">IFERROR(AVERAGEIFS(Datos!$J$2:$J$408,Datos!$F$2:$F$408,"No"),"—")</f>
        <v>160.425</v>
      </c>
      <c r="E18" s="15" t="s">
        <v>93</v>
      </c>
    </row>
    <row r="19" customFormat="false" ht="15" hidden="false" customHeight="false" outlineLevel="0" collapsed="false">
      <c r="A19" s="10" t="s">
        <v>94</v>
      </c>
      <c r="B19" s="34" t="n">
        <f aca="false">COUNTIFS(Datos!$D$2:$D$408,B$5,Datos!$J$2:$J$408,"&gt;60")</f>
        <v>19</v>
      </c>
      <c r="C19" s="34" t="n">
        <f aca="false">COUNTIFS(Datos!$D$2:$D$408,C$5,Datos!$J$2:$J$408,"&gt;60")</f>
        <v>10</v>
      </c>
      <c r="D19" s="35" t="n">
        <f aca="false">COUNTIFS(Datos!$J$2:$J$408,"&gt;60")</f>
        <v>29</v>
      </c>
      <c r="E19" s="12" t="s">
        <v>95</v>
      </c>
    </row>
    <row r="21" customFormat="false" ht="15" hidden="false" customHeight="false" outlineLevel="0" collapsed="false">
      <c r="A21" s="32" t="s">
        <v>96</v>
      </c>
      <c r="B21" s="33"/>
      <c r="C21" s="33"/>
      <c r="D21" s="33"/>
      <c r="E21" s="33"/>
    </row>
    <row r="22" customFormat="false" ht="15" hidden="false" customHeight="false" outlineLevel="0" collapsed="false">
      <c r="A22" s="10" t="s">
        <v>97</v>
      </c>
      <c r="B22" s="38" t="n">
        <f aca="false">IFERROR(COUNTIFS(Datos!$D$2:$D$408,B$5,Datos!$I$2:$I$408,"Sí",Datos!$L$2:$L$408,"Sí")/COUNTIFS(Datos!$D$2:$D$408,B$5,Datos!$I$2:$I$408,"Sí"),"—")</f>
        <v>1</v>
      </c>
      <c r="C22" s="38" t="n">
        <f aca="false">IFERROR(COUNTIFS(Datos!$D$2:$D$408,C$5,Datos!$I$2:$I$408,"Sí",Datos!$L$2:$L$408,"Sí")/COUNTIFS(Datos!$D$2:$D$408,C$5,Datos!$I$2:$I$408,"Sí"),"—")</f>
        <v>1</v>
      </c>
      <c r="D22" s="39" t="n">
        <f aca="false">IFERROR(COUNTIFS(Datos!$I$2:$I$408,"Sí",Datos!$L$2:$L$408,"Sí")/COUNTIFS(Datos!$I$2:$I$408,"Sí"),"—")</f>
        <v>1</v>
      </c>
      <c r="E22" s="12" t="s">
        <v>98</v>
      </c>
    </row>
    <row r="23" customFormat="false" ht="15" hidden="false" customHeight="false" outlineLevel="0" collapsed="false">
      <c r="A23" s="13" t="s">
        <v>99</v>
      </c>
      <c r="B23" s="36" t="n">
        <f aca="false">IFERROR(COUNTIFS(Datos!$D$2:$D$408,B$5,Datos!$L$2:$L$408,"Sí",Datos!$M$2:$M$408,"Sí")/COUNTIFS(Datos!$D$2:$D$408,B$5,Datos!$L$2:$L$408,"Sí"),"—")</f>
        <v>0.400793650793651</v>
      </c>
      <c r="C23" s="36" t="n">
        <f aca="false">IFERROR(COUNTIFS(Datos!$D$2:$D$408,C$5,Datos!$L$2:$L$408,"Sí",Datos!$M$2:$M$408,"Sí")/COUNTIFS(Datos!$D$2:$D$408,C$5,Datos!$L$2:$L$408,"Sí"),"—")</f>
        <v>0.372549019607843</v>
      </c>
      <c r="D23" s="37" t="n">
        <f aca="false">IFERROR(COUNTIFS(Datos!$L$2:$L$408,"Sí",Datos!$M$2:$M$408,"Sí")/COUNTIFS(Datos!$L$2:$L$408,"Sí"),"—")</f>
        <v>0.390123456790123</v>
      </c>
      <c r="E23" s="15" t="s">
        <v>100</v>
      </c>
    </row>
    <row r="24" customFormat="false" ht="15" hidden="false" customHeight="false" outlineLevel="0" collapsed="false">
      <c r="A24" s="10" t="s">
        <v>101</v>
      </c>
      <c r="B24" s="38" t="n">
        <f aca="false">IFERROR(COUNTIFS(Datos!$D$2:$D$408,B$5,Datos!$O$2:$O$408,"Sí")/COUNTIFS(Datos!$D$2:$D$408,B$5),"—")</f>
        <v>0.91699604743083</v>
      </c>
      <c r="C24" s="38" t="n">
        <f aca="false">IFERROR(COUNTIFS(Datos!$D$2:$D$408,C$5,Datos!$O$2:$O$408,"Sí")/COUNTIFS(Datos!$D$2:$D$408,C$5),"—")</f>
        <v>0.88961038961039</v>
      </c>
      <c r="D24" s="39" t="n">
        <f aca="false">IFERROR(COUNTIFS(Datos!$O$2:$O$408,"Sí")/COUNT(Datos!$B$2:$B$408),"—")</f>
        <v>0.906633906633907</v>
      </c>
      <c r="E24" s="12" t="s">
        <v>102</v>
      </c>
    </row>
    <row r="25" customFormat="false" ht="15" hidden="false" customHeight="false" outlineLevel="0" collapsed="false">
      <c r="A25" s="13" t="s">
        <v>103</v>
      </c>
      <c r="B25" s="36" t="n">
        <f aca="false">IFERROR(COUNTIFS(Datos!$D$2:$D$408,B$5,Datos!$P$2:$P$408,"Sí")/COUNTIFS(Datos!$D$2:$D$408,B$5),"—")</f>
        <v>0.339920948616601</v>
      </c>
      <c r="C25" s="36" t="n">
        <f aca="false">IFERROR(COUNTIFS(Datos!$D$2:$D$408,C$5,Datos!$P$2:$P$408,"Sí")/COUNTIFS(Datos!$D$2:$D$408,C$5),"—")</f>
        <v>0.344155844155844</v>
      </c>
      <c r="D25" s="37" t="n">
        <f aca="false">IFERROR(COUNTIFS(Datos!$P$2:$P$408,"Sí")/COUNT(Datos!$B$2:$B$408),"—")</f>
        <v>0.341523341523342</v>
      </c>
      <c r="E25" s="15" t="s">
        <v>104</v>
      </c>
    </row>
    <row r="26" customFormat="false" ht="15" hidden="false" customHeight="false" outlineLevel="0" collapsed="false">
      <c r="A26" s="10" t="s">
        <v>105</v>
      </c>
      <c r="B26" s="38" t="n">
        <f aca="false">IFERROR(COUNTIFS(Datos!$D$2:$D$408,B$5,Datos!$Q$2:$Q$408,"Sí")/COUNTIFS(Datos!$D$2:$D$408,B$5),"—")</f>
        <v>0.0711462450592885</v>
      </c>
      <c r="C26" s="38" t="n">
        <f aca="false">IFERROR(COUNTIFS(Datos!$D$2:$D$408,C$5,Datos!$Q$2:$Q$408,"Sí")/COUNTIFS(Datos!$D$2:$D$408,C$5),"—")</f>
        <v>0.0779220779220779</v>
      </c>
      <c r="D26" s="39" t="n">
        <f aca="false">IFERROR(COUNTIFS(Datos!$Q$2:$Q$408,"Sí")/COUNT(Datos!$B$2:$B$408),"—")</f>
        <v>0.0737100737100737</v>
      </c>
      <c r="E26" s="12" t="s">
        <v>106</v>
      </c>
    </row>
    <row r="28" customFormat="false" ht="15" hidden="false" customHeight="false" outlineLevel="0" collapsed="false">
      <c r="A28" s="32" t="s">
        <v>107</v>
      </c>
      <c r="B28" s="33"/>
      <c r="C28" s="33"/>
      <c r="D28" s="33"/>
      <c r="E28" s="33"/>
    </row>
    <row r="29" customFormat="false" ht="15" hidden="false" customHeight="false" outlineLevel="0" collapsed="false">
      <c r="A29" s="10" t="s">
        <v>108</v>
      </c>
      <c r="B29" s="40" t="n">
        <f aca="false" t="array" ref="B29:B29">IFERROR(MEDIAN(IF((Datos!$D$2:$D$408=B$5)*(Datos!$V$2:$V$408&lt;&gt;""),Datos!$V$2:$V$408)),"—")</f>
        <v>6.9</v>
      </c>
      <c r="C29" s="40" t="n">
        <f aca="false" t="array" ref="C29:C29">IFERROR(MEDIAN(IF((Datos!$D$2:$D$408=C$5)*(Datos!$V$2:$V$408&lt;&gt;""),Datos!$V$2:$V$408)),"—")</f>
        <v>3.5</v>
      </c>
      <c r="D29" s="41" t="n">
        <f aca="false">IFERROR(MEDIAN(Datos!$V$2:$V$408),"—")</f>
        <v>5.3</v>
      </c>
      <c r="E29" s="12" t="s">
        <v>109</v>
      </c>
    </row>
    <row r="30" customFormat="false" ht="15" hidden="false" customHeight="false" outlineLevel="0" collapsed="false">
      <c r="A30" s="13" t="s">
        <v>110</v>
      </c>
      <c r="B30" s="42" t="n">
        <f aca="false" t="array" ref="B30:B30">IFERROR(MEDIAN(IF((Datos!$D$2:$D$408=B$5)*(Datos!$T$2:$T$408&lt;&gt;""),Datos!$T$2:$T$408))/60,"—")</f>
        <v>12.7666666666667</v>
      </c>
      <c r="C30" s="42" t="n">
        <f aca="false" t="array" ref="C30:C30">IFERROR(MEDIAN(IF((Datos!$D$2:$D$408=C$5)*(Datos!$T$2:$T$408&lt;&gt;""),Datos!$T$2:$T$408))/60,"—")</f>
        <v>1.05833333333333</v>
      </c>
      <c r="D30" s="43" t="n">
        <f aca="false">IFERROR(MEDIAN(Datos!$T$2:$T$408)/60,"—")</f>
        <v>7.49166666666667</v>
      </c>
      <c r="E30" s="15" t="s">
        <v>111</v>
      </c>
    </row>
    <row r="31" customFormat="false" ht="15" hidden="false" customHeight="false" outlineLevel="0" collapsed="false">
      <c r="A31" s="10" t="s">
        <v>112</v>
      </c>
      <c r="B31" s="38" t="n">
        <f aca="false">IFERROR(COUNTIFS(Datos!$D$2:$D$408,B$5,Datos!$T$2:$T$408,"")/COUNTIFS(Datos!$D$2:$D$408,B$5),"—")</f>
        <v>0.0158102766798419</v>
      </c>
      <c r="C31" s="38" t="n">
        <f aca="false">IFERROR(COUNTIFS(Datos!$D$2:$D$408,C$5,Datos!$T$2:$T$408,"")/COUNTIFS(Datos!$D$2:$D$408,C$5),"—")</f>
        <v>0.305194805194805</v>
      </c>
      <c r="D31" s="39" t="n">
        <f aca="false">IFERROR(COUNTBLANK(Datos!$T$2:$T$408)/COUNT(Datos!$B$2:$B$408),"—")</f>
        <v>0.125307125307125</v>
      </c>
      <c r="E31" s="12" t="s">
        <v>113</v>
      </c>
    </row>
    <row r="32" customFormat="false" ht="15" hidden="false" customHeight="false" outlineLevel="0" collapsed="false">
      <c r="A32" s="13" t="s">
        <v>114</v>
      </c>
      <c r="B32" s="42" t="n">
        <f aca="false" t="array" ref="B32:B32">IFERROR(MEDIAN(IF((Datos!$D$2:$D$408=B$5)*(Datos!$W$2:$W$408&lt;&gt;""),Datos!$W$2:$W$408)),"—")</f>
        <v>5.9</v>
      </c>
      <c r="C32" s="42" t="n">
        <f aca="false" t="array" ref="C32:C32">IFERROR(MEDIAN(IF((Datos!$D$2:$D$408=C$5)*(Datos!$W$2:$W$408&lt;&gt;""),Datos!$W$2:$W$408)),"—")</f>
        <v>3.95</v>
      </c>
      <c r="D32" s="43" t="n">
        <f aca="false">IFERROR(MEDIAN(Datos!$W$2:$W$408),"—")</f>
        <v>5.2</v>
      </c>
      <c r="E32" s="15" t="s">
        <v>115</v>
      </c>
    </row>
    <row r="33" customFormat="false" ht="15" hidden="false" customHeight="false" outlineLevel="0" collapsed="false">
      <c r="A33" s="10" t="s">
        <v>116</v>
      </c>
      <c r="B33" s="38" t="n">
        <f aca="false">IFERROR(COUNTIFS(Datos!$D$2:$D$408,B$5,Datos!$Y$2:$Y$408,"Sí")/COUNTIFS(Datos!$D$2:$D$408,B$5),"—")</f>
        <v>0.387351778656126</v>
      </c>
      <c r="C33" s="38" t="n">
        <f aca="false">IFERROR(COUNTIFS(Datos!$D$2:$D$408,C$5,Datos!$Y$2:$Y$408,"Sí")/COUNTIFS(Datos!$D$2:$D$408,C$5),"—")</f>
        <v>0.376623376623377</v>
      </c>
      <c r="D33" s="39" t="n">
        <f aca="false">IFERROR(COUNTIFS(Datos!$Y$2:$Y$408,"Sí")/COUNT(Datos!$B$2:$B$408),"—")</f>
        <v>0.383292383292383</v>
      </c>
      <c r="E33" s="12" t="s">
        <v>117</v>
      </c>
    </row>
    <row r="34" customFormat="false" ht="15" hidden="false" customHeight="false" outlineLevel="0" collapsed="false">
      <c r="A34" s="13" t="s">
        <v>118</v>
      </c>
      <c r="B34" s="36" t="n">
        <f aca="false">IFERROR(COUNTIFS(Datos!$D$2:$D$408,B$5,Datos!$S$2:$S$408,"Sí")/COUNTIFS(Datos!$D$2:$D$408,B$5),"—")</f>
        <v>0.549407114624506</v>
      </c>
      <c r="C34" s="36" t="n">
        <f aca="false">IFERROR(COUNTIFS(Datos!$D$2:$D$408,C$5,Datos!$S$2:$S$408,"Sí")/COUNTIFS(Datos!$D$2:$D$408,C$5),"—")</f>
        <v>0.454545454545455</v>
      </c>
      <c r="D34" s="37" t="n">
        <f aca="false">IFERROR(COUNTIFS(Datos!$S$2:$S$408,"Sí")/COUNT(Datos!$B$2:$B$408),"—")</f>
        <v>0.513513513513514</v>
      </c>
      <c r="E34" s="15" t="s">
        <v>119</v>
      </c>
    </row>
    <row r="36" customFormat="false" ht="15" hidden="false" customHeight="false" outlineLevel="0" collapsed="false">
      <c r="A36" s="32" t="s">
        <v>120</v>
      </c>
      <c r="B36" s="33"/>
      <c r="C36" s="33"/>
      <c r="D36" s="33"/>
      <c r="E36" s="33"/>
    </row>
    <row r="37" customFormat="false" ht="15" hidden="false" customHeight="false" outlineLevel="0" collapsed="false">
      <c r="A37" s="10" t="s">
        <v>121</v>
      </c>
      <c r="B37" s="38" t="n">
        <f aca="false">IFERROR(COUNTIFS(Datos!$D$2:$D$408,B$5,Datos!$Z$2:$Z$408,"Sí")/COUNTIFS(Datos!$D$2:$D$408,B$5),"—")</f>
        <v>0.972332015810277</v>
      </c>
      <c r="C37" s="38" t="n">
        <f aca="false">IFERROR(COUNTIFS(Datos!$D$2:$D$408,C$5,Datos!$Z$2:$Z$408,"Sí")/COUNTIFS(Datos!$D$2:$D$408,C$5),"—")</f>
        <v>0.688311688311688</v>
      </c>
      <c r="D37" s="39" t="n">
        <f aca="false">IFERROR(COUNTIFS(Datos!$Z$2:$Z$408,"Sí")/COUNT(Datos!$B$2:$B$408),"—")</f>
        <v>0.864864864864865</v>
      </c>
      <c r="E37" s="12" t="s">
        <v>122</v>
      </c>
    </row>
    <row r="38" customFormat="false" ht="15" hidden="false" customHeight="false" outlineLevel="0" collapsed="false">
      <c r="A38" s="13" t="s">
        <v>123</v>
      </c>
      <c r="B38" s="36" t="n">
        <f aca="false">IFERROR(COUNTIFS(Datos!$D$2:$D$408,B$5,Datos!$AA$2:$AA$408,"*3,799*")/COUNTIFS(Datos!$D$2:$D$408,B$5),"—")</f>
        <v>0.952569169960474</v>
      </c>
      <c r="C38" s="36" t="n">
        <f aca="false">IFERROR(COUNTIFS(Datos!$D$2:$D$408,C$5,Datos!$AA$2:$AA$408,"*3,799*")/COUNTIFS(Datos!$D$2:$D$408,C$5),"—")</f>
        <v>0.681818181818182</v>
      </c>
      <c r="D38" s="37" t="n">
        <f aca="false">IFERROR(COUNTIFS(Datos!$AA$2:$AA$408,"*3,799*")/COUNT(Datos!$B$2:$B$408),"—")</f>
        <v>0.85012285012285</v>
      </c>
      <c r="E38" s="15"/>
    </row>
    <row r="39" customFormat="false" ht="15" hidden="false" customHeight="false" outlineLevel="0" collapsed="false">
      <c r="A39" s="10" t="s">
        <v>124</v>
      </c>
      <c r="B39" s="38" t="n">
        <f aca="false">IFERROR(COUNTIFS(Datos!$D$2:$D$408,B$5,Datos!$AA$2:$AA$408,"*2,799*")/COUNTIFS(Datos!$D$2:$D$408,B$5),"—")</f>
        <v>0.968379446640316</v>
      </c>
      <c r="C39" s="38" t="n">
        <f aca="false">IFERROR(COUNTIFS(Datos!$D$2:$D$408,C$5,Datos!$AA$2:$AA$408,"*2,799*")/COUNTIFS(Datos!$D$2:$D$408,C$5),"—")</f>
        <v>0.396103896103896</v>
      </c>
      <c r="D39" s="39" t="n">
        <f aca="false">IFERROR(COUNTIFS(Datos!$AA$2:$AA$408,"*2,799*")/COUNT(Datos!$B$2:$B$408),"—")</f>
        <v>0.751842751842752</v>
      </c>
      <c r="E39" s="12"/>
    </row>
    <row r="40" customFormat="false" ht="15" hidden="false" customHeight="false" outlineLevel="0" collapsed="false">
      <c r="A40" s="13" t="s">
        <v>125</v>
      </c>
      <c r="B40" s="36" t="n">
        <f aca="false">IFERROR(COUNTIFS(Datos!$D$2:$D$408,B$5,Datos!$AA$2:$AA$408,"*1,950*")/COUNTIFS(Datos!$D$2:$D$408,B$5),"—")</f>
        <v>0</v>
      </c>
      <c r="C40" s="36" t="n">
        <f aca="false">IFERROR(COUNTIFS(Datos!$D$2:$D$408,C$5,Datos!$AA$2:$AA$408,"*1,950*")/COUNTIFS(Datos!$D$2:$D$408,C$5),"—")</f>
        <v>0</v>
      </c>
      <c r="D40" s="37" t="n">
        <f aca="false">IFERROR(COUNTIFS(Datos!$AA$2:$AA$408,"*1,950*")/COUNT(Datos!$B$2:$B$408),"—")</f>
        <v>0</v>
      </c>
      <c r="E40" s="15"/>
    </row>
    <row r="41" customFormat="false" ht="15" hidden="false" customHeight="false" outlineLevel="0" collapsed="false">
      <c r="A41" s="10" t="s">
        <v>126</v>
      </c>
      <c r="B41" s="38" t="n">
        <f aca="false">IFERROR(COUNTIFS(Datos!$D$2:$D$408,B$5,Datos!$Z$2:$Z$408,"Sí",Datos!$AB$2:$AB$408,"Bot")/COUNTIFS(Datos!$D$2:$D$408,B$5,Datos!$Z$2:$Z$408,"Sí"),"—")</f>
        <v>0.829268292682927</v>
      </c>
      <c r="C41" s="38" t="n">
        <f aca="false">IFERROR(COUNTIFS(Datos!$D$2:$D$408,C$5,Datos!$Z$2:$Z$408,"Sí",Datos!$AB$2:$AB$408,"Bot")/COUNTIFS(Datos!$D$2:$D$408,C$5,Datos!$Z$2:$Z$408,"Sí"),"—")</f>
        <v>0.707547169811321</v>
      </c>
      <c r="D41" s="39" t="n">
        <f aca="false">IFERROR(COUNTIFS(Datos!$Z$2:$Z$408,"Sí",Datos!$AB$2:$AB$408,"Bot")/COUNTIFS(Datos!$Z$2:$Z$408,"Sí"),"—")</f>
        <v>0.792613636363636</v>
      </c>
      <c r="E41" s="12" t="s">
        <v>127</v>
      </c>
    </row>
    <row r="42" customFormat="false" ht="15" hidden="false" customHeight="false" outlineLevel="0" collapsed="false">
      <c r="A42" s="13" t="s">
        <v>128</v>
      </c>
      <c r="B42" s="42" t="n">
        <f aca="false" t="array" ref="B42:B42">IFERROR(MEDIAN(IF((Datos!$D$2:$D$408=B$5)*(Datos!$AC$2:$AC$408&lt;&gt;""),Datos!$AC$2:$AC$408)),"—")</f>
        <v>37.2</v>
      </c>
      <c r="C42" s="42" t="n">
        <f aca="false" t="array" ref="C42:C42">IFERROR(MEDIAN(IF((Datos!$D$2:$D$408=C$5)*(Datos!$AC$2:$AC$408&lt;&gt;""),Datos!$AC$2:$AC$408)),"—")</f>
        <v>28.55</v>
      </c>
      <c r="D42" s="43" t="n">
        <f aca="false">IFERROR(MEDIAN(Datos!$AC$2:$AC$408),"—")</f>
        <v>31.6</v>
      </c>
      <c r="E42" s="15" t="s">
        <v>129</v>
      </c>
    </row>
    <row r="44" customFormat="false" ht="15" hidden="false" customHeight="false" outlineLevel="0" collapsed="false">
      <c r="A44" s="32" t="s">
        <v>130</v>
      </c>
      <c r="B44" s="33"/>
      <c r="C44" s="33"/>
      <c r="D44" s="33"/>
      <c r="E44" s="33"/>
    </row>
    <row r="45" customFormat="false" ht="15" hidden="false" customHeight="false" outlineLevel="0" collapsed="false">
      <c r="A45" s="10" t="s">
        <v>131</v>
      </c>
      <c r="B45" s="38" t="n">
        <f aca="false">IFERROR(COUNTIFS(Datos!$D$2:$D$408,B$5,Datos!$AG$2:$AG$408,"Sí")/COUNTIFS(Datos!$D$2:$D$408,B$5),"—")</f>
        <v>0.272727272727273</v>
      </c>
      <c r="C45" s="38" t="n">
        <f aca="false">IFERROR(COUNTIFS(Datos!$D$2:$D$408,C$5,Datos!$AG$2:$AG$408,"Sí")/COUNTIFS(Datos!$D$2:$D$408,C$5),"—")</f>
        <v>0.233766233766234</v>
      </c>
      <c r="D45" s="39" t="n">
        <f aca="false">IFERROR(COUNTIFS(Datos!$AG$2:$AG$408,"Sí")/COUNT(Datos!$B$2:$B$408),"—")</f>
        <v>0.257985257985258</v>
      </c>
      <c r="E45" s="12" t="s">
        <v>132</v>
      </c>
    </row>
    <row r="46" customFormat="false" ht="15" hidden="false" customHeight="false" outlineLevel="0" collapsed="false">
      <c r="A46" s="13" t="s">
        <v>133</v>
      </c>
      <c r="B46" s="42" t="n">
        <f aca="false">IFERROR(AVERAGEIFS(Datos!$AD$2:$AD$408,Datos!$D$2:$D$408,B$5),"—")</f>
        <v>4.47826086956522</v>
      </c>
      <c r="C46" s="42" t="n">
        <f aca="false">IFERROR(AVERAGEIFS(Datos!$AD$2:$AD$408,Datos!$D$2:$D$408,C$5),"—")</f>
        <v>3.81818181818182</v>
      </c>
      <c r="D46" s="43" t="n">
        <f aca="false">IFERROR(AVERAGE(Datos!$AD$2:$AD$408),"—")</f>
        <v>4.22850122850123</v>
      </c>
      <c r="E46" s="15"/>
    </row>
    <row r="47" customFormat="false" ht="15" hidden="false" customHeight="false" outlineLevel="0" collapsed="false">
      <c r="A47" s="10" t="s">
        <v>134</v>
      </c>
      <c r="B47" s="40" t="n">
        <f aca="false">IFERROR(AVERAGEIFS(Datos!$AE$2:$AE$408,Datos!$D$2:$D$408,B$5),"—")</f>
        <v>19.1264822134387</v>
      </c>
      <c r="C47" s="40" t="n">
        <f aca="false">IFERROR(AVERAGEIFS(Datos!$AE$2:$AE$408,Datos!$D$2:$D$408,C$5),"—")</f>
        <v>16.1298701298701</v>
      </c>
      <c r="D47" s="41" t="n">
        <f aca="false">IFERROR(AVERAGE(Datos!$AE$2:$AE$408),"—")</f>
        <v>17.992628992629</v>
      </c>
      <c r="E47" s="12"/>
    </row>
    <row r="48" customFormat="false" ht="15" hidden="false" customHeight="false" outlineLevel="0" collapsed="false">
      <c r="A48" s="13" t="s">
        <v>135</v>
      </c>
      <c r="B48" s="42" t="n">
        <f aca="false">IFERROR(AVERAGEIFS(Datos!$AF$2:$AF$408,Datos!$D$2:$D$408,B$5),"—")</f>
        <v>6.07905138339921</v>
      </c>
      <c r="C48" s="42" t="n">
        <f aca="false">IFERROR(AVERAGEIFS(Datos!$AF$2:$AF$408,Datos!$D$2:$D$408,C$5),"—")</f>
        <v>4.65584415584416</v>
      </c>
      <c r="D48" s="43" t="n">
        <f aca="false">IFERROR(AVERAGE(Datos!$AF$2:$AF$408),"—")</f>
        <v>5.54054054054054</v>
      </c>
      <c r="E48" s="15"/>
    </row>
    <row r="50" customFormat="false" ht="15" hidden="false" customHeight="false" outlineLevel="0" collapsed="false">
      <c r="A50" s="32" t="s">
        <v>136</v>
      </c>
      <c r="B50" s="33"/>
      <c r="C50" s="33"/>
      <c r="D50" s="33"/>
      <c r="E50" s="33"/>
    </row>
    <row r="51" customFormat="false" ht="15" hidden="false" customHeight="false" outlineLevel="0" collapsed="false">
      <c r="A51" s="10" t="s">
        <v>27</v>
      </c>
      <c r="B51" s="34" t="n">
        <f aca="false">COUNTIFS(Datos!$D$2:$D$408,B$5,Datos!$AQ$2:$AQ$408,"Sí")</f>
        <v>7</v>
      </c>
      <c r="C51" s="34" t="n">
        <f aca="false">COUNTIFS(Datos!$D$2:$D$408,C$5,Datos!$AQ$2:$AQ$408,"Sí")</f>
        <v>3</v>
      </c>
      <c r="D51" s="35" t="n">
        <f aca="false">COUNTIFS(Datos!$AQ$2:$AQ$408,"Sí")</f>
        <v>10</v>
      </c>
      <c r="E51" s="12" t="s">
        <v>137</v>
      </c>
    </row>
    <row r="52" customFormat="false" ht="15" hidden="false" customHeight="false" outlineLevel="0" collapsed="false">
      <c r="A52" s="13" t="s">
        <v>29</v>
      </c>
      <c r="B52" s="36" t="n">
        <f aca="false">IFERROR(COUNTIFS(Datos!$D$2:$D$408,B$5,Datos!$AQ$2:$AQ$408,"Sí")/COUNTIFS(Datos!$D$2:$D$408,B$5),"—")</f>
        <v>0.0276679841897233</v>
      </c>
      <c r="C52" s="36" t="n">
        <f aca="false">IFERROR(COUNTIFS(Datos!$D$2:$D$408,C$5,Datos!$AQ$2:$AQ$408,"Sí")/COUNTIFS(Datos!$D$2:$D$408,C$5),"—")</f>
        <v>0.0194805194805195</v>
      </c>
      <c r="D52" s="37" t="n">
        <f aca="false">IFERROR(COUNTIFS(Datos!$AQ$2:$AQ$408,"Sí")/COUNT(Datos!$B$2:$B$408),"—")</f>
        <v>0.0245700245700246</v>
      </c>
      <c r="E52" s="15"/>
    </row>
    <row r="53" customFormat="false" ht="15" hidden="false" customHeight="false" outlineLevel="0" collapsed="false">
      <c r="A53" s="10" t="s">
        <v>138</v>
      </c>
      <c r="B53" s="34" t="n">
        <f aca="false">COUNTIFS(Datos!$D$2:$D$408,B$5,Datos!$AQ$2:$AQ$408,"Sí",Datos!$AR$2:$AR$408,"&gt;=3999")</f>
        <v>1</v>
      </c>
      <c r="C53" s="34" t="n">
        <f aca="false">COUNTIFS(Datos!$D$2:$D$408,C$5,Datos!$AQ$2:$AQ$408,"Sí",Datos!$AR$2:$AR$408,"&gt;=3999")</f>
        <v>1</v>
      </c>
      <c r="D53" s="35" t="n">
        <f aca="false">COUNTIFS(Datos!$AQ$2:$AQ$408,"Sí",Datos!$AR$2:$AR$408,"&gt;=3999")</f>
        <v>2</v>
      </c>
      <c r="E53" s="12" t="s">
        <v>139</v>
      </c>
    </row>
    <row r="54" customFormat="false" ht="15" hidden="false" customHeight="false" outlineLevel="0" collapsed="false">
      <c r="A54" s="13" t="s">
        <v>140</v>
      </c>
      <c r="B54" s="44" t="n">
        <f aca="false">COUNTIFS(Datos!$D$2:$D$408,B$5,Datos!$AQ$2:$AQ$408,"Sí",Datos!$AR$2:$AR$408,"&lt;3999")</f>
        <v>6</v>
      </c>
      <c r="C54" s="44" t="n">
        <f aca="false">COUNTIFS(Datos!$D$2:$D$408,C$5,Datos!$AQ$2:$AQ$408,"Sí",Datos!$AR$2:$AR$408,"&lt;3999")</f>
        <v>2</v>
      </c>
      <c r="D54" s="45" t="n">
        <f aca="false">COUNTIFS(Datos!$AQ$2:$AQ$408,"Sí",Datos!$AR$2:$AR$408,"&lt;3999")</f>
        <v>8</v>
      </c>
      <c r="E54" s="15"/>
    </row>
    <row r="55" customFormat="false" ht="15" hidden="false" customHeight="false" outlineLevel="0" collapsed="false">
      <c r="A55" s="10" t="s">
        <v>32</v>
      </c>
      <c r="B55" s="46" t="n">
        <f aca="false">IFERROR(AVERAGEIFS(Datos!$AR$2:$AR$408,Datos!$D$2:$D$408,B$5,Datos!$AQ$2:$AQ$408,"Sí"),"—")</f>
        <v>3113.28571428571</v>
      </c>
      <c r="C55" s="46" t="n">
        <f aca="false">IFERROR(AVERAGEIFS(Datos!$AR$2:$AR$408,Datos!$D$2:$D$408,C$5,Datos!$AQ$2:$AQ$408,"Sí"),"—")</f>
        <v>3532.33333333333</v>
      </c>
      <c r="D55" s="47" t="n">
        <f aca="false">IFERROR(AVERAGEIFS(Datos!$AR$2:$AR$408,Datos!$AQ$2:$AQ$408,"Sí"),"—")</f>
        <v>3239</v>
      </c>
      <c r="E55" s="12" t="s">
        <v>141</v>
      </c>
    </row>
    <row r="56" customFormat="false" ht="15" hidden="false" customHeight="false" outlineLevel="0" collapsed="false">
      <c r="A56" s="13" t="s">
        <v>142</v>
      </c>
      <c r="B56" s="48" t="n">
        <f aca="false">SUMIFS(Datos!$AR$2:$AR$408,Datos!$D$2:$D$408,B$5,Datos!$AQ$2:$AQ$408,"Sí")</f>
        <v>21793</v>
      </c>
      <c r="C56" s="48" t="n">
        <f aca="false">SUMIFS(Datos!$AR$2:$AR$408,Datos!$D$2:$D$408,C$5,Datos!$AQ$2:$AQ$408,"Sí")</f>
        <v>10597</v>
      </c>
      <c r="D56" s="49" t="n">
        <f aca="false">SUMIFS(Datos!$AR$2:$AR$408,Datos!$AQ$2:$AQ$408,"Sí")</f>
        <v>32390</v>
      </c>
      <c r="E56" s="15" t="s">
        <v>143</v>
      </c>
    </row>
    <row r="57" customFormat="false" ht="15" hidden="false" customHeight="false" outlineLevel="0" collapsed="false">
      <c r="A57" s="10" t="s">
        <v>144</v>
      </c>
      <c r="B57" s="40" t="n">
        <f aca="false" t="array" ref="B57:B57">IFERROR(MEDIAN(IF((Datos!$D$2:$D$408=B$5)*(Datos!$AT$2:$AT$408&lt;&gt;""),Datos!$AT$2:$AT$408)),"—")</f>
        <v>54.2</v>
      </c>
      <c r="C57" s="40" t="n">
        <f aca="false" t="array" ref="C57:C57">IFERROR(MEDIAN(IF((Datos!$D$2:$D$408=C$5)*(Datos!$AT$2:$AT$408&lt;&gt;""),Datos!$AT$2:$AT$408)),"—")</f>
        <v>53.4</v>
      </c>
      <c r="D57" s="41" t="n">
        <f aca="false">IFERROR(MEDIAN(Datos!$AT$2:$AT$408),"—")</f>
        <v>53.8</v>
      </c>
      <c r="E57" s="12" t="s">
        <v>145</v>
      </c>
    </row>
    <row r="59" customFormat="false" ht="15" hidden="false" customHeight="false" outlineLevel="0" collapsed="false">
      <c r="A59" s="32" t="s">
        <v>146</v>
      </c>
      <c r="B59" s="33"/>
      <c r="C59" s="33"/>
      <c r="D59" s="33"/>
      <c r="E59" s="33"/>
    </row>
    <row r="60" customFormat="false" ht="15" hidden="false" customHeight="false" outlineLevel="0" collapsed="false">
      <c r="A60" s="10" t="s">
        <v>147</v>
      </c>
      <c r="B60" s="38" t="n">
        <f aca="false">IFERROR(COUNTIFS(Datos!$D$2:$D$408,B$5,Datos!$AJ$2:$AJ$408,"Solo su primer mensaje")/COUNTIFS(Datos!$D$2:$D$408,B$5),"—")</f>
        <v>0.25296442687747</v>
      </c>
      <c r="C60" s="38" t="n">
        <f aca="false">IFERROR(COUNTIFS(Datos!$D$2:$D$408,C$5,Datos!$AJ$2:$AJ$408,"Solo su primer mensaje")/COUNTIFS(Datos!$D$2:$D$408,C$5),"—")</f>
        <v>0.285714285714286</v>
      </c>
      <c r="D60" s="39" t="n">
        <f aca="false">IFERROR(COUNTIFS(Datos!$AJ$2:$AJ$408,"Solo su primer mensaje")/COUNT(Datos!$B$2:$B$408),"—")</f>
        <v>0.265356265356265</v>
      </c>
      <c r="E60" s="12"/>
    </row>
    <row r="61" customFormat="false" ht="15" hidden="false" customHeight="false" outlineLevel="0" collapsed="false">
      <c r="A61" s="13" t="s">
        <v>148</v>
      </c>
      <c r="B61" s="36" t="n">
        <f aca="false">IFERROR(COUNTIFS(Datos!$D$2:$D$408,B$5,Datos!$AJ$2:$AJ$408,"Saludo: contestó y no volvió")/COUNTIFS(Datos!$D$2:$D$408,B$5),"—")</f>
        <v>0.209486166007905</v>
      </c>
      <c r="C61" s="36" t="n">
        <f aca="false">IFERROR(COUNTIFS(Datos!$D$2:$D$408,C$5,Datos!$AJ$2:$AJ$408,"Saludo: contestó y no volvió")/COUNTIFS(Datos!$D$2:$D$408,C$5),"—")</f>
        <v>0.279220779220779</v>
      </c>
      <c r="D61" s="37" t="n">
        <f aca="false">IFERROR(COUNTIFS(Datos!$AJ$2:$AJ$408,"Saludo: contestó y no volvió")/COUNT(Datos!$B$2:$B$408),"—")</f>
        <v>0.235872235872236</v>
      </c>
      <c r="E61" s="15"/>
    </row>
    <row r="62" customFormat="false" ht="15" hidden="false" customHeight="false" outlineLevel="0" collapsed="false">
      <c r="A62" s="10" t="s">
        <v>149</v>
      </c>
      <c r="B62" s="38" t="n">
        <f aca="false">IFERROR(COUNTIFS(Datos!$D$2:$D$408,B$5,Datos!$AJ$2:$AJ$408,"1.2 Lista de cursos")/COUNTIFS(Datos!$D$2:$D$408,B$5),"—")</f>
        <v>0.197628458498024</v>
      </c>
      <c r="C62" s="38" t="n">
        <f aca="false">IFERROR(COUNTIFS(Datos!$D$2:$D$408,C$5,Datos!$AJ$2:$AJ$408,"1.2 Lista de cursos")/COUNTIFS(Datos!$D$2:$D$408,C$5),"—")</f>
        <v>0.155844155844156</v>
      </c>
      <c r="D62" s="39" t="n">
        <f aca="false">IFERROR(COUNTIFS(Datos!$AJ$2:$AJ$408,"1.2 Lista de cursos")/COUNT(Datos!$B$2:$B$408),"—")</f>
        <v>0.181818181818182</v>
      </c>
      <c r="E62" s="12"/>
    </row>
    <row r="63" customFormat="false" ht="15" hidden="false" customHeight="false" outlineLevel="0" collapsed="false">
      <c r="A63" s="13" t="s">
        <v>150</v>
      </c>
      <c r="B63" s="36" t="n">
        <f aca="false">IFERROR(COUNTIFS(Datos!$D$2:$D$408,B$5,Datos!$AJ$2:$AJ$408,"Negativo")/COUNTIFS(Datos!$D$2:$D$408,B$5),"—")</f>
        <v>0.134387351778656</v>
      </c>
      <c r="C63" s="36" t="n">
        <f aca="false">IFERROR(COUNTIFS(Datos!$D$2:$D$408,C$5,Datos!$AJ$2:$AJ$408,"Negativo")/COUNTIFS(Datos!$D$2:$D$408,C$5),"—")</f>
        <v>0.11038961038961</v>
      </c>
      <c r="D63" s="37" t="n">
        <f aca="false">IFERROR(COUNTIFS(Datos!$AJ$2:$AJ$408,"Negativo")/COUNT(Datos!$B$2:$B$408),"—")</f>
        <v>0.125307125307125</v>
      </c>
      <c r="E63" s="15"/>
    </row>
    <row r="64" customFormat="false" ht="15" hidden="false" customHeight="false" outlineLevel="0" collapsed="false">
      <c r="A64" s="10" t="s">
        <v>151</v>
      </c>
      <c r="B64" s="38" t="n">
        <f aca="false">IFERROR(COUNTIFS(Datos!$D$2:$D$408,B$5,Datos!$AJ$2:$AJ$408,"Facilidades de pago")/COUNTIFS(Datos!$D$2:$D$408,B$5),"—")</f>
        <v>0.118577075098814</v>
      </c>
      <c r="C64" s="38" t="n">
        <f aca="false">IFERROR(COUNTIFS(Datos!$D$2:$D$408,C$5,Datos!$AJ$2:$AJ$408,"Facilidades de pago")/COUNTIFS(Datos!$D$2:$D$408,C$5),"—")</f>
        <v>0.116883116883117</v>
      </c>
      <c r="D64" s="39" t="n">
        <f aca="false">IFERROR(COUNTIFS(Datos!$AJ$2:$AJ$408,"Facilidades de pago")/COUNT(Datos!$B$2:$B$408),"—")</f>
        <v>0.117936117936118</v>
      </c>
      <c r="E64" s="12"/>
    </row>
    <row r="65" customFormat="false" ht="15" hidden="false" customHeight="false" outlineLevel="0" collapsed="false">
      <c r="A65" s="13" t="s">
        <v>152</v>
      </c>
      <c r="B65" s="36" t="n">
        <f aca="false">IFERROR(COUNTIFS(Datos!$D$2:$D$408,B$5,Datos!$AJ$2:$AJ$408,"Forma o medio de pago")/COUNTIFS(Datos!$D$2:$D$408,B$5),"—")</f>
        <v>0.0158102766798419</v>
      </c>
      <c r="C65" s="36" t="n">
        <f aca="false">IFERROR(COUNTIFS(Datos!$D$2:$D$408,C$5,Datos!$AJ$2:$AJ$408,"Forma o medio de pago")/COUNTIFS(Datos!$D$2:$D$408,C$5),"—")</f>
        <v>0.025974025974026</v>
      </c>
      <c r="D65" s="37" t="n">
        <f aca="false">IFERROR(COUNTIFS(Datos!$AJ$2:$AJ$408,"Forma o medio de pago")/COUNT(Datos!$B$2:$B$408),"—")</f>
        <v>0.0196560196560197</v>
      </c>
      <c r="E65" s="15"/>
    </row>
    <row r="66" customFormat="false" ht="15" hidden="false" customHeight="false" outlineLevel="0" collapsed="false">
      <c r="A66" s="10" t="s">
        <v>153</v>
      </c>
      <c r="B66" s="38" t="n">
        <f aca="false">IFERROR(COUNTIFS(Datos!$D$2:$D$408,B$5,Datos!$AJ$2:$AJ$408,"Ya marcado como Perdido")/COUNTIFS(Datos!$D$2:$D$408,B$5),"—")</f>
        <v>0.0434782608695652</v>
      </c>
      <c r="C66" s="38" t="n">
        <f aca="false">IFERROR(COUNTIFS(Datos!$D$2:$D$408,C$5,Datos!$AJ$2:$AJ$408,"Ya marcado como Perdido")/COUNTIFS(Datos!$D$2:$D$408,C$5),"—")</f>
        <v>0.00649350649350649</v>
      </c>
      <c r="D66" s="39" t="n">
        <f aca="false">IFERROR(COUNTIFS(Datos!$AJ$2:$AJ$408,"Ya marcado como Perdido")/COUNT(Datos!$B$2:$B$408),"—")</f>
        <v>0.0294840294840295</v>
      </c>
      <c r="E66" s="12"/>
    </row>
    <row r="67" customFormat="false" ht="15" hidden="false" customHeight="false" outlineLevel="0" collapsed="false">
      <c r="A67" s="13" t="s">
        <v>154</v>
      </c>
      <c r="B67" s="36" t="n">
        <f aca="false">IFERROR(COUNTIFS(Datos!$D$2:$D$408,B$5,Datos!$AJ$2:$AJ$408,"Compró")/COUNTIFS(Datos!$D$2:$D$408,B$5),"—")</f>
        <v>0.0276679841897233</v>
      </c>
      <c r="C67" s="36" t="n">
        <f aca="false">IFERROR(COUNTIFS(Datos!$D$2:$D$408,C$5,Datos!$AJ$2:$AJ$408,"Compró")/COUNTIFS(Datos!$D$2:$D$408,C$5),"—")</f>
        <v>0.0194805194805195</v>
      </c>
      <c r="D67" s="37" t="n">
        <f aca="false">IFERROR(COUNTIFS(Datos!$AJ$2:$AJ$408,"Compró")/COUNT(Datos!$B$2:$B$408),"—")</f>
        <v>0.0245700245700246</v>
      </c>
      <c r="E67" s="15"/>
    </row>
    <row r="69" customFormat="false" ht="15" hidden="false" customHeight="false" outlineLevel="0" collapsed="false">
      <c r="A69" s="32" t="s">
        <v>155</v>
      </c>
      <c r="B69" s="33"/>
      <c r="C69" s="33"/>
      <c r="D69" s="33"/>
      <c r="E69" s="33"/>
    </row>
    <row r="70" customFormat="false" ht="15" hidden="false" customHeight="false" outlineLevel="0" collapsed="false">
      <c r="A70" s="10" t="s">
        <v>156</v>
      </c>
      <c r="B70" s="34" t="n">
        <f aca="false">COUNTIFS(Datos!$D$2:$D$408,B$5,Datos!$AK$2:$AK$408,"Abierto")</f>
        <v>7</v>
      </c>
      <c r="C70" s="34" t="n">
        <f aca="false">COUNTIFS(Datos!$D$2:$D$408,C$5,Datos!$AK$2:$AK$408,"Abierto")</f>
        <v>116</v>
      </c>
      <c r="D70" s="35" t="n">
        <f aca="false">COUNTIFS(Datos!$AK$2:$AK$408,"Abierto")</f>
        <v>123</v>
      </c>
      <c r="E70" s="12" t="s">
        <v>157</v>
      </c>
    </row>
    <row r="71" customFormat="false" ht="15" hidden="false" customHeight="false" outlineLevel="0" collapsed="false">
      <c r="A71" s="13" t="s">
        <v>158</v>
      </c>
      <c r="B71" s="44" t="n">
        <f aca="false">COUNTIFS(Datos!$D$2:$D$408,B$5,Datos!$AK$2:$AK$408,"Perdido")</f>
        <v>239</v>
      </c>
      <c r="C71" s="44" t="n">
        <f aca="false">COUNTIFS(Datos!$D$2:$D$408,C$5,Datos!$AK$2:$AK$408,"Perdido")</f>
        <v>35</v>
      </c>
      <c r="D71" s="45" t="n">
        <f aca="false">COUNTIFS(Datos!$AK$2:$AK$408,"Perdido")</f>
        <v>274</v>
      </c>
      <c r="E71" s="15"/>
    </row>
    <row r="72" customFormat="false" ht="15" hidden="false" customHeight="false" outlineLevel="0" collapsed="false">
      <c r="A72" s="10" t="s">
        <v>159</v>
      </c>
      <c r="B72" s="34" t="n">
        <f aca="false">COUNTIFS(Datos!$D$2:$D$408,B$5,Datos!$AK$2:$AK$408,"Ganado")</f>
        <v>7</v>
      </c>
      <c r="C72" s="34" t="n">
        <f aca="false">COUNTIFS(Datos!$D$2:$D$408,C$5,Datos!$AK$2:$AK$408,"Ganado")</f>
        <v>3</v>
      </c>
      <c r="D72" s="35" t="n">
        <f aca="false">COUNTIFS(Datos!$AK$2:$AK$408,"Ganado")</f>
        <v>10</v>
      </c>
      <c r="E72" s="12"/>
    </row>
    <row r="73" customFormat="false" ht="15" hidden="false" customHeight="false" outlineLevel="0" collapsed="false">
      <c r="A73" s="13" t="s">
        <v>160</v>
      </c>
      <c r="B73" s="36" t="n">
        <f aca="false">IFERROR(COUNTIFS(Datos!$D$2:$D$408,B$5,Datos!$AK$2:$AK$408,"Perdido",Datos!$AL$2:$AL$408,"Persona")/COUNTIFS(Datos!$D$2:$D$408,B$5,Datos!$AK$2:$AK$408,"Perdido"),"—")</f>
        <v>0.96652719665272</v>
      </c>
      <c r="C73" s="36" t="n">
        <f aca="false">IFERROR(COUNTIFS(Datos!$D$2:$D$408,C$5,Datos!$AK$2:$AK$408,"Perdido",Datos!$AL$2:$AL$408,"Persona")/COUNTIFS(Datos!$D$2:$D$408,C$5,Datos!$AK$2:$AK$408,"Perdido"),"—")</f>
        <v>1</v>
      </c>
      <c r="D73" s="37" t="n">
        <f aca="false">IFERROR(COUNTIFS(Datos!$AK$2:$AK$408,"Perdido",Datos!$AL$2:$AL$408,"Persona")/COUNTIFS(Datos!$AK$2:$AK$408,"Perdido"),"—")</f>
        <v>0.970802919708029</v>
      </c>
      <c r="E73" s="15" t="s">
        <v>161</v>
      </c>
    </row>
    <row r="74" customFormat="false" ht="15" hidden="false" customHeight="false" outlineLevel="0" collapsed="false">
      <c r="A74" s="10" t="s">
        <v>162</v>
      </c>
      <c r="B74" s="38" t="n">
        <f aca="false">IFERROR(COUNTIFS(Datos!$D$2:$D$408,B$5,Datos!$AK$2:$AK$408,"Perdido",Datos!$AM$2:$AM$408,"No contestaron")/COUNTIFS(Datos!$D$2:$D$408,B$5,Datos!$AK$2:$AK$408,"Perdido"),"—")</f>
        <v>0.928870292887029</v>
      </c>
      <c r="C74" s="38" t="n">
        <f aca="false">IFERROR(COUNTIFS(Datos!$D$2:$D$408,C$5,Datos!$AK$2:$AK$408,"Perdido",Datos!$AM$2:$AM$408,"No contestaron")/COUNTIFS(Datos!$D$2:$D$408,C$5,Datos!$AK$2:$AK$408,"Perdido"),"—")</f>
        <v>0.971428571428571</v>
      </c>
      <c r="D74" s="39" t="n">
        <f aca="false">IFERROR(COUNTIFS(Datos!$AK$2:$AK$408,"Perdido",Datos!$AM$2:$AM$408,"No contestaron")/COUNTIFS(Datos!$AK$2:$AK$408,"Perdido"),"—")</f>
        <v>0.934306569343066</v>
      </c>
      <c r="E74" s="12"/>
    </row>
    <row r="75" customFormat="false" ht="15" hidden="false" customHeight="false" outlineLevel="0" collapsed="false">
      <c r="A75" s="13" t="s">
        <v>163</v>
      </c>
      <c r="B75" s="42" t="n">
        <f aca="false" t="array" ref="B75:B75">IFERROR(MEDIAN(IF((Datos!$D$2:$D$408=B$5)*(Datos!$AN$2:$AN$408&lt;&gt;""),Datos!$AN$2:$AN$408)),"—")</f>
        <v>91.5</v>
      </c>
      <c r="C75" s="42" t="n">
        <f aca="false" t="array" ref="C75:C75">IFERROR(MEDIAN(IF((Datos!$D$2:$D$408=C$5)*(Datos!$AN$2:$AN$408&lt;&gt;""),Datos!$AN$2:$AN$408)),"—")</f>
        <v>52.8</v>
      </c>
      <c r="D75" s="43" t="n">
        <f aca="false">IFERROR(MEDIAN(Datos!$AN$2:$AN$408),"—")</f>
        <v>88.15</v>
      </c>
      <c r="E75" s="15"/>
    </row>
    <row r="76" customFormat="false" ht="15" hidden="false" customHeight="false" outlineLevel="0" collapsed="false">
      <c r="A76" s="10" t="s">
        <v>164</v>
      </c>
      <c r="B76" s="34" t="n">
        <f aca="false">COUNTIFS(Datos!$D$2:$D$408,B$5,Datos!$AP$2:$AP$408,"Sí")</f>
        <v>12</v>
      </c>
      <c r="C76" s="34" t="n">
        <f aca="false">COUNTIFS(Datos!$D$2:$D$408,C$5,Datos!$AP$2:$AP$408,"Sí")</f>
        <v>1</v>
      </c>
      <c r="D76" s="35" t="n">
        <f aca="false">COUNTIFS(Datos!$AP$2:$AP$408,"Sí")</f>
        <v>13</v>
      </c>
      <c r="E76" s="12" t="s">
        <v>165</v>
      </c>
    </row>
    <row r="77" customFormat="false" ht="15" hidden="false" customHeight="false" outlineLevel="0" collapsed="false">
      <c r="A77" s="13" t="s">
        <v>166</v>
      </c>
      <c r="B77" s="44" t="n">
        <f aca="false">COUNTIFS(Datos!$D$2:$D$408,B$5,Datos!$AO$2:$AO$408,"Sí",Datos!$AQ$2:$AQ$408,"Sí")</f>
        <v>1</v>
      </c>
      <c r="C77" s="44" t="n">
        <f aca="false">COUNTIFS(Datos!$D$2:$D$408,C$5,Datos!$AO$2:$AO$408,"Sí",Datos!$AQ$2:$AQ$408,"Sí")</f>
        <v>0</v>
      </c>
      <c r="D77" s="45" t="n">
        <f aca="false">COUNTIFS(Datos!$AO$2:$AO$408,"Sí",Datos!$AQ$2:$AQ$408,"Sí")</f>
        <v>1</v>
      </c>
      <c r="E77" s="15" t="s">
        <v>167</v>
      </c>
    </row>
    <row r="80" customFormat="false" ht="21.75" hidden="false" customHeight="true" outlineLevel="0" collapsed="false">
      <c r="A80" s="7" t="s">
        <v>168</v>
      </c>
    </row>
    <row r="81" customFormat="false" ht="30" hidden="false" customHeight="true" outlineLevel="0" collapsed="false">
      <c r="A81" s="8" t="s">
        <v>71</v>
      </c>
      <c r="B81" s="9" t="s">
        <v>169</v>
      </c>
      <c r="C81" s="9" t="s">
        <v>170</v>
      </c>
      <c r="D81" s="9" t="s">
        <v>74</v>
      </c>
      <c r="E81" s="9" t="s">
        <v>171</v>
      </c>
    </row>
    <row r="82" customFormat="false" ht="15" hidden="false" customHeight="false" outlineLevel="0" collapsed="false">
      <c r="A82" s="10" t="s">
        <v>79</v>
      </c>
      <c r="B82" s="34" t="n">
        <f aca="false">COUNTIFS(Datos!$F$2:$F$408,"Sí")</f>
        <v>305</v>
      </c>
      <c r="C82" s="34" t="n">
        <f aca="false">COUNTIFS(Datos!$F$2:$F$408,"No")</f>
        <v>102</v>
      </c>
      <c r="D82" s="35" t="n">
        <f aca="false">COUNT(Datos!$B$2:$B$408)</f>
        <v>407</v>
      </c>
      <c r="E82" s="12"/>
    </row>
    <row r="83" customFormat="false" ht="15" hidden="false" customHeight="false" outlineLevel="0" collapsed="false">
      <c r="A83" s="13" t="s">
        <v>84</v>
      </c>
      <c r="B83" s="36" t="n">
        <f aca="false">IFERROR(COUNTIFS(Datos!$F$2:$F$408,"Sí",Datos!$G$2:$G$408,"Sí")/COUNTIFS(Datos!$F$2:$F$408,"Sí"),"—")</f>
        <v>0.616393442622951</v>
      </c>
      <c r="C83" s="36" t="n">
        <f aca="false">IFERROR(COUNTIFS(Datos!$F$2:$F$408,"No",Datos!$G$2:$G$408,"Sí")/COUNTIFS(Datos!$F$2:$F$408,"No"),"—")</f>
        <v>0.666666666666667</v>
      </c>
      <c r="D83" s="37" t="n">
        <f aca="false">IFERROR(COUNTIFS(Datos!$G$2:$G$408,"Sí")/COUNT(Datos!$B$2:$B$408),"—")</f>
        <v>0.628992628992629</v>
      </c>
      <c r="E83" s="15"/>
    </row>
    <row r="84" customFormat="false" ht="15" hidden="false" customHeight="false" outlineLevel="0" collapsed="false">
      <c r="A84" s="10" t="s">
        <v>172</v>
      </c>
      <c r="B84" s="40" t="n">
        <f aca="false" t="array" ref="B84:B84">IFERROR(MEDIAN(IF((Datos!$F$2:$F$408="Sí")*(Datos!$J$2:$J$408&lt;&gt;""),Datos!$J$2:$J$408)),"—")</f>
        <v>0.5</v>
      </c>
      <c r="C84" s="40" t="n">
        <f aca="false" t="array" ref="C84:C84">IFERROR(MEDIAN(IF((Datos!$F$2:$F$408="No")*(Datos!$J$2:$J$408&lt;&gt;""),Datos!$J$2:$J$408)),"—")</f>
        <v>18.4</v>
      </c>
      <c r="D84" s="41" t="n">
        <f aca="false">IFERROR(MEDIAN(Datos!$J$2:$J$408),"—")</f>
        <v>0.7</v>
      </c>
      <c r="E84" s="12"/>
    </row>
    <row r="85" customFormat="false" ht="15" hidden="false" customHeight="false" outlineLevel="0" collapsed="false">
      <c r="A85" s="13" t="s">
        <v>94</v>
      </c>
      <c r="B85" s="44" t="n">
        <f aca="false">COUNTIFS(Datos!$F$2:$F$408,"Sí",Datos!$J$2:$J$408,"&gt;60")</f>
        <v>0</v>
      </c>
      <c r="C85" s="44" t="n">
        <f aca="false">COUNTIFS(Datos!$F$2:$F$408,"No",Datos!$J$2:$J$408,"&gt;60")</f>
        <v>29</v>
      </c>
      <c r="D85" s="45" t="n">
        <f aca="false">COUNTIFS(Datos!$J$2:$J$408,"&gt;60")</f>
        <v>29</v>
      </c>
      <c r="E85" s="15" t="s">
        <v>173</v>
      </c>
    </row>
    <row r="86" customFormat="false" ht="15" hidden="false" customHeight="false" outlineLevel="0" collapsed="false">
      <c r="A86" s="10" t="s">
        <v>110</v>
      </c>
      <c r="B86" s="40" t="n">
        <f aca="false" t="array" ref="B86:B86">IFERROR(MEDIAN(IF((Datos!$F$2:$F$408="Sí")*(Datos!$T$2:$T$408&lt;&gt;""),Datos!$T$2:$T$408))/60,"—")</f>
        <v>2.25833333333333</v>
      </c>
      <c r="C86" s="40" t="n">
        <f aca="false" t="array" ref="C86:C86">IFERROR(MEDIAN(IF((Datos!$F$2:$F$408="No")*(Datos!$T$2:$T$408&lt;&gt;""),Datos!$T$2:$T$408))/60,"—")</f>
        <v>30.6783333333333</v>
      </c>
      <c r="D86" s="41" t="n">
        <f aca="false">IFERROR(MEDIAN(Datos!$T$2:$T$408)/60,"—")</f>
        <v>7.49166666666667</v>
      </c>
      <c r="E86" s="12" t="s">
        <v>174</v>
      </c>
    </row>
    <row r="87" customFormat="false" ht="15" hidden="false" customHeight="false" outlineLevel="0" collapsed="false">
      <c r="A87" s="13" t="s">
        <v>103</v>
      </c>
      <c r="B87" s="36" t="n">
        <f aca="false">IFERROR(COUNTIFS(Datos!$F$2:$F$408,"Sí",Datos!$P$2:$P$408,"Sí")/COUNTIFS(Datos!$F$2:$F$408,"Sí"),"—")</f>
        <v>0.370491803278689</v>
      </c>
      <c r="C87" s="36" t="n">
        <f aca="false">IFERROR(COUNTIFS(Datos!$F$2:$F$408,"No",Datos!$P$2:$P$408,"Sí")/COUNTIFS(Datos!$F$2:$F$408,"No"),"—")</f>
        <v>0.254901960784314</v>
      </c>
      <c r="D87" s="37" t="n">
        <f aca="false">IFERROR(COUNTIFS(Datos!$P$2:$P$408,"Sí")/COUNT(Datos!$B$2:$B$408),"—")</f>
        <v>0.341523341523342</v>
      </c>
      <c r="E87" s="15"/>
    </row>
    <row r="88" customFormat="false" ht="15" hidden="false" customHeight="false" outlineLevel="0" collapsed="false">
      <c r="A88" s="10" t="s">
        <v>27</v>
      </c>
      <c r="B88" s="34" t="n">
        <f aca="false">COUNTIFS(Datos!$F$2:$F$408,"Sí",Datos!$AQ$2:$AQ$408,"Sí")</f>
        <v>9</v>
      </c>
      <c r="C88" s="34" t="n">
        <f aca="false">COUNTIFS(Datos!$F$2:$F$408,"No",Datos!$AQ$2:$AQ$408,"Sí")</f>
        <v>1</v>
      </c>
      <c r="D88" s="35" t="n">
        <f aca="false">COUNTIFS(Datos!$AQ$2:$AQ$408,"Sí")</f>
        <v>10</v>
      </c>
      <c r="E88" s="12"/>
    </row>
    <row r="89" customFormat="false" ht="15" hidden="false" customHeight="false" outlineLevel="0" collapsed="false">
      <c r="A89" s="13" t="s">
        <v>175</v>
      </c>
      <c r="B89" s="36" t="n">
        <f aca="false">IFERROR(COUNTIFS(Datos!$F$2:$F$408,"Sí",Datos!$AQ$2:$AQ$408,"Sí")/COUNTIFS(Datos!$F$2:$F$408,"Sí"),"—")</f>
        <v>0.0295081967213115</v>
      </c>
      <c r="C89" s="36" t="n">
        <f aca="false">IFERROR(COUNTIFS(Datos!$F$2:$F$408,"No",Datos!$AQ$2:$AQ$408,"Sí")/COUNTIFS(Datos!$F$2:$F$408,"No"),"—")</f>
        <v>0.00980392156862745</v>
      </c>
      <c r="D89" s="37" t="n">
        <f aca="false">IFERROR(COUNTIFS(Datos!$AQ$2:$AQ$408,"Sí")/COUNT(Datos!$B$2:$B$408),"—")</f>
        <v>0.0245700245700246</v>
      </c>
      <c r="E89" s="15"/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</row>
    <row r="2" customFormat="false" ht="30" hidden="false" customHeight="true" outlineLevel="0" collapsed="false">
      <c r="A2" s="4" t="s">
        <v>176</v>
      </c>
      <c r="B2" s="3"/>
      <c r="C2" s="3"/>
      <c r="D2" s="3"/>
      <c r="E2" s="3"/>
    </row>
    <row r="3" customFormat="false" ht="15" hidden="false" customHeight="false" outlineLevel="0" collapsed="false">
      <c r="A3" s="6" t="s">
        <v>177</v>
      </c>
      <c r="B3" s="5"/>
      <c r="C3" s="5"/>
      <c r="D3" s="5"/>
      <c r="E3" s="5"/>
    </row>
    <row r="5" customFormat="false" ht="21.75" hidden="false" customHeight="true" outlineLevel="0" collapsed="false">
      <c r="A5" s="7" t="s">
        <v>178</v>
      </c>
    </row>
    <row r="6" customFormat="false" ht="30" hidden="false" customHeight="true" outlineLevel="0" collapsed="false">
      <c r="A6" s="8" t="s">
        <v>179</v>
      </c>
      <c r="B6" s="9" t="s">
        <v>79</v>
      </c>
      <c r="C6" s="9" t="s">
        <v>180</v>
      </c>
      <c r="D6" s="9" t="s">
        <v>181</v>
      </c>
      <c r="E6" s="9" t="s">
        <v>171</v>
      </c>
    </row>
    <row r="7" customFormat="false" ht="15" hidden="false" customHeight="false" outlineLevel="0" collapsed="false">
      <c r="A7" s="10" t="s">
        <v>182</v>
      </c>
      <c r="B7" s="35" t="n">
        <f aca="false">COUNT(Datos!$B$2:$B$408)</f>
        <v>407</v>
      </c>
      <c r="C7" s="38" t="s">
        <v>183</v>
      </c>
      <c r="D7" s="38" t="n">
        <f aca="false">IFERROR(B7/B$7,"—")</f>
        <v>1</v>
      </c>
      <c r="E7" s="12" t="s">
        <v>184</v>
      </c>
    </row>
    <row r="8" customFormat="false" ht="15" hidden="false" customHeight="false" outlineLevel="0" collapsed="false">
      <c r="A8" s="13" t="s">
        <v>185</v>
      </c>
      <c r="B8" s="45" t="n">
        <f aca="false">COUNTIFS(Datos!$I$2:$I$408,"Sí")</f>
        <v>405</v>
      </c>
      <c r="C8" s="36" t="n">
        <f aca="false">IFERROR(B8/B7,"—")</f>
        <v>0.995085995085995</v>
      </c>
      <c r="D8" s="36" t="n">
        <f aca="false">IFERROR(B8/B$7,"—")</f>
        <v>0.995085995085995</v>
      </c>
      <c r="E8" s="15" t="s">
        <v>186</v>
      </c>
    </row>
    <row r="9" customFormat="false" ht="15" hidden="false" customHeight="false" outlineLevel="0" collapsed="false">
      <c r="A9" s="10" t="s">
        <v>149</v>
      </c>
      <c r="B9" s="35" t="n">
        <f aca="false">COUNTIFS(Datos!$L$2:$L$408,"Sí")</f>
        <v>405</v>
      </c>
      <c r="C9" s="38" t="n">
        <f aca="false">IFERROR(B9/B8,"—")</f>
        <v>1</v>
      </c>
      <c r="D9" s="38" t="n">
        <f aca="false">IFERROR(B9/B$7,"—")</f>
        <v>0.995085995085995</v>
      </c>
      <c r="E9" s="12" t="s">
        <v>187</v>
      </c>
    </row>
    <row r="10" customFormat="false" ht="15" hidden="false" customHeight="false" outlineLevel="0" collapsed="false">
      <c r="A10" s="13" t="s">
        <v>188</v>
      </c>
      <c r="B10" s="45" t="n">
        <f aca="false">COUNTIFS(Datos!$P$2:$P$408,"Sí")</f>
        <v>139</v>
      </c>
      <c r="C10" s="36" t="n">
        <f aca="false">IFERROR(B10/B9,"—")</f>
        <v>0.34320987654321</v>
      </c>
      <c r="D10" s="36" t="n">
        <f aca="false">IFERROR(B10/B$7,"—")</f>
        <v>0.341523341523342</v>
      </c>
      <c r="E10" s="15" t="s">
        <v>189</v>
      </c>
    </row>
    <row r="11" customFormat="false" ht="15" hidden="false" customHeight="false" outlineLevel="0" collapsed="false">
      <c r="A11" s="10" t="s">
        <v>190</v>
      </c>
      <c r="B11" s="35" t="n">
        <f aca="false">COUNTIFS(Datos!$Q$2:$Q$408,"Sí")</f>
        <v>30</v>
      </c>
      <c r="C11" s="38" t="n">
        <f aca="false">IFERROR(B11/B10,"—")</f>
        <v>0.215827338129496</v>
      </c>
      <c r="D11" s="38" t="n">
        <f aca="false">IFERROR(B11/B$7,"—")</f>
        <v>0.0737100737100737</v>
      </c>
      <c r="E11" s="12" t="s">
        <v>191</v>
      </c>
    </row>
    <row r="12" customFormat="false" ht="15" hidden="false" customHeight="false" outlineLevel="0" collapsed="false">
      <c r="A12" s="13" t="s">
        <v>192</v>
      </c>
      <c r="B12" s="45" t="n">
        <f aca="false">COUNTIFS(Datos!$AQ$2:$AQ$408,"Sí")</f>
        <v>10</v>
      </c>
      <c r="C12" s="36" t="n">
        <f aca="false">IFERROR(B12/B11,"—")</f>
        <v>0.333333333333333</v>
      </c>
      <c r="D12" s="36" t="n">
        <f aca="false">IFERROR(B12/B$7,"—")</f>
        <v>0.0245700245700246</v>
      </c>
      <c r="E12" s="15" t="s">
        <v>193</v>
      </c>
    </row>
    <row r="13" customFormat="false" ht="15" hidden="false" customHeight="false" outlineLevel="0" collapsed="false">
      <c r="A13" s="50" t="s">
        <v>194</v>
      </c>
      <c r="B13" s="34" t="n">
        <f aca="false">COUNTIFS(Datos!$O$2:$O$408,"Sí")</f>
        <v>369</v>
      </c>
      <c r="D13" s="38" t="n">
        <f aca="false">IFERROR(B13/B$7,"—")</f>
        <v>0.906633906633907</v>
      </c>
      <c r="E13" s="12" t="s">
        <v>195</v>
      </c>
    </row>
    <row r="16" customFormat="false" ht="21.75" hidden="false" customHeight="true" outlineLevel="0" collapsed="false">
      <c r="A16" s="7" t="s">
        <v>196</v>
      </c>
    </row>
    <row r="17" customFormat="false" ht="30" hidden="false" customHeight="true" outlineLevel="0" collapsed="false">
      <c r="A17" s="8" t="s">
        <v>197</v>
      </c>
      <c r="B17" s="9" t="s">
        <v>79</v>
      </c>
      <c r="C17" s="9" t="s">
        <v>198</v>
      </c>
      <c r="D17" s="9" t="s">
        <v>171</v>
      </c>
      <c r="E17" s="9"/>
    </row>
    <row r="18" customFormat="false" ht="15" hidden="false" customHeight="true" outlineLevel="0" collapsed="false">
      <c r="A18" s="10" t="s">
        <v>147</v>
      </c>
      <c r="B18" s="35" t="n">
        <f aca="false">COUNTIFS(Datos!$AJ$2:$AJ$408,A18)</f>
        <v>108</v>
      </c>
      <c r="C18" s="38" t="n">
        <f aca="false">IFERROR(B18/COUNT(Datos!$B$2:$B$408),"—")</f>
        <v>0.265356265356265</v>
      </c>
      <c r="D18" s="12" t="s">
        <v>199</v>
      </c>
      <c r="E18" s="12"/>
    </row>
    <row r="19" customFormat="false" ht="15" hidden="false" customHeight="true" outlineLevel="0" collapsed="false">
      <c r="A19" s="13" t="s">
        <v>148</v>
      </c>
      <c r="B19" s="45" t="n">
        <f aca="false">COUNTIFS(Datos!$AJ$2:$AJ$408,A19)</f>
        <v>96</v>
      </c>
      <c r="C19" s="36" t="n">
        <f aca="false">IFERROR(B19/COUNT(Datos!$B$2:$B$408),"—")</f>
        <v>0.235872235872236</v>
      </c>
      <c r="D19" s="15" t="s">
        <v>200</v>
      </c>
      <c r="E19" s="15"/>
    </row>
    <row r="20" customFormat="false" ht="15" hidden="false" customHeight="true" outlineLevel="0" collapsed="false">
      <c r="A20" s="10" t="s">
        <v>149</v>
      </c>
      <c r="B20" s="35" t="n">
        <f aca="false">COUNTIFS(Datos!$AJ$2:$AJ$408,A20)</f>
        <v>74</v>
      </c>
      <c r="C20" s="38" t="n">
        <f aca="false">IFERROR(B20/COUNT(Datos!$B$2:$B$408),"—")</f>
        <v>0.181818181818182</v>
      </c>
      <c r="D20" s="12" t="s">
        <v>201</v>
      </c>
      <c r="E20" s="12"/>
    </row>
    <row r="21" customFormat="false" ht="15" hidden="false" customHeight="true" outlineLevel="0" collapsed="false">
      <c r="A21" s="13" t="s">
        <v>150</v>
      </c>
      <c r="B21" s="45" t="n">
        <f aca="false">COUNTIFS(Datos!$AJ$2:$AJ$408,A21)</f>
        <v>51</v>
      </c>
      <c r="C21" s="36" t="n">
        <f aca="false">IFERROR(B21/COUNT(Datos!$B$2:$B$408),"—")</f>
        <v>0.125307125307125</v>
      </c>
      <c r="D21" s="15" t="s">
        <v>202</v>
      </c>
      <c r="E21" s="15"/>
    </row>
    <row r="22" customFormat="false" ht="15" hidden="false" customHeight="true" outlineLevel="0" collapsed="false">
      <c r="A22" s="10" t="s">
        <v>151</v>
      </c>
      <c r="B22" s="35" t="n">
        <f aca="false">COUNTIFS(Datos!$AJ$2:$AJ$408,A22)</f>
        <v>48</v>
      </c>
      <c r="C22" s="38" t="n">
        <f aca="false">IFERROR(B22/COUNT(Datos!$B$2:$B$408),"—")</f>
        <v>0.117936117936118</v>
      </c>
      <c r="D22" s="12" t="s">
        <v>203</v>
      </c>
      <c r="E22" s="12"/>
    </row>
    <row r="23" customFormat="false" ht="15" hidden="false" customHeight="true" outlineLevel="0" collapsed="false">
      <c r="A23" s="13" t="s">
        <v>152</v>
      </c>
      <c r="B23" s="45" t="n">
        <f aca="false">COUNTIFS(Datos!$AJ$2:$AJ$408,A23)</f>
        <v>8</v>
      </c>
      <c r="C23" s="36" t="n">
        <f aca="false">IFERROR(B23/COUNT(Datos!$B$2:$B$408),"—")</f>
        <v>0.0196560196560197</v>
      </c>
      <c r="D23" s="15" t="s">
        <v>204</v>
      </c>
      <c r="E23" s="15"/>
    </row>
    <row r="24" customFormat="false" ht="15" hidden="false" customHeight="true" outlineLevel="0" collapsed="false">
      <c r="A24" s="10" t="s">
        <v>153</v>
      </c>
      <c r="B24" s="35" t="n">
        <f aca="false">COUNTIFS(Datos!$AJ$2:$AJ$408,A24)</f>
        <v>12</v>
      </c>
      <c r="C24" s="38" t="n">
        <f aca="false">IFERROR(B24/COUNT(Datos!$B$2:$B$408),"—")</f>
        <v>0.0294840294840295</v>
      </c>
      <c r="D24" s="12" t="s">
        <v>205</v>
      </c>
      <c r="E24" s="12"/>
    </row>
    <row r="25" customFormat="false" ht="15" hidden="false" customHeight="true" outlineLevel="0" collapsed="false">
      <c r="A25" s="13" t="s">
        <v>154</v>
      </c>
      <c r="B25" s="45" t="n">
        <f aca="false">COUNTIFS(Datos!$AJ$2:$AJ$408,A25)</f>
        <v>10</v>
      </c>
      <c r="C25" s="36" t="n">
        <f aca="false">IFERROR(B25/COUNT(Datos!$B$2:$B$408),"—")</f>
        <v>0.0245700245700246</v>
      </c>
      <c r="D25" s="15" t="s">
        <v>193</v>
      </c>
      <c r="E25" s="15"/>
    </row>
    <row r="26" customFormat="false" ht="15" hidden="false" customHeight="false" outlineLevel="0" collapsed="false">
      <c r="A26" s="51" t="s">
        <v>74</v>
      </c>
      <c r="B26" s="35" t="n">
        <f aca="false">SUM(B18:B25)</f>
        <v>407</v>
      </c>
      <c r="C26" s="39" t="n">
        <f aca="false">IFERROR(B26/COUNT(Datos!$B$2:$B$408),"—")</f>
        <v>1</v>
      </c>
    </row>
    <row r="28" customFormat="false" ht="15" hidden="false" customHeight="false" outlineLevel="0" collapsed="false">
      <c r="A28" s="30" t="s">
        <v>206</v>
      </c>
    </row>
  </sheetData>
  <mergeCells count="9"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4" t="s">
        <v>207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6" t="s">
        <v>208</v>
      </c>
      <c r="B3" s="5"/>
      <c r="C3" s="5"/>
      <c r="D3" s="5"/>
      <c r="E3" s="5"/>
      <c r="F3" s="5"/>
      <c r="G3" s="5"/>
    </row>
    <row r="5" customFormat="false" ht="21.75" hidden="false" customHeight="true" outlineLevel="0" collapsed="false">
      <c r="A5" s="7" t="s">
        <v>209</v>
      </c>
    </row>
    <row r="6" customFormat="false" ht="30" hidden="false" customHeight="true" outlineLevel="0" collapsed="false">
      <c r="A6" s="8" t="s">
        <v>210</v>
      </c>
      <c r="B6" s="9" t="s">
        <v>79</v>
      </c>
      <c r="C6" s="9" t="s">
        <v>198</v>
      </c>
      <c r="D6" s="9" t="s">
        <v>211</v>
      </c>
      <c r="E6" s="9" t="s">
        <v>212</v>
      </c>
      <c r="F6" s="9" t="s">
        <v>27</v>
      </c>
      <c r="G6" s="9" t="s">
        <v>175</v>
      </c>
    </row>
    <row r="7" customFormat="false" ht="15" hidden="false" customHeight="false" outlineLevel="0" collapsed="false">
      <c r="A7" s="10" t="s">
        <v>213</v>
      </c>
      <c r="B7" s="35" t="n">
        <f aca="false">COUNTIFS(Datos!$T$2:$T$408,"&lt;=5")</f>
        <v>30</v>
      </c>
      <c r="C7" s="38" t="n">
        <f aca="false">IFERROR(B7/COUNT(Datos!$B$2:$B$408),"—")</f>
        <v>0.0737100737100737</v>
      </c>
      <c r="D7" s="38" t="n">
        <f aca="false">IFERROR(COUNTIFS(Datos!$T$2:$T$408,"&lt;=5",Datos!$G$2:$G$408,"Sí")/B7,"—")</f>
        <v>0.766666666666667</v>
      </c>
      <c r="E7" s="38" t="n">
        <f aca="false">IFERROR(COUNTIFS(Datos!$T$2:$T$408,"&lt;=5",Datos!$P$2:$P$408,"Sí")/B7,"—")</f>
        <v>0.7</v>
      </c>
      <c r="F7" s="34" t="n">
        <f aca="false">COUNTIFS(Datos!$T$2:$T$408,"&lt;=5",Datos!$AQ$2:$AQ$408,"Sí")</f>
        <v>3</v>
      </c>
      <c r="G7" s="52" t="n">
        <f aca="false">IFERROR(F7/B7,"—")</f>
        <v>0.1</v>
      </c>
    </row>
    <row r="8" customFormat="false" ht="15" hidden="false" customHeight="false" outlineLevel="0" collapsed="false">
      <c r="A8" s="13" t="s">
        <v>214</v>
      </c>
      <c r="B8" s="45" t="n">
        <f aca="false">COUNTIFS(Datos!$T$2:$T$408,"&gt;5",Datos!$T$2:$T$408,"&lt;=15")</f>
        <v>66</v>
      </c>
      <c r="C8" s="36" t="n">
        <f aca="false">IFERROR(B8/COUNT(Datos!$B$2:$B$408),"—")</f>
        <v>0.162162162162162</v>
      </c>
      <c r="D8" s="36" t="n">
        <f aca="false">IFERROR(COUNTIFS(Datos!$T$2:$T$408,"&gt;5",Datos!$T$2:$T$408,"&lt;=15",Datos!$G$2:$G$408,"Sí")/B8,"—")</f>
        <v>1</v>
      </c>
      <c r="E8" s="36" t="n">
        <f aca="false">IFERROR(COUNTIFS(Datos!$T$2:$T$408,"&gt;5",Datos!$T$2:$T$408,"&lt;=15",Datos!$P$2:$P$408,"Sí")/B8,"—")</f>
        <v>0.742424242424242</v>
      </c>
      <c r="F8" s="44" t="n">
        <f aca="false">COUNTIFS(Datos!$T$2:$T$408,"&gt;5",Datos!$T$2:$T$408,"&lt;=15",Datos!$AQ$2:$AQ$408,"Sí")</f>
        <v>2</v>
      </c>
      <c r="G8" s="53" t="n">
        <f aca="false">IFERROR(F8/B8,"—")</f>
        <v>0.0303030303030303</v>
      </c>
    </row>
    <row r="9" customFormat="false" ht="15" hidden="false" customHeight="false" outlineLevel="0" collapsed="false">
      <c r="A9" s="10" t="s">
        <v>215</v>
      </c>
      <c r="B9" s="35" t="n">
        <f aca="false">COUNTIFS(Datos!$T$2:$T$408,"&gt;15",Datos!$T$2:$T$408,"&lt;=60")</f>
        <v>49</v>
      </c>
      <c r="C9" s="38" t="n">
        <f aca="false">IFERROR(B9/COUNT(Datos!$B$2:$B$408),"—")</f>
        <v>0.12039312039312</v>
      </c>
      <c r="D9" s="38" t="n">
        <f aca="false">IFERROR(COUNTIFS(Datos!$T$2:$T$408,"&gt;15",Datos!$T$2:$T$408,"&lt;=60",Datos!$G$2:$G$408,"Sí")/B9,"—")</f>
        <v>0.775510204081633</v>
      </c>
      <c r="E9" s="38" t="n">
        <f aca="false">IFERROR(COUNTIFS(Datos!$T$2:$T$408,"&gt;15",Datos!$T$2:$T$408,"&lt;=60",Datos!$P$2:$P$408,"Sí")/B9,"—")</f>
        <v>0.775510204081633</v>
      </c>
      <c r="F9" s="34" t="n">
        <f aca="false">COUNTIFS(Datos!$T$2:$T$408,"&gt;15",Datos!$T$2:$T$408,"&lt;=60",Datos!$AQ$2:$AQ$408,"Sí")</f>
        <v>2</v>
      </c>
      <c r="G9" s="52" t="n">
        <f aca="false">IFERROR(F9/B9,"—")</f>
        <v>0.0408163265306122</v>
      </c>
    </row>
    <row r="10" customFormat="false" ht="15" hidden="false" customHeight="false" outlineLevel="0" collapsed="false">
      <c r="A10" s="13" t="s">
        <v>216</v>
      </c>
      <c r="B10" s="45" t="n">
        <f aca="false">COUNTIFS(Datos!$T$2:$T$408,"&gt;60",Datos!$T$2:$T$408,"&lt;=240")</f>
        <v>29</v>
      </c>
      <c r="C10" s="36" t="n">
        <f aca="false">IFERROR(B10/COUNT(Datos!$B$2:$B$408),"—")</f>
        <v>0.0712530712530713</v>
      </c>
      <c r="D10" s="36" t="n">
        <f aca="false">IFERROR(COUNTIFS(Datos!$T$2:$T$408,"&gt;60",Datos!$T$2:$T$408,"&lt;=240",Datos!$G$2:$G$408,"Sí")/B10,"—")</f>
        <v>0.517241379310345</v>
      </c>
      <c r="E10" s="36" t="n">
        <f aca="false">IFERROR(COUNTIFS(Datos!$T$2:$T$408,"&gt;60",Datos!$T$2:$T$408,"&lt;=240",Datos!$P$2:$P$408,"Sí")/B10,"—")</f>
        <v>0.586206896551724</v>
      </c>
      <c r="F10" s="44" t="n">
        <f aca="false">COUNTIFS(Datos!$T$2:$T$408,"&gt;60",Datos!$T$2:$T$408,"&lt;=240",Datos!$AQ$2:$AQ$408,"Sí")</f>
        <v>0</v>
      </c>
      <c r="G10" s="53" t="n">
        <f aca="false">IFERROR(F10/B10,"—")</f>
        <v>0</v>
      </c>
    </row>
    <row r="11" customFormat="false" ht="15" hidden="false" customHeight="false" outlineLevel="0" collapsed="false">
      <c r="A11" s="10" t="s">
        <v>217</v>
      </c>
      <c r="B11" s="35" t="n">
        <f aca="false">COUNTIFS(Datos!$T$2:$T$408,"&gt;240",Datos!$T$2:$T$408,"&lt;=1440")</f>
        <v>35</v>
      </c>
      <c r="C11" s="38" t="n">
        <f aca="false">IFERROR(B11/COUNT(Datos!$B$2:$B$408),"—")</f>
        <v>0.085995085995086</v>
      </c>
      <c r="D11" s="38" t="n">
        <f aca="false">IFERROR(COUNTIFS(Datos!$T$2:$T$408,"&gt;240",Datos!$T$2:$T$408,"&lt;=1440",Datos!$G$2:$G$408,"Sí")/B11,"—")</f>
        <v>0.628571428571429</v>
      </c>
      <c r="E11" s="38" t="n">
        <f aca="false">IFERROR(COUNTIFS(Datos!$T$2:$T$408,"&gt;240",Datos!$T$2:$T$408,"&lt;=1440",Datos!$P$2:$P$408,"Sí")/B11,"—")</f>
        <v>0.285714285714286</v>
      </c>
      <c r="F11" s="34" t="n">
        <f aca="false">COUNTIFS(Datos!$T$2:$T$408,"&gt;240",Datos!$T$2:$T$408,"&lt;=1440",Datos!$AQ$2:$AQ$408,"Sí")</f>
        <v>2</v>
      </c>
      <c r="G11" s="52" t="n">
        <f aca="false">IFERROR(F11/B11,"—")</f>
        <v>0.0571428571428571</v>
      </c>
    </row>
    <row r="12" customFormat="false" ht="15" hidden="false" customHeight="false" outlineLevel="0" collapsed="false">
      <c r="A12" s="13" t="s">
        <v>218</v>
      </c>
      <c r="B12" s="45" t="n">
        <f aca="false">COUNTIFS(Datos!$T$2:$T$408,"&gt;1440")</f>
        <v>147</v>
      </c>
      <c r="C12" s="36" t="n">
        <f aca="false">IFERROR(B12/COUNT(Datos!$B$2:$B$408),"—")</f>
        <v>0.361179361179361</v>
      </c>
      <c r="D12" s="36" t="n">
        <f aca="false">IFERROR(COUNTIFS(Datos!$T$2:$T$408,"&gt;1440",Datos!$G$2:$G$408,"Sí")/B12,"—")</f>
        <v>0.448979591836735</v>
      </c>
      <c r="E12" s="36" t="n">
        <f aca="false">IFERROR(COUNTIFS(Datos!$T$2:$T$408,"&gt;1440",Datos!$P$2:$P$408,"Sí")/B12,"—")</f>
        <v>0.0204081632653061</v>
      </c>
      <c r="F12" s="44" t="n">
        <f aca="false">COUNTIFS(Datos!$T$2:$T$408,"&gt;1440",Datos!$AQ$2:$AQ$408,"Sí")</f>
        <v>1</v>
      </c>
      <c r="G12" s="53" t="n">
        <f aca="false">IFERROR(F12/B12,"—")</f>
        <v>0.00680272108843537</v>
      </c>
    </row>
    <row r="13" customFormat="false" ht="15" hidden="false" customHeight="false" outlineLevel="0" collapsed="false">
      <c r="A13" s="10" t="s">
        <v>219</v>
      </c>
      <c r="B13" s="35" t="n">
        <f aca="false">COUNTIFS(Datos!$T$2:$T$408,"")</f>
        <v>51</v>
      </c>
      <c r="C13" s="38" t="n">
        <f aca="false">IFERROR(B13/COUNT(Datos!$B$2:$B$408),"—")</f>
        <v>0.125307125307125</v>
      </c>
      <c r="D13" s="38" t="n">
        <f aca="false">IFERROR(COUNTIFS(Datos!$T$2:$T$408,"",Datos!$G$2:$G$408,"Sí")/B13,"—")</f>
        <v>0.470588235294118</v>
      </c>
      <c r="E13" s="38" t="n">
        <f aca="false">IFERROR(COUNTIFS(Datos!$T$2:$T$408,"",Datos!$P$2:$P$408,"Sí")/B13,"—")</f>
        <v>0.0196078431372549</v>
      </c>
      <c r="F13" s="34" t="n">
        <f aca="false">COUNTIFS(Datos!$T$2:$T$408,"",Datos!$AQ$2:$AQ$408,"Sí")</f>
        <v>0</v>
      </c>
      <c r="G13" s="52" t="n">
        <f aca="false">IFERROR(F13/B13,"—")</f>
        <v>0</v>
      </c>
    </row>
    <row r="14" customFormat="false" ht="15" hidden="false" customHeight="false" outlineLevel="0" collapsed="false">
      <c r="A14" s="51" t="s">
        <v>74</v>
      </c>
      <c r="B14" s="35" t="n">
        <f aca="false">SUM(B7:B13)</f>
        <v>407</v>
      </c>
      <c r="F14" s="35" t="n">
        <f aca="false">SUM(F7:F13)</f>
        <v>10</v>
      </c>
      <c r="G14" s="39" t="n">
        <f aca="false">IFERROR(F14/B14,"—")</f>
        <v>0.0245700245700246</v>
      </c>
    </row>
    <row r="15" customFormat="false" ht="15" hidden="false" customHeight="false" outlineLevel="0" collapsed="false">
      <c r="A15" s="30" t="s">
        <v>220</v>
      </c>
    </row>
    <row r="17" customFormat="false" ht="21.75" hidden="false" customHeight="true" outlineLevel="0" collapsed="false">
      <c r="A17" s="7" t="s">
        <v>221</v>
      </c>
    </row>
    <row r="18" customFormat="false" ht="30" hidden="false" customHeight="true" outlineLevel="0" collapsed="false">
      <c r="A18" s="8" t="s">
        <v>222</v>
      </c>
      <c r="B18" s="9" t="s">
        <v>169</v>
      </c>
      <c r="C18" s="9" t="s">
        <v>223</v>
      </c>
      <c r="D18" s="9" t="s">
        <v>224</v>
      </c>
      <c r="E18" s="9" t="s">
        <v>225</v>
      </c>
      <c r="F18" s="9" t="s">
        <v>74</v>
      </c>
      <c r="G18" s="9" t="s">
        <v>226</v>
      </c>
    </row>
    <row r="19" customFormat="false" ht="15" hidden="false" customHeight="false" outlineLevel="0" collapsed="false">
      <c r="A19" s="10" t="s">
        <v>213</v>
      </c>
      <c r="B19" s="34" t="n">
        <f aca="false">COUNTIFS(Respuestas!$H$2:$H$1034,"&lt;=5",Respuestas!$E$2:$E$1034,"Sí")</f>
        <v>527</v>
      </c>
      <c r="C19" s="38" t="n">
        <f aca="false">IFERROR(B19/COUNTIFS(Respuestas!$E$2:$E$1034,"Sí"),"—")</f>
        <v>0.639563106796117</v>
      </c>
      <c r="D19" s="34" t="n">
        <f aca="false">COUNTIFS(Respuestas!$H$2:$H$1034,"&lt;=5",Respuestas!$E$2:$E$1034,"No")</f>
        <v>111</v>
      </c>
      <c r="E19" s="38" t="n">
        <f aca="false">IFERROR(D19/COUNTIFS(Respuestas!$E$2:$E$1034,"No"),"—")</f>
        <v>0.5311004784689</v>
      </c>
      <c r="F19" s="35" t="n">
        <f aca="false">COUNTIFS(Respuestas!$H$2:$H$1034,"&lt;=5")</f>
        <v>638</v>
      </c>
      <c r="G19" s="39" t="n">
        <f aca="false">IFERROR(F19/COUNT(Respuestas!$B$2:$B$1034),"—")</f>
        <v>0.617618586640852</v>
      </c>
    </row>
    <row r="20" customFormat="false" ht="15" hidden="false" customHeight="false" outlineLevel="0" collapsed="false">
      <c r="A20" s="13" t="s">
        <v>214</v>
      </c>
      <c r="B20" s="44" t="n">
        <f aca="false">COUNTIFS(Respuestas!$H$2:$H$1034,"&gt;5",Respuestas!$H$2:$H$1034,"&lt;=15",Respuestas!$E$2:$E$1034,"Sí")</f>
        <v>144</v>
      </c>
      <c r="C20" s="36" t="n">
        <f aca="false">IFERROR(B20/COUNTIFS(Respuestas!$E$2:$E$1034,"Sí"),"—")</f>
        <v>0.174757281553398</v>
      </c>
      <c r="D20" s="44" t="n">
        <f aca="false">COUNTIFS(Respuestas!$H$2:$H$1034,"&gt;5",Respuestas!$H$2:$H$1034,"&lt;=15",Respuestas!$E$2:$E$1034,"No")</f>
        <v>16</v>
      </c>
      <c r="E20" s="36" t="n">
        <f aca="false">IFERROR(D20/COUNTIFS(Respuestas!$E$2:$E$1034,"No"),"—")</f>
        <v>0.076555023923445</v>
      </c>
      <c r="F20" s="45" t="n">
        <f aca="false">COUNTIFS(Respuestas!$H$2:$H$1034,"&gt;5",Respuestas!$H$2:$H$1034,"&lt;=15")</f>
        <v>160</v>
      </c>
      <c r="G20" s="37" t="n">
        <f aca="false">IFERROR(F20/COUNT(Respuestas!$B$2:$B$1034),"—")</f>
        <v>0.154888673765731</v>
      </c>
    </row>
    <row r="21" customFormat="false" ht="15" hidden="false" customHeight="false" outlineLevel="0" collapsed="false">
      <c r="A21" s="10" t="s">
        <v>215</v>
      </c>
      <c r="B21" s="34" t="n">
        <f aca="false">COUNTIFS(Respuestas!$H$2:$H$1034,"&gt;15",Respuestas!$H$2:$H$1034,"&lt;=60",Respuestas!$E$2:$E$1034,"Sí")</f>
        <v>43</v>
      </c>
      <c r="C21" s="38" t="n">
        <f aca="false">IFERROR(B21/COUNTIFS(Respuestas!$E$2:$E$1034,"Sí"),"—")</f>
        <v>0.0521844660194175</v>
      </c>
      <c r="D21" s="34" t="n">
        <f aca="false">COUNTIFS(Respuestas!$H$2:$H$1034,"&gt;15",Respuestas!$H$2:$H$1034,"&lt;=60",Respuestas!$E$2:$E$1034,"No")</f>
        <v>16</v>
      </c>
      <c r="E21" s="38" t="n">
        <f aca="false">IFERROR(D21/COUNTIFS(Respuestas!$E$2:$E$1034,"No"),"—")</f>
        <v>0.076555023923445</v>
      </c>
      <c r="F21" s="35" t="n">
        <f aca="false">COUNTIFS(Respuestas!$H$2:$H$1034,"&gt;15",Respuestas!$H$2:$H$1034,"&lt;=60")</f>
        <v>59</v>
      </c>
      <c r="G21" s="39" t="n">
        <f aca="false">IFERROR(F21/COUNT(Respuestas!$B$2:$B$1034),"—")</f>
        <v>0.0571151984511133</v>
      </c>
    </row>
    <row r="22" customFormat="false" ht="15" hidden="false" customHeight="false" outlineLevel="0" collapsed="false">
      <c r="A22" s="13" t="s">
        <v>216</v>
      </c>
      <c r="B22" s="44" t="n">
        <f aca="false">COUNTIFS(Respuestas!$H$2:$H$1034,"&gt;60",Respuestas!$H$2:$H$1034,"&lt;=240",Respuestas!$E$2:$E$1034,"Sí")</f>
        <v>14</v>
      </c>
      <c r="C22" s="36" t="n">
        <f aca="false">IFERROR(B22/COUNTIFS(Respuestas!$E$2:$E$1034,"Sí"),"—")</f>
        <v>0.0169902912621359</v>
      </c>
      <c r="D22" s="44" t="n">
        <f aca="false">COUNTIFS(Respuestas!$H$2:$H$1034,"&gt;60",Respuestas!$H$2:$H$1034,"&lt;=240",Respuestas!$E$2:$E$1034,"No")</f>
        <v>13</v>
      </c>
      <c r="E22" s="36" t="n">
        <f aca="false">IFERROR(D22/COUNTIFS(Respuestas!$E$2:$E$1034,"No"),"—")</f>
        <v>0.062200956937799</v>
      </c>
      <c r="F22" s="45" t="n">
        <f aca="false">COUNTIFS(Respuestas!$H$2:$H$1034,"&gt;60",Respuestas!$H$2:$H$1034,"&lt;=240")</f>
        <v>27</v>
      </c>
      <c r="G22" s="37" t="n">
        <f aca="false">IFERROR(F22/COUNT(Respuestas!$B$2:$B$1034),"—")</f>
        <v>0.0261374636979671</v>
      </c>
    </row>
    <row r="23" customFormat="false" ht="15" hidden="false" customHeight="false" outlineLevel="0" collapsed="false">
      <c r="A23" s="10" t="s">
        <v>227</v>
      </c>
      <c r="B23" s="34" t="n">
        <f aca="false">COUNTIFS(Respuestas!$H$2:$H$1034,"&gt;240",Respuestas!$E$2:$E$1034,"Sí")</f>
        <v>71</v>
      </c>
      <c r="C23" s="38" t="n">
        <f aca="false">IFERROR(B23/COUNTIFS(Respuestas!$E$2:$E$1034,"Sí"),"—")</f>
        <v>0.0861650485436893</v>
      </c>
      <c r="D23" s="34" t="n">
        <f aca="false">COUNTIFS(Respuestas!$H$2:$H$1034,"&gt;240",Respuestas!$E$2:$E$1034,"No")</f>
        <v>42</v>
      </c>
      <c r="E23" s="38" t="n">
        <f aca="false">IFERROR(D23/COUNTIFS(Respuestas!$E$2:$E$1034,"No"),"—")</f>
        <v>0.200956937799043</v>
      </c>
      <c r="F23" s="35" t="n">
        <f aca="false">COUNTIFS(Respuestas!$H$2:$H$1034,"&gt;240")</f>
        <v>113</v>
      </c>
      <c r="G23" s="39" t="n">
        <f aca="false">IFERROR(F23/COUNT(Respuestas!$B$2:$B$1034),"—")</f>
        <v>0.109390125847047</v>
      </c>
    </row>
    <row r="24" customFormat="false" ht="15" hidden="false" customHeight="false" outlineLevel="0" collapsed="false">
      <c r="A24" s="13" t="s">
        <v>228</v>
      </c>
      <c r="B24" s="44" t="n">
        <f aca="false">COUNTIFS(Respuestas!$H$2:$H$1034,"",Respuestas!$E$2:$E$1034,"Sí")</f>
        <v>24</v>
      </c>
      <c r="C24" s="36" t="n">
        <f aca="false">IFERROR(B24/COUNTIFS(Respuestas!$E$2:$E$1034,"Sí"),"—")</f>
        <v>0.029126213592233</v>
      </c>
      <c r="D24" s="44" t="n">
        <f aca="false">COUNTIFS(Respuestas!$H$2:$H$1034,"",Respuestas!$E$2:$E$1034,"No")</f>
        <v>9</v>
      </c>
      <c r="E24" s="36" t="n">
        <f aca="false">IFERROR(D24/COUNTIFS(Respuestas!$E$2:$E$1034,"No"),"—")</f>
        <v>0.0430622009569378</v>
      </c>
      <c r="F24" s="45" t="n">
        <f aca="false">COUNTIFS(Respuestas!$H$2:$H$1034,"")</f>
        <v>36</v>
      </c>
      <c r="G24" s="37" t="n">
        <f aca="false">IFERROR(F24/COUNT(Respuestas!$B$2:$B$1034),"—")</f>
        <v>0.0348499515972895</v>
      </c>
    </row>
    <row r="25" customFormat="false" ht="15" hidden="false" customHeight="false" outlineLevel="0" collapsed="false">
      <c r="A25" s="51" t="s">
        <v>229</v>
      </c>
      <c r="B25" s="35" t="n">
        <f aca="false">COUNTIFS(Respuestas!$E$2:$E$1034,"Sí")</f>
        <v>824</v>
      </c>
      <c r="D25" s="35" t="n">
        <f aca="false">COUNTIFS(Respuestas!$E$2:$E$1034,"No")</f>
        <v>209</v>
      </c>
      <c r="F25" s="35" t="n">
        <f aca="false">COUNT(Respuestas!$B$2:$B$1034)</f>
        <v>1033</v>
      </c>
    </row>
    <row r="26" customFormat="false" ht="15" hidden="false" customHeight="false" outlineLevel="0" collapsed="false">
      <c r="A26" s="10" t="s">
        <v>230</v>
      </c>
      <c r="B26" s="40" t="n">
        <f aca="false" t="array" ref="B26:B26">IFERROR(MEDIAN(IF((Respuestas!$E$2:$E$1034="Sí")*(Respuestas!$H$2:$H$1034&lt;&gt;""),Respuestas!$H$2:$H$1034)),"—")</f>
        <v>2.9</v>
      </c>
      <c r="D26" s="40" t="n">
        <f aca="false" t="array" ref="D26:D26">IFERROR(MEDIAN(IF((Respuestas!$E$2:$E$1034="No")*(Respuestas!$H$2:$H$1034&lt;&gt;""),Respuestas!$H$2:$H$1034)),"—")</f>
        <v>4.1</v>
      </c>
      <c r="F26" s="41" t="n">
        <f aca="false">IFERROR(MEDIAN(Respuestas!$H$2:$H$1034),"—")</f>
        <v>3.1</v>
      </c>
    </row>
    <row r="27" customFormat="false" ht="15" hidden="false" customHeight="false" outlineLevel="0" collapsed="false">
      <c r="A27" s="10" t="s">
        <v>231</v>
      </c>
      <c r="C27" s="38" t="n">
        <f aca="false">IFERROR(COUNTIFS(Respuestas!$E$2:$E$1034,"Sí",Respuestas!$I$2:$I$1034,"Bot")/B25,"—")</f>
        <v>0.305825242718447</v>
      </c>
      <c r="E27" s="38" t="n">
        <f aca="false">IFERROR(COUNTIFS(Respuestas!$E$2:$E$1034,"No",Respuestas!$I$2:$I$1034,"Bot")/D25,"—")</f>
        <v>0.37799043062201</v>
      </c>
      <c r="G27" s="39" t="n">
        <f aca="false">IFERROR(COUNTIFS(Respuestas!$I$2:$I$1034,"Bot")/F25,"—")</f>
        <v>0.320425943852856</v>
      </c>
    </row>
    <row r="28" customFormat="false" ht="15" hidden="false" customHeight="false" outlineLevel="0" collapsed="false">
      <c r="A28" s="30" t="s">
        <v>232</v>
      </c>
    </row>
    <row r="30" customFormat="false" ht="21.75" hidden="false" customHeight="true" outlineLevel="0" collapsed="false">
      <c r="A30" s="7" t="s">
        <v>233</v>
      </c>
    </row>
    <row r="31" customFormat="false" ht="30" hidden="false" customHeight="true" outlineLevel="0" collapsed="false">
      <c r="A31" s="8" t="s">
        <v>234</v>
      </c>
      <c r="B31" s="9" t="s">
        <v>79</v>
      </c>
      <c r="C31" s="9" t="s">
        <v>198</v>
      </c>
      <c r="D31" s="9" t="s">
        <v>211</v>
      </c>
      <c r="E31" s="9" t="s">
        <v>235</v>
      </c>
      <c r="F31" s="9" t="s">
        <v>27</v>
      </c>
      <c r="G31" s="9" t="s">
        <v>175</v>
      </c>
    </row>
    <row r="32" customFormat="false" ht="15" hidden="false" customHeight="false" outlineLevel="0" collapsed="false">
      <c r="A32" s="10" t="s">
        <v>236</v>
      </c>
      <c r="B32" s="35" t="n">
        <f aca="false">COUNTIFS(Datos!$E$2:$E$408,0)</f>
        <v>5</v>
      </c>
      <c r="C32" s="38" t="n">
        <f aca="false">IFERROR(B32/COUNT(Datos!$B$2:$B$408),"—")</f>
        <v>0.0122850122850123</v>
      </c>
      <c r="D32" s="38" t="n">
        <f aca="false">IFERROR(COUNTIFS(Datos!$E$2:$E$408,0,Datos!$G$2:$G$408,"Sí")/B32,"—")</f>
        <v>0.4</v>
      </c>
      <c r="E32" s="40" t="n">
        <f aca="false" t="array" ref="E32:E32">IFERROR(MEDIAN(IF((Datos!$E$2:$E$408=0)*(Datos!$J$2:$J$408&lt;&gt;""),Datos!$J$2:$J$408)),"—")</f>
        <v>423.6</v>
      </c>
      <c r="F32" s="34" t="n">
        <f aca="false">COUNTIFS(Datos!$E$2:$E$408,0,Datos!$AQ$2:$AQ$408,"Sí")</f>
        <v>0</v>
      </c>
      <c r="G32" s="38" t="n">
        <f aca="false">IFERROR(F32/B32,"—")</f>
        <v>0</v>
      </c>
    </row>
    <row r="33" customFormat="false" ht="15" hidden="false" customHeight="false" outlineLevel="0" collapsed="false">
      <c r="A33" s="13" t="s">
        <v>237</v>
      </c>
      <c r="B33" s="45" t="n">
        <f aca="false">COUNTIFS(Datos!$E$2:$E$408,1)</f>
        <v>5</v>
      </c>
      <c r="C33" s="36" t="n">
        <f aca="false">IFERROR(B33/COUNT(Datos!$B$2:$B$408),"—")</f>
        <v>0.0122850122850123</v>
      </c>
      <c r="D33" s="36" t="n">
        <f aca="false">IFERROR(COUNTIFS(Datos!$E$2:$E$408,1,Datos!$G$2:$G$408,"Sí")/B33,"—")</f>
        <v>0.4</v>
      </c>
      <c r="E33" s="42" t="n">
        <f aca="false" t="array" ref="E33:E33">IFERROR(MEDIAN(IF((Datos!$E$2:$E$408=1)*(Datos!$J$2:$J$408&lt;&gt;""),Datos!$J$2:$J$408)),"—")</f>
        <v>320.2</v>
      </c>
      <c r="F33" s="44" t="n">
        <f aca="false">COUNTIFS(Datos!$E$2:$E$408,1,Datos!$AQ$2:$AQ$408,"Sí")</f>
        <v>0</v>
      </c>
      <c r="G33" s="36" t="n">
        <f aca="false">IFERROR(F33/B33,"—")</f>
        <v>0</v>
      </c>
    </row>
    <row r="34" customFormat="false" ht="15" hidden="false" customHeight="false" outlineLevel="0" collapsed="false">
      <c r="A34" s="10" t="s">
        <v>238</v>
      </c>
      <c r="B34" s="35" t="n">
        <f aca="false">COUNTIFS(Datos!$E$2:$E$408,2)</f>
        <v>3</v>
      </c>
      <c r="C34" s="38" t="n">
        <f aca="false">IFERROR(B34/COUNT(Datos!$B$2:$B$408),"—")</f>
        <v>0.00737100737100737</v>
      </c>
      <c r="D34" s="38" t="n">
        <f aca="false">IFERROR(COUNTIFS(Datos!$E$2:$E$408,2,Datos!$G$2:$G$408,"Sí")/B34,"—")</f>
        <v>0.333333333333333</v>
      </c>
      <c r="E34" s="40" t="n">
        <f aca="false" t="array" ref="E34:E34">IFERROR(MEDIAN(IF((Datos!$E$2:$E$408=2)*(Datos!$J$2:$J$408&lt;&gt;""),Datos!$J$2:$J$408)),"—")</f>
        <v>269.5</v>
      </c>
      <c r="F34" s="34" t="n">
        <f aca="false">COUNTIFS(Datos!$E$2:$E$408,2,Datos!$AQ$2:$AQ$408,"Sí")</f>
        <v>0</v>
      </c>
      <c r="G34" s="38" t="n">
        <f aca="false">IFERROR(F34/B34,"—")</f>
        <v>0</v>
      </c>
    </row>
    <row r="35" customFormat="false" ht="15" hidden="false" customHeight="false" outlineLevel="0" collapsed="false">
      <c r="A35" s="13" t="s">
        <v>239</v>
      </c>
      <c r="B35" s="45" t="n">
        <f aca="false">COUNTIFS(Datos!$E$2:$E$408,3)</f>
        <v>0</v>
      </c>
      <c r="C35" s="36" t="n">
        <f aca="false">IFERROR(B35/COUNT(Datos!$B$2:$B$408),"—")</f>
        <v>0</v>
      </c>
      <c r="D35" s="36" t="str">
        <f aca="false">IFERROR(COUNTIFS(Datos!$E$2:$E$408,3,Datos!$G$2:$G$408,"Sí")/B35,"—")</f>
        <v>—</v>
      </c>
      <c r="E35" s="42" t="str">
        <f aca="false" t="array" ref="E35:E35">IFERROR(MEDIAN(IF((Datos!$E$2:$E$408=3)*(Datos!$J$2:$J$408&lt;&gt;""),Datos!$J$2:$J$408)),"—")</f>
        <v>—</v>
      </c>
      <c r="F35" s="44" t="n">
        <f aca="false">COUNTIFS(Datos!$E$2:$E$408,3,Datos!$AQ$2:$AQ$408,"Sí")</f>
        <v>0</v>
      </c>
      <c r="G35" s="36" t="str">
        <f aca="false">IFERROR(F35/B35,"—")</f>
        <v>—</v>
      </c>
    </row>
    <row r="36" customFormat="false" ht="15" hidden="false" customHeight="false" outlineLevel="0" collapsed="false">
      <c r="A36" s="10" t="s">
        <v>240</v>
      </c>
      <c r="B36" s="35" t="n">
        <f aca="false">COUNTIFS(Datos!$E$2:$E$408,4)</f>
        <v>3</v>
      </c>
      <c r="C36" s="38" t="n">
        <f aca="false">IFERROR(B36/COUNT(Datos!$B$2:$B$408),"—")</f>
        <v>0.00737100737100737</v>
      </c>
      <c r="D36" s="38" t="n">
        <f aca="false">IFERROR(COUNTIFS(Datos!$E$2:$E$408,4,Datos!$G$2:$G$408,"Sí")/B36,"—")</f>
        <v>0.333333333333333</v>
      </c>
      <c r="E36" s="40" t="n">
        <f aca="false" t="array" ref="E36:E36">IFERROR(MEDIAN(IF((Datos!$E$2:$E$408=4)*(Datos!$J$2:$J$408&lt;&gt;""),Datos!$J$2:$J$408)),"—")</f>
        <v>191.4</v>
      </c>
      <c r="F36" s="34" t="n">
        <f aca="false">COUNTIFS(Datos!$E$2:$E$408,4,Datos!$AQ$2:$AQ$408,"Sí")</f>
        <v>0</v>
      </c>
      <c r="G36" s="38" t="n">
        <f aca="false">IFERROR(F36/B36,"—")</f>
        <v>0</v>
      </c>
    </row>
    <row r="37" customFormat="false" ht="15" hidden="false" customHeight="false" outlineLevel="0" collapsed="false">
      <c r="A37" s="13" t="s">
        <v>241</v>
      </c>
      <c r="B37" s="45" t="n">
        <f aca="false">COUNTIFS(Datos!$E$2:$E$408,5)</f>
        <v>3</v>
      </c>
      <c r="C37" s="36" t="n">
        <f aca="false">IFERROR(B37/COUNT(Datos!$B$2:$B$408),"—")</f>
        <v>0.00737100737100737</v>
      </c>
      <c r="D37" s="36" t="n">
        <f aca="false">IFERROR(COUNTIFS(Datos!$E$2:$E$408,5,Datos!$G$2:$G$408,"Sí")/B37,"—")</f>
        <v>1</v>
      </c>
      <c r="E37" s="42" t="n">
        <f aca="false" t="array" ref="E37:E37">IFERROR(MEDIAN(IF((Datos!$E$2:$E$408=5)*(Datos!$J$2:$J$408&lt;&gt;""),Datos!$J$2:$J$408)),"—")</f>
        <v>117.6</v>
      </c>
      <c r="F37" s="44" t="n">
        <f aca="false">COUNTIFS(Datos!$E$2:$E$408,5,Datos!$AQ$2:$AQ$408,"Sí")</f>
        <v>0</v>
      </c>
      <c r="G37" s="36" t="n">
        <f aca="false">IFERROR(F37/B37,"—")</f>
        <v>0</v>
      </c>
    </row>
    <row r="38" customFormat="false" ht="15" hidden="false" customHeight="false" outlineLevel="0" collapsed="false">
      <c r="A38" s="10" t="s">
        <v>242</v>
      </c>
      <c r="B38" s="35" t="n">
        <f aca="false">COUNTIFS(Datos!$E$2:$E$408,6)</f>
        <v>9</v>
      </c>
      <c r="C38" s="38" t="n">
        <f aca="false">IFERROR(B38/COUNT(Datos!$B$2:$B$408),"—")</f>
        <v>0.0221130221130221</v>
      </c>
      <c r="D38" s="38" t="n">
        <f aca="false">IFERROR(COUNTIFS(Datos!$E$2:$E$408,6,Datos!$G$2:$G$408,"Sí")/B38,"—")</f>
        <v>0.555555555555556</v>
      </c>
      <c r="E38" s="40" t="n">
        <f aca="false" t="array" ref="E38:E38">IFERROR(MEDIAN(IF((Datos!$E$2:$E$408=6)*(Datos!$J$2:$J$408&lt;&gt;""),Datos!$J$2:$J$408)),"—")</f>
        <v>75.4</v>
      </c>
      <c r="F38" s="34" t="n">
        <f aca="false">COUNTIFS(Datos!$E$2:$E$408,6,Datos!$AQ$2:$AQ$408,"Sí")</f>
        <v>0</v>
      </c>
      <c r="G38" s="38" t="n">
        <f aca="false">IFERROR(F38/B38,"—")</f>
        <v>0</v>
      </c>
    </row>
    <row r="39" customFormat="false" ht="15" hidden="false" customHeight="false" outlineLevel="0" collapsed="false">
      <c r="A39" s="13" t="s">
        <v>243</v>
      </c>
      <c r="B39" s="45" t="n">
        <f aca="false">COUNTIFS(Datos!$E$2:$E$408,7)</f>
        <v>14</v>
      </c>
      <c r="C39" s="36" t="n">
        <f aca="false">IFERROR(B39/COUNT(Datos!$B$2:$B$408),"—")</f>
        <v>0.0343980343980344</v>
      </c>
      <c r="D39" s="36" t="n">
        <f aca="false">IFERROR(COUNTIFS(Datos!$E$2:$E$408,7,Datos!$G$2:$G$408,"Sí")/B39,"—")</f>
        <v>0.928571428571429</v>
      </c>
      <c r="E39" s="42" t="n">
        <f aca="false" t="array" ref="E39:E39">IFERROR(MEDIAN(IF((Datos!$E$2:$E$408=7)*(Datos!$J$2:$J$408&lt;&gt;""),Datos!$J$2:$J$408)),"—")</f>
        <v>2.9</v>
      </c>
      <c r="F39" s="44" t="n">
        <f aca="false">COUNTIFS(Datos!$E$2:$E$408,7,Datos!$AQ$2:$AQ$408,"Sí")</f>
        <v>0</v>
      </c>
      <c r="G39" s="36" t="n">
        <f aca="false">IFERROR(F39/B39,"—")</f>
        <v>0</v>
      </c>
    </row>
    <row r="40" customFormat="false" ht="15" hidden="false" customHeight="false" outlineLevel="0" collapsed="false">
      <c r="A40" s="10" t="s">
        <v>244</v>
      </c>
      <c r="B40" s="35" t="n">
        <f aca="false">COUNTIFS(Datos!$E$2:$E$408,8)</f>
        <v>11</v>
      </c>
      <c r="C40" s="38" t="n">
        <f aca="false">IFERROR(B40/COUNT(Datos!$B$2:$B$408),"—")</f>
        <v>0.027027027027027</v>
      </c>
      <c r="D40" s="38" t="n">
        <f aca="false">IFERROR(COUNTIFS(Datos!$E$2:$E$408,8,Datos!$G$2:$G$408,"Sí")/B40,"—")</f>
        <v>0.727272727272727</v>
      </c>
      <c r="E40" s="40" t="n">
        <f aca="false" t="array" ref="E40:E40">IFERROR(MEDIAN(IF((Datos!$E$2:$E$408=8)*(Datos!$J$2:$J$408&lt;&gt;""),Datos!$J$2:$J$408)),"—")</f>
        <v>1.3</v>
      </c>
      <c r="F40" s="34" t="n">
        <f aca="false">COUNTIFS(Datos!$E$2:$E$408,8,Datos!$AQ$2:$AQ$408,"Sí")</f>
        <v>0</v>
      </c>
      <c r="G40" s="38" t="n">
        <f aca="false">IFERROR(F40/B40,"—")</f>
        <v>0</v>
      </c>
    </row>
    <row r="41" customFormat="false" ht="15" hidden="false" customHeight="false" outlineLevel="0" collapsed="false">
      <c r="A41" s="13" t="s">
        <v>245</v>
      </c>
      <c r="B41" s="45" t="n">
        <f aca="false">COUNTIFS(Datos!$E$2:$E$408,9)</f>
        <v>15</v>
      </c>
      <c r="C41" s="36" t="n">
        <f aca="false">IFERROR(B41/COUNT(Datos!$B$2:$B$408),"—")</f>
        <v>0.0368550368550369</v>
      </c>
      <c r="D41" s="36" t="n">
        <f aca="false">IFERROR(COUNTIFS(Datos!$E$2:$E$408,9,Datos!$G$2:$G$408,"Sí")/B41,"—")</f>
        <v>0.266666666666667</v>
      </c>
      <c r="E41" s="42" t="n">
        <f aca="false" t="array" ref="E41:E41">IFERROR(MEDIAN(IF((Datos!$E$2:$E$408=9)*(Datos!$J$2:$J$408&lt;&gt;""),Datos!$J$2:$J$408)),"—")</f>
        <v>0.45</v>
      </c>
      <c r="F41" s="44" t="n">
        <f aca="false">COUNTIFS(Datos!$E$2:$E$408,9,Datos!$AQ$2:$AQ$408,"Sí")</f>
        <v>1</v>
      </c>
      <c r="G41" s="36" t="n">
        <f aca="false">IFERROR(F41/B41,"—")</f>
        <v>0.0666666666666667</v>
      </c>
    </row>
    <row r="42" customFormat="false" ht="15" hidden="false" customHeight="false" outlineLevel="0" collapsed="false">
      <c r="A42" s="10" t="s">
        <v>246</v>
      </c>
      <c r="B42" s="35" t="n">
        <f aca="false">COUNTIFS(Datos!$E$2:$E$408,10)</f>
        <v>27</v>
      </c>
      <c r="C42" s="38" t="n">
        <f aca="false">IFERROR(B42/COUNT(Datos!$B$2:$B$408),"—")</f>
        <v>0.0663390663390663</v>
      </c>
      <c r="D42" s="38" t="n">
        <f aca="false">IFERROR(COUNTIFS(Datos!$E$2:$E$408,10,Datos!$G$2:$G$408,"Sí")/B42,"—")</f>
        <v>0.703703703703704</v>
      </c>
      <c r="E42" s="40" t="n">
        <f aca="false" t="array" ref="E42:E42">IFERROR(MEDIAN(IF((Datos!$E$2:$E$408=10)*(Datos!$J$2:$J$408&lt;&gt;""),Datos!$J$2:$J$408)),"—")</f>
        <v>0.55</v>
      </c>
      <c r="F42" s="34" t="n">
        <f aca="false">COUNTIFS(Datos!$E$2:$E$408,10,Datos!$AQ$2:$AQ$408,"Sí")</f>
        <v>0</v>
      </c>
      <c r="G42" s="38" t="n">
        <f aca="false">IFERROR(F42/B42,"—")</f>
        <v>0</v>
      </c>
    </row>
    <row r="43" customFormat="false" ht="15" hidden="false" customHeight="false" outlineLevel="0" collapsed="false">
      <c r="A43" s="13" t="s">
        <v>247</v>
      </c>
      <c r="B43" s="45" t="n">
        <f aca="false">COUNTIFS(Datos!$E$2:$E$408,11)</f>
        <v>34</v>
      </c>
      <c r="C43" s="36" t="n">
        <f aca="false">IFERROR(B43/COUNT(Datos!$B$2:$B$408),"—")</f>
        <v>0.0835380835380835</v>
      </c>
      <c r="D43" s="36" t="n">
        <f aca="false">IFERROR(COUNTIFS(Datos!$E$2:$E$408,11,Datos!$G$2:$G$408,"Sí")/B43,"—")</f>
        <v>0.617647058823529</v>
      </c>
      <c r="E43" s="42" t="n">
        <f aca="false" t="array" ref="E43:E43">IFERROR(MEDIAN(IF((Datos!$E$2:$E$408=11)*(Datos!$J$2:$J$408&lt;&gt;""),Datos!$J$2:$J$408)),"—")</f>
        <v>0.4</v>
      </c>
      <c r="F43" s="44" t="n">
        <f aca="false">COUNTIFS(Datos!$E$2:$E$408,11,Datos!$AQ$2:$AQ$408,"Sí")</f>
        <v>2</v>
      </c>
      <c r="G43" s="36" t="n">
        <f aca="false">IFERROR(F43/B43,"—")</f>
        <v>0.0588235294117647</v>
      </c>
    </row>
    <row r="44" customFormat="false" ht="15" hidden="false" customHeight="false" outlineLevel="0" collapsed="false">
      <c r="A44" s="10" t="s">
        <v>248</v>
      </c>
      <c r="B44" s="35" t="n">
        <f aca="false">COUNTIFS(Datos!$E$2:$E$408,12)</f>
        <v>29</v>
      </c>
      <c r="C44" s="38" t="n">
        <f aca="false">IFERROR(B44/COUNT(Datos!$B$2:$B$408),"—")</f>
        <v>0.0712530712530713</v>
      </c>
      <c r="D44" s="38" t="n">
        <f aca="false">IFERROR(COUNTIFS(Datos!$E$2:$E$408,12,Datos!$G$2:$G$408,"Sí")/B44,"—")</f>
        <v>0.655172413793103</v>
      </c>
      <c r="E44" s="40" t="n">
        <f aca="false" t="array" ref="E44:E44">IFERROR(MEDIAN(IF((Datos!$E$2:$E$408=12)*(Datos!$J$2:$J$408&lt;&gt;""),Datos!$J$2:$J$408)),"—")</f>
        <v>0.5</v>
      </c>
      <c r="F44" s="34" t="n">
        <f aca="false">COUNTIFS(Datos!$E$2:$E$408,12,Datos!$AQ$2:$AQ$408,"Sí")</f>
        <v>0</v>
      </c>
      <c r="G44" s="38" t="n">
        <f aca="false">IFERROR(F44/B44,"—")</f>
        <v>0</v>
      </c>
    </row>
    <row r="45" customFormat="false" ht="15" hidden="false" customHeight="false" outlineLevel="0" collapsed="false">
      <c r="A45" s="13" t="s">
        <v>249</v>
      </c>
      <c r="B45" s="45" t="n">
        <f aca="false">COUNTIFS(Datos!$E$2:$E$408,13)</f>
        <v>23</v>
      </c>
      <c r="C45" s="36" t="n">
        <f aca="false">IFERROR(B45/COUNT(Datos!$B$2:$B$408),"—")</f>
        <v>0.0565110565110565</v>
      </c>
      <c r="D45" s="36" t="n">
        <f aca="false">IFERROR(COUNTIFS(Datos!$E$2:$E$408,13,Datos!$G$2:$G$408,"Sí")/B45,"—")</f>
        <v>0.608695652173913</v>
      </c>
      <c r="E45" s="42" t="n">
        <f aca="false" t="array" ref="E45:E45">IFERROR(MEDIAN(IF((Datos!$E$2:$E$408=13)*(Datos!$J$2:$J$408&lt;&gt;""),Datos!$J$2:$J$408)),"—")</f>
        <v>0.45</v>
      </c>
      <c r="F45" s="44" t="n">
        <f aca="false">COUNTIFS(Datos!$E$2:$E$408,13,Datos!$AQ$2:$AQ$408,"Sí")</f>
        <v>2</v>
      </c>
      <c r="G45" s="36" t="n">
        <f aca="false">IFERROR(F45/B45,"—")</f>
        <v>0.0869565217391304</v>
      </c>
    </row>
    <row r="46" customFormat="false" ht="15" hidden="false" customHeight="false" outlineLevel="0" collapsed="false">
      <c r="A46" s="10" t="s">
        <v>250</v>
      </c>
      <c r="B46" s="35" t="n">
        <f aca="false">COUNTIFS(Datos!$E$2:$E$408,14)</f>
        <v>22</v>
      </c>
      <c r="C46" s="38" t="n">
        <f aca="false">IFERROR(B46/COUNT(Datos!$B$2:$B$408),"—")</f>
        <v>0.0540540540540541</v>
      </c>
      <c r="D46" s="38" t="n">
        <f aca="false">IFERROR(COUNTIFS(Datos!$E$2:$E$408,14,Datos!$G$2:$G$408,"Sí")/B46,"—")</f>
        <v>0.772727272727273</v>
      </c>
      <c r="E46" s="40" t="n">
        <f aca="false" t="array" ref="E46:E46">IFERROR(MEDIAN(IF((Datos!$E$2:$E$408=14)*(Datos!$J$2:$J$408&lt;&gt;""),Datos!$J$2:$J$408)),"—")</f>
        <v>0.4</v>
      </c>
      <c r="F46" s="34" t="n">
        <f aca="false">COUNTIFS(Datos!$E$2:$E$408,14,Datos!$AQ$2:$AQ$408,"Sí")</f>
        <v>0</v>
      </c>
      <c r="G46" s="38" t="n">
        <f aca="false">IFERROR(F46/B46,"—")</f>
        <v>0</v>
      </c>
    </row>
    <row r="47" customFormat="false" ht="15" hidden="false" customHeight="false" outlineLevel="0" collapsed="false">
      <c r="A47" s="13" t="s">
        <v>251</v>
      </c>
      <c r="B47" s="45" t="n">
        <f aca="false">COUNTIFS(Datos!$E$2:$E$408,15)</f>
        <v>26</v>
      </c>
      <c r="C47" s="36" t="n">
        <f aca="false">IFERROR(B47/COUNT(Datos!$B$2:$B$408),"—")</f>
        <v>0.0638820638820639</v>
      </c>
      <c r="D47" s="36" t="n">
        <f aca="false">IFERROR(COUNTIFS(Datos!$E$2:$E$408,15,Datos!$G$2:$G$408,"Sí")/B47,"—")</f>
        <v>0.538461538461538</v>
      </c>
      <c r="E47" s="42" t="n">
        <f aca="false" t="array" ref="E47:E47">IFERROR(MEDIAN(IF((Datos!$E$2:$E$408=15)*(Datos!$J$2:$J$408&lt;&gt;""),Datos!$J$2:$J$408)),"—")</f>
        <v>0.65</v>
      </c>
      <c r="F47" s="44" t="n">
        <f aca="false">COUNTIFS(Datos!$E$2:$E$408,15,Datos!$AQ$2:$AQ$408,"Sí")</f>
        <v>0</v>
      </c>
      <c r="G47" s="36" t="n">
        <f aca="false">IFERROR(F47/B47,"—")</f>
        <v>0</v>
      </c>
    </row>
    <row r="48" customFormat="false" ht="15" hidden="false" customHeight="false" outlineLevel="0" collapsed="false">
      <c r="A48" s="10" t="s">
        <v>252</v>
      </c>
      <c r="B48" s="35" t="n">
        <f aca="false">COUNTIFS(Datos!$E$2:$E$408,16)</f>
        <v>35</v>
      </c>
      <c r="C48" s="38" t="n">
        <f aca="false">IFERROR(B48/COUNT(Datos!$B$2:$B$408),"—")</f>
        <v>0.085995085995086</v>
      </c>
      <c r="D48" s="38" t="n">
        <f aca="false">IFERROR(COUNTIFS(Datos!$E$2:$E$408,16,Datos!$G$2:$G$408,"Sí")/B48,"—")</f>
        <v>0.542857142857143</v>
      </c>
      <c r="E48" s="40" t="n">
        <f aca="false" t="array" ref="E48:E48">IFERROR(MEDIAN(IF((Datos!$E$2:$E$408=16)*(Datos!$J$2:$J$408&lt;&gt;""),Datos!$J$2:$J$408)),"—")</f>
        <v>0.4</v>
      </c>
      <c r="F48" s="34" t="n">
        <f aca="false">COUNTIFS(Datos!$E$2:$E$408,16,Datos!$AQ$2:$AQ$408,"Sí")</f>
        <v>0</v>
      </c>
      <c r="G48" s="38" t="n">
        <f aca="false">IFERROR(F48/B48,"—")</f>
        <v>0</v>
      </c>
    </row>
    <row r="49" customFormat="false" ht="15" hidden="false" customHeight="false" outlineLevel="0" collapsed="false">
      <c r="A49" s="13" t="s">
        <v>253</v>
      </c>
      <c r="B49" s="45" t="n">
        <f aca="false">COUNTIFS(Datos!$E$2:$E$408,17)</f>
        <v>18</v>
      </c>
      <c r="C49" s="36" t="n">
        <f aca="false">IFERROR(B49/COUNT(Datos!$B$2:$B$408),"—")</f>
        <v>0.0442260442260442</v>
      </c>
      <c r="D49" s="36" t="n">
        <f aca="false">IFERROR(COUNTIFS(Datos!$E$2:$E$408,17,Datos!$G$2:$G$408,"Sí")/B49,"—")</f>
        <v>0.833333333333333</v>
      </c>
      <c r="E49" s="42" t="n">
        <f aca="false" t="array" ref="E49:E49">IFERROR(MEDIAN(IF((Datos!$E$2:$E$408=17)*(Datos!$J$2:$J$408&lt;&gt;""),Datos!$J$2:$J$408)),"—")</f>
        <v>0.7</v>
      </c>
      <c r="F49" s="44" t="n">
        <f aca="false">COUNTIFS(Datos!$E$2:$E$408,17,Datos!$AQ$2:$AQ$408,"Sí")</f>
        <v>1</v>
      </c>
      <c r="G49" s="36" t="n">
        <f aca="false">IFERROR(F49/B49,"—")</f>
        <v>0.0555555555555556</v>
      </c>
    </row>
    <row r="50" customFormat="false" ht="15" hidden="false" customHeight="false" outlineLevel="0" collapsed="false">
      <c r="A50" s="10" t="s">
        <v>254</v>
      </c>
      <c r="B50" s="35" t="n">
        <f aca="false">COUNTIFS(Datos!$E$2:$E$408,18)</f>
        <v>27</v>
      </c>
      <c r="C50" s="38" t="n">
        <f aca="false">IFERROR(B50/COUNT(Datos!$B$2:$B$408),"—")</f>
        <v>0.0663390663390663</v>
      </c>
      <c r="D50" s="38" t="n">
        <f aca="false">IFERROR(COUNTIFS(Datos!$E$2:$E$408,18,Datos!$G$2:$G$408,"Sí")/B50,"—")</f>
        <v>0.592592592592593</v>
      </c>
      <c r="E50" s="40" t="n">
        <f aca="false" t="array" ref="E50:E50">IFERROR(MEDIAN(IF((Datos!$E$2:$E$408=18)*(Datos!$J$2:$J$408&lt;&gt;""),Datos!$J$2:$J$408)),"—")</f>
        <v>0.35</v>
      </c>
      <c r="F50" s="34" t="n">
        <f aca="false">COUNTIFS(Datos!$E$2:$E$408,18,Datos!$AQ$2:$AQ$408,"Sí")</f>
        <v>1</v>
      </c>
      <c r="G50" s="38" t="n">
        <f aca="false">IFERROR(F50/B50,"—")</f>
        <v>0.037037037037037</v>
      </c>
    </row>
    <row r="51" customFormat="false" ht="15" hidden="false" customHeight="false" outlineLevel="0" collapsed="false">
      <c r="A51" s="13" t="s">
        <v>255</v>
      </c>
      <c r="B51" s="45" t="n">
        <f aca="false">COUNTIFS(Datos!$E$2:$E$408,19)</f>
        <v>26</v>
      </c>
      <c r="C51" s="36" t="n">
        <f aca="false">IFERROR(B51/COUNT(Datos!$B$2:$B$408),"—")</f>
        <v>0.0638820638820639</v>
      </c>
      <c r="D51" s="36" t="n">
        <f aca="false">IFERROR(COUNTIFS(Datos!$E$2:$E$408,19,Datos!$G$2:$G$408,"Sí")/B51,"—")</f>
        <v>0.576923076923077</v>
      </c>
      <c r="E51" s="42" t="n">
        <f aca="false" t="array" ref="E51:E51">IFERROR(MEDIAN(IF((Datos!$E$2:$E$408=19)*(Datos!$J$2:$J$408&lt;&gt;""),Datos!$J$2:$J$408)),"—")</f>
        <v>0.5</v>
      </c>
      <c r="F51" s="44" t="n">
        <f aca="false">COUNTIFS(Datos!$E$2:$E$408,19,Datos!$AQ$2:$AQ$408,"Sí")</f>
        <v>1</v>
      </c>
      <c r="G51" s="36" t="n">
        <f aca="false">IFERROR(F51/B51,"—")</f>
        <v>0.0384615384615385</v>
      </c>
    </row>
    <row r="52" customFormat="false" ht="15" hidden="false" customHeight="false" outlineLevel="0" collapsed="false">
      <c r="A52" s="10" t="s">
        <v>256</v>
      </c>
      <c r="B52" s="35" t="n">
        <f aca="false">COUNTIFS(Datos!$E$2:$E$408,20)</f>
        <v>23</v>
      </c>
      <c r="C52" s="38" t="n">
        <f aca="false">IFERROR(B52/COUNT(Datos!$B$2:$B$408),"—")</f>
        <v>0.0565110565110565</v>
      </c>
      <c r="D52" s="38" t="n">
        <f aca="false">IFERROR(COUNTIFS(Datos!$E$2:$E$408,20,Datos!$G$2:$G$408,"Sí")/B52,"—")</f>
        <v>0.652173913043478</v>
      </c>
      <c r="E52" s="40" t="n">
        <f aca="false" t="array" ref="E52:E52">IFERROR(MEDIAN(IF((Datos!$E$2:$E$408=20)*(Datos!$J$2:$J$408&lt;&gt;""),Datos!$J$2:$J$408)),"—")</f>
        <v>1.6</v>
      </c>
      <c r="F52" s="34" t="n">
        <f aca="false">COUNTIFS(Datos!$E$2:$E$408,20,Datos!$AQ$2:$AQ$408,"Sí")</f>
        <v>1</v>
      </c>
      <c r="G52" s="38" t="n">
        <f aca="false">IFERROR(F52/B52,"—")</f>
        <v>0.0434782608695652</v>
      </c>
    </row>
    <row r="53" customFormat="false" ht="15" hidden="false" customHeight="false" outlineLevel="0" collapsed="false">
      <c r="A53" s="13" t="s">
        <v>257</v>
      </c>
      <c r="B53" s="45" t="n">
        <f aca="false">COUNTIFS(Datos!$E$2:$E$408,21)</f>
        <v>19</v>
      </c>
      <c r="C53" s="36" t="n">
        <f aca="false">IFERROR(B53/COUNT(Datos!$B$2:$B$408),"—")</f>
        <v>0.0466830466830467</v>
      </c>
      <c r="D53" s="36" t="n">
        <f aca="false">IFERROR(COUNTIFS(Datos!$E$2:$E$408,21,Datos!$G$2:$G$408,"Sí")/B53,"—")</f>
        <v>0.631578947368421</v>
      </c>
      <c r="E53" s="42" t="n">
        <f aca="false" t="array" ref="E53:E53">IFERROR(MEDIAN(IF((Datos!$E$2:$E$408=21)*(Datos!$J$2:$J$408&lt;&gt;""),Datos!$J$2:$J$408)),"—")</f>
        <v>0.9</v>
      </c>
      <c r="F53" s="44" t="n">
        <f aca="false">COUNTIFS(Datos!$E$2:$E$408,21,Datos!$AQ$2:$AQ$408,"Sí")</f>
        <v>0</v>
      </c>
      <c r="G53" s="36" t="n">
        <f aca="false">IFERROR(F53/B53,"—")</f>
        <v>0</v>
      </c>
    </row>
    <row r="54" customFormat="false" ht="15" hidden="false" customHeight="false" outlineLevel="0" collapsed="false">
      <c r="A54" s="10" t="s">
        <v>258</v>
      </c>
      <c r="B54" s="35" t="n">
        <f aca="false">COUNTIFS(Datos!$E$2:$E$408,22)</f>
        <v>14</v>
      </c>
      <c r="C54" s="38" t="n">
        <f aca="false">IFERROR(B54/COUNT(Datos!$B$2:$B$408),"—")</f>
        <v>0.0343980343980344</v>
      </c>
      <c r="D54" s="38" t="n">
        <f aca="false">IFERROR(COUNTIFS(Datos!$E$2:$E$408,22,Datos!$G$2:$G$408,"Sí")/B54,"—")</f>
        <v>0.642857142857143</v>
      </c>
      <c r="E54" s="40" t="n">
        <f aca="false" t="array" ref="E54:E54">IFERROR(MEDIAN(IF((Datos!$E$2:$E$408=22)*(Datos!$J$2:$J$408&lt;&gt;""),Datos!$J$2:$J$408)),"—")</f>
        <v>487.2</v>
      </c>
      <c r="F54" s="34" t="n">
        <f aca="false">COUNTIFS(Datos!$E$2:$E$408,22,Datos!$AQ$2:$AQ$408,"Sí")</f>
        <v>1</v>
      </c>
      <c r="G54" s="38" t="n">
        <f aca="false">IFERROR(F54/B54,"—")</f>
        <v>0.0714285714285714</v>
      </c>
    </row>
    <row r="55" customFormat="false" ht="15" hidden="false" customHeight="false" outlineLevel="0" collapsed="false">
      <c r="A55" s="13" t="s">
        <v>259</v>
      </c>
      <c r="B55" s="45" t="n">
        <f aca="false">COUNTIFS(Datos!$E$2:$E$408,23)</f>
        <v>16</v>
      </c>
      <c r="C55" s="36" t="n">
        <f aca="false">IFERROR(B55/COUNT(Datos!$B$2:$B$408),"—")</f>
        <v>0.0393120393120393</v>
      </c>
      <c r="D55" s="36" t="n">
        <f aca="false">IFERROR(COUNTIFS(Datos!$E$2:$E$408,23,Datos!$G$2:$G$408,"Sí")/B55,"—")</f>
        <v>0.75</v>
      </c>
      <c r="E55" s="42" t="n">
        <f aca="false" t="array" ref="E55:E55">IFERROR(MEDIAN(IF((Datos!$E$2:$E$408=23)*(Datos!$J$2:$J$408&lt;&gt;""),Datos!$J$2:$J$408)),"—")</f>
        <v>458.2</v>
      </c>
      <c r="F55" s="44" t="n">
        <f aca="false">COUNTIFS(Datos!$E$2:$E$408,23,Datos!$AQ$2:$AQ$408,"Sí")</f>
        <v>0</v>
      </c>
      <c r="G55" s="36" t="n">
        <f aca="false">IFERROR(F55/B55,"—")</f>
        <v>0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" t="s">
        <v>260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6" t="s">
        <v>261</v>
      </c>
      <c r="B3" s="5"/>
      <c r="C3" s="5"/>
      <c r="D3" s="5"/>
      <c r="E3" s="5"/>
      <c r="F3" s="5"/>
      <c r="G3" s="5"/>
      <c r="H3" s="5"/>
    </row>
    <row r="5" customFormat="false" ht="21.75" hidden="false" customHeight="true" outlineLevel="0" collapsed="false">
      <c r="A5" s="7" t="s">
        <v>262</v>
      </c>
    </row>
    <row r="6" customFormat="false" ht="30" hidden="false" customHeight="true" outlineLevel="0" collapsed="false">
      <c r="A6" s="8" t="s">
        <v>263</v>
      </c>
      <c r="B6" s="9" t="s">
        <v>79</v>
      </c>
      <c r="C6" s="9" t="s">
        <v>198</v>
      </c>
      <c r="D6" s="9" t="s">
        <v>192</v>
      </c>
      <c r="E6" s="9" t="s">
        <v>175</v>
      </c>
    </row>
    <row r="7" customFormat="false" ht="15" hidden="false" customHeight="false" outlineLevel="0" collapsed="false">
      <c r="A7" s="10" t="s">
        <v>264</v>
      </c>
      <c r="B7" s="35" t="n">
        <f aca="false">COUNTIFS(Datos!$Z$2:$Z$408,"Sí")</f>
        <v>352</v>
      </c>
      <c r="C7" s="38" t="n">
        <f aca="false">IFERROR(B7/COUNT(Datos!$B$2:$B$408),"—")</f>
        <v>0.864864864864865</v>
      </c>
      <c r="D7" s="34" t="n">
        <f aca="false">COUNTIFS(Datos!$Z$2:$Z$408,"Sí",Datos!$AQ$2:$AQ$408,"Sí")</f>
        <v>8</v>
      </c>
      <c r="E7" s="38" t="n">
        <f aca="false">IFERROR(D7/B7,"—")</f>
        <v>0.0227272727272727</v>
      </c>
    </row>
    <row r="8" customFormat="false" ht="15" hidden="false" customHeight="false" outlineLevel="0" collapsed="false">
      <c r="A8" s="13" t="s">
        <v>265</v>
      </c>
      <c r="B8" s="45" t="n">
        <f aca="false">COUNTIFS(Datos!$AA$2:$AA$408,"*3,799*")</f>
        <v>346</v>
      </c>
      <c r="C8" s="36" t="n">
        <f aca="false">IFERROR(B8/COUNT(Datos!$B$2:$B$408),"—")</f>
        <v>0.85012285012285</v>
      </c>
      <c r="D8" s="44" t="n">
        <f aca="false">COUNTIFS(Datos!$AA$2:$AA$408,"*3,799*",Datos!$AQ$2:$AQ$408,"Sí")</f>
        <v>5</v>
      </c>
      <c r="E8" s="36" t="n">
        <f aca="false">IFERROR(D8/B8,"—")</f>
        <v>0.0144508670520231</v>
      </c>
    </row>
    <row r="9" customFormat="false" ht="15" hidden="false" customHeight="false" outlineLevel="0" collapsed="false">
      <c r="A9" s="10" t="s">
        <v>266</v>
      </c>
      <c r="B9" s="35" t="n">
        <f aca="false">COUNTIFS(Datos!$AA$2:$AA$408,"*3,400*")</f>
        <v>1</v>
      </c>
      <c r="C9" s="38" t="n">
        <f aca="false">IFERROR(B9/COUNT(Datos!$B$2:$B$408),"—")</f>
        <v>0.00245700245700246</v>
      </c>
      <c r="D9" s="34" t="n">
        <f aca="false">COUNTIFS(Datos!$AA$2:$AA$408,"*3,400*",Datos!$AQ$2:$AQ$408,"Sí")</f>
        <v>0</v>
      </c>
      <c r="E9" s="38" t="n">
        <f aca="false">IFERROR(D9/B9,"—")</f>
        <v>0</v>
      </c>
    </row>
    <row r="10" customFormat="false" ht="15" hidden="false" customHeight="false" outlineLevel="0" collapsed="false">
      <c r="A10" s="13" t="s">
        <v>267</v>
      </c>
      <c r="B10" s="45" t="n">
        <f aca="false">COUNTIFS(Datos!$AA$2:$AA$408,"*2,799*")</f>
        <v>306</v>
      </c>
      <c r="C10" s="36" t="n">
        <f aca="false">IFERROR(B10/COUNT(Datos!$B$2:$B$408),"—")</f>
        <v>0.751842751842752</v>
      </c>
      <c r="D10" s="44" t="n">
        <f aca="false">COUNTIFS(Datos!$AA$2:$AA$408,"*2,799*",Datos!$AQ$2:$AQ$408,"Sí")</f>
        <v>6</v>
      </c>
      <c r="E10" s="36" t="n">
        <f aca="false">IFERROR(D10/B10,"—")</f>
        <v>0.0196078431372549</v>
      </c>
    </row>
    <row r="11" customFormat="false" ht="15" hidden="false" customHeight="false" outlineLevel="0" collapsed="false">
      <c r="A11" s="10" t="s">
        <v>268</v>
      </c>
      <c r="B11" s="35" t="n">
        <f aca="false">COUNTIFS(Datos!$AA$2:$AA$408,"*1,950*")</f>
        <v>0</v>
      </c>
      <c r="C11" s="38" t="n">
        <f aca="false">IFERROR(B11/COUNT(Datos!$B$2:$B$408),"—")</f>
        <v>0</v>
      </c>
      <c r="D11" s="34" t="n">
        <f aca="false">COUNTIFS(Datos!$AA$2:$AA$408,"*1,950*",Datos!$AQ$2:$AQ$408,"Sí")</f>
        <v>0</v>
      </c>
      <c r="E11" s="38" t="str">
        <f aca="false">IFERROR(D11/B11,"—")</f>
        <v>—</v>
      </c>
    </row>
    <row r="12" customFormat="false" ht="15" hidden="false" customHeight="false" outlineLevel="0" collapsed="false">
      <c r="A12" s="13" t="s">
        <v>269</v>
      </c>
      <c r="B12" s="45" t="n">
        <f aca="false">COUNTIFS(Datos!$Z$2:$Z$408,"No")</f>
        <v>55</v>
      </c>
      <c r="C12" s="36" t="n">
        <f aca="false">IFERROR(B12/COUNT(Datos!$B$2:$B$408),"—")</f>
        <v>0.135135135135135</v>
      </c>
      <c r="D12" s="44" t="n">
        <f aca="false">COUNTIFS(Datos!$Z$2:$Z$408,"No",Datos!$AQ$2:$AQ$408,"Sí")</f>
        <v>2</v>
      </c>
      <c r="E12" s="36" t="n">
        <f aca="false">IFERROR(D12/B12,"—")</f>
        <v>0.0363636363636364</v>
      </c>
    </row>
    <row r="13" customFormat="false" ht="15" hidden="false" customHeight="false" outlineLevel="0" collapsed="false">
      <c r="A13" s="30" t="s">
        <v>270</v>
      </c>
    </row>
    <row r="15" customFormat="false" ht="21.75" hidden="false" customHeight="true" outlineLevel="0" collapsed="false">
      <c r="A15" s="7" t="s">
        <v>271</v>
      </c>
    </row>
    <row r="16" customFormat="false" ht="30" hidden="false" customHeight="true" outlineLevel="0" collapsed="false">
      <c r="A16" s="8" t="s">
        <v>272</v>
      </c>
      <c r="B16" s="9" t="s">
        <v>79</v>
      </c>
      <c r="C16" s="9" t="s">
        <v>273</v>
      </c>
      <c r="D16" s="9" t="s">
        <v>274</v>
      </c>
    </row>
    <row r="17" customFormat="false" ht="15" hidden="false" customHeight="false" outlineLevel="0" collapsed="false">
      <c r="A17" s="10" t="s">
        <v>275</v>
      </c>
      <c r="B17" s="35" t="n">
        <f aca="false">COUNTIFS(Datos!$AB$2:$AB$408,"Bot")</f>
        <v>279</v>
      </c>
      <c r="C17" s="38" t="n">
        <f aca="false">IFERROR(B17/COUNTIFS(Datos!$Z$2:$Z$408,"Sí"),"—")</f>
        <v>0.792613636363636</v>
      </c>
      <c r="D17" s="40" t="n">
        <f aca="false" t="array" ref="D17:D17">IFERROR(MEDIAN(IF((Datos!$AB$2:$AB$408="Bot")*(Datos!$AC$2:$AC$408&lt;&gt;""),Datos!$AC$2:$AC$408)),"—")</f>
        <v>30.2</v>
      </c>
    </row>
    <row r="18" customFormat="false" ht="15" hidden="false" customHeight="false" outlineLevel="0" collapsed="false">
      <c r="A18" s="13" t="s">
        <v>276</v>
      </c>
      <c r="B18" s="45" t="n">
        <f aca="false">COUNTIFS(Datos!$AB$2:$AB$408,"Joceline")</f>
        <v>43</v>
      </c>
      <c r="C18" s="36" t="n">
        <f aca="false">IFERROR(B18/COUNTIFS(Datos!$Z$2:$Z$408,"Sí"),"—")</f>
        <v>0.122159090909091</v>
      </c>
      <c r="D18" s="42" t="n">
        <f aca="false" t="array" ref="D18:D18">IFERROR(MEDIAN(IF((Datos!$AB$2:$AB$408="Joceline")*(Datos!$AC$2:$AC$408&lt;&gt;""),Datos!$AC$2:$AC$408)),"—")</f>
        <v>31.6</v>
      </c>
    </row>
    <row r="19" customFormat="false" ht="15" hidden="false" customHeight="false" outlineLevel="0" collapsed="false">
      <c r="A19" s="10" t="s">
        <v>277</v>
      </c>
      <c r="B19" s="35" t="n">
        <f aca="false">COUNTIFS(Datos!$AB$2:$AB$408,"Salma")</f>
        <v>14</v>
      </c>
      <c r="C19" s="38" t="n">
        <f aca="false">IFERROR(B19/COUNTIFS(Datos!$Z$2:$Z$408,"Sí"),"—")</f>
        <v>0.0397727272727273</v>
      </c>
      <c r="D19" s="40" t="n">
        <f aca="false" t="array" ref="D19:D19">IFERROR(MEDIAN(IF((Datos!$AB$2:$AB$408="Salma")*(Datos!$AC$2:$AC$408&lt;&gt;""),Datos!$AC$2:$AC$408)),"—")</f>
        <v>40.65</v>
      </c>
    </row>
    <row r="20" customFormat="false" ht="15" hidden="false" customHeight="false" outlineLevel="0" collapsed="false">
      <c r="A20" s="13" t="s">
        <v>278</v>
      </c>
      <c r="B20" s="45" t="n">
        <f aca="false">COUNTIFS(Datos!$AB$2:$AB$408,"Alexander")</f>
        <v>13</v>
      </c>
      <c r="C20" s="36" t="n">
        <f aca="false">IFERROR(B20/COUNTIFS(Datos!$Z$2:$Z$408,"Sí"),"—")</f>
        <v>0.0369318181818182</v>
      </c>
      <c r="D20" s="42" t="n">
        <f aca="false" t="array" ref="D20:D20">IFERROR(MEDIAN(IF((Datos!$AB$2:$AB$408="Alexander")*(Datos!$AC$2:$AC$408&lt;&gt;""),Datos!$AC$2:$AC$408)),"—")</f>
        <v>48.5</v>
      </c>
    </row>
    <row r="21" customFormat="false" ht="15" hidden="false" customHeight="false" outlineLevel="0" collapsed="false">
      <c r="A21" s="10" t="s">
        <v>279</v>
      </c>
      <c r="B21" s="35" t="n">
        <f aca="false">COUNTIFS(Datos!$AB$2:$AB$408,"Victoria")</f>
        <v>3</v>
      </c>
      <c r="C21" s="38" t="n">
        <f aca="false">IFERROR(B21/COUNTIFS(Datos!$Z$2:$Z$408,"Sí"),"—")</f>
        <v>0.00852272727272727</v>
      </c>
      <c r="D21" s="40" t="n">
        <f aca="false" t="array" ref="D21:D21">IFERROR(MEDIAN(IF((Datos!$AB$2:$AB$408="Victoria")*(Datos!$AC$2:$AC$408&lt;&gt;""),Datos!$AC$2:$AC$408)),"—")</f>
        <v>24.1</v>
      </c>
    </row>
    <row r="22" customFormat="false" ht="15" hidden="false" customHeight="false" outlineLevel="0" collapsed="false">
      <c r="A22" s="30" t="s">
        <v>280</v>
      </c>
    </row>
    <row r="24" customFormat="false" ht="21.75" hidden="false" customHeight="true" outlineLevel="0" collapsed="false">
      <c r="A24" s="7" t="s">
        <v>281</v>
      </c>
    </row>
    <row r="25" customFormat="false" ht="30" hidden="false" customHeight="true" outlineLevel="0" collapsed="false">
      <c r="A25" s="8" t="s">
        <v>282</v>
      </c>
      <c r="B25" s="9" t="s">
        <v>27</v>
      </c>
      <c r="C25" s="9" t="s">
        <v>283</v>
      </c>
      <c r="D25" s="9" t="s">
        <v>284</v>
      </c>
    </row>
    <row r="26" customFormat="false" ht="15" hidden="false" customHeight="false" outlineLevel="0" collapsed="false">
      <c r="A26" s="10" t="s">
        <v>285</v>
      </c>
      <c r="B26" s="35" t="n">
        <f aca="false">COUNTIFS(Datos!$AQ$2:$AQ$408,"Sí",Datos!$AR$2:$AR$408,"&gt;=3999")</f>
        <v>2</v>
      </c>
      <c r="C26" s="38" t="n">
        <f aca="false">IFERROR(B26/COUNTIFS(Datos!$AQ$2:$AQ$408,"Sí"),"—")</f>
        <v>0.2</v>
      </c>
      <c r="D26" s="46" t="n">
        <f aca="false">SUMIFS(Datos!$AR$2:$AR$408,Datos!$AQ$2:$AQ$408,"Sí",Datos!$AR$2:$AR$408,"&gt;=3999")</f>
        <v>7998</v>
      </c>
    </row>
    <row r="27" customFormat="false" ht="15" hidden="false" customHeight="false" outlineLevel="0" collapsed="false">
      <c r="A27" s="13" t="s">
        <v>265</v>
      </c>
      <c r="B27" s="45" t="n">
        <f aca="false">COUNTIFS(Datos!$AQ$2:$AQ$408,"Sí",Datos!$AR$2:$AR$408,3799)</f>
        <v>2</v>
      </c>
      <c r="C27" s="36" t="n">
        <f aca="false">IFERROR(B27/COUNTIFS(Datos!$AQ$2:$AQ$408,"Sí"),"—")</f>
        <v>0.2</v>
      </c>
      <c r="D27" s="48" t="n">
        <f aca="false">SUMIFS(Datos!$AR$2:$AR$408,Datos!$AQ$2:$AQ$408,"Sí",Datos!$AR$2:$AR$408,3799)</f>
        <v>7598</v>
      </c>
    </row>
    <row r="28" customFormat="false" ht="15" hidden="false" customHeight="false" outlineLevel="0" collapsed="false">
      <c r="A28" s="10" t="s">
        <v>266</v>
      </c>
      <c r="B28" s="35" t="n">
        <f aca="false">COUNTIFS(Datos!$AQ$2:$AQ$408,"Sí",Datos!$AR$2:$AR$408,3400)</f>
        <v>0</v>
      </c>
      <c r="C28" s="38" t="n">
        <f aca="false">IFERROR(B28/COUNTIFS(Datos!$AQ$2:$AQ$408,"Sí"),"—")</f>
        <v>0</v>
      </c>
      <c r="D28" s="46" t="n">
        <f aca="false">SUMIFS(Datos!$AR$2:$AR$408,Datos!$AQ$2:$AQ$408,"Sí",Datos!$AR$2:$AR$408,3400)</f>
        <v>0</v>
      </c>
    </row>
    <row r="29" customFormat="false" ht="15" hidden="false" customHeight="false" outlineLevel="0" collapsed="false">
      <c r="A29" s="13" t="s">
        <v>267</v>
      </c>
      <c r="B29" s="45" t="n">
        <f aca="false">COUNTIFS(Datos!$AQ$2:$AQ$408,"Sí",Datos!$AR$2:$AR$408,2799)</f>
        <v>6</v>
      </c>
      <c r="C29" s="36" t="n">
        <f aca="false">IFERROR(B29/COUNTIFS(Datos!$AQ$2:$AQ$408,"Sí"),"—")</f>
        <v>0.6</v>
      </c>
      <c r="D29" s="48" t="n">
        <f aca="false">SUMIFS(Datos!$AR$2:$AR$408,Datos!$AQ$2:$AQ$408,"Sí",Datos!$AR$2:$AR$408,2799)</f>
        <v>16794</v>
      </c>
    </row>
    <row r="30" customFormat="false" ht="15" hidden="false" customHeight="false" outlineLevel="0" collapsed="false">
      <c r="A30" s="10" t="s">
        <v>286</v>
      </c>
      <c r="B30" s="35" t="n">
        <f aca="false">COUNTIFS(Datos!$AQ$2:$AQ$408,"Sí",Datos!$AR$2:$AR$408,2000)</f>
        <v>0</v>
      </c>
      <c r="C30" s="38" t="n">
        <f aca="false">IFERROR(B30/COUNTIFS(Datos!$AQ$2:$AQ$408,"Sí"),"—")</f>
        <v>0</v>
      </c>
      <c r="D30" s="46" t="n">
        <f aca="false">SUMIFS(Datos!$AR$2:$AR$408,Datos!$AQ$2:$AQ$408,"Sí",Datos!$AR$2:$AR$408,2000)</f>
        <v>0</v>
      </c>
    </row>
    <row r="31" customFormat="false" ht="15" hidden="false" customHeight="false" outlineLevel="0" collapsed="false">
      <c r="A31" s="13" t="s">
        <v>268</v>
      </c>
      <c r="B31" s="45" t="n">
        <f aca="false">COUNTIFS(Datos!$AQ$2:$AQ$408,"Sí",Datos!$AR$2:$AR$408,1950)</f>
        <v>0</v>
      </c>
      <c r="C31" s="36" t="n">
        <f aca="false">IFERROR(B31/COUNTIFS(Datos!$AQ$2:$AQ$408,"Sí"),"—")</f>
        <v>0</v>
      </c>
      <c r="D31" s="48" t="n">
        <f aca="false">SUMIFS(Datos!$AR$2:$AR$408,Datos!$AQ$2:$AQ$408,"Sí",Datos!$AR$2:$AR$408,1950)</f>
        <v>0</v>
      </c>
    </row>
    <row r="32" customFormat="false" ht="15" hidden="false" customHeight="false" outlineLevel="0" collapsed="false">
      <c r="A32" s="51" t="s">
        <v>74</v>
      </c>
      <c r="B32" s="35" t="n">
        <f aca="false">COUNTIFS(Datos!$AQ$2:$AQ$408,"Sí")</f>
        <v>10</v>
      </c>
      <c r="D32" s="47" t="n">
        <f aca="false">SUMIFS(Datos!$AR$2:$AR$408,Datos!$AQ$2:$AQ$408,"Sí")</f>
        <v>32390</v>
      </c>
    </row>
    <row r="33" customFormat="false" ht="15" hidden="false" customHeight="false" outlineLevel="0" collapsed="false">
      <c r="A33" s="50" t="s">
        <v>287</v>
      </c>
      <c r="D33" s="54" t="n">
        <f aca="false">B32*3999</f>
        <v>39990</v>
      </c>
    </row>
    <row r="34" customFormat="false" ht="15" hidden="false" customHeight="false" outlineLevel="0" collapsed="false">
      <c r="A34" s="30" t="s">
        <v>288</v>
      </c>
    </row>
    <row r="36" customFormat="false" ht="21.75" hidden="false" customHeight="true" outlineLevel="0" collapsed="false">
      <c r="A36" s="7" t="s">
        <v>289</v>
      </c>
    </row>
    <row r="37" customFormat="false" ht="30" hidden="false" customHeight="true" outlineLevel="0" collapsed="false">
      <c r="A37" s="8" t="s">
        <v>290</v>
      </c>
      <c r="B37" s="9" t="s">
        <v>291</v>
      </c>
      <c r="C37" s="9" t="s">
        <v>292</v>
      </c>
      <c r="D37" s="9" t="s">
        <v>293</v>
      </c>
      <c r="E37" s="9" t="s">
        <v>272</v>
      </c>
      <c r="F37" s="9" t="s">
        <v>282</v>
      </c>
      <c r="G37" s="9" t="s">
        <v>294</v>
      </c>
      <c r="H37" s="9" t="s">
        <v>295</v>
      </c>
    </row>
    <row r="38" customFormat="false" ht="15" hidden="false" customHeight="false" outlineLevel="0" collapsed="false">
      <c r="A38" s="55" t="n">
        <f aca="false">IF(Datos!B39="","—",Datos!B39)</f>
        <v>370</v>
      </c>
      <c r="B38" s="56" t="n">
        <f aca="false">IF(Datos!C39="","—",Datos!C39)</f>
        <v>46301.4588618403</v>
      </c>
      <c r="C38" s="57" t="str">
        <f aca="false">IF(Datos!R39="","—",Datos!R39)</f>
        <v>Salma</v>
      </c>
      <c r="D38" s="57" t="str">
        <f aca="false">IF(Datos!AA39="","—",Datos!AA39)</f>
        <v>$2,799</v>
      </c>
      <c r="E38" s="57" t="str">
        <f aca="false">IF(Datos!AB39="","—",Datos!AB39)</f>
        <v>Joceline</v>
      </c>
      <c r="F38" s="46" t="n">
        <f aca="false">IF(Datos!AR39="","—",Datos!AR39)</f>
        <v>2799</v>
      </c>
      <c r="G38" s="57" t="str">
        <f aca="false">IF(Datos!AS39="","—",Datos!AS39)</f>
        <v>Pagada completa</v>
      </c>
      <c r="H38" s="40" t="n">
        <f aca="false">IF(Datos!AT39="","—",Datos!AT39)</f>
        <v>22</v>
      </c>
    </row>
    <row r="39" customFormat="false" ht="15" hidden="false" customHeight="false" outlineLevel="0" collapsed="false">
      <c r="A39" s="58" t="n">
        <f aca="false">IF(Datos!B67="","—",Datos!B67)</f>
        <v>477</v>
      </c>
      <c r="B39" s="59" t="n">
        <f aca="false">IF(Datos!C67="","—",Datos!C67)</f>
        <v>46301.859558669</v>
      </c>
      <c r="C39" s="60" t="str">
        <f aca="false">IF(Datos!R67="","—",Datos!R67)</f>
        <v>Victoria</v>
      </c>
      <c r="D39" s="60" t="str">
        <f aca="false">IF(Datos!AA67="","—",Datos!AA67)</f>
        <v>$2,799</v>
      </c>
      <c r="E39" s="60" t="str">
        <f aca="false">IF(Datos!AB67="","—",Datos!AB67)</f>
        <v>Joceline</v>
      </c>
      <c r="F39" s="48" t="n">
        <f aca="false">IF(Datos!AR67="","—",Datos!AR67)</f>
        <v>2799</v>
      </c>
      <c r="G39" s="60" t="str">
        <f aca="false">IF(Datos!AS67="","—",Datos!AS67)</f>
        <v>Con saldo pendiente</v>
      </c>
      <c r="H39" s="42" t="n">
        <f aca="false">IF(Datos!AT67="","—",Datos!AT67)</f>
        <v>15.7</v>
      </c>
    </row>
    <row r="40" customFormat="false" ht="15" hidden="false" customHeight="false" outlineLevel="0" collapsed="false">
      <c r="A40" s="55" t="n">
        <f aca="false">IF(Datos!B178="","—",Datos!B178)</f>
        <v>1001</v>
      </c>
      <c r="B40" s="56" t="n">
        <f aca="false">IF(Datos!C178="","—",Datos!C178)</f>
        <v>46304.3993486343</v>
      </c>
      <c r="C40" s="57" t="str">
        <f aca="false">IF(Datos!R178="","—",Datos!R178)</f>
        <v>Salma</v>
      </c>
      <c r="D40" s="57" t="str">
        <f aca="false">IF(Datos!AA178="","—",Datos!AA178)</f>
        <v>$2,799</v>
      </c>
      <c r="E40" s="57" t="str">
        <f aca="false">IF(Datos!AB178="","—",Datos!AB178)</f>
        <v>Salma</v>
      </c>
      <c r="F40" s="46" t="n">
        <f aca="false">IF(Datos!AR178="","—",Datos!AR178)</f>
        <v>2799</v>
      </c>
      <c r="G40" s="57" t="str">
        <f aca="false">IF(Datos!AS178="","—",Datos!AS178)</f>
        <v>Con saldo pendiente</v>
      </c>
      <c r="H40" s="40" t="n">
        <f aca="false">IF(Datos!AT178="","—",Datos!AT178)</f>
        <v>98.8</v>
      </c>
    </row>
    <row r="41" customFormat="false" ht="15" hidden="false" customHeight="false" outlineLevel="0" collapsed="false">
      <c r="A41" s="58" t="n">
        <f aca="false">IF(Datos!B206="","—",Datos!B206)</f>
        <v>1181</v>
      </c>
      <c r="B41" s="59" t="n">
        <f aca="false">IF(Datos!C206="","—",Datos!C206)</f>
        <v>46305.4846731019</v>
      </c>
      <c r="C41" s="60" t="str">
        <f aca="false">IF(Datos!R206="","—",Datos!R206)</f>
        <v>Alexander</v>
      </c>
      <c r="D41" s="60" t="str">
        <f aca="false">IF(Datos!AA206="","—",Datos!AA206)</f>
        <v>—</v>
      </c>
      <c r="E41" s="60" t="str">
        <f aca="false">IF(Datos!AB206="","—",Datos!AB206)</f>
        <v>—</v>
      </c>
      <c r="F41" s="48" t="n">
        <f aca="false">IF(Datos!AR206="","—",Datos!AR206)</f>
        <v>3999</v>
      </c>
      <c r="G41" s="60" t="str">
        <f aca="false">IF(Datos!AS206="","—",Datos!AS206)</f>
        <v>Con saldo pendiente</v>
      </c>
      <c r="H41" s="42" t="n">
        <f aca="false">IF(Datos!AT206="","—",Datos!AT206)</f>
        <v>101.6</v>
      </c>
    </row>
    <row r="42" customFormat="false" ht="15" hidden="false" customHeight="false" outlineLevel="0" collapsed="false">
      <c r="A42" s="55" t="n">
        <f aca="false">IF(Datos!B211="","—",Datos!B211)</f>
        <v>1194</v>
      </c>
      <c r="B42" s="56" t="n">
        <f aca="false">IF(Datos!C211="","—",Datos!C211)</f>
        <v>46305.5640479051</v>
      </c>
      <c r="C42" s="57" t="str">
        <f aca="false">IF(Datos!R211="","—",Datos!R211)</f>
        <v>Alexander</v>
      </c>
      <c r="D42" s="57" t="str">
        <f aca="false">IF(Datos!AA211="","—",Datos!AA211)</f>
        <v>$3,799, $2,799</v>
      </c>
      <c r="E42" s="57" t="str">
        <f aca="false">IF(Datos!AB211="","—",Datos!AB211)</f>
        <v>Bot</v>
      </c>
      <c r="F42" s="46" t="n">
        <f aca="false">IF(Datos!AR211="","—",Datos!AR211)</f>
        <v>2799</v>
      </c>
      <c r="G42" s="57" t="str">
        <f aca="false">IF(Datos!AS211="","—",Datos!AS211)</f>
        <v>Pagada completa</v>
      </c>
      <c r="H42" s="40" t="n">
        <f aca="false">IF(Datos!AT211="","—",Datos!AT211)</f>
        <v>54.2</v>
      </c>
    </row>
    <row r="43" customFormat="false" ht="15" hidden="false" customHeight="false" outlineLevel="0" collapsed="false">
      <c r="A43" s="58" t="n">
        <f aca="false">IF(Datos!B222="","—",Datos!B222)</f>
        <v>1237</v>
      </c>
      <c r="B43" s="59" t="n">
        <f aca="false">IF(Datos!C222="","—",Datos!C222)</f>
        <v>46305.8325354398</v>
      </c>
      <c r="C43" s="60" t="str">
        <f aca="false">IF(Datos!R222="","—",Datos!R222)</f>
        <v>Victoria</v>
      </c>
      <c r="D43" s="60" t="str">
        <f aca="false">IF(Datos!AA222="","—",Datos!AA222)</f>
        <v>$3,799, $2,799</v>
      </c>
      <c r="E43" s="60" t="str">
        <f aca="false">IF(Datos!AB222="","—",Datos!AB222)</f>
        <v>Victoria</v>
      </c>
      <c r="F43" s="48" t="n">
        <f aca="false">IF(Datos!AR222="","—",Datos!AR222)</f>
        <v>2799</v>
      </c>
      <c r="G43" s="60" t="str">
        <f aca="false">IF(Datos!AS222="","—",Datos!AS222)</f>
        <v>Pagada completa</v>
      </c>
      <c r="H43" s="42" t="n">
        <f aca="false">IF(Datos!AT222="","—",Datos!AT222)</f>
        <v>89.9</v>
      </c>
    </row>
    <row r="44" customFormat="false" ht="15" hidden="false" customHeight="false" outlineLevel="0" collapsed="false">
      <c r="A44" s="55" t="n">
        <f aca="false">IF(Datos!B246="","—",Datos!B246)</f>
        <v>1338</v>
      </c>
      <c r="B44" s="56" t="n">
        <f aca="false">IF(Datos!C246="","—",Datos!C246)</f>
        <v>46306.743327257</v>
      </c>
      <c r="C44" s="57" t="str">
        <f aca="false">IF(Datos!R246="","—",Datos!R246)</f>
        <v>Salma</v>
      </c>
      <c r="D44" s="57" t="str">
        <f aca="false">IF(Datos!AA246="","—",Datos!AA246)</f>
        <v>$3,799</v>
      </c>
      <c r="E44" s="57" t="str">
        <f aca="false">IF(Datos!AB246="","—",Datos!AB246)</f>
        <v>Bot</v>
      </c>
      <c r="F44" s="46" t="n">
        <f aca="false">IF(Datos!AR246="","—",Datos!AR246)</f>
        <v>3799</v>
      </c>
      <c r="G44" s="57" t="str">
        <f aca="false">IF(Datos!AS246="","—",Datos!AS246)</f>
        <v>Pagada completa</v>
      </c>
      <c r="H44" s="40" t="n">
        <f aca="false">IF(Datos!AT246="","—",Datos!AT246)</f>
        <v>44.4</v>
      </c>
    </row>
    <row r="45" customFormat="false" ht="15" hidden="false" customHeight="false" outlineLevel="0" collapsed="false">
      <c r="A45" s="58" t="n">
        <f aca="false">IF(Datos!B289="","—",Datos!B289)</f>
        <v>1533</v>
      </c>
      <c r="B45" s="59" t="n">
        <f aca="false">IF(Datos!C289="","—",Datos!C289)</f>
        <v>46307.7555494676</v>
      </c>
      <c r="C45" s="60" t="str">
        <f aca="false">IF(Datos!R289="","—",Datos!R289)</f>
        <v>Salma</v>
      </c>
      <c r="D45" s="60" t="str">
        <f aca="false">IF(Datos!AA289="","—",Datos!AA289)</f>
        <v>$3,799, $2,799</v>
      </c>
      <c r="E45" s="60" t="str">
        <f aca="false">IF(Datos!AB289="","—",Datos!AB289)</f>
        <v>Joceline</v>
      </c>
      <c r="F45" s="48" t="n">
        <f aca="false">IF(Datos!AR289="","—",Datos!AR289)</f>
        <v>2799</v>
      </c>
      <c r="G45" s="60" t="str">
        <f aca="false">IF(Datos!AS289="","—",Datos!AS289)</f>
        <v>Con saldo pendiente</v>
      </c>
      <c r="H45" s="42" t="n">
        <f aca="false">IF(Datos!AT289="","—",Datos!AT289)</f>
        <v>72.1</v>
      </c>
    </row>
    <row r="46" customFormat="false" ht="15" hidden="false" customHeight="false" outlineLevel="0" collapsed="false">
      <c r="A46" s="55" t="n">
        <f aca="false">IF(Datos!B299="","—",Datos!B299)</f>
        <v>1591</v>
      </c>
      <c r="B46" s="56" t="n">
        <f aca="false">IF(Datos!C299="","—",Datos!C299)</f>
        <v>46307.9511315625</v>
      </c>
      <c r="C46" s="57" t="str">
        <f aca="false">IF(Datos!R299="","—",Datos!R299)</f>
        <v>Victoria</v>
      </c>
      <c r="D46" s="57" t="str">
        <f aca="false">IF(Datos!AA299="","—",Datos!AA299)</f>
        <v>—</v>
      </c>
      <c r="E46" s="57" t="str">
        <f aca="false">IF(Datos!AB299="","—",Datos!AB299)</f>
        <v>—</v>
      </c>
      <c r="F46" s="46" t="n">
        <f aca="false">IF(Datos!AR299="","—",Datos!AR299)</f>
        <v>3999</v>
      </c>
      <c r="G46" s="57" t="str">
        <f aca="false">IF(Datos!AS299="","—",Datos!AS299)</f>
        <v>Pagada completa</v>
      </c>
      <c r="H46" s="40" t="n">
        <f aca="false">IF(Datos!AT299="","—",Datos!AT299)</f>
        <v>13.6</v>
      </c>
    </row>
    <row r="47" customFormat="false" ht="15" hidden="false" customHeight="false" outlineLevel="0" collapsed="false">
      <c r="A47" s="58" t="n">
        <f aca="false">IF(Datos!B315="","—",Datos!B315)</f>
        <v>1661</v>
      </c>
      <c r="B47" s="59" t="n">
        <f aca="false">IF(Datos!C315="","—",Datos!C315)</f>
        <v>46308.5716302546</v>
      </c>
      <c r="C47" s="60" t="str">
        <f aca="false">IF(Datos!R315="","—",Datos!R315)</f>
        <v>Victoria</v>
      </c>
      <c r="D47" s="60" t="str">
        <f aca="false">IF(Datos!AA315="","—",Datos!AA315)</f>
        <v>$3,799</v>
      </c>
      <c r="E47" s="60" t="str">
        <f aca="false">IF(Datos!AB315="","—",Datos!AB315)</f>
        <v>Joceline</v>
      </c>
      <c r="F47" s="48" t="n">
        <f aca="false">IF(Datos!AR315="","—",Datos!AR315)</f>
        <v>3799</v>
      </c>
      <c r="G47" s="60" t="str">
        <f aca="false">IF(Datos!AS315="","—",Datos!AS315)</f>
        <v>Pagada completa</v>
      </c>
      <c r="H47" s="42" t="n">
        <f aca="false">IF(Datos!AT315="","—",Datos!AT315)</f>
        <v>53.4</v>
      </c>
    </row>
    <row r="48" customFormat="false" ht="15" hidden="false" customHeight="false" outlineLevel="0" collapsed="false">
      <c r="A48" s="30" t="s">
        <v>296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8" min="3" style="0" width="13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" t="s">
        <v>297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6" t="s">
        <v>298</v>
      </c>
      <c r="B3" s="5"/>
      <c r="C3" s="5"/>
      <c r="D3" s="5"/>
      <c r="E3" s="5"/>
      <c r="F3" s="5"/>
      <c r="G3" s="5"/>
      <c r="H3" s="5"/>
    </row>
    <row r="5" customFormat="false" ht="21.75" hidden="false" customHeight="true" outlineLevel="0" collapsed="false">
      <c r="A5" s="7" t="s">
        <v>299</v>
      </c>
    </row>
    <row r="6" customFormat="false" ht="30" hidden="false" customHeight="true" outlineLevel="0" collapsed="false">
      <c r="A6" s="8" t="s">
        <v>300</v>
      </c>
      <c r="B6" s="9" t="s">
        <v>79</v>
      </c>
      <c r="C6" s="9" t="s">
        <v>301</v>
      </c>
      <c r="D6" s="9" t="s">
        <v>302</v>
      </c>
      <c r="E6" s="9" t="s">
        <v>27</v>
      </c>
      <c r="F6" s="9" t="s">
        <v>175</v>
      </c>
    </row>
    <row r="7" customFormat="false" ht="15" hidden="false" customHeight="false" outlineLevel="0" collapsed="false">
      <c r="A7" s="10" t="s">
        <v>303</v>
      </c>
      <c r="B7" s="35" t="n">
        <f aca="false">COUNTIFS(Datos!$N$2:$N$408,"Calidad")</f>
        <v>55</v>
      </c>
      <c r="C7" s="38" t="n">
        <f aca="false">IFERROR(B7/COUNTIFS(Datos!$M$2:$M$408,"Sí"),"—")</f>
        <v>0.348101265822785</v>
      </c>
      <c r="D7" s="34" t="n">
        <f aca="false">COUNTIFS(Datos!$N$2:$N$408,"Calidad",Datos!$P$2:$P$408,"Sí")</f>
        <v>47</v>
      </c>
      <c r="E7" s="34" t="n">
        <f aca="false">COUNTIFS(Datos!$N$2:$N$408,"Calidad",Datos!$AQ$2:$AQ$408,"Sí")</f>
        <v>3</v>
      </c>
      <c r="F7" s="38" t="n">
        <f aca="false">IFERROR(E7/B7,"—")</f>
        <v>0.0545454545454545</v>
      </c>
    </row>
    <row r="8" customFormat="false" ht="15" hidden="false" customHeight="false" outlineLevel="0" collapsed="false">
      <c r="A8" s="13" t="s">
        <v>304</v>
      </c>
      <c r="B8" s="45" t="n">
        <f aca="false">COUNTIFS(Datos!$N$2:$N$408,"Producción u operaciones")</f>
        <v>24</v>
      </c>
      <c r="C8" s="36" t="n">
        <f aca="false">IFERROR(B8/COUNTIFS(Datos!$M$2:$M$408,"Sí"),"—")</f>
        <v>0.151898734177215</v>
      </c>
      <c r="D8" s="44" t="n">
        <f aca="false">COUNTIFS(Datos!$N$2:$N$408,"Producción u operaciones",Datos!$P$2:$P$408,"Sí")</f>
        <v>18</v>
      </c>
      <c r="E8" s="44" t="n">
        <f aca="false">COUNTIFS(Datos!$N$2:$N$408,"Producción u operaciones",Datos!$AQ$2:$AQ$408,"Sí")</f>
        <v>0</v>
      </c>
      <c r="F8" s="36" t="n">
        <f aca="false">IFERROR(E8/B8,"—")</f>
        <v>0</v>
      </c>
    </row>
    <row r="9" customFormat="false" ht="15" hidden="false" customHeight="false" outlineLevel="0" collapsed="false">
      <c r="A9" s="10" t="s">
        <v>305</v>
      </c>
      <c r="B9" s="35" t="n">
        <f aca="false">COUNTIFS(Datos!$N$2:$N$408,"Supervisión o jefatura")</f>
        <v>15</v>
      </c>
      <c r="C9" s="38" t="n">
        <f aca="false">IFERROR(B9/COUNTIFS(Datos!$M$2:$M$408,"Sí"),"—")</f>
        <v>0.0949367088607595</v>
      </c>
      <c r="D9" s="34" t="n">
        <f aca="false">COUNTIFS(Datos!$N$2:$N$408,"Supervisión o jefatura",Datos!$P$2:$P$408,"Sí")</f>
        <v>12</v>
      </c>
      <c r="E9" s="34" t="n">
        <f aca="false">COUNTIFS(Datos!$N$2:$N$408,"Supervisión o jefatura",Datos!$AQ$2:$AQ$408,"Sí")</f>
        <v>0</v>
      </c>
      <c r="F9" s="38" t="n">
        <f aca="false">IFERROR(E9/B9,"—")</f>
        <v>0</v>
      </c>
    </row>
    <row r="10" customFormat="false" ht="15" hidden="false" customHeight="false" outlineLevel="0" collapsed="false">
      <c r="A10" s="13" t="s">
        <v>306</v>
      </c>
      <c r="B10" s="45" t="n">
        <f aca="false">COUNTIFS(Datos!$N$2:$N$408,"Ingeniería")</f>
        <v>18</v>
      </c>
      <c r="C10" s="36" t="n">
        <f aca="false">IFERROR(B10/COUNTIFS(Datos!$M$2:$M$408,"Sí"),"—")</f>
        <v>0.113924050632911</v>
      </c>
      <c r="D10" s="44" t="n">
        <f aca="false">COUNTIFS(Datos!$N$2:$N$408,"Ingeniería",Datos!$P$2:$P$408,"Sí")</f>
        <v>13</v>
      </c>
      <c r="E10" s="44" t="n">
        <f aca="false">COUNTIFS(Datos!$N$2:$N$408,"Ingeniería",Datos!$AQ$2:$AQ$408,"Sí")</f>
        <v>0</v>
      </c>
      <c r="F10" s="36" t="n">
        <f aca="false">IFERROR(E10/B10,"—")</f>
        <v>0</v>
      </c>
    </row>
    <row r="11" customFormat="false" ht="15" hidden="false" customHeight="false" outlineLevel="0" collapsed="false">
      <c r="A11" s="10" t="s">
        <v>307</v>
      </c>
      <c r="B11" s="35" t="n">
        <f aca="false">COUNTIFS(Datos!$N$2:$N$408,"Estudiante o recién egresado")</f>
        <v>30</v>
      </c>
      <c r="C11" s="38" t="n">
        <f aca="false">IFERROR(B11/COUNTIFS(Datos!$M$2:$M$408,"Sí"),"—")</f>
        <v>0.189873417721519</v>
      </c>
      <c r="D11" s="34" t="n">
        <f aca="false">COUNTIFS(Datos!$N$2:$N$408,"Estudiante o recién egresado",Datos!$P$2:$P$408,"Sí")</f>
        <v>23</v>
      </c>
      <c r="E11" s="34" t="n">
        <f aca="false">COUNTIFS(Datos!$N$2:$N$408,"Estudiante o recién egresado",Datos!$AQ$2:$AQ$408,"Sí")</f>
        <v>0</v>
      </c>
      <c r="F11" s="38" t="n">
        <f aca="false">IFERROR(E11/B11,"—")</f>
        <v>0</v>
      </c>
    </row>
    <row r="12" customFormat="false" ht="15" hidden="false" customHeight="false" outlineLevel="0" collapsed="false">
      <c r="A12" s="13" t="s">
        <v>308</v>
      </c>
      <c r="B12" s="45" t="n">
        <f aca="false">COUNTIFS(Datos!$N$2:$N$408,"Sin empleo o buscando")</f>
        <v>6</v>
      </c>
      <c r="C12" s="36" t="n">
        <f aca="false">IFERROR(B12/COUNTIFS(Datos!$M$2:$M$408,"Sí"),"—")</f>
        <v>0.0379746835443038</v>
      </c>
      <c r="D12" s="44" t="n">
        <f aca="false">COUNTIFS(Datos!$N$2:$N$408,"Sin empleo o buscando",Datos!$P$2:$P$408,"Sí")</f>
        <v>6</v>
      </c>
      <c r="E12" s="44" t="n">
        <f aca="false">COUNTIFS(Datos!$N$2:$N$408,"Sin empleo o buscando",Datos!$AQ$2:$AQ$408,"Sí")</f>
        <v>0</v>
      </c>
      <c r="F12" s="36" t="n">
        <f aca="false">IFERROR(E12/B12,"—")</f>
        <v>0</v>
      </c>
    </row>
    <row r="13" customFormat="false" ht="15" hidden="false" customHeight="false" outlineLevel="0" collapsed="false">
      <c r="A13" s="10" t="s">
        <v>309</v>
      </c>
      <c r="B13" s="35" t="n">
        <f aca="false">COUNTIFS(Datos!$N$2:$N$408,"Otra área")</f>
        <v>10</v>
      </c>
      <c r="C13" s="38" t="n">
        <f aca="false">IFERROR(B13/COUNTIFS(Datos!$M$2:$M$408,"Sí"),"—")</f>
        <v>0.0632911392405063</v>
      </c>
      <c r="D13" s="34" t="n">
        <f aca="false">COUNTIFS(Datos!$N$2:$N$408,"Otra área",Datos!$P$2:$P$408,"Sí")</f>
        <v>6</v>
      </c>
      <c r="E13" s="34" t="n">
        <f aca="false">COUNTIFS(Datos!$N$2:$N$408,"Otra área",Datos!$AQ$2:$AQ$408,"Sí")</f>
        <v>0</v>
      </c>
      <c r="F13" s="38" t="n">
        <f aca="false">IFERROR(E13/B13,"—")</f>
        <v>0</v>
      </c>
    </row>
    <row r="14" customFormat="false" ht="15" hidden="false" customHeight="false" outlineLevel="0" collapsed="false">
      <c r="A14" s="30" t="s">
        <v>310</v>
      </c>
    </row>
    <row r="16" customFormat="false" ht="21.75" hidden="false" customHeight="true" outlineLevel="0" collapsed="false">
      <c r="A16" s="7" t="s">
        <v>311</v>
      </c>
    </row>
    <row r="17" customFormat="false" ht="30" hidden="false" customHeight="true" outlineLevel="0" collapsed="false">
      <c r="A17" s="8" t="s">
        <v>312</v>
      </c>
      <c r="B17" s="9" t="s">
        <v>313</v>
      </c>
      <c r="C17" s="9" t="s">
        <v>314</v>
      </c>
      <c r="D17" s="9" t="s">
        <v>315</v>
      </c>
      <c r="E17" s="9" t="s">
        <v>316</v>
      </c>
      <c r="F17" s="9" t="s">
        <v>317</v>
      </c>
      <c r="G17" s="9" t="s">
        <v>318</v>
      </c>
    </row>
    <row r="18" customFormat="false" ht="15" hidden="false" customHeight="false" outlineLevel="0" collapsed="false">
      <c r="A18" s="10" t="s">
        <v>319</v>
      </c>
      <c r="B18" s="34" t="n">
        <f aca="false">COUNTIFS(Datos!$G$2:$G$408,"Sí")</f>
        <v>256</v>
      </c>
      <c r="C18" s="34" t="n">
        <f aca="false">COUNTIFS(Datos!$G$2:$G$408,"Sí",Datos!$AQ$2:$AQ$408,"Sí")</f>
        <v>7</v>
      </c>
      <c r="D18" s="52" t="n">
        <f aca="false">IFERROR(C18/B18,"—")</f>
        <v>0.02734375</v>
      </c>
      <c r="E18" s="34" t="n">
        <f aca="false">COUNTIFS(Datos!$G$2:$G$408,"No")</f>
        <v>151</v>
      </c>
      <c r="F18" s="34" t="n">
        <f aca="false">COUNTIFS(Datos!$G$2:$G$408,"No",Datos!$AQ$2:$AQ$408,"Sí")</f>
        <v>3</v>
      </c>
      <c r="G18" s="39" t="n">
        <f aca="false">IFERROR(F18/E18,"—")</f>
        <v>0.0198675496688742</v>
      </c>
    </row>
    <row r="19" customFormat="false" ht="15" hidden="false" customHeight="false" outlineLevel="0" collapsed="false">
      <c r="A19" s="13" t="s">
        <v>320</v>
      </c>
      <c r="B19" s="44" t="n">
        <f aca="false">COUNTIFS(Datos!$M$2:$M$408,"Sí")</f>
        <v>158</v>
      </c>
      <c r="C19" s="44" t="n">
        <f aca="false">COUNTIFS(Datos!$M$2:$M$408,"Sí",Datos!$AQ$2:$AQ$408,"Sí")</f>
        <v>3</v>
      </c>
      <c r="D19" s="53" t="n">
        <f aca="false">IFERROR(C19/B19,"—")</f>
        <v>0.0189873417721519</v>
      </c>
      <c r="E19" s="44" t="n">
        <f aca="false">COUNTIFS(Datos!$M$2:$M$408,"No")</f>
        <v>249</v>
      </c>
      <c r="F19" s="44" t="n">
        <f aca="false">COUNTIFS(Datos!$M$2:$M$408,"No",Datos!$AQ$2:$AQ$408,"Sí")</f>
        <v>7</v>
      </c>
      <c r="G19" s="37" t="n">
        <f aca="false">IFERROR(F19/E19,"—")</f>
        <v>0.0281124497991968</v>
      </c>
    </row>
    <row r="20" customFormat="false" ht="15" hidden="false" customHeight="false" outlineLevel="0" collapsed="false">
      <c r="A20" s="10" t="s">
        <v>321</v>
      </c>
      <c r="B20" s="34" t="n">
        <f aca="false">COUNTIFS(Datos!$AG$2:$AG$408,"Sí")</f>
        <v>105</v>
      </c>
      <c r="C20" s="34" t="n">
        <f aca="false">COUNTIFS(Datos!$AG$2:$AG$408,"Sí",Datos!$AQ$2:$AQ$408,"Sí")</f>
        <v>7</v>
      </c>
      <c r="D20" s="52" t="n">
        <f aca="false">IFERROR(C20/B20,"—")</f>
        <v>0.0666666666666667</v>
      </c>
      <c r="E20" s="34" t="n">
        <f aca="false">COUNTIFS(Datos!$AG$2:$AG$408,"No")</f>
        <v>302</v>
      </c>
      <c r="F20" s="34" t="n">
        <f aca="false">COUNTIFS(Datos!$AG$2:$AG$408,"No",Datos!$AQ$2:$AQ$408,"Sí")</f>
        <v>3</v>
      </c>
      <c r="G20" s="39" t="n">
        <f aca="false">IFERROR(F20/E20,"—")</f>
        <v>0.00993377483443709</v>
      </c>
    </row>
    <row r="21" customFormat="false" ht="15" hidden="false" customHeight="false" outlineLevel="0" collapsed="false">
      <c r="A21" s="13" t="s">
        <v>322</v>
      </c>
      <c r="B21" s="44" t="n">
        <f aca="false">COUNTIFS(Datos!$Y$2:$Y$408,"Sí")</f>
        <v>156</v>
      </c>
      <c r="C21" s="44" t="n">
        <f aca="false">COUNTIFS(Datos!$Y$2:$Y$408,"Sí",Datos!$AQ$2:$AQ$408,"Sí")</f>
        <v>4</v>
      </c>
      <c r="D21" s="53" t="n">
        <f aca="false">IFERROR(C21/B21,"—")</f>
        <v>0.0256410256410256</v>
      </c>
      <c r="E21" s="44" t="n">
        <f aca="false">COUNTIFS(Datos!$Y$2:$Y$408,"No")</f>
        <v>251</v>
      </c>
      <c r="F21" s="44" t="n">
        <f aca="false">COUNTIFS(Datos!$Y$2:$Y$408,"No",Datos!$AQ$2:$AQ$408,"Sí")</f>
        <v>6</v>
      </c>
      <c r="G21" s="37" t="n">
        <f aca="false">IFERROR(F21/E21,"—")</f>
        <v>0.0239043824701195</v>
      </c>
    </row>
    <row r="22" customFormat="false" ht="15" hidden="false" customHeight="false" outlineLevel="0" collapsed="false">
      <c r="A22" s="10" t="s">
        <v>323</v>
      </c>
      <c r="B22" s="34" t="n">
        <f aca="false">COUNTIFS(Datos!$S$2:$S$408,"Sí")</f>
        <v>209</v>
      </c>
      <c r="C22" s="34" t="n">
        <f aca="false">COUNTIFS(Datos!$S$2:$S$408,"Sí",Datos!$AQ$2:$AQ$408,"Sí")</f>
        <v>8</v>
      </c>
      <c r="D22" s="52" t="n">
        <f aca="false">IFERROR(C22/B22,"—")</f>
        <v>0.0382775119617225</v>
      </c>
      <c r="E22" s="34" t="n">
        <f aca="false">COUNTIFS(Datos!$S$2:$S$408,"No")</f>
        <v>198</v>
      </c>
      <c r="F22" s="34" t="n">
        <f aca="false">COUNTIFS(Datos!$S$2:$S$408,"No",Datos!$AQ$2:$AQ$408,"Sí")</f>
        <v>2</v>
      </c>
      <c r="G22" s="39" t="n">
        <f aca="false">IFERROR(F22/E22,"—")</f>
        <v>0.0101010101010101</v>
      </c>
    </row>
    <row r="23" customFormat="false" ht="15" hidden="false" customHeight="false" outlineLevel="0" collapsed="false">
      <c r="A23" s="13" t="s">
        <v>324</v>
      </c>
      <c r="B23" s="44" t="n">
        <f aca="false">COUNTIFS(Datos!$F$2:$F$408,"Sí")</f>
        <v>305</v>
      </c>
      <c r="C23" s="44" t="n">
        <f aca="false">COUNTIFS(Datos!$F$2:$F$408,"Sí",Datos!$AQ$2:$AQ$408,"Sí")</f>
        <v>9</v>
      </c>
      <c r="D23" s="53" t="n">
        <f aca="false">IFERROR(C23/B23,"—")</f>
        <v>0.0295081967213115</v>
      </c>
      <c r="E23" s="44" t="n">
        <f aca="false">COUNTIFS(Datos!$F$2:$F$408,"No")</f>
        <v>102</v>
      </c>
      <c r="F23" s="44" t="n">
        <f aca="false">COUNTIFS(Datos!$F$2:$F$408,"No",Datos!$AQ$2:$AQ$408,"Sí")</f>
        <v>1</v>
      </c>
      <c r="G23" s="37" t="n">
        <f aca="false">IFERROR(F23/E23,"—")</f>
        <v>0.00980392156862745</v>
      </c>
    </row>
    <row r="24" customFormat="false" ht="15" hidden="false" customHeight="false" outlineLevel="0" collapsed="false">
      <c r="A24" s="10" t="s">
        <v>325</v>
      </c>
      <c r="B24" s="34" t="n">
        <f aca="false">COUNTIFS(Datos!$Z$2:$Z$408,"Sí")</f>
        <v>352</v>
      </c>
      <c r="C24" s="34" t="n">
        <f aca="false">COUNTIFS(Datos!$Z$2:$Z$408,"Sí",Datos!$AQ$2:$AQ$408,"Sí")</f>
        <v>8</v>
      </c>
      <c r="D24" s="52" t="n">
        <f aca="false">IFERROR(C24/B24,"—")</f>
        <v>0.0227272727272727</v>
      </c>
      <c r="E24" s="34" t="n">
        <f aca="false">COUNTIFS(Datos!$Z$2:$Z$408,"No")</f>
        <v>55</v>
      </c>
      <c r="F24" s="34" t="n">
        <f aca="false">COUNTIFS(Datos!$Z$2:$Z$408,"No",Datos!$AQ$2:$AQ$408,"Sí")</f>
        <v>2</v>
      </c>
      <c r="G24" s="39" t="n">
        <f aca="false">IFERROR(F24/E24,"—")</f>
        <v>0.0363636363636364</v>
      </c>
    </row>
    <row r="25" customFormat="false" ht="15" hidden="false" customHeight="false" outlineLevel="0" collapsed="false">
      <c r="A25" s="30" t="s">
        <v>326</v>
      </c>
    </row>
    <row r="27" customFormat="false" ht="21.75" hidden="false" customHeight="true" outlineLevel="0" collapsed="false">
      <c r="A27" s="7" t="s">
        <v>327</v>
      </c>
    </row>
    <row r="28" customFormat="false" ht="30" hidden="false" customHeight="true" outlineLevel="0" collapsed="false">
      <c r="A28" s="8" t="s">
        <v>328</v>
      </c>
      <c r="B28" s="9" t="s">
        <v>79</v>
      </c>
      <c r="C28" s="9" t="s">
        <v>198</v>
      </c>
      <c r="D28" s="9" t="s">
        <v>27</v>
      </c>
      <c r="E28" s="9" t="s">
        <v>175</v>
      </c>
    </row>
    <row r="29" customFormat="false" ht="15" hidden="false" customHeight="false" outlineLevel="0" collapsed="false">
      <c r="A29" s="10" t="s">
        <v>329</v>
      </c>
      <c r="B29" s="35" t="n">
        <f aca="false">COUNTIFS(Datos!$AH$2:$AH$408,"*Ruta*")</f>
        <v>81</v>
      </c>
      <c r="C29" s="38" t="n">
        <f aca="false">IFERROR(B29/COUNT(Datos!$B$2:$B$408),"—")</f>
        <v>0.199017199017199</v>
      </c>
      <c r="D29" s="34" t="n">
        <f aca="false">COUNTIFS(Datos!$AH$2:$AH$408,"*Ruta*",Datos!$AQ$2:$AQ$408,"Sí")</f>
        <v>5</v>
      </c>
      <c r="E29" s="38" t="n">
        <f aca="false">IFERROR(D29/B29,"—")</f>
        <v>0.0617283950617284</v>
      </c>
    </row>
    <row r="30" customFormat="false" ht="15" hidden="false" customHeight="false" outlineLevel="0" collapsed="false">
      <c r="A30" s="13" t="s">
        <v>330</v>
      </c>
      <c r="B30" s="45" t="n">
        <f aca="false">COUNTIFS(Datos!$AH$2:$AH$408,"*Clase demo*")</f>
        <v>27</v>
      </c>
      <c r="C30" s="36" t="n">
        <f aca="false">IFERROR(B30/COUNT(Datos!$B$2:$B$408),"—")</f>
        <v>0.0663390663390663</v>
      </c>
      <c r="D30" s="44" t="n">
        <f aca="false">COUNTIFS(Datos!$AH$2:$AH$408,"*Clase demo*",Datos!$AQ$2:$AQ$408,"Sí")</f>
        <v>4</v>
      </c>
      <c r="E30" s="36" t="n">
        <f aca="false">IFERROR(D30/B30,"—")</f>
        <v>0.148148148148148</v>
      </c>
    </row>
    <row r="31" customFormat="false" ht="15" hidden="false" customHeight="false" outlineLevel="0" collapsed="false">
      <c r="A31" s="10" t="s">
        <v>331</v>
      </c>
      <c r="B31" s="35" t="n">
        <f aca="false">COUNTIFS(Datos!$AH$2:$AH$408,"*Mapa 64*")</f>
        <v>13</v>
      </c>
      <c r="C31" s="38" t="n">
        <f aca="false">IFERROR(B31/COUNT(Datos!$B$2:$B$408),"—")</f>
        <v>0.0319410319410319</v>
      </c>
      <c r="D31" s="34" t="n">
        <f aca="false">COUNTIFS(Datos!$AH$2:$AH$408,"*Mapa 64*",Datos!$AQ$2:$AQ$408,"Sí")</f>
        <v>2</v>
      </c>
      <c r="E31" s="38" t="n">
        <f aca="false">IFERROR(D31/B31,"—")</f>
        <v>0.153846153846154</v>
      </c>
    </row>
    <row r="32" customFormat="false" ht="15" hidden="false" customHeight="false" outlineLevel="0" collapsed="false">
      <c r="A32" s="13" t="s">
        <v>332</v>
      </c>
      <c r="B32" s="45" t="n">
        <f aca="false">COUNTIFS(Datos!$AH$2:$AH$408,"*Perfil ejemplo*")</f>
        <v>3</v>
      </c>
      <c r="C32" s="36" t="n">
        <f aca="false">IFERROR(B32/COUNT(Datos!$B$2:$B$408),"—")</f>
        <v>0.00737100737100737</v>
      </c>
      <c r="D32" s="44" t="n">
        <f aca="false">COUNTIFS(Datos!$AH$2:$AH$408,"*Perfil ejemplo*",Datos!$AQ$2:$AQ$408,"Sí")</f>
        <v>0</v>
      </c>
      <c r="E32" s="36" t="n">
        <f aca="false">IFERROR(D32/B32,"—")</f>
        <v>0</v>
      </c>
    </row>
    <row r="34" customFormat="false" ht="21.75" hidden="false" customHeight="true" outlineLevel="0" collapsed="false">
      <c r="A34" s="7" t="s">
        <v>333</v>
      </c>
    </row>
    <row r="35" customFormat="false" ht="30" hidden="false" customHeight="true" outlineLevel="0" collapsed="false">
      <c r="A35" s="8" t="s">
        <v>334</v>
      </c>
      <c r="B35" s="9" t="s">
        <v>79</v>
      </c>
      <c r="C35" s="9" t="s">
        <v>198</v>
      </c>
      <c r="D35" s="9" t="s">
        <v>211</v>
      </c>
      <c r="E35" s="9" t="s">
        <v>335</v>
      </c>
      <c r="F35" s="9" t="s">
        <v>336</v>
      </c>
      <c r="G35" s="9" t="s">
        <v>27</v>
      </c>
      <c r="H35" s="9" t="s">
        <v>175</v>
      </c>
      <c r="I35" s="9" t="s">
        <v>337</v>
      </c>
    </row>
    <row r="36" customFormat="false" ht="15" hidden="false" customHeight="false" outlineLevel="0" collapsed="false">
      <c r="A36" s="10" t="s">
        <v>277</v>
      </c>
      <c r="B36" s="35" t="n">
        <f aca="false">COUNTIFS(Datos!$R$2:$R$408,"Salma")</f>
        <v>278</v>
      </c>
      <c r="C36" s="38" t="n">
        <f aca="false">IFERROR(B36/COUNT(Datos!$B$2:$B$408),"—")</f>
        <v>0.683046683046683</v>
      </c>
      <c r="D36" s="38" t="n">
        <f aca="false">IFERROR(COUNTIFS(Datos!$R$2:$R$408,"Salma",Datos!$G$2:$G$408,"Sí")/B36,"—")</f>
        <v>0.525179856115108</v>
      </c>
      <c r="E36" s="40" t="n">
        <f aca="false" t="array" ref="E36:E36">IFERROR(MEDIAN(IF((Datos!$R$2:$R$408="Salma")*(Datos!$V$2:$V$408&lt;&gt;""),Datos!$V$2:$V$408)),"—")</f>
        <v>45.35</v>
      </c>
      <c r="F36" s="40" t="n">
        <f aca="false" t="array" ref="F36:F36">IFERROR(MEDIAN(IF((Datos!$R$2:$R$408="Salma")*(Datos!$T$2:$T$408&lt;&gt;""),Datos!$T$2:$T$408))/60,"—")</f>
        <v>35.635</v>
      </c>
      <c r="G36" s="34" t="n">
        <f aca="false">COUNTIFS(Datos!$R$2:$R$408,"Salma",Datos!$AQ$2:$AQ$408,"Sí")</f>
        <v>4</v>
      </c>
      <c r="H36" s="38" t="n">
        <f aca="false">IFERROR(G36/B36,"—")</f>
        <v>0.0143884892086331</v>
      </c>
      <c r="I36" s="38" t="n">
        <f aca="false">IFERROR(COUNTIFS(Datos!$R$2:$R$408,"Salma",Datos!$F$2:$F$408,"No")/COUNTIFS(Datos!$F$2:$F$408,"No"),"—")</f>
        <v>0.843137254901961</v>
      </c>
    </row>
    <row r="37" customFormat="false" ht="15" hidden="false" customHeight="false" outlineLevel="0" collapsed="false">
      <c r="A37" s="13" t="s">
        <v>278</v>
      </c>
      <c r="B37" s="45" t="n">
        <f aca="false">COUNTIFS(Datos!$R$2:$R$408,"Alexander")</f>
        <v>77</v>
      </c>
      <c r="C37" s="36" t="n">
        <f aca="false">IFERROR(B37/COUNT(Datos!$B$2:$B$408),"—")</f>
        <v>0.189189189189189</v>
      </c>
      <c r="D37" s="36" t="n">
        <f aca="false">IFERROR(COUNTIFS(Datos!$R$2:$R$408,"Alexander",Datos!$G$2:$G$408,"Sí")/B37,"—")</f>
        <v>0.831168831168831</v>
      </c>
      <c r="E37" s="42" t="n">
        <f aca="false" t="array" ref="E37:E37">IFERROR(MEDIAN(IF((Datos!$R$2:$R$408="Alexander")*(Datos!$V$2:$V$408&lt;&gt;""),Datos!$V$2:$V$408)),"—")</f>
        <v>1.8</v>
      </c>
      <c r="F37" s="42" t="n">
        <f aca="false" t="array" ref="F37:F37">IFERROR(MEDIAN(IF((Datos!$R$2:$R$408="Alexander")*(Datos!$T$2:$T$408&lt;&gt;""),Datos!$T$2:$T$408))/60,"—")</f>
        <v>0.336666666666667</v>
      </c>
      <c r="G37" s="44" t="n">
        <f aca="false">COUNTIFS(Datos!$R$2:$R$408,"Alexander",Datos!$AQ$2:$AQ$408,"Sí")</f>
        <v>2</v>
      </c>
      <c r="H37" s="36" t="n">
        <f aca="false">IFERROR(G37/B37,"—")</f>
        <v>0.025974025974026</v>
      </c>
      <c r="I37" s="36" t="n">
        <f aca="false">IFERROR(COUNTIFS(Datos!$R$2:$R$408,"Alexander",Datos!$F$2:$F$408,"No")/COUNTIFS(Datos!$F$2:$F$408,"No"),"—")</f>
        <v>0.0980392156862745</v>
      </c>
    </row>
    <row r="38" customFormat="false" ht="15" hidden="false" customHeight="false" outlineLevel="0" collapsed="false">
      <c r="A38" s="10" t="s">
        <v>279</v>
      </c>
      <c r="B38" s="35" t="n">
        <f aca="false">COUNTIFS(Datos!$R$2:$R$408,"Victoria")</f>
        <v>48</v>
      </c>
      <c r="C38" s="38" t="n">
        <f aca="false">IFERROR(B38/COUNT(Datos!$B$2:$B$408),"—")</f>
        <v>0.117936117936118</v>
      </c>
      <c r="D38" s="38" t="n">
        <f aca="false">IFERROR(COUNTIFS(Datos!$R$2:$R$408,"Victoria",Datos!$G$2:$G$408,"Sí")/B38,"—")</f>
        <v>0.875</v>
      </c>
      <c r="E38" s="40" t="n">
        <f aca="false" t="array" ref="E38:E38">IFERROR(MEDIAN(IF((Datos!$R$2:$R$408="Victoria")*(Datos!$V$2:$V$408&lt;&gt;""),Datos!$V$2:$V$408)),"—")</f>
        <v>2</v>
      </c>
      <c r="F38" s="40" t="n">
        <f aca="false" t="array" ref="F38:F38">IFERROR(MEDIAN(IF((Datos!$R$2:$R$408="Victoria")*(Datos!$T$2:$T$408&lt;&gt;""),Datos!$T$2:$T$408))/60,"—")</f>
        <v>0.378333333333333</v>
      </c>
      <c r="G38" s="34" t="n">
        <f aca="false">COUNTIFS(Datos!$R$2:$R$408,"Victoria",Datos!$AQ$2:$AQ$408,"Sí")</f>
        <v>4</v>
      </c>
      <c r="H38" s="38" t="n">
        <f aca="false">IFERROR(G38/B38,"—")</f>
        <v>0.0833333333333333</v>
      </c>
      <c r="I38" s="38" t="n">
        <f aca="false">IFERROR(COUNTIFS(Datos!$R$2:$R$408,"Victoria",Datos!$F$2:$F$408,"No")/COUNTIFS(Datos!$F$2:$F$408,"No"),"—")</f>
        <v>0.0490196078431373</v>
      </c>
    </row>
    <row r="39" customFormat="false" ht="15" hidden="false" customHeight="false" outlineLevel="0" collapsed="false">
      <c r="A39" s="13" t="s">
        <v>338</v>
      </c>
      <c r="B39" s="45" t="n">
        <f aca="false">COUNTIFS(Datos!$R$2:$R$408,"Sin asignar")</f>
        <v>4</v>
      </c>
      <c r="C39" s="36" t="n">
        <f aca="false">IFERROR(B39/COUNT(Datos!$B$2:$B$408),"—")</f>
        <v>0.00982800982800983</v>
      </c>
      <c r="D39" s="36" t="n">
        <f aca="false">IFERROR(COUNTIFS(Datos!$R$2:$R$408,"Sin asignar",Datos!$G$2:$G$408,"Sí")/B39,"—")</f>
        <v>1</v>
      </c>
      <c r="E39" s="42" t="n">
        <f aca="false" t="array" ref="E39:E39">IFERROR(MEDIAN(IF((Datos!$R$2:$R$408="Sin asignar")*(Datos!$V$2:$V$408&lt;&gt;""),Datos!$V$2:$V$408)),"—")</f>
        <v>1.3</v>
      </c>
      <c r="F39" s="42" t="n">
        <f aca="false" t="array" ref="F39:F39">IFERROR(MEDIAN(IF((Datos!$R$2:$R$408="Sin asignar")*(Datos!$T$2:$T$408&lt;&gt;""),Datos!$T$2:$T$408))/60,"—")</f>
        <v>0.421666666666667</v>
      </c>
      <c r="G39" s="44" t="n">
        <f aca="false">COUNTIFS(Datos!$R$2:$R$408,"Sin asignar",Datos!$AQ$2:$AQ$408,"Sí")</f>
        <v>0</v>
      </c>
      <c r="H39" s="36" t="n">
        <f aca="false">IFERROR(G39/B39,"—")</f>
        <v>0</v>
      </c>
      <c r="I39" s="36" t="n">
        <f aca="false">IFERROR(COUNTIFS(Datos!$R$2:$R$408,"Sin asignar",Datos!$F$2:$F$408,"No")/COUNTIFS(Datos!$F$2:$F$408,"No"),"—")</f>
        <v>0.00980392156862745</v>
      </c>
    </row>
    <row r="40" customFormat="false" ht="15" hidden="false" customHeight="false" outlineLevel="0" collapsed="false">
      <c r="A40" s="30" t="s">
        <v>339</v>
      </c>
    </row>
    <row r="41" customFormat="false" ht="15" hidden="false" customHeight="false" outlineLevel="0" collapsed="false">
      <c r="A41" s="30" t="s">
        <v>340</v>
      </c>
    </row>
    <row r="43" customFormat="false" ht="21.75" hidden="false" customHeight="true" outlineLevel="0" collapsed="false">
      <c r="A43" s="7" t="s">
        <v>341</v>
      </c>
    </row>
    <row r="44" customFormat="false" ht="30" hidden="false" customHeight="true" outlineLevel="0" collapsed="false">
      <c r="A44" s="8" t="s">
        <v>342</v>
      </c>
      <c r="B44" s="9" t="s">
        <v>79</v>
      </c>
      <c r="C44" s="9" t="s">
        <v>343</v>
      </c>
      <c r="D44" s="9" t="s">
        <v>344</v>
      </c>
    </row>
    <row r="45" customFormat="false" ht="15" hidden="false" customHeight="false" outlineLevel="0" collapsed="false">
      <c r="A45" s="10" t="s">
        <v>345</v>
      </c>
      <c r="B45" s="35" t="n">
        <f aca="false">COUNTIFS(Datos!$AL$2:$AL$408,"Persona")</f>
        <v>266</v>
      </c>
      <c r="C45" s="38" t="n">
        <f aca="false">IFERROR(B45/COUNTIFS(Datos!$AK$2:$AK$408,"Perdido"),"—")</f>
        <v>0.970802919708029</v>
      </c>
      <c r="D45" s="40" t="n">
        <f aca="false" t="array" ref="D45:D45">IFERROR(MEDIAN(IF((Datos!$AL$2:$AL$408="Persona")*(Datos!$AN$2:$AN$408&lt;&gt;""),Datos!$AN$2:$AN$408)),"—")</f>
        <v>87.4</v>
      </c>
    </row>
    <row r="46" customFormat="false" ht="15" hidden="false" customHeight="false" outlineLevel="0" collapsed="false">
      <c r="A46" s="13" t="s">
        <v>346</v>
      </c>
      <c r="B46" s="45" t="n">
        <f aca="false">COUNTIFS(Datos!$AL$2:$AL$408,"Bot")</f>
        <v>8</v>
      </c>
      <c r="C46" s="36" t="n">
        <f aca="false">IFERROR(B46/COUNTIFS(Datos!$AK$2:$AK$408,"Perdido"),"—")</f>
        <v>0.0291970802919708</v>
      </c>
      <c r="D46" s="42" t="n">
        <f aca="false" t="array" ref="D46:D46">IFERROR(MEDIAN(IF((Datos!$AL$2:$AL$408="Bot")*(Datos!$AN$2:$AN$408&lt;&gt;""),Datos!$AN$2:$AN$408)),"—")</f>
        <v>129.3</v>
      </c>
    </row>
    <row r="47" customFormat="false" ht="15" hidden="false" customHeight="false" outlineLevel="0" collapsed="false">
      <c r="A47" s="10" t="s">
        <v>347</v>
      </c>
      <c r="B47" s="35" t="n">
        <f aca="false">COUNTIFS(Datos!$AM$2:$AM$408,"No contestaron")</f>
        <v>256</v>
      </c>
      <c r="C47" s="38" t="n">
        <f aca="false">IFERROR(B47/COUNTIFS(Datos!$AK$2:$AK$408,"Perdido"),"—")</f>
        <v>0.934306569343066</v>
      </c>
      <c r="D47" s="40" t="n">
        <f aca="false" t="array" ref="D47:D47">IFERROR(MEDIAN(IF((Datos!$AM$2:$AM$408="No contestaron")*(Datos!$AN$2:$AN$408&lt;&gt;""),Datos!$AN$2:$AN$408)),"—")</f>
        <v>87</v>
      </c>
    </row>
    <row r="48" customFormat="false" ht="15" hidden="false" customHeight="false" outlineLevel="0" collapsed="false">
      <c r="A48" s="13" t="s">
        <v>348</v>
      </c>
      <c r="B48" s="45" t="n">
        <f aca="false">COUNTIFS(Datos!$AM$2:$AM$408,"Por el momento no")</f>
        <v>3</v>
      </c>
      <c r="C48" s="36" t="n">
        <f aca="false">IFERROR(B48/COUNTIFS(Datos!$AK$2:$AK$408,"Perdido"),"—")</f>
        <v>0.0109489051094891</v>
      </c>
      <c r="D48" s="42" t="n">
        <f aca="false" t="array" ref="D48:D48">IFERROR(MEDIAN(IF((Datos!$AM$2:$AM$408="Por el momento no")*(Datos!$AN$2:$AN$408&lt;&gt;""),Datos!$AN$2:$AN$408)),"—")</f>
        <v>101.4</v>
      </c>
    </row>
    <row r="49" customFormat="false" ht="15" hidden="false" customHeight="false" outlineLevel="0" collapsed="false">
      <c r="A49" s="10" t="s">
        <v>349</v>
      </c>
      <c r="B49" s="35" t="n">
        <f aca="false">COUNTIFS(Datos!$AM$2:$AM$408,"No le interesa")</f>
        <v>4</v>
      </c>
      <c r="C49" s="38" t="n">
        <f aca="false">IFERROR(B49/COUNTIFS(Datos!$AK$2:$AK$408,"Perdido"),"—")</f>
        <v>0.0145985401459854</v>
      </c>
      <c r="D49" s="40" t="n">
        <f aca="false" t="array" ref="D49:D49">IFERROR(MEDIAN(IF((Datos!$AM$2:$AM$408="No le interesa")*(Datos!$AN$2:$AN$408&lt;&gt;""),Datos!$AN$2:$AN$408)),"—")</f>
        <v>42.2</v>
      </c>
    </row>
    <row r="50" customFormat="false" ht="15" hidden="false" customHeight="false" outlineLevel="0" collapsed="false">
      <c r="A50" s="13" t="s">
        <v>350</v>
      </c>
      <c r="B50" s="45" t="n">
        <f aca="false">COUNTIFS(Datos!$AM$2:$AM$408,"Sin razón")</f>
        <v>8</v>
      </c>
      <c r="C50" s="36" t="n">
        <f aca="false">IFERROR(B50/COUNTIFS(Datos!$AK$2:$AK$408,"Perdido"),"—")</f>
        <v>0.0291970802919708</v>
      </c>
      <c r="D50" s="42" t="n">
        <f aca="false" t="array" ref="D50:D50">IFERROR(MEDIAN(IF((Datos!$AM$2:$AM$408="Sin razón")*(Datos!$AN$2:$AN$408&lt;&gt;""),Datos!$AN$2:$AN$408)),"—")</f>
        <v>129.3</v>
      </c>
    </row>
    <row r="51" customFormat="false" ht="15" hidden="false" customHeight="false" outlineLevel="0" collapsed="false">
      <c r="A51" s="10" t="s">
        <v>351</v>
      </c>
      <c r="B51" s="35" t="n">
        <f aca="false">COUNTIFS(Datos!$AK$2:$AK$408,"Perdido")-SUM(B47:B50)</f>
        <v>3</v>
      </c>
      <c r="C51" s="38" t="n">
        <f aca="false">IFERROR(B51/COUNTIFS(Datos!$AK$2:$AK$408,"Perdido"),"—")</f>
        <v>0.0109489051094891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AU4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4"/>
    <col collapsed="false" customWidth="true" hidden="false" outlineLevel="0" max="24" min="24" style="0" width="13"/>
    <col collapsed="false" customWidth="true" hidden="false" outlineLevel="0" max="26" min="25" style="0" width="10"/>
    <col collapsed="false" customWidth="true" hidden="false" outlineLevel="0" max="27" min="27" style="0" width="16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3" min="30" style="0" width="10"/>
    <col collapsed="false" customWidth="true" hidden="false" outlineLevel="0" max="34" min="34" style="0" width="18"/>
    <col collapsed="false" customWidth="true" hidden="false" outlineLevel="0" max="35" min="35" style="0" width="12"/>
    <col collapsed="false" customWidth="true" hidden="false" outlineLevel="0" max="36" min="36" style="0" width="26"/>
    <col collapsed="false" customWidth="true" hidden="false" outlineLevel="0" max="37" min="37" style="0" width="10"/>
    <col collapsed="false" customWidth="true" hidden="false" outlineLevel="0" max="38" min="38" style="0" width="11"/>
    <col collapsed="false" customWidth="true" hidden="false" outlineLevel="0" max="39" min="39" style="0" width="22"/>
    <col collapsed="false" customWidth="true" hidden="false" outlineLevel="0" max="40" min="40" style="0" width="10"/>
    <col collapsed="false" customWidth="true" hidden="false" outlineLevel="0" max="41" min="41" style="0" width="11"/>
    <col collapsed="false" customWidth="true" hidden="false" outlineLevel="0" max="42" min="42" style="0" width="12"/>
    <col collapsed="false" customWidth="true" hidden="false" outlineLevel="0" max="43" min="43" style="0" width="9"/>
    <col collapsed="false" customWidth="true" hidden="false" outlineLevel="0" max="44" min="44" style="0" width="11"/>
    <col collapsed="false" customWidth="true" hidden="false" outlineLevel="0" max="45" min="45" style="0" width="18"/>
    <col collapsed="false" customWidth="true" hidden="false" outlineLevel="0" max="46" min="46" style="0" width="10"/>
    <col collapsed="false" customWidth="true" hidden="false" outlineLevel="0" max="47" min="47" style="0" width="18"/>
  </cols>
  <sheetData>
    <row r="1" customFormat="false" ht="48" hidden="false" customHeight="true" outlineLevel="0" collapsed="false">
      <c r="A1" s="61" t="s">
        <v>176</v>
      </c>
      <c r="B1" s="61" t="s">
        <v>290</v>
      </c>
      <c r="C1" s="61" t="s">
        <v>291</v>
      </c>
      <c r="D1" s="61" t="s">
        <v>352</v>
      </c>
      <c r="E1" s="61" t="s">
        <v>234</v>
      </c>
      <c r="F1" s="61" t="s">
        <v>353</v>
      </c>
      <c r="G1" s="61" t="s">
        <v>354</v>
      </c>
      <c r="H1" s="61" t="s">
        <v>355</v>
      </c>
      <c r="I1" s="61" t="s">
        <v>356</v>
      </c>
      <c r="J1" s="61" t="s">
        <v>357</v>
      </c>
      <c r="K1" s="61" t="s">
        <v>358</v>
      </c>
      <c r="L1" s="61" t="s">
        <v>359</v>
      </c>
      <c r="M1" s="61" t="s">
        <v>360</v>
      </c>
      <c r="N1" s="61" t="s">
        <v>300</v>
      </c>
      <c r="O1" s="61" t="s">
        <v>361</v>
      </c>
      <c r="P1" s="61" t="s">
        <v>362</v>
      </c>
      <c r="Q1" s="61" t="s">
        <v>363</v>
      </c>
      <c r="R1" s="61" t="s">
        <v>292</v>
      </c>
      <c r="S1" s="61" t="s">
        <v>364</v>
      </c>
      <c r="T1" s="61" t="s">
        <v>365</v>
      </c>
      <c r="U1" s="61" t="s">
        <v>366</v>
      </c>
      <c r="V1" s="61" t="s">
        <v>367</v>
      </c>
      <c r="W1" s="61" t="s">
        <v>368</v>
      </c>
      <c r="X1" s="61" t="s">
        <v>369</v>
      </c>
      <c r="Y1" s="61" t="s">
        <v>370</v>
      </c>
      <c r="Z1" s="61" t="s">
        <v>371</v>
      </c>
      <c r="AA1" s="61" t="s">
        <v>293</v>
      </c>
      <c r="AB1" s="61" t="s">
        <v>272</v>
      </c>
      <c r="AC1" s="61" t="s">
        <v>372</v>
      </c>
      <c r="AD1" s="61" t="s">
        <v>373</v>
      </c>
      <c r="AE1" s="61" t="s">
        <v>374</v>
      </c>
      <c r="AF1" s="61" t="s">
        <v>375</v>
      </c>
      <c r="AG1" s="61" t="s">
        <v>376</v>
      </c>
      <c r="AH1" s="61" t="s">
        <v>377</v>
      </c>
      <c r="AI1" s="61" t="s">
        <v>378</v>
      </c>
      <c r="AJ1" s="61" t="s">
        <v>379</v>
      </c>
      <c r="AK1" s="61" t="s">
        <v>380</v>
      </c>
      <c r="AL1" s="61" t="s">
        <v>381</v>
      </c>
      <c r="AM1" s="61" t="s">
        <v>382</v>
      </c>
      <c r="AN1" s="61" t="s">
        <v>383</v>
      </c>
      <c r="AO1" s="61" t="s">
        <v>384</v>
      </c>
      <c r="AP1" s="61" t="s">
        <v>385</v>
      </c>
      <c r="AQ1" s="61" t="s">
        <v>386</v>
      </c>
      <c r="AR1" s="61" t="s">
        <v>282</v>
      </c>
      <c r="AS1" s="61" t="s">
        <v>294</v>
      </c>
      <c r="AT1" s="61" t="s">
        <v>295</v>
      </c>
      <c r="AU1" s="61" t="s">
        <v>387</v>
      </c>
    </row>
    <row r="2" customFormat="false" ht="15" hidden="false" customHeight="false" outlineLevel="0" collapsed="false">
      <c r="A2" s="62" t="s">
        <v>388</v>
      </c>
      <c r="B2" s="63" t="n">
        <v>263</v>
      </c>
      <c r="C2" s="64" t="n">
        <v>46300.460029213</v>
      </c>
      <c r="D2" s="62" t="s">
        <v>72</v>
      </c>
      <c r="E2" s="63" t="n">
        <v>11</v>
      </c>
      <c r="F2" s="62" t="s">
        <v>389</v>
      </c>
      <c r="G2" s="62" t="s">
        <v>390</v>
      </c>
      <c r="H2" s="62" t="s">
        <v>390</v>
      </c>
      <c r="I2" s="62" t="s">
        <v>390</v>
      </c>
      <c r="J2" s="65"/>
      <c r="K2" s="62"/>
      <c r="L2" s="62" t="s">
        <v>390</v>
      </c>
      <c r="M2" s="62" t="s">
        <v>390</v>
      </c>
      <c r="N2" s="62"/>
      <c r="O2" s="62" t="s">
        <v>390</v>
      </c>
      <c r="P2" s="62" t="s">
        <v>390</v>
      </c>
      <c r="Q2" s="62" t="s">
        <v>390</v>
      </c>
      <c r="R2" s="62" t="s">
        <v>278</v>
      </c>
      <c r="S2" s="62" t="s">
        <v>390</v>
      </c>
      <c r="T2" s="65"/>
      <c r="U2" s="62"/>
      <c r="V2" s="65" t="n">
        <v>1619.3</v>
      </c>
      <c r="W2" s="65"/>
      <c r="X2" s="63" t="n">
        <v>0</v>
      </c>
      <c r="Y2" s="62" t="s">
        <v>390</v>
      </c>
      <c r="Z2" s="62" t="s">
        <v>390</v>
      </c>
      <c r="AA2" s="62"/>
      <c r="AB2" s="62"/>
      <c r="AC2" s="65"/>
      <c r="AD2" s="63" t="n">
        <v>1</v>
      </c>
      <c r="AE2" s="63" t="n">
        <v>2</v>
      </c>
      <c r="AF2" s="63" t="n">
        <v>0</v>
      </c>
      <c r="AG2" s="62" t="s">
        <v>390</v>
      </c>
      <c r="AH2" s="62"/>
      <c r="AI2" s="63" t="n">
        <v>0</v>
      </c>
      <c r="AJ2" s="62" t="s">
        <v>147</v>
      </c>
      <c r="AK2" s="62" t="s">
        <v>391</v>
      </c>
      <c r="AL2" s="62" t="s">
        <v>392</v>
      </c>
      <c r="AM2" s="62" t="s">
        <v>393</v>
      </c>
      <c r="AN2" s="65" t="n">
        <v>27</v>
      </c>
      <c r="AO2" s="62" t="s">
        <v>389</v>
      </c>
      <c r="AP2" s="62" t="s">
        <v>390</v>
      </c>
      <c r="AQ2" s="62" t="s">
        <v>390</v>
      </c>
      <c r="AR2" s="66"/>
      <c r="AS2" s="62"/>
      <c r="AT2" s="65"/>
      <c r="AU2" s="62" t="s">
        <v>394</v>
      </c>
    </row>
    <row r="3" customFormat="false" ht="15" hidden="false" customHeight="false" outlineLevel="0" collapsed="false">
      <c r="A3" s="62" t="s">
        <v>388</v>
      </c>
      <c r="B3" s="63" t="n">
        <v>271</v>
      </c>
      <c r="C3" s="64" t="n">
        <v>46300.4944699769</v>
      </c>
      <c r="D3" s="62" t="s">
        <v>72</v>
      </c>
      <c r="E3" s="63" t="n">
        <v>11</v>
      </c>
      <c r="F3" s="62" t="s">
        <v>389</v>
      </c>
      <c r="G3" s="62" t="s">
        <v>390</v>
      </c>
      <c r="H3" s="62" t="s">
        <v>390</v>
      </c>
      <c r="I3" s="62" t="s">
        <v>389</v>
      </c>
      <c r="J3" s="65"/>
      <c r="K3" s="62" t="s">
        <v>275</v>
      </c>
      <c r="L3" s="62" t="s">
        <v>389</v>
      </c>
      <c r="M3" s="62" t="s">
        <v>390</v>
      </c>
      <c r="N3" s="62"/>
      <c r="O3" s="62" t="s">
        <v>389</v>
      </c>
      <c r="P3" s="62" t="s">
        <v>390</v>
      </c>
      <c r="Q3" s="62" t="s">
        <v>390</v>
      </c>
      <c r="R3" s="62" t="s">
        <v>277</v>
      </c>
      <c r="S3" s="62" t="s">
        <v>390</v>
      </c>
      <c r="T3" s="65" t="n">
        <v>4649</v>
      </c>
      <c r="U3" s="62" t="s">
        <v>277</v>
      </c>
      <c r="V3" s="65" t="n">
        <v>4649</v>
      </c>
      <c r="W3" s="65"/>
      <c r="X3" s="63" t="n">
        <v>0</v>
      </c>
      <c r="Y3" s="62" t="s">
        <v>390</v>
      </c>
      <c r="Z3" s="62" t="s">
        <v>389</v>
      </c>
      <c r="AA3" s="62" t="s">
        <v>395</v>
      </c>
      <c r="AB3" s="62" t="s">
        <v>275</v>
      </c>
      <c r="AC3" s="65" t="n">
        <v>26.6</v>
      </c>
      <c r="AD3" s="63" t="n">
        <v>1</v>
      </c>
      <c r="AE3" s="63" t="n">
        <v>22</v>
      </c>
      <c r="AF3" s="63" t="n">
        <v>1</v>
      </c>
      <c r="AG3" s="62" t="s">
        <v>390</v>
      </c>
      <c r="AH3" s="62"/>
      <c r="AI3" s="63" t="n">
        <v>0</v>
      </c>
      <c r="AJ3" s="62" t="s">
        <v>147</v>
      </c>
      <c r="AK3" s="62" t="s">
        <v>391</v>
      </c>
      <c r="AL3" s="62" t="s">
        <v>392</v>
      </c>
      <c r="AM3" s="62" t="s">
        <v>396</v>
      </c>
      <c r="AN3" s="65" t="n">
        <v>77.5</v>
      </c>
      <c r="AO3" s="62" t="s">
        <v>389</v>
      </c>
      <c r="AP3" s="62" t="s">
        <v>390</v>
      </c>
      <c r="AQ3" s="62" t="s">
        <v>390</v>
      </c>
      <c r="AR3" s="66"/>
      <c r="AS3" s="62"/>
      <c r="AT3" s="65"/>
      <c r="AU3" s="62" t="s">
        <v>397</v>
      </c>
    </row>
    <row r="4" customFormat="false" ht="15" hidden="false" customHeight="false" outlineLevel="0" collapsed="false">
      <c r="A4" s="62" t="s">
        <v>388</v>
      </c>
      <c r="B4" s="63" t="n">
        <v>276</v>
      </c>
      <c r="C4" s="64" t="n">
        <v>46300.5158876042</v>
      </c>
      <c r="D4" s="62" t="s">
        <v>72</v>
      </c>
      <c r="E4" s="63" t="n">
        <v>12</v>
      </c>
      <c r="F4" s="62" t="s">
        <v>389</v>
      </c>
      <c r="G4" s="62" t="s">
        <v>389</v>
      </c>
      <c r="H4" s="62" t="s">
        <v>389</v>
      </c>
      <c r="I4" s="62" t="s">
        <v>389</v>
      </c>
      <c r="J4" s="65" t="n">
        <v>0.3</v>
      </c>
      <c r="K4" s="62" t="s">
        <v>277</v>
      </c>
      <c r="L4" s="62" t="s">
        <v>389</v>
      </c>
      <c r="M4" s="62" t="s">
        <v>389</v>
      </c>
      <c r="N4" s="62" t="s">
        <v>305</v>
      </c>
      <c r="O4" s="62" t="s">
        <v>389</v>
      </c>
      <c r="P4" s="62" t="s">
        <v>389</v>
      </c>
      <c r="Q4" s="62" t="s">
        <v>390</v>
      </c>
      <c r="R4" s="62" t="s">
        <v>277</v>
      </c>
      <c r="S4" s="62" t="s">
        <v>390</v>
      </c>
      <c r="T4" s="65" t="n">
        <v>3.8</v>
      </c>
      <c r="U4" s="62" t="s">
        <v>277</v>
      </c>
      <c r="V4" s="65" t="n">
        <v>0.5</v>
      </c>
      <c r="W4" s="65" t="n">
        <v>0.2</v>
      </c>
      <c r="X4" s="63" t="n">
        <v>0</v>
      </c>
      <c r="Y4" s="62" t="s">
        <v>389</v>
      </c>
      <c r="Z4" s="62" t="s">
        <v>389</v>
      </c>
      <c r="AA4" s="62" t="s">
        <v>395</v>
      </c>
      <c r="AB4" s="62" t="s">
        <v>275</v>
      </c>
      <c r="AC4" s="65" t="n">
        <v>28.4</v>
      </c>
      <c r="AD4" s="63" t="n">
        <v>5</v>
      </c>
      <c r="AE4" s="63" t="n">
        <v>23</v>
      </c>
      <c r="AF4" s="63" t="n">
        <v>7</v>
      </c>
      <c r="AG4" s="62" t="s">
        <v>389</v>
      </c>
      <c r="AH4" s="62" t="s">
        <v>398</v>
      </c>
      <c r="AI4" s="63" t="n">
        <v>0</v>
      </c>
      <c r="AJ4" s="62" t="s">
        <v>149</v>
      </c>
      <c r="AK4" s="62" t="s">
        <v>391</v>
      </c>
      <c r="AL4" s="62" t="s">
        <v>392</v>
      </c>
      <c r="AM4" s="62" t="s">
        <v>396</v>
      </c>
      <c r="AN4" s="65" t="n">
        <v>76.6</v>
      </c>
      <c r="AO4" s="62" t="s">
        <v>389</v>
      </c>
      <c r="AP4" s="62" t="s">
        <v>390</v>
      </c>
      <c r="AQ4" s="62" t="s">
        <v>390</v>
      </c>
      <c r="AR4" s="66"/>
      <c r="AS4" s="62"/>
      <c r="AT4" s="65"/>
      <c r="AU4" s="62" t="s">
        <v>399</v>
      </c>
    </row>
    <row r="5" customFormat="false" ht="15" hidden="false" customHeight="false" outlineLevel="0" collapsed="false">
      <c r="A5" s="62" t="s">
        <v>388</v>
      </c>
      <c r="B5" s="63" t="n">
        <v>277</v>
      </c>
      <c r="C5" s="64" t="n">
        <v>46300.5192983449</v>
      </c>
      <c r="D5" s="62" t="s">
        <v>72</v>
      </c>
      <c r="E5" s="63" t="n">
        <v>12</v>
      </c>
      <c r="F5" s="62" t="s">
        <v>389</v>
      </c>
      <c r="G5" s="62" t="s">
        <v>390</v>
      </c>
      <c r="H5" s="62" t="s">
        <v>390</v>
      </c>
      <c r="I5" s="62" t="s">
        <v>389</v>
      </c>
      <c r="J5" s="65"/>
      <c r="K5" s="62" t="s">
        <v>275</v>
      </c>
      <c r="L5" s="62" t="s">
        <v>389</v>
      </c>
      <c r="M5" s="62" t="s">
        <v>389</v>
      </c>
      <c r="N5" s="62" t="s">
        <v>303</v>
      </c>
      <c r="O5" s="62" t="s">
        <v>389</v>
      </c>
      <c r="P5" s="62" t="s">
        <v>389</v>
      </c>
      <c r="Q5" s="62" t="s">
        <v>390</v>
      </c>
      <c r="R5" s="62" t="s">
        <v>278</v>
      </c>
      <c r="S5" s="62" t="s">
        <v>389</v>
      </c>
      <c r="T5" s="65" t="n">
        <v>106.2</v>
      </c>
      <c r="U5" s="62" t="s">
        <v>278</v>
      </c>
      <c r="V5" s="65" t="n">
        <v>104.3</v>
      </c>
      <c r="W5" s="65" t="n">
        <v>1.6</v>
      </c>
      <c r="X5" s="63" t="n">
        <v>0</v>
      </c>
      <c r="Y5" s="62" t="s">
        <v>389</v>
      </c>
      <c r="Z5" s="62" t="s">
        <v>389</v>
      </c>
      <c r="AA5" s="62" t="s">
        <v>395</v>
      </c>
      <c r="AB5" s="62" t="s">
        <v>275</v>
      </c>
      <c r="AC5" s="65" t="n">
        <v>30.2</v>
      </c>
      <c r="AD5" s="63" t="n">
        <v>3</v>
      </c>
      <c r="AE5" s="63" t="n">
        <v>30</v>
      </c>
      <c r="AF5" s="63" t="n">
        <v>4</v>
      </c>
      <c r="AG5" s="62" t="s">
        <v>389</v>
      </c>
      <c r="AH5" s="62" t="s">
        <v>398</v>
      </c>
      <c r="AI5" s="63" t="n">
        <v>0</v>
      </c>
      <c r="AJ5" s="62" t="s">
        <v>149</v>
      </c>
      <c r="AK5" s="62" t="s">
        <v>391</v>
      </c>
      <c r="AL5" s="62" t="s">
        <v>392</v>
      </c>
      <c r="AM5" s="62" t="s">
        <v>396</v>
      </c>
      <c r="AN5" s="65" t="n">
        <v>72.8</v>
      </c>
      <c r="AO5" s="62" t="s">
        <v>389</v>
      </c>
      <c r="AP5" s="62" t="s">
        <v>390</v>
      </c>
      <c r="AQ5" s="62" t="s">
        <v>390</v>
      </c>
      <c r="AR5" s="66"/>
      <c r="AS5" s="62"/>
      <c r="AT5" s="65"/>
      <c r="AU5" s="62" t="s">
        <v>400</v>
      </c>
    </row>
    <row r="6" customFormat="false" ht="15" hidden="false" customHeight="false" outlineLevel="0" collapsed="false">
      <c r="A6" s="62" t="s">
        <v>388</v>
      </c>
      <c r="B6" s="63" t="n">
        <v>278</v>
      </c>
      <c r="C6" s="64" t="n">
        <v>46300.5210659259</v>
      </c>
      <c r="D6" s="62" t="s">
        <v>72</v>
      </c>
      <c r="E6" s="63" t="n">
        <v>12</v>
      </c>
      <c r="F6" s="62" t="s">
        <v>389</v>
      </c>
      <c r="G6" s="62" t="s">
        <v>389</v>
      </c>
      <c r="H6" s="62" t="s">
        <v>389</v>
      </c>
      <c r="I6" s="62" t="s">
        <v>389</v>
      </c>
      <c r="J6" s="65" t="n">
        <v>0.2</v>
      </c>
      <c r="K6" s="62" t="s">
        <v>276</v>
      </c>
      <c r="L6" s="62" t="s">
        <v>389</v>
      </c>
      <c r="M6" s="62" t="s">
        <v>389</v>
      </c>
      <c r="N6" s="62" t="s">
        <v>303</v>
      </c>
      <c r="O6" s="62" t="s">
        <v>389</v>
      </c>
      <c r="P6" s="62" t="s">
        <v>389</v>
      </c>
      <c r="Q6" s="62" t="s">
        <v>390</v>
      </c>
      <c r="R6" s="62" t="s">
        <v>277</v>
      </c>
      <c r="S6" s="62" t="s">
        <v>389</v>
      </c>
      <c r="T6" s="65" t="n">
        <v>3.9</v>
      </c>
      <c r="U6" s="62" t="s">
        <v>277</v>
      </c>
      <c r="V6" s="65" t="n">
        <v>0.5</v>
      </c>
      <c r="W6" s="65" t="n">
        <v>2</v>
      </c>
      <c r="X6" s="63" t="n">
        <v>0</v>
      </c>
      <c r="Y6" s="62" t="s">
        <v>389</v>
      </c>
      <c r="Z6" s="62" t="s">
        <v>389</v>
      </c>
      <c r="AA6" s="62" t="s">
        <v>395</v>
      </c>
      <c r="AB6" s="62" t="s">
        <v>275</v>
      </c>
      <c r="AC6" s="65" t="n">
        <v>28.4</v>
      </c>
      <c r="AD6" s="63" t="n">
        <v>5</v>
      </c>
      <c r="AE6" s="63" t="n">
        <v>23</v>
      </c>
      <c r="AF6" s="63" t="n">
        <v>6</v>
      </c>
      <c r="AG6" s="62" t="s">
        <v>389</v>
      </c>
      <c r="AH6" s="62" t="s">
        <v>398</v>
      </c>
      <c r="AI6" s="63" t="n">
        <v>0</v>
      </c>
      <c r="AJ6" s="62" t="s">
        <v>151</v>
      </c>
      <c r="AK6" s="62" t="s">
        <v>391</v>
      </c>
      <c r="AL6" s="62" t="s">
        <v>392</v>
      </c>
      <c r="AM6" s="62" t="s">
        <v>396</v>
      </c>
      <c r="AN6" s="65" t="n">
        <v>76.5</v>
      </c>
      <c r="AO6" s="62" t="s">
        <v>389</v>
      </c>
      <c r="AP6" s="62" t="s">
        <v>390</v>
      </c>
      <c r="AQ6" s="62" t="s">
        <v>390</v>
      </c>
      <c r="AR6" s="66"/>
      <c r="AS6" s="62"/>
      <c r="AT6" s="65"/>
      <c r="AU6" s="62" t="s">
        <v>401</v>
      </c>
    </row>
    <row r="7" customFormat="false" ht="15" hidden="false" customHeight="false" outlineLevel="0" collapsed="false">
      <c r="A7" s="62" t="s">
        <v>388</v>
      </c>
      <c r="B7" s="63" t="n">
        <v>280</v>
      </c>
      <c r="C7" s="64" t="n">
        <v>46300.5226734144</v>
      </c>
      <c r="D7" s="62" t="s">
        <v>72</v>
      </c>
      <c r="E7" s="63" t="n">
        <v>12</v>
      </c>
      <c r="F7" s="62" t="s">
        <v>389</v>
      </c>
      <c r="G7" s="62" t="s">
        <v>390</v>
      </c>
      <c r="H7" s="62" t="s">
        <v>390</v>
      </c>
      <c r="I7" s="62" t="s">
        <v>389</v>
      </c>
      <c r="J7" s="65"/>
      <c r="K7" s="62" t="s">
        <v>275</v>
      </c>
      <c r="L7" s="62" t="s">
        <v>389</v>
      </c>
      <c r="M7" s="62" t="s">
        <v>390</v>
      </c>
      <c r="N7" s="62"/>
      <c r="O7" s="62" t="s">
        <v>389</v>
      </c>
      <c r="P7" s="62" t="s">
        <v>390</v>
      </c>
      <c r="Q7" s="62" t="s">
        <v>390</v>
      </c>
      <c r="R7" s="62" t="s">
        <v>277</v>
      </c>
      <c r="S7" s="62" t="s">
        <v>390</v>
      </c>
      <c r="T7" s="65" t="n">
        <v>4591.9</v>
      </c>
      <c r="U7" s="62" t="s">
        <v>277</v>
      </c>
      <c r="V7" s="65" t="n">
        <v>4591.9</v>
      </c>
      <c r="W7" s="65"/>
      <c r="X7" s="63" t="n">
        <v>0</v>
      </c>
      <c r="Y7" s="62" t="s">
        <v>390</v>
      </c>
      <c r="Z7" s="62" t="s">
        <v>389</v>
      </c>
      <c r="AA7" s="62" t="s">
        <v>395</v>
      </c>
      <c r="AB7" s="62" t="s">
        <v>275</v>
      </c>
      <c r="AC7" s="65" t="n">
        <v>26.6</v>
      </c>
      <c r="AD7" s="63" t="n">
        <v>1</v>
      </c>
      <c r="AE7" s="63" t="n">
        <v>22</v>
      </c>
      <c r="AF7" s="63" t="n">
        <v>1</v>
      </c>
      <c r="AG7" s="62" t="s">
        <v>390</v>
      </c>
      <c r="AH7" s="62"/>
      <c r="AI7" s="63" t="n">
        <v>0</v>
      </c>
      <c r="AJ7" s="62" t="s">
        <v>147</v>
      </c>
      <c r="AK7" s="62" t="s">
        <v>391</v>
      </c>
      <c r="AL7" s="62" t="s">
        <v>392</v>
      </c>
      <c r="AM7" s="62" t="s">
        <v>396</v>
      </c>
      <c r="AN7" s="65" t="n">
        <v>76.5</v>
      </c>
      <c r="AO7" s="62" t="s">
        <v>389</v>
      </c>
      <c r="AP7" s="62" t="s">
        <v>390</v>
      </c>
      <c r="AQ7" s="62" t="s">
        <v>390</v>
      </c>
      <c r="AR7" s="66"/>
      <c r="AS7" s="62"/>
      <c r="AT7" s="65"/>
      <c r="AU7" s="62" t="s">
        <v>400</v>
      </c>
    </row>
    <row r="8" customFormat="false" ht="15" hidden="false" customHeight="false" outlineLevel="0" collapsed="false">
      <c r="A8" s="62" t="s">
        <v>388</v>
      </c>
      <c r="B8" s="63" t="n">
        <v>282</v>
      </c>
      <c r="C8" s="64" t="n">
        <v>46300.5348286111</v>
      </c>
      <c r="D8" s="62" t="s">
        <v>72</v>
      </c>
      <c r="E8" s="63" t="n">
        <v>12</v>
      </c>
      <c r="F8" s="62" t="s">
        <v>389</v>
      </c>
      <c r="G8" s="62" t="s">
        <v>390</v>
      </c>
      <c r="H8" s="62" t="s">
        <v>390</v>
      </c>
      <c r="I8" s="62" t="s">
        <v>389</v>
      </c>
      <c r="J8" s="65"/>
      <c r="K8" s="62" t="s">
        <v>277</v>
      </c>
      <c r="L8" s="62" t="s">
        <v>389</v>
      </c>
      <c r="M8" s="62" t="s">
        <v>390</v>
      </c>
      <c r="N8" s="62"/>
      <c r="O8" s="62" t="s">
        <v>389</v>
      </c>
      <c r="P8" s="62" t="s">
        <v>389</v>
      </c>
      <c r="Q8" s="62" t="s">
        <v>389</v>
      </c>
      <c r="R8" s="62" t="s">
        <v>277</v>
      </c>
      <c r="S8" s="62" t="s">
        <v>390</v>
      </c>
      <c r="T8" s="65" t="n">
        <v>0.4</v>
      </c>
      <c r="U8" s="62" t="s">
        <v>277</v>
      </c>
      <c r="V8" s="65" t="n">
        <v>0.3</v>
      </c>
      <c r="W8" s="65" t="n">
        <v>0.4</v>
      </c>
      <c r="X8" s="63" t="n">
        <v>0</v>
      </c>
      <c r="Y8" s="62" t="s">
        <v>389</v>
      </c>
      <c r="Z8" s="62" t="s">
        <v>389</v>
      </c>
      <c r="AA8" s="62" t="s">
        <v>395</v>
      </c>
      <c r="AB8" s="62" t="s">
        <v>275</v>
      </c>
      <c r="AC8" s="65" t="n">
        <v>26.1</v>
      </c>
      <c r="AD8" s="63" t="n">
        <v>1</v>
      </c>
      <c r="AE8" s="63" t="n">
        <v>23</v>
      </c>
      <c r="AF8" s="63" t="n">
        <v>2</v>
      </c>
      <c r="AG8" s="62" t="s">
        <v>390</v>
      </c>
      <c r="AH8" s="62"/>
      <c r="AI8" s="63" t="n">
        <v>4</v>
      </c>
      <c r="AJ8" s="62" t="s">
        <v>148</v>
      </c>
      <c r="AK8" s="62" t="s">
        <v>402</v>
      </c>
      <c r="AL8" s="62"/>
      <c r="AM8" s="62"/>
      <c r="AN8" s="65"/>
      <c r="AO8" s="62" t="s">
        <v>389</v>
      </c>
      <c r="AP8" s="62" t="s">
        <v>390</v>
      </c>
      <c r="AQ8" s="62" t="s">
        <v>390</v>
      </c>
      <c r="AR8" s="66"/>
      <c r="AS8" s="62"/>
      <c r="AT8" s="65"/>
      <c r="AU8" s="62"/>
    </row>
    <row r="9" customFormat="false" ht="15" hidden="false" customHeight="false" outlineLevel="0" collapsed="false">
      <c r="A9" s="62" t="s">
        <v>388</v>
      </c>
      <c r="B9" s="63" t="n">
        <v>285</v>
      </c>
      <c r="C9" s="64" t="n">
        <v>46300.5500851505</v>
      </c>
      <c r="D9" s="62" t="s">
        <v>72</v>
      </c>
      <c r="E9" s="63" t="n">
        <v>13</v>
      </c>
      <c r="F9" s="62" t="s">
        <v>389</v>
      </c>
      <c r="G9" s="62" t="s">
        <v>390</v>
      </c>
      <c r="H9" s="62" t="s">
        <v>390</v>
      </c>
      <c r="I9" s="62" t="s">
        <v>389</v>
      </c>
      <c r="J9" s="65"/>
      <c r="K9" s="62" t="s">
        <v>275</v>
      </c>
      <c r="L9" s="62" t="s">
        <v>389</v>
      </c>
      <c r="M9" s="62" t="s">
        <v>390</v>
      </c>
      <c r="N9" s="62"/>
      <c r="O9" s="62" t="s">
        <v>389</v>
      </c>
      <c r="P9" s="62" t="s">
        <v>390</v>
      </c>
      <c r="Q9" s="62" t="s">
        <v>390</v>
      </c>
      <c r="R9" s="62" t="s">
        <v>278</v>
      </c>
      <c r="S9" s="62" t="s">
        <v>390</v>
      </c>
      <c r="T9" s="65" t="n">
        <v>6024.2</v>
      </c>
      <c r="U9" s="62" t="s">
        <v>278</v>
      </c>
      <c r="V9" s="65" t="n">
        <v>6024.2</v>
      </c>
      <c r="W9" s="65"/>
      <c r="X9" s="63" t="n">
        <v>0</v>
      </c>
      <c r="Y9" s="62" t="s">
        <v>390</v>
      </c>
      <c r="Z9" s="62" t="s">
        <v>389</v>
      </c>
      <c r="AA9" s="62" t="s">
        <v>395</v>
      </c>
      <c r="AB9" s="62" t="s">
        <v>275</v>
      </c>
      <c r="AC9" s="65" t="n">
        <v>26.6</v>
      </c>
      <c r="AD9" s="63" t="n">
        <v>1</v>
      </c>
      <c r="AE9" s="63" t="n">
        <v>23</v>
      </c>
      <c r="AF9" s="63" t="n">
        <v>1</v>
      </c>
      <c r="AG9" s="62" t="s">
        <v>390</v>
      </c>
      <c r="AH9" s="62"/>
      <c r="AI9" s="63" t="n">
        <v>0</v>
      </c>
      <c r="AJ9" s="62" t="s">
        <v>147</v>
      </c>
      <c r="AK9" s="62" t="s">
        <v>391</v>
      </c>
      <c r="AL9" s="62" t="s">
        <v>392</v>
      </c>
      <c r="AM9" s="62" t="s">
        <v>396</v>
      </c>
      <c r="AN9" s="65" t="n">
        <v>100.4</v>
      </c>
      <c r="AO9" s="62" t="s">
        <v>389</v>
      </c>
      <c r="AP9" s="62" t="s">
        <v>390</v>
      </c>
      <c r="AQ9" s="62" t="s">
        <v>390</v>
      </c>
      <c r="AR9" s="66"/>
      <c r="AS9" s="62"/>
      <c r="AT9" s="65"/>
      <c r="AU9" s="62" t="s">
        <v>400</v>
      </c>
    </row>
    <row r="10" customFormat="false" ht="15" hidden="false" customHeight="false" outlineLevel="0" collapsed="false">
      <c r="A10" s="62" t="s">
        <v>388</v>
      </c>
      <c r="B10" s="63" t="n">
        <v>287</v>
      </c>
      <c r="C10" s="64" t="n">
        <v>46300.5591771412</v>
      </c>
      <c r="D10" s="62" t="s">
        <v>72</v>
      </c>
      <c r="E10" s="63" t="n">
        <v>13</v>
      </c>
      <c r="F10" s="62" t="s">
        <v>389</v>
      </c>
      <c r="G10" s="62" t="s">
        <v>390</v>
      </c>
      <c r="H10" s="62" t="s">
        <v>390</v>
      </c>
      <c r="I10" s="62" t="s">
        <v>389</v>
      </c>
      <c r="J10" s="65"/>
      <c r="K10" s="62" t="s">
        <v>275</v>
      </c>
      <c r="L10" s="62" t="s">
        <v>389</v>
      </c>
      <c r="M10" s="62" t="s">
        <v>389</v>
      </c>
      <c r="N10" s="62" t="s">
        <v>304</v>
      </c>
      <c r="O10" s="62" t="s">
        <v>389</v>
      </c>
      <c r="P10" s="62" t="s">
        <v>389</v>
      </c>
      <c r="Q10" s="62" t="s">
        <v>390</v>
      </c>
      <c r="R10" s="62" t="s">
        <v>279</v>
      </c>
      <c r="S10" s="62" t="s">
        <v>390</v>
      </c>
      <c r="T10" s="65" t="n">
        <v>65.4</v>
      </c>
      <c r="U10" s="62" t="s">
        <v>277</v>
      </c>
      <c r="V10" s="65" t="n">
        <v>65.4</v>
      </c>
      <c r="W10" s="65" t="n">
        <v>4</v>
      </c>
      <c r="X10" s="63" t="n">
        <v>1</v>
      </c>
      <c r="Y10" s="62" t="s">
        <v>389</v>
      </c>
      <c r="Z10" s="62" t="s">
        <v>389</v>
      </c>
      <c r="AA10" s="62" t="s">
        <v>395</v>
      </c>
      <c r="AB10" s="62" t="s">
        <v>275</v>
      </c>
      <c r="AC10" s="65" t="n">
        <v>29.5</v>
      </c>
      <c r="AD10" s="63" t="n">
        <v>5</v>
      </c>
      <c r="AE10" s="63" t="n">
        <v>24</v>
      </c>
      <c r="AF10" s="63" t="n">
        <v>5</v>
      </c>
      <c r="AG10" s="62" t="s">
        <v>390</v>
      </c>
      <c r="AH10" s="62"/>
      <c r="AI10" s="63" t="n">
        <v>0</v>
      </c>
      <c r="AJ10" s="62" t="s">
        <v>153</v>
      </c>
      <c r="AK10" s="62" t="s">
        <v>391</v>
      </c>
      <c r="AL10" s="62" t="s">
        <v>392</v>
      </c>
      <c r="AM10" s="62" t="s">
        <v>396</v>
      </c>
      <c r="AN10" s="65" t="n">
        <v>75.7</v>
      </c>
      <c r="AO10" s="62" t="s">
        <v>389</v>
      </c>
      <c r="AP10" s="62" t="s">
        <v>389</v>
      </c>
      <c r="AQ10" s="62" t="s">
        <v>390</v>
      </c>
      <c r="AR10" s="66"/>
      <c r="AS10" s="62"/>
      <c r="AT10" s="65"/>
      <c r="AU10" s="62" t="s">
        <v>400</v>
      </c>
    </row>
    <row r="11" customFormat="false" ht="15" hidden="false" customHeight="false" outlineLevel="0" collapsed="false">
      <c r="A11" s="62" t="s">
        <v>388</v>
      </c>
      <c r="B11" s="63" t="n">
        <v>291</v>
      </c>
      <c r="C11" s="64" t="n">
        <v>46300.5715299769</v>
      </c>
      <c r="D11" s="62" t="s">
        <v>72</v>
      </c>
      <c r="E11" s="63" t="n">
        <v>13</v>
      </c>
      <c r="F11" s="62" t="s">
        <v>389</v>
      </c>
      <c r="G11" s="62" t="s">
        <v>389</v>
      </c>
      <c r="H11" s="62" t="s">
        <v>389</v>
      </c>
      <c r="I11" s="62" t="s">
        <v>389</v>
      </c>
      <c r="J11" s="65" t="n">
        <v>0.5</v>
      </c>
      <c r="K11" s="62" t="s">
        <v>279</v>
      </c>
      <c r="L11" s="62" t="s">
        <v>389</v>
      </c>
      <c r="M11" s="62" t="s">
        <v>390</v>
      </c>
      <c r="N11" s="62"/>
      <c r="O11" s="62" t="s">
        <v>389</v>
      </c>
      <c r="P11" s="62" t="s">
        <v>390</v>
      </c>
      <c r="Q11" s="62" t="s">
        <v>390</v>
      </c>
      <c r="R11" s="62" t="s">
        <v>279</v>
      </c>
      <c r="S11" s="62" t="s">
        <v>390</v>
      </c>
      <c r="T11" s="65" t="n">
        <v>4538.3</v>
      </c>
      <c r="U11" s="62" t="s">
        <v>277</v>
      </c>
      <c r="V11" s="65" t="n">
        <v>0.8</v>
      </c>
      <c r="W11" s="65" t="n">
        <v>4538</v>
      </c>
      <c r="X11" s="63" t="n">
        <v>0</v>
      </c>
      <c r="Y11" s="62" t="s">
        <v>390</v>
      </c>
      <c r="Z11" s="62" t="s">
        <v>389</v>
      </c>
      <c r="AA11" s="62" t="s">
        <v>395</v>
      </c>
      <c r="AB11" s="62" t="s">
        <v>275</v>
      </c>
      <c r="AC11" s="65" t="n">
        <v>26.1</v>
      </c>
      <c r="AD11" s="63" t="n">
        <v>2</v>
      </c>
      <c r="AE11" s="63" t="n">
        <v>21</v>
      </c>
      <c r="AF11" s="63" t="n">
        <v>1</v>
      </c>
      <c r="AG11" s="62" t="s">
        <v>390</v>
      </c>
      <c r="AH11" s="62"/>
      <c r="AI11" s="63" t="n">
        <v>0</v>
      </c>
      <c r="AJ11" s="62" t="s">
        <v>148</v>
      </c>
      <c r="AK11" s="62" t="s">
        <v>391</v>
      </c>
      <c r="AL11" s="62" t="s">
        <v>392</v>
      </c>
      <c r="AM11" s="62" t="s">
        <v>396</v>
      </c>
      <c r="AN11" s="65" t="n">
        <v>75.6</v>
      </c>
      <c r="AO11" s="62" t="s">
        <v>389</v>
      </c>
      <c r="AP11" s="62" t="s">
        <v>390</v>
      </c>
      <c r="AQ11" s="62" t="s">
        <v>390</v>
      </c>
      <c r="AR11" s="66"/>
      <c r="AS11" s="62"/>
      <c r="AT11" s="65"/>
      <c r="AU11" s="62" t="s">
        <v>400</v>
      </c>
    </row>
    <row r="12" customFormat="false" ht="15" hidden="false" customHeight="false" outlineLevel="0" collapsed="false">
      <c r="A12" s="62" t="s">
        <v>388</v>
      </c>
      <c r="B12" s="63" t="n">
        <v>292</v>
      </c>
      <c r="C12" s="64" t="n">
        <v>46300.5764981482</v>
      </c>
      <c r="D12" s="62" t="s">
        <v>72</v>
      </c>
      <c r="E12" s="63" t="n">
        <v>13</v>
      </c>
      <c r="F12" s="62" t="s">
        <v>389</v>
      </c>
      <c r="G12" s="62" t="s">
        <v>390</v>
      </c>
      <c r="H12" s="62" t="s">
        <v>390</v>
      </c>
      <c r="I12" s="62" t="s">
        <v>389</v>
      </c>
      <c r="J12" s="65"/>
      <c r="K12" s="62" t="s">
        <v>275</v>
      </c>
      <c r="L12" s="62" t="s">
        <v>389</v>
      </c>
      <c r="M12" s="62" t="s">
        <v>390</v>
      </c>
      <c r="N12" s="62"/>
      <c r="O12" s="62" t="s">
        <v>389</v>
      </c>
      <c r="P12" s="62" t="s">
        <v>390</v>
      </c>
      <c r="Q12" s="62" t="s">
        <v>390</v>
      </c>
      <c r="R12" s="62" t="s">
        <v>277</v>
      </c>
      <c r="S12" s="62" t="s">
        <v>390</v>
      </c>
      <c r="T12" s="65" t="n">
        <v>4531.8</v>
      </c>
      <c r="U12" s="62" t="s">
        <v>277</v>
      </c>
      <c r="V12" s="65" t="n">
        <v>4531.8</v>
      </c>
      <c r="W12" s="65"/>
      <c r="X12" s="63" t="n">
        <v>0</v>
      </c>
      <c r="Y12" s="62" t="s">
        <v>390</v>
      </c>
      <c r="Z12" s="62" t="s">
        <v>389</v>
      </c>
      <c r="AA12" s="62" t="s">
        <v>395</v>
      </c>
      <c r="AB12" s="62" t="s">
        <v>275</v>
      </c>
      <c r="AC12" s="65" t="n">
        <v>26.6</v>
      </c>
      <c r="AD12" s="63" t="n">
        <v>1</v>
      </c>
      <c r="AE12" s="63" t="n">
        <v>22</v>
      </c>
      <c r="AF12" s="63" t="n">
        <v>1</v>
      </c>
      <c r="AG12" s="62" t="s">
        <v>390</v>
      </c>
      <c r="AH12" s="62"/>
      <c r="AI12" s="63" t="n">
        <v>0</v>
      </c>
      <c r="AJ12" s="62" t="s">
        <v>147</v>
      </c>
      <c r="AK12" s="62" t="s">
        <v>391</v>
      </c>
      <c r="AL12" s="62" t="s">
        <v>392</v>
      </c>
      <c r="AM12" s="62" t="s">
        <v>396</v>
      </c>
      <c r="AN12" s="65" t="n">
        <v>75.5</v>
      </c>
      <c r="AO12" s="62" t="s">
        <v>389</v>
      </c>
      <c r="AP12" s="62" t="s">
        <v>390</v>
      </c>
      <c r="AQ12" s="62" t="s">
        <v>390</v>
      </c>
      <c r="AR12" s="66"/>
      <c r="AS12" s="62"/>
      <c r="AT12" s="65"/>
      <c r="AU12" s="62" t="s">
        <v>400</v>
      </c>
    </row>
    <row r="13" customFormat="false" ht="15" hidden="false" customHeight="false" outlineLevel="0" collapsed="false">
      <c r="A13" s="62" t="s">
        <v>388</v>
      </c>
      <c r="B13" s="63" t="n">
        <v>295</v>
      </c>
      <c r="C13" s="64" t="n">
        <v>46300.611448588</v>
      </c>
      <c r="D13" s="62" t="s">
        <v>72</v>
      </c>
      <c r="E13" s="63" t="n">
        <v>14</v>
      </c>
      <c r="F13" s="62" t="s">
        <v>389</v>
      </c>
      <c r="G13" s="62" t="s">
        <v>389</v>
      </c>
      <c r="H13" s="62" t="s">
        <v>389</v>
      </c>
      <c r="I13" s="62" t="s">
        <v>389</v>
      </c>
      <c r="J13" s="65" t="n">
        <v>0.5</v>
      </c>
      <c r="K13" s="62" t="s">
        <v>276</v>
      </c>
      <c r="L13" s="62" t="s">
        <v>389</v>
      </c>
      <c r="M13" s="62" t="s">
        <v>389</v>
      </c>
      <c r="N13" s="62" t="s">
        <v>307</v>
      </c>
      <c r="O13" s="62" t="s">
        <v>389</v>
      </c>
      <c r="P13" s="62" t="s">
        <v>390</v>
      </c>
      <c r="Q13" s="62" t="s">
        <v>390</v>
      </c>
      <c r="R13" s="62" t="s">
        <v>279</v>
      </c>
      <c r="S13" s="62" t="s">
        <v>389</v>
      </c>
      <c r="T13" s="65" t="n">
        <v>12.6</v>
      </c>
      <c r="U13" s="62" t="s">
        <v>279</v>
      </c>
      <c r="V13" s="65" t="n">
        <v>2.4</v>
      </c>
      <c r="W13" s="65" t="n">
        <v>1.1</v>
      </c>
      <c r="X13" s="63" t="n">
        <v>0</v>
      </c>
      <c r="Y13" s="62" t="s">
        <v>390</v>
      </c>
      <c r="Z13" s="62" t="s">
        <v>389</v>
      </c>
      <c r="AA13" s="62" t="s">
        <v>395</v>
      </c>
      <c r="AB13" s="62" t="s">
        <v>275</v>
      </c>
      <c r="AC13" s="65" t="n">
        <v>26.1</v>
      </c>
      <c r="AD13" s="63" t="n">
        <v>6</v>
      </c>
      <c r="AE13" s="63" t="n">
        <v>22</v>
      </c>
      <c r="AF13" s="63" t="n">
        <v>5</v>
      </c>
      <c r="AG13" s="62" t="s">
        <v>390</v>
      </c>
      <c r="AH13" s="62"/>
      <c r="AI13" s="63" t="n">
        <v>0</v>
      </c>
      <c r="AJ13" s="62" t="s">
        <v>149</v>
      </c>
      <c r="AK13" s="62" t="s">
        <v>391</v>
      </c>
      <c r="AL13" s="62" t="s">
        <v>275</v>
      </c>
      <c r="AM13" s="62" t="s">
        <v>350</v>
      </c>
      <c r="AN13" s="65" t="n">
        <v>118.3</v>
      </c>
      <c r="AO13" s="62" t="s">
        <v>389</v>
      </c>
      <c r="AP13" s="62" t="s">
        <v>390</v>
      </c>
      <c r="AQ13" s="62" t="s">
        <v>390</v>
      </c>
      <c r="AR13" s="66"/>
      <c r="AS13" s="62"/>
      <c r="AT13" s="65"/>
      <c r="AU13" s="62" t="s">
        <v>400</v>
      </c>
    </row>
    <row r="14" customFormat="false" ht="15" hidden="false" customHeight="false" outlineLevel="0" collapsed="false">
      <c r="A14" s="62" t="s">
        <v>388</v>
      </c>
      <c r="B14" s="63" t="n">
        <v>296</v>
      </c>
      <c r="C14" s="64" t="n">
        <v>46300.6126995949</v>
      </c>
      <c r="D14" s="62" t="s">
        <v>72</v>
      </c>
      <c r="E14" s="63" t="n">
        <v>14</v>
      </c>
      <c r="F14" s="62" t="s">
        <v>389</v>
      </c>
      <c r="G14" s="62" t="s">
        <v>389</v>
      </c>
      <c r="H14" s="62" t="s">
        <v>389</v>
      </c>
      <c r="I14" s="62" t="s">
        <v>389</v>
      </c>
      <c r="J14" s="65" t="n">
        <v>0.2</v>
      </c>
      <c r="K14" s="62" t="s">
        <v>279</v>
      </c>
      <c r="L14" s="62" t="s">
        <v>389</v>
      </c>
      <c r="M14" s="62" t="s">
        <v>389</v>
      </c>
      <c r="N14" s="62" t="s">
        <v>307</v>
      </c>
      <c r="O14" s="62" t="s">
        <v>389</v>
      </c>
      <c r="P14" s="62" t="s">
        <v>389</v>
      </c>
      <c r="Q14" s="62" t="s">
        <v>390</v>
      </c>
      <c r="R14" s="62" t="s">
        <v>279</v>
      </c>
      <c r="S14" s="62" t="s">
        <v>390</v>
      </c>
      <c r="T14" s="65" t="n">
        <v>32.8</v>
      </c>
      <c r="U14" s="62" t="s">
        <v>277</v>
      </c>
      <c r="V14" s="65" t="n">
        <v>0.4</v>
      </c>
      <c r="W14" s="65" t="n">
        <v>4.3</v>
      </c>
      <c r="X14" s="63" t="n">
        <v>0</v>
      </c>
      <c r="Y14" s="62" t="s">
        <v>389</v>
      </c>
      <c r="Z14" s="62" t="s">
        <v>389</v>
      </c>
      <c r="AA14" s="62" t="s">
        <v>395</v>
      </c>
      <c r="AB14" s="62" t="s">
        <v>275</v>
      </c>
      <c r="AC14" s="65" t="n">
        <v>46.3</v>
      </c>
      <c r="AD14" s="63" t="n">
        <v>4</v>
      </c>
      <c r="AE14" s="63" t="n">
        <v>21</v>
      </c>
      <c r="AF14" s="63" t="n">
        <v>5</v>
      </c>
      <c r="AG14" s="62" t="s">
        <v>390</v>
      </c>
      <c r="AH14" s="62"/>
      <c r="AI14" s="63" t="n">
        <v>0</v>
      </c>
      <c r="AJ14" s="62" t="s">
        <v>149</v>
      </c>
      <c r="AK14" s="62" t="s">
        <v>391</v>
      </c>
      <c r="AL14" s="62" t="s">
        <v>392</v>
      </c>
      <c r="AM14" s="62" t="s">
        <v>396</v>
      </c>
      <c r="AN14" s="65" t="n">
        <v>139.1</v>
      </c>
      <c r="AO14" s="62" t="s">
        <v>389</v>
      </c>
      <c r="AP14" s="62" t="s">
        <v>390</v>
      </c>
      <c r="AQ14" s="62" t="s">
        <v>390</v>
      </c>
      <c r="AR14" s="66"/>
      <c r="AS14" s="62"/>
      <c r="AT14" s="65"/>
      <c r="AU14" s="62" t="s">
        <v>400</v>
      </c>
    </row>
    <row r="15" customFormat="false" ht="15" hidden="false" customHeight="false" outlineLevel="0" collapsed="false">
      <c r="A15" s="62" t="s">
        <v>388</v>
      </c>
      <c r="B15" s="63" t="n">
        <v>298</v>
      </c>
      <c r="C15" s="64" t="n">
        <v>46300.6174296528</v>
      </c>
      <c r="D15" s="62" t="s">
        <v>72</v>
      </c>
      <c r="E15" s="63" t="n">
        <v>14</v>
      </c>
      <c r="F15" s="62" t="s">
        <v>389</v>
      </c>
      <c r="G15" s="62" t="s">
        <v>389</v>
      </c>
      <c r="H15" s="62" t="s">
        <v>389</v>
      </c>
      <c r="I15" s="62" t="s">
        <v>389</v>
      </c>
      <c r="J15" s="65" t="n">
        <v>0.4</v>
      </c>
      <c r="K15" s="62" t="s">
        <v>277</v>
      </c>
      <c r="L15" s="62" t="s">
        <v>389</v>
      </c>
      <c r="M15" s="62" t="s">
        <v>389</v>
      </c>
      <c r="N15" s="62" t="s">
        <v>307</v>
      </c>
      <c r="O15" s="62" t="s">
        <v>389</v>
      </c>
      <c r="P15" s="62" t="s">
        <v>389</v>
      </c>
      <c r="Q15" s="62" t="s">
        <v>390</v>
      </c>
      <c r="R15" s="62" t="s">
        <v>277</v>
      </c>
      <c r="S15" s="62" t="s">
        <v>390</v>
      </c>
      <c r="T15" s="65" t="n">
        <v>5.1</v>
      </c>
      <c r="U15" s="62" t="s">
        <v>277</v>
      </c>
      <c r="V15" s="65" t="n">
        <v>1.8</v>
      </c>
      <c r="W15" s="65" t="n">
        <v>0.9</v>
      </c>
      <c r="X15" s="63" t="n">
        <v>0</v>
      </c>
      <c r="Y15" s="62" t="s">
        <v>389</v>
      </c>
      <c r="Z15" s="62" t="s">
        <v>389</v>
      </c>
      <c r="AA15" s="62" t="s">
        <v>395</v>
      </c>
      <c r="AB15" s="62" t="s">
        <v>275</v>
      </c>
      <c r="AC15" s="65" t="n">
        <v>46.2</v>
      </c>
      <c r="AD15" s="63" t="n">
        <v>6</v>
      </c>
      <c r="AE15" s="63" t="n">
        <v>22</v>
      </c>
      <c r="AF15" s="63" t="n">
        <v>8</v>
      </c>
      <c r="AG15" s="62" t="s">
        <v>389</v>
      </c>
      <c r="AH15" s="62" t="s">
        <v>398</v>
      </c>
      <c r="AI15" s="63" t="n">
        <v>0</v>
      </c>
      <c r="AJ15" s="62" t="s">
        <v>151</v>
      </c>
      <c r="AK15" s="62" t="s">
        <v>391</v>
      </c>
      <c r="AL15" s="62" t="s">
        <v>392</v>
      </c>
      <c r="AM15" s="62" t="s">
        <v>396</v>
      </c>
      <c r="AN15" s="65" t="n">
        <v>139</v>
      </c>
      <c r="AO15" s="62" t="s">
        <v>389</v>
      </c>
      <c r="AP15" s="62" t="s">
        <v>390</v>
      </c>
      <c r="AQ15" s="62" t="s">
        <v>390</v>
      </c>
      <c r="AR15" s="66"/>
      <c r="AS15" s="62"/>
      <c r="AT15" s="65"/>
      <c r="AU15" s="62" t="s">
        <v>400</v>
      </c>
    </row>
    <row r="16" customFormat="false" ht="15" hidden="false" customHeight="false" outlineLevel="0" collapsed="false">
      <c r="A16" s="62" t="s">
        <v>388</v>
      </c>
      <c r="B16" s="63" t="n">
        <v>307</v>
      </c>
      <c r="C16" s="64" t="n">
        <v>46300.6619533102</v>
      </c>
      <c r="D16" s="62" t="s">
        <v>72</v>
      </c>
      <c r="E16" s="63" t="n">
        <v>15</v>
      </c>
      <c r="F16" s="62" t="s">
        <v>389</v>
      </c>
      <c r="G16" s="62" t="s">
        <v>389</v>
      </c>
      <c r="H16" s="62" t="s">
        <v>389</v>
      </c>
      <c r="I16" s="62" t="s">
        <v>389</v>
      </c>
      <c r="J16" s="65" t="n">
        <v>0.2</v>
      </c>
      <c r="K16" s="62" t="s">
        <v>278</v>
      </c>
      <c r="L16" s="62" t="s">
        <v>389</v>
      </c>
      <c r="M16" s="62" t="s">
        <v>390</v>
      </c>
      <c r="N16" s="62"/>
      <c r="O16" s="62" t="s">
        <v>389</v>
      </c>
      <c r="P16" s="62" t="s">
        <v>390</v>
      </c>
      <c r="Q16" s="62" t="s">
        <v>390</v>
      </c>
      <c r="R16" s="62" t="s">
        <v>278</v>
      </c>
      <c r="S16" s="62" t="s">
        <v>390</v>
      </c>
      <c r="T16" s="65" t="n">
        <v>5859.8</v>
      </c>
      <c r="U16" s="62" t="s">
        <v>278</v>
      </c>
      <c r="V16" s="65" t="n">
        <v>0.6</v>
      </c>
      <c r="W16" s="65" t="n">
        <v>5858.7</v>
      </c>
      <c r="X16" s="63" t="n">
        <v>0</v>
      </c>
      <c r="Y16" s="62" t="s">
        <v>390</v>
      </c>
      <c r="Z16" s="62" t="s">
        <v>389</v>
      </c>
      <c r="AA16" s="62" t="s">
        <v>395</v>
      </c>
      <c r="AB16" s="62" t="s">
        <v>275</v>
      </c>
      <c r="AC16" s="65" t="n">
        <v>26.1</v>
      </c>
      <c r="AD16" s="63" t="n">
        <v>3</v>
      </c>
      <c r="AE16" s="63" t="n">
        <v>22</v>
      </c>
      <c r="AF16" s="63" t="n">
        <v>1</v>
      </c>
      <c r="AG16" s="62" t="s">
        <v>390</v>
      </c>
      <c r="AH16" s="62"/>
      <c r="AI16" s="63" t="n">
        <v>0</v>
      </c>
      <c r="AJ16" s="62" t="s">
        <v>149</v>
      </c>
      <c r="AK16" s="62" t="s">
        <v>391</v>
      </c>
      <c r="AL16" s="62" t="s">
        <v>392</v>
      </c>
      <c r="AM16" s="62" t="s">
        <v>396</v>
      </c>
      <c r="AN16" s="65" t="n">
        <v>97.7</v>
      </c>
      <c r="AO16" s="62" t="s">
        <v>389</v>
      </c>
      <c r="AP16" s="62" t="s">
        <v>390</v>
      </c>
      <c r="AQ16" s="62" t="s">
        <v>390</v>
      </c>
      <c r="AR16" s="66"/>
      <c r="AS16" s="62"/>
      <c r="AT16" s="65"/>
      <c r="AU16" s="62" t="s">
        <v>400</v>
      </c>
    </row>
    <row r="17" customFormat="false" ht="15" hidden="false" customHeight="false" outlineLevel="0" collapsed="false">
      <c r="A17" s="62" t="s">
        <v>388</v>
      </c>
      <c r="B17" s="63" t="n">
        <v>308</v>
      </c>
      <c r="C17" s="64" t="n">
        <v>46300.6631319444</v>
      </c>
      <c r="D17" s="62" t="s">
        <v>72</v>
      </c>
      <c r="E17" s="63" t="n">
        <v>15</v>
      </c>
      <c r="F17" s="62" t="s">
        <v>389</v>
      </c>
      <c r="G17" s="62" t="s">
        <v>390</v>
      </c>
      <c r="H17" s="62" t="s">
        <v>390</v>
      </c>
      <c r="I17" s="62" t="s">
        <v>389</v>
      </c>
      <c r="J17" s="65"/>
      <c r="K17" s="62" t="s">
        <v>275</v>
      </c>
      <c r="L17" s="62" t="s">
        <v>389</v>
      </c>
      <c r="M17" s="62" t="s">
        <v>389</v>
      </c>
      <c r="N17" s="62" t="s">
        <v>306</v>
      </c>
      <c r="O17" s="62" t="s">
        <v>389</v>
      </c>
      <c r="P17" s="62" t="s">
        <v>389</v>
      </c>
      <c r="Q17" s="62" t="s">
        <v>390</v>
      </c>
      <c r="R17" s="62" t="s">
        <v>277</v>
      </c>
      <c r="S17" s="62" t="s">
        <v>390</v>
      </c>
      <c r="T17" s="65" t="n">
        <v>96</v>
      </c>
      <c r="U17" s="62" t="s">
        <v>277</v>
      </c>
      <c r="V17" s="65" t="n">
        <v>96</v>
      </c>
      <c r="W17" s="65" t="n">
        <v>4.8</v>
      </c>
      <c r="X17" s="63" t="n">
        <v>0</v>
      </c>
      <c r="Y17" s="62" t="s">
        <v>389</v>
      </c>
      <c r="Z17" s="62" t="s">
        <v>389</v>
      </c>
      <c r="AA17" s="62" t="s">
        <v>395</v>
      </c>
      <c r="AB17" s="62" t="s">
        <v>277</v>
      </c>
      <c r="AC17" s="65" t="n">
        <v>73.5</v>
      </c>
      <c r="AD17" s="63" t="n">
        <v>7</v>
      </c>
      <c r="AE17" s="63" t="n">
        <v>16</v>
      </c>
      <c r="AF17" s="63" t="n">
        <v>11</v>
      </c>
      <c r="AG17" s="62" t="s">
        <v>389</v>
      </c>
      <c r="AH17" s="62" t="s">
        <v>398</v>
      </c>
      <c r="AI17" s="63" t="n">
        <v>0</v>
      </c>
      <c r="AJ17" s="62" t="s">
        <v>151</v>
      </c>
      <c r="AK17" s="62" t="s">
        <v>391</v>
      </c>
      <c r="AL17" s="62" t="s">
        <v>392</v>
      </c>
      <c r="AM17" s="62" t="s">
        <v>396</v>
      </c>
      <c r="AN17" s="65" t="n">
        <v>160.9</v>
      </c>
      <c r="AO17" s="62" t="s">
        <v>389</v>
      </c>
      <c r="AP17" s="62" t="s">
        <v>390</v>
      </c>
      <c r="AQ17" s="62" t="s">
        <v>390</v>
      </c>
      <c r="AR17" s="66"/>
      <c r="AS17" s="62"/>
      <c r="AT17" s="65"/>
      <c r="AU17" s="62" t="s">
        <v>400</v>
      </c>
    </row>
    <row r="18" customFormat="false" ht="15" hidden="false" customHeight="false" outlineLevel="0" collapsed="false">
      <c r="A18" s="62" t="s">
        <v>388</v>
      </c>
      <c r="B18" s="63" t="n">
        <v>311</v>
      </c>
      <c r="C18" s="64" t="n">
        <v>46300.6818922801</v>
      </c>
      <c r="D18" s="62" t="s">
        <v>72</v>
      </c>
      <c r="E18" s="63" t="n">
        <v>16</v>
      </c>
      <c r="F18" s="62" t="s">
        <v>389</v>
      </c>
      <c r="G18" s="62" t="s">
        <v>390</v>
      </c>
      <c r="H18" s="62" t="s">
        <v>390</v>
      </c>
      <c r="I18" s="62" t="s">
        <v>389</v>
      </c>
      <c r="J18" s="65"/>
      <c r="K18" s="62" t="s">
        <v>275</v>
      </c>
      <c r="L18" s="62" t="s">
        <v>389</v>
      </c>
      <c r="M18" s="62" t="s">
        <v>390</v>
      </c>
      <c r="N18" s="62"/>
      <c r="O18" s="62" t="s">
        <v>389</v>
      </c>
      <c r="P18" s="62" t="s">
        <v>390</v>
      </c>
      <c r="Q18" s="62" t="s">
        <v>390</v>
      </c>
      <c r="R18" s="62" t="s">
        <v>278</v>
      </c>
      <c r="S18" s="62" t="s">
        <v>390</v>
      </c>
      <c r="T18" s="65" t="n">
        <v>5834.1</v>
      </c>
      <c r="U18" s="62" t="s">
        <v>278</v>
      </c>
      <c r="V18" s="65" t="n">
        <v>5834.1</v>
      </c>
      <c r="W18" s="65"/>
      <c r="X18" s="63" t="n">
        <v>0</v>
      </c>
      <c r="Y18" s="62" t="s">
        <v>390</v>
      </c>
      <c r="Z18" s="62" t="s">
        <v>389</v>
      </c>
      <c r="AA18" s="62" t="s">
        <v>395</v>
      </c>
      <c r="AB18" s="62" t="s">
        <v>275</v>
      </c>
      <c r="AC18" s="65" t="n">
        <v>26.6</v>
      </c>
      <c r="AD18" s="63" t="n">
        <v>1</v>
      </c>
      <c r="AE18" s="63" t="n">
        <v>23</v>
      </c>
      <c r="AF18" s="63" t="n">
        <v>1</v>
      </c>
      <c r="AG18" s="62" t="s">
        <v>390</v>
      </c>
      <c r="AH18" s="62"/>
      <c r="AI18" s="63" t="n">
        <v>0</v>
      </c>
      <c r="AJ18" s="62" t="s">
        <v>147</v>
      </c>
      <c r="AK18" s="62" t="s">
        <v>391</v>
      </c>
      <c r="AL18" s="62" t="s">
        <v>392</v>
      </c>
      <c r="AM18" s="62" t="s">
        <v>396</v>
      </c>
      <c r="AN18" s="65" t="n">
        <v>97.2</v>
      </c>
      <c r="AO18" s="62" t="s">
        <v>389</v>
      </c>
      <c r="AP18" s="62" t="s">
        <v>390</v>
      </c>
      <c r="AQ18" s="62" t="s">
        <v>390</v>
      </c>
      <c r="AR18" s="66"/>
      <c r="AS18" s="62"/>
      <c r="AT18" s="65"/>
      <c r="AU18" s="62" t="s">
        <v>400</v>
      </c>
    </row>
    <row r="19" customFormat="false" ht="15" hidden="false" customHeight="false" outlineLevel="0" collapsed="false">
      <c r="A19" s="62" t="s">
        <v>388</v>
      </c>
      <c r="B19" s="63" t="n">
        <v>313</v>
      </c>
      <c r="C19" s="64" t="n">
        <v>46300.6931429282</v>
      </c>
      <c r="D19" s="62" t="s">
        <v>72</v>
      </c>
      <c r="E19" s="63" t="n">
        <v>16</v>
      </c>
      <c r="F19" s="62" t="s">
        <v>389</v>
      </c>
      <c r="G19" s="62" t="s">
        <v>389</v>
      </c>
      <c r="H19" s="62" t="s">
        <v>389</v>
      </c>
      <c r="I19" s="62" t="s">
        <v>389</v>
      </c>
      <c r="J19" s="65" t="n">
        <v>0.3</v>
      </c>
      <c r="K19" s="62" t="s">
        <v>279</v>
      </c>
      <c r="L19" s="62" t="s">
        <v>389</v>
      </c>
      <c r="M19" s="62" t="s">
        <v>389</v>
      </c>
      <c r="N19" s="62" t="s">
        <v>308</v>
      </c>
      <c r="O19" s="62" t="s">
        <v>389</v>
      </c>
      <c r="P19" s="62" t="s">
        <v>389</v>
      </c>
      <c r="Q19" s="62" t="s">
        <v>390</v>
      </c>
      <c r="R19" s="62" t="s">
        <v>279</v>
      </c>
      <c r="S19" s="62" t="s">
        <v>390</v>
      </c>
      <c r="T19" s="65" t="n">
        <v>14.3</v>
      </c>
      <c r="U19" s="62" t="s">
        <v>279</v>
      </c>
      <c r="V19" s="65" t="n">
        <v>0.6</v>
      </c>
      <c r="W19" s="65" t="n">
        <v>7.8</v>
      </c>
      <c r="X19" s="63" t="n">
        <v>0</v>
      </c>
      <c r="Y19" s="62" t="s">
        <v>390</v>
      </c>
      <c r="Z19" s="62" t="s">
        <v>389</v>
      </c>
      <c r="AA19" s="62" t="s">
        <v>395</v>
      </c>
      <c r="AB19" s="62" t="s">
        <v>275</v>
      </c>
      <c r="AC19" s="65" t="n">
        <v>44.4</v>
      </c>
      <c r="AD19" s="63" t="n">
        <v>5</v>
      </c>
      <c r="AE19" s="63" t="n">
        <v>24</v>
      </c>
      <c r="AF19" s="63" t="n">
        <v>2</v>
      </c>
      <c r="AG19" s="62" t="s">
        <v>390</v>
      </c>
      <c r="AH19" s="62"/>
      <c r="AI19" s="63" t="n">
        <v>0</v>
      </c>
      <c r="AJ19" s="62" t="s">
        <v>149</v>
      </c>
      <c r="AK19" s="62" t="s">
        <v>391</v>
      </c>
      <c r="AL19" s="62" t="s">
        <v>275</v>
      </c>
      <c r="AM19" s="62" t="s">
        <v>350</v>
      </c>
      <c r="AN19" s="65" t="n">
        <v>140.4</v>
      </c>
      <c r="AO19" s="62" t="s">
        <v>389</v>
      </c>
      <c r="AP19" s="62" t="s">
        <v>390</v>
      </c>
      <c r="AQ19" s="62" t="s">
        <v>390</v>
      </c>
      <c r="AR19" s="66"/>
      <c r="AS19" s="62"/>
      <c r="AT19" s="65"/>
      <c r="AU19" s="62" t="s">
        <v>400</v>
      </c>
    </row>
    <row r="20" customFormat="false" ht="15" hidden="false" customHeight="false" outlineLevel="0" collapsed="false">
      <c r="A20" s="62" t="s">
        <v>388</v>
      </c>
      <c r="B20" s="63" t="n">
        <v>314</v>
      </c>
      <c r="C20" s="64" t="n">
        <v>46300.6981309838</v>
      </c>
      <c r="D20" s="62" t="s">
        <v>72</v>
      </c>
      <c r="E20" s="63" t="n">
        <v>16</v>
      </c>
      <c r="F20" s="62" t="s">
        <v>389</v>
      </c>
      <c r="G20" s="62" t="s">
        <v>389</v>
      </c>
      <c r="H20" s="62" t="s">
        <v>390</v>
      </c>
      <c r="I20" s="62" t="s">
        <v>389</v>
      </c>
      <c r="J20" s="65" t="n">
        <v>9.6</v>
      </c>
      <c r="K20" s="62" t="s">
        <v>275</v>
      </c>
      <c r="L20" s="62" t="s">
        <v>389</v>
      </c>
      <c r="M20" s="62" t="s">
        <v>390</v>
      </c>
      <c r="N20" s="62"/>
      <c r="O20" s="62" t="s">
        <v>389</v>
      </c>
      <c r="P20" s="62" t="s">
        <v>390</v>
      </c>
      <c r="Q20" s="62" t="s">
        <v>390</v>
      </c>
      <c r="R20" s="62" t="s">
        <v>277</v>
      </c>
      <c r="S20" s="62" t="s">
        <v>390</v>
      </c>
      <c r="T20" s="65" t="n">
        <v>4363.9</v>
      </c>
      <c r="U20" s="62" t="s">
        <v>277</v>
      </c>
      <c r="V20" s="65" t="n">
        <v>4363.9</v>
      </c>
      <c r="W20" s="65" t="n">
        <v>4343.3</v>
      </c>
      <c r="X20" s="63" t="n">
        <v>0</v>
      </c>
      <c r="Y20" s="62" t="s">
        <v>390</v>
      </c>
      <c r="Z20" s="62" t="s">
        <v>389</v>
      </c>
      <c r="AA20" s="62" t="s">
        <v>395</v>
      </c>
      <c r="AB20" s="62" t="s">
        <v>275</v>
      </c>
      <c r="AC20" s="65" t="n">
        <v>44.3</v>
      </c>
      <c r="AD20" s="63" t="n">
        <v>2</v>
      </c>
      <c r="AE20" s="63" t="n">
        <v>22</v>
      </c>
      <c r="AF20" s="63" t="n">
        <v>2</v>
      </c>
      <c r="AG20" s="62" t="s">
        <v>390</v>
      </c>
      <c r="AH20" s="62"/>
      <c r="AI20" s="63" t="n">
        <v>0</v>
      </c>
      <c r="AJ20" s="62" t="s">
        <v>148</v>
      </c>
      <c r="AK20" s="62" t="s">
        <v>391</v>
      </c>
      <c r="AL20" s="62" t="s">
        <v>392</v>
      </c>
      <c r="AM20" s="62" t="s">
        <v>396</v>
      </c>
      <c r="AN20" s="65" t="n">
        <v>91.5</v>
      </c>
      <c r="AO20" s="62" t="s">
        <v>389</v>
      </c>
      <c r="AP20" s="62" t="s">
        <v>390</v>
      </c>
      <c r="AQ20" s="62" t="s">
        <v>390</v>
      </c>
      <c r="AR20" s="66"/>
      <c r="AS20" s="62"/>
      <c r="AT20" s="65"/>
      <c r="AU20" s="62" t="s">
        <v>400</v>
      </c>
    </row>
    <row r="21" customFormat="false" ht="15" hidden="false" customHeight="false" outlineLevel="0" collapsed="false">
      <c r="A21" s="62" t="s">
        <v>388</v>
      </c>
      <c r="B21" s="63" t="n">
        <v>317</v>
      </c>
      <c r="C21" s="64" t="n">
        <v>46300.7470721991</v>
      </c>
      <c r="D21" s="62" t="s">
        <v>72</v>
      </c>
      <c r="E21" s="63" t="n">
        <v>17</v>
      </c>
      <c r="F21" s="62" t="s">
        <v>389</v>
      </c>
      <c r="G21" s="62" t="s">
        <v>389</v>
      </c>
      <c r="H21" s="62" t="s">
        <v>389</v>
      </c>
      <c r="I21" s="62" t="s">
        <v>389</v>
      </c>
      <c r="J21" s="65" t="n">
        <v>0.2</v>
      </c>
      <c r="K21" s="62" t="s">
        <v>279</v>
      </c>
      <c r="L21" s="62" t="s">
        <v>389</v>
      </c>
      <c r="M21" s="62" t="s">
        <v>389</v>
      </c>
      <c r="N21" s="62" t="s">
        <v>303</v>
      </c>
      <c r="O21" s="62" t="s">
        <v>389</v>
      </c>
      <c r="P21" s="62" t="s">
        <v>389</v>
      </c>
      <c r="Q21" s="62" t="s">
        <v>389</v>
      </c>
      <c r="R21" s="62" t="s">
        <v>279</v>
      </c>
      <c r="S21" s="62" t="s">
        <v>390</v>
      </c>
      <c r="T21" s="65" t="n">
        <v>10.6</v>
      </c>
      <c r="U21" s="62" t="s">
        <v>279</v>
      </c>
      <c r="V21" s="65" t="n">
        <v>2.8</v>
      </c>
      <c r="W21" s="65" t="n">
        <v>0.7</v>
      </c>
      <c r="X21" s="63" t="n">
        <v>0</v>
      </c>
      <c r="Y21" s="62" t="s">
        <v>390</v>
      </c>
      <c r="Z21" s="62" t="s">
        <v>389</v>
      </c>
      <c r="AA21" s="62" t="s">
        <v>395</v>
      </c>
      <c r="AB21" s="62" t="s">
        <v>275</v>
      </c>
      <c r="AC21" s="65" t="n">
        <v>43.1</v>
      </c>
      <c r="AD21" s="63" t="n">
        <v>16</v>
      </c>
      <c r="AE21" s="63" t="n">
        <v>31</v>
      </c>
      <c r="AF21" s="63" t="n">
        <v>13</v>
      </c>
      <c r="AG21" s="62" t="s">
        <v>390</v>
      </c>
      <c r="AH21" s="62"/>
      <c r="AI21" s="63" t="n">
        <v>0</v>
      </c>
      <c r="AJ21" s="62" t="s">
        <v>151</v>
      </c>
      <c r="AK21" s="62" t="s">
        <v>391</v>
      </c>
      <c r="AL21" s="62" t="s">
        <v>275</v>
      </c>
      <c r="AM21" s="62" t="s">
        <v>350</v>
      </c>
      <c r="AN21" s="65" t="n">
        <v>139.1</v>
      </c>
      <c r="AO21" s="62" t="s">
        <v>389</v>
      </c>
      <c r="AP21" s="62" t="s">
        <v>390</v>
      </c>
      <c r="AQ21" s="62" t="s">
        <v>390</v>
      </c>
      <c r="AR21" s="66"/>
      <c r="AS21" s="62"/>
      <c r="AT21" s="65"/>
      <c r="AU21" s="62" t="s">
        <v>403</v>
      </c>
    </row>
    <row r="22" customFormat="false" ht="15" hidden="false" customHeight="false" outlineLevel="0" collapsed="false">
      <c r="A22" s="62" t="s">
        <v>388</v>
      </c>
      <c r="B22" s="63" t="n">
        <v>319</v>
      </c>
      <c r="C22" s="64" t="n">
        <v>46300.7582885995</v>
      </c>
      <c r="D22" s="62" t="s">
        <v>72</v>
      </c>
      <c r="E22" s="63" t="n">
        <v>18</v>
      </c>
      <c r="F22" s="62" t="s">
        <v>389</v>
      </c>
      <c r="G22" s="62" t="s">
        <v>390</v>
      </c>
      <c r="H22" s="62" t="s">
        <v>390</v>
      </c>
      <c r="I22" s="62" t="s">
        <v>389</v>
      </c>
      <c r="J22" s="65"/>
      <c r="K22" s="62" t="s">
        <v>275</v>
      </c>
      <c r="L22" s="62" t="s">
        <v>389</v>
      </c>
      <c r="M22" s="62" t="s">
        <v>390</v>
      </c>
      <c r="N22" s="62"/>
      <c r="O22" s="62" t="s">
        <v>389</v>
      </c>
      <c r="P22" s="62" t="s">
        <v>390</v>
      </c>
      <c r="Q22" s="62" t="s">
        <v>390</v>
      </c>
      <c r="R22" s="62" t="s">
        <v>278</v>
      </c>
      <c r="S22" s="62" t="s">
        <v>390</v>
      </c>
      <c r="T22" s="65" t="n">
        <v>5714.9</v>
      </c>
      <c r="U22" s="62" t="s">
        <v>278</v>
      </c>
      <c r="V22" s="65" t="n">
        <v>5714.9</v>
      </c>
      <c r="W22" s="65"/>
      <c r="X22" s="63" t="n">
        <v>0</v>
      </c>
      <c r="Y22" s="62" t="s">
        <v>390</v>
      </c>
      <c r="Z22" s="62" t="s">
        <v>389</v>
      </c>
      <c r="AA22" s="62" t="s">
        <v>395</v>
      </c>
      <c r="AB22" s="62" t="s">
        <v>275</v>
      </c>
      <c r="AC22" s="65" t="n">
        <v>42.8</v>
      </c>
      <c r="AD22" s="63" t="n">
        <v>1</v>
      </c>
      <c r="AE22" s="63" t="n">
        <v>22</v>
      </c>
      <c r="AF22" s="63" t="n">
        <v>2</v>
      </c>
      <c r="AG22" s="62" t="s">
        <v>390</v>
      </c>
      <c r="AH22" s="62"/>
      <c r="AI22" s="63" t="n">
        <v>0</v>
      </c>
      <c r="AJ22" s="62" t="s">
        <v>147</v>
      </c>
      <c r="AK22" s="62" t="s">
        <v>391</v>
      </c>
      <c r="AL22" s="62" t="s">
        <v>392</v>
      </c>
      <c r="AM22" s="62" t="s">
        <v>396</v>
      </c>
      <c r="AN22" s="65" t="n">
        <v>95.3</v>
      </c>
      <c r="AO22" s="62" t="s">
        <v>389</v>
      </c>
      <c r="AP22" s="62" t="s">
        <v>390</v>
      </c>
      <c r="AQ22" s="62" t="s">
        <v>390</v>
      </c>
      <c r="AR22" s="66"/>
      <c r="AS22" s="62"/>
      <c r="AT22" s="65"/>
      <c r="AU22" s="62" t="s">
        <v>400</v>
      </c>
    </row>
    <row r="23" customFormat="false" ht="15" hidden="false" customHeight="false" outlineLevel="0" collapsed="false">
      <c r="A23" s="62" t="s">
        <v>388</v>
      </c>
      <c r="B23" s="63" t="n">
        <v>321</v>
      </c>
      <c r="C23" s="64" t="n">
        <v>46300.7608453819</v>
      </c>
      <c r="D23" s="62" t="s">
        <v>72</v>
      </c>
      <c r="E23" s="63" t="n">
        <v>18</v>
      </c>
      <c r="F23" s="62" t="s">
        <v>389</v>
      </c>
      <c r="G23" s="62" t="s">
        <v>389</v>
      </c>
      <c r="H23" s="62" t="s">
        <v>389</v>
      </c>
      <c r="I23" s="62" t="s">
        <v>389</v>
      </c>
      <c r="J23" s="65" t="n">
        <v>0.4</v>
      </c>
      <c r="K23" s="62" t="s">
        <v>279</v>
      </c>
      <c r="L23" s="62" t="s">
        <v>389</v>
      </c>
      <c r="M23" s="62" t="s">
        <v>390</v>
      </c>
      <c r="N23" s="62"/>
      <c r="O23" s="62" t="s">
        <v>389</v>
      </c>
      <c r="P23" s="62" t="s">
        <v>390</v>
      </c>
      <c r="Q23" s="62" t="s">
        <v>390</v>
      </c>
      <c r="R23" s="62" t="s">
        <v>279</v>
      </c>
      <c r="S23" s="62" t="s">
        <v>390</v>
      </c>
      <c r="T23" s="65" t="n">
        <v>935.8</v>
      </c>
      <c r="U23" s="62" t="s">
        <v>279</v>
      </c>
      <c r="V23" s="65" t="n">
        <v>6.9</v>
      </c>
      <c r="W23" s="65" t="n">
        <v>929.2</v>
      </c>
      <c r="X23" s="63" t="n">
        <v>0</v>
      </c>
      <c r="Y23" s="62" t="s">
        <v>390</v>
      </c>
      <c r="Z23" s="62" t="s">
        <v>389</v>
      </c>
      <c r="AA23" s="62" t="s">
        <v>395</v>
      </c>
      <c r="AB23" s="62" t="s">
        <v>275</v>
      </c>
      <c r="AC23" s="65" t="n">
        <v>42.8</v>
      </c>
      <c r="AD23" s="63" t="n">
        <v>2</v>
      </c>
      <c r="AE23" s="63" t="n">
        <v>22</v>
      </c>
      <c r="AF23" s="63" t="n">
        <v>1</v>
      </c>
      <c r="AG23" s="62" t="s">
        <v>390</v>
      </c>
      <c r="AH23" s="62"/>
      <c r="AI23" s="63" t="n">
        <v>0</v>
      </c>
      <c r="AJ23" s="62" t="s">
        <v>148</v>
      </c>
      <c r="AK23" s="62" t="s">
        <v>391</v>
      </c>
      <c r="AL23" s="62" t="s">
        <v>275</v>
      </c>
      <c r="AM23" s="62" t="s">
        <v>350</v>
      </c>
      <c r="AN23" s="65" t="n">
        <v>138.7</v>
      </c>
      <c r="AO23" s="62" t="s">
        <v>389</v>
      </c>
      <c r="AP23" s="62" t="s">
        <v>390</v>
      </c>
      <c r="AQ23" s="62" t="s">
        <v>390</v>
      </c>
      <c r="AR23" s="66"/>
      <c r="AS23" s="62"/>
      <c r="AT23" s="65"/>
      <c r="AU23" s="62" t="s">
        <v>400</v>
      </c>
    </row>
    <row r="24" customFormat="false" ht="15" hidden="false" customHeight="false" outlineLevel="0" collapsed="false">
      <c r="A24" s="62" t="s">
        <v>388</v>
      </c>
      <c r="B24" s="63" t="n">
        <v>322</v>
      </c>
      <c r="C24" s="64" t="n">
        <v>46300.780854294</v>
      </c>
      <c r="D24" s="62" t="s">
        <v>72</v>
      </c>
      <c r="E24" s="63" t="n">
        <v>18</v>
      </c>
      <c r="F24" s="62" t="s">
        <v>389</v>
      </c>
      <c r="G24" s="62" t="s">
        <v>390</v>
      </c>
      <c r="H24" s="62" t="s">
        <v>390</v>
      </c>
      <c r="I24" s="62" t="s">
        <v>389</v>
      </c>
      <c r="J24" s="65"/>
      <c r="K24" s="62" t="s">
        <v>275</v>
      </c>
      <c r="L24" s="62" t="s">
        <v>389</v>
      </c>
      <c r="M24" s="62" t="s">
        <v>390</v>
      </c>
      <c r="N24" s="62"/>
      <c r="O24" s="62" t="s">
        <v>389</v>
      </c>
      <c r="P24" s="62" t="s">
        <v>390</v>
      </c>
      <c r="Q24" s="62" t="s">
        <v>390</v>
      </c>
      <c r="R24" s="62" t="s">
        <v>277</v>
      </c>
      <c r="S24" s="62" t="s">
        <v>390</v>
      </c>
      <c r="T24" s="65" t="n">
        <v>4244.9</v>
      </c>
      <c r="U24" s="62" t="s">
        <v>277</v>
      </c>
      <c r="V24" s="65" t="n">
        <v>4244.9</v>
      </c>
      <c r="W24" s="65"/>
      <c r="X24" s="63" t="n">
        <v>0</v>
      </c>
      <c r="Y24" s="62" t="s">
        <v>390</v>
      </c>
      <c r="Z24" s="62" t="s">
        <v>389</v>
      </c>
      <c r="AA24" s="62" t="s">
        <v>395</v>
      </c>
      <c r="AB24" s="62" t="s">
        <v>275</v>
      </c>
      <c r="AC24" s="65" t="n">
        <v>42.3</v>
      </c>
      <c r="AD24" s="63" t="n">
        <v>1</v>
      </c>
      <c r="AE24" s="63" t="n">
        <v>23</v>
      </c>
      <c r="AF24" s="63" t="n">
        <v>1</v>
      </c>
      <c r="AG24" s="62" t="s">
        <v>390</v>
      </c>
      <c r="AH24" s="62"/>
      <c r="AI24" s="63" t="n">
        <v>0</v>
      </c>
      <c r="AJ24" s="62" t="s">
        <v>147</v>
      </c>
      <c r="AK24" s="62" t="s">
        <v>391</v>
      </c>
      <c r="AL24" s="62" t="s">
        <v>275</v>
      </c>
      <c r="AM24" s="62" t="s">
        <v>350</v>
      </c>
      <c r="AN24" s="65" t="n">
        <v>138.3</v>
      </c>
      <c r="AO24" s="62" t="s">
        <v>389</v>
      </c>
      <c r="AP24" s="62" t="s">
        <v>390</v>
      </c>
      <c r="AQ24" s="62" t="s">
        <v>390</v>
      </c>
      <c r="AR24" s="66"/>
      <c r="AS24" s="62"/>
      <c r="AT24" s="65"/>
      <c r="AU24" s="62" t="s">
        <v>400</v>
      </c>
    </row>
    <row r="25" customFormat="false" ht="15" hidden="false" customHeight="false" outlineLevel="0" collapsed="false">
      <c r="A25" s="62" t="s">
        <v>388</v>
      </c>
      <c r="B25" s="63" t="n">
        <v>323</v>
      </c>
      <c r="C25" s="64" t="n">
        <v>46300.7983701852</v>
      </c>
      <c r="D25" s="62" t="s">
        <v>72</v>
      </c>
      <c r="E25" s="63" t="n">
        <v>19</v>
      </c>
      <c r="F25" s="62" t="s">
        <v>389</v>
      </c>
      <c r="G25" s="62" t="s">
        <v>390</v>
      </c>
      <c r="H25" s="62" t="s">
        <v>390</v>
      </c>
      <c r="I25" s="62" t="s">
        <v>389</v>
      </c>
      <c r="J25" s="65"/>
      <c r="K25" s="62" t="s">
        <v>275</v>
      </c>
      <c r="L25" s="62" t="s">
        <v>389</v>
      </c>
      <c r="M25" s="62" t="s">
        <v>390</v>
      </c>
      <c r="N25" s="62"/>
      <c r="O25" s="62" t="s">
        <v>389</v>
      </c>
      <c r="P25" s="62" t="s">
        <v>390</v>
      </c>
      <c r="Q25" s="62" t="s">
        <v>390</v>
      </c>
      <c r="R25" s="62" t="s">
        <v>277</v>
      </c>
      <c r="S25" s="62" t="s">
        <v>390</v>
      </c>
      <c r="T25" s="65" t="n">
        <v>4219.4</v>
      </c>
      <c r="U25" s="62" t="s">
        <v>277</v>
      </c>
      <c r="V25" s="65" t="n">
        <v>4219.4</v>
      </c>
      <c r="W25" s="65"/>
      <c r="X25" s="63" t="n">
        <v>0</v>
      </c>
      <c r="Y25" s="62" t="s">
        <v>390</v>
      </c>
      <c r="Z25" s="62" t="s">
        <v>389</v>
      </c>
      <c r="AA25" s="62" t="s">
        <v>395</v>
      </c>
      <c r="AB25" s="62" t="s">
        <v>275</v>
      </c>
      <c r="AC25" s="65" t="n">
        <v>41.9</v>
      </c>
      <c r="AD25" s="63" t="n">
        <v>1</v>
      </c>
      <c r="AE25" s="63" t="n">
        <v>23</v>
      </c>
      <c r="AF25" s="63" t="n">
        <v>2</v>
      </c>
      <c r="AG25" s="62" t="s">
        <v>390</v>
      </c>
      <c r="AH25" s="62"/>
      <c r="AI25" s="63" t="n">
        <v>0</v>
      </c>
      <c r="AJ25" s="62" t="s">
        <v>147</v>
      </c>
      <c r="AK25" s="62" t="s">
        <v>391</v>
      </c>
      <c r="AL25" s="62" t="s">
        <v>392</v>
      </c>
      <c r="AM25" s="62" t="s">
        <v>396</v>
      </c>
      <c r="AN25" s="65" t="n">
        <v>134.6</v>
      </c>
      <c r="AO25" s="62" t="s">
        <v>389</v>
      </c>
      <c r="AP25" s="62" t="s">
        <v>390</v>
      </c>
      <c r="AQ25" s="62" t="s">
        <v>390</v>
      </c>
      <c r="AR25" s="66"/>
      <c r="AS25" s="62"/>
      <c r="AT25" s="65"/>
      <c r="AU25" s="62" t="s">
        <v>400</v>
      </c>
    </row>
    <row r="26" customFormat="false" ht="15" hidden="false" customHeight="false" outlineLevel="0" collapsed="false">
      <c r="A26" s="62" t="s">
        <v>388</v>
      </c>
      <c r="B26" s="63" t="n">
        <v>330</v>
      </c>
      <c r="C26" s="64" t="n">
        <v>46300.8797893403</v>
      </c>
      <c r="D26" s="62" t="s">
        <v>72</v>
      </c>
      <c r="E26" s="63" t="n">
        <v>21</v>
      </c>
      <c r="F26" s="62" t="s">
        <v>390</v>
      </c>
      <c r="G26" s="62" t="s">
        <v>389</v>
      </c>
      <c r="H26" s="62" t="s">
        <v>389</v>
      </c>
      <c r="I26" s="62" t="s">
        <v>389</v>
      </c>
      <c r="J26" s="65" t="n">
        <v>2.1</v>
      </c>
      <c r="K26" s="62" t="s">
        <v>279</v>
      </c>
      <c r="L26" s="62" t="s">
        <v>389</v>
      </c>
      <c r="M26" s="62" t="s">
        <v>390</v>
      </c>
      <c r="N26" s="62"/>
      <c r="O26" s="62" t="s">
        <v>389</v>
      </c>
      <c r="P26" s="62" t="s">
        <v>390</v>
      </c>
      <c r="Q26" s="62" t="s">
        <v>390</v>
      </c>
      <c r="R26" s="62" t="s">
        <v>277</v>
      </c>
      <c r="S26" s="62" t="s">
        <v>390</v>
      </c>
      <c r="T26" s="65" t="n">
        <v>4102</v>
      </c>
      <c r="U26" s="62" t="s">
        <v>277</v>
      </c>
      <c r="V26" s="65" t="n">
        <v>2.4</v>
      </c>
      <c r="W26" s="65" t="n">
        <v>4101.8</v>
      </c>
      <c r="X26" s="63" t="n">
        <v>0</v>
      </c>
      <c r="Y26" s="62" t="s">
        <v>390</v>
      </c>
      <c r="Z26" s="62" t="s">
        <v>389</v>
      </c>
      <c r="AA26" s="62" t="s">
        <v>395</v>
      </c>
      <c r="AB26" s="62" t="s">
        <v>275</v>
      </c>
      <c r="AC26" s="65" t="n">
        <v>39.9</v>
      </c>
      <c r="AD26" s="63" t="n">
        <v>3</v>
      </c>
      <c r="AE26" s="63" t="n">
        <v>19</v>
      </c>
      <c r="AF26" s="63" t="n">
        <v>1</v>
      </c>
      <c r="AG26" s="62" t="s">
        <v>390</v>
      </c>
      <c r="AH26" s="62"/>
      <c r="AI26" s="63" t="n">
        <v>0</v>
      </c>
      <c r="AJ26" s="62" t="s">
        <v>148</v>
      </c>
      <c r="AK26" s="62" t="s">
        <v>391</v>
      </c>
      <c r="AL26" s="62" t="s">
        <v>392</v>
      </c>
      <c r="AM26" s="62" t="s">
        <v>396</v>
      </c>
      <c r="AN26" s="65" t="n">
        <v>132.7</v>
      </c>
      <c r="AO26" s="62" t="s">
        <v>389</v>
      </c>
      <c r="AP26" s="62" t="s">
        <v>390</v>
      </c>
      <c r="AQ26" s="62" t="s">
        <v>390</v>
      </c>
      <c r="AR26" s="66"/>
      <c r="AS26" s="62"/>
      <c r="AT26" s="65"/>
      <c r="AU26" s="62" t="s">
        <v>400</v>
      </c>
    </row>
    <row r="27" customFormat="false" ht="15" hidden="false" customHeight="false" outlineLevel="0" collapsed="false">
      <c r="A27" s="62" t="s">
        <v>388</v>
      </c>
      <c r="B27" s="63" t="n">
        <v>331</v>
      </c>
      <c r="C27" s="64" t="n">
        <v>46300.882227662</v>
      </c>
      <c r="D27" s="62" t="s">
        <v>72</v>
      </c>
      <c r="E27" s="63" t="n">
        <v>21</v>
      </c>
      <c r="F27" s="62" t="s">
        <v>390</v>
      </c>
      <c r="G27" s="62" t="s">
        <v>390</v>
      </c>
      <c r="H27" s="62" t="s">
        <v>390</v>
      </c>
      <c r="I27" s="62" t="s">
        <v>389</v>
      </c>
      <c r="J27" s="65"/>
      <c r="K27" s="62" t="s">
        <v>275</v>
      </c>
      <c r="L27" s="62" t="s">
        <v>389</v>
      </c>
      <c r="M27" s="62" t="s">
        <v>390</v>
      </c>
      <c r="N27" s="62"/>
      <c r="O27" s="62" t="s">
        <v>389</v>
      </c>
      <c r="P27" s="62" t="s">
        <v>390</v>
      </c>
      <c r="Q27" s="62" t="s">
        <v>390</v>
      </c>
      <c r="R27" s="62" t="s">
        <v>277</v>
      </c>
      <c r="S27" s="62" t="s">
        <v>390</v>
      </c>
      <c r="T27" s="65" t="n">
        <v>4098.3</v>
      </c>
      <c r="U27" s="62" t="s">
        <v>277</v>
      </c>
      <c r="V27" s="65" t="n">
        <v>4098.3</v>
      </c>
      <c r="W27" s="65"/>
      <c r="X27" s="63" t="n">
        <v>0</v>
      </c>
      <c r="Y27" s="62" t="s">
        <v>390</v>
      </c>
      <c r="Z27" s="62" t="s">
        <v>389</v>
      </c>
      <c r="AA27" s="62" t="s">
        <v>395</v>
      </c>
      <c r="AB27" s="62" t="s">
        <v>275</v>
      </c>
      <c r="AC27" s="65" t="n">
        <v>39.9</v>
      </c>
      <c r="AD27" s="63" t="n">
        <v>1</v>
      </c>
      <c r="AE27" s="63" t="n">
        <v>20</v>
      </c>
      <c r="AF27" s="63" t="n">
        <v>1</v>
      </c>
      <c r="AG27" s="62" t="s">
        <v>390</v>
      </c>
      <c r="AH27" s="62"/>
      <c r="AI27" s="63" t="n">
        <v>0</v>
      </c>
      <c r="AJ27" s="62" t="s">
        <v>147</v>
      </c>
      <c r="AK27" s="62" t="s">
        <v>391</v>
      </c>
      <c r="AL27" s="62" t="s">
        <v>392</v>
      </c>
      <c r="AM27" s="62" t="s">
        <v>396</v>
      </c>
      <c r="AN27" s="65" t="n">
        <v>132.6</v>
      </c>
      <c r="AO27" s="62" t="s">
        <v>389</v>
      </c>
      <c r="AP27" s="62" t="s">
        <v>390</v>
      </c>
      <c r="AQ27" s="62" t="s">
        <v>390</v>
      </c>
      <c r="AR27" s="66"/>
      <c r="AS27" s="62"/>
      <c r="AT27" s="65"/>
      <c r="AU27" s="62" t="s">
        <v>400</v>
      </c>
    </row>
    <row r="28" customFormat="false" ht="15" hidden="false" customHeight="false" outlineLevel="0" collapsed="false">
      <c r="A28" s="62" t="s">
        <v>388</v>
      </c>
      <c r="B28" s="63" t="n">
        <v>334</v>
      </c>
      <c r="C28" s="64" t="n">
        <v>46300.8971192361</v>
      </c>
      <c r="D28" s="62" t="s">
        <v>72</v>
      </c>
      <c r="E28" s="63" t="n">
        <v>21</v>
      </c>
      <c r="F28" s="62" t="s">
        <v>390</v>
      </c>
      <c r="G28" s="62" t="s">
        <v>390</v>
      </c>
      <c r="H28" s="62" t="s">
        <v>390</v>
      </c>
      <c r="I28" s="62" t="s">
        <v>389</v>
      </c>
      <c r="J28" s="65"/>
      <c r="K28" s="62" t="s">
        <v>275</v>
      </c>
      <c r="L28" s="62" t="s">
        <v>389</v>
      </c>
      <c r="M28" s="62" t="s">
        <v>390</v>
      </c>
      <c r="N28" s="62"/>
      <c r="O28" s="62" t="s">
        <v>389</v>
      </c>
      <c r="P28" s="62" t="s">
        <v>390</v>
      </c>
      <c r="Q28" s="62" t="s">
        <v>390</v>
      </c>
      <c r="R28" s="62" t="s">
        <v>277</v>
      </c>
      <c r="S28" s="62" t="s">
        <v>390</v>
      </c>
      <c r="T28" s="65" t="n">
        <v>4076.7</v>
      </c>
      <c r="U28" s="62" t="s">
        <v>277</v>
      </c>
      <c r="V28" s="65" t="n">
        <v>4076.7</v>
      </c>
      <c r="W28" s="65"/>
      <c r="X28" s="63" t="n">
        <v>0</v>
      </c>
      <c r="Y28" s="62" t="s">
        <v>390</v>
      </c>
      <c r="Z28" s="62" t="s">
        <v>389</v>
      </c>
      <c r="AA28" s="62" t="s">
        <v>395</v>
      </c>
      <c r="AB28" s="62" t="s">
        <v>275</v>
      </c>
      <c r="AC28" s="65" t="n">
        <v>39.5</v>
      </c>
      <c r="AD28" s="63" t="n">
        <v>1</v>
      </c>
      <c r="AE28" s="63" t="n">
        <v>19</v>
      </c>
      <c r="AF28" s="63" t="n">
        <v>2</v>
      </c>
      <c r="AG28" s="62" t="s">
        <v>390</v>
      </c>
      <c r="AH28" s="62"/>
      <c r="AI28" s="63" t="n">
        <v>0</v>
      </c>
      <c r="AJ28" s="62" t="s">
        <v>147</v>
      </c>
      <c r="AK28" s="62" t="s">
        <v>391</v>
      </c>
      <c r="AL28" s="62" t="s">
        <v>392</v>
      </c>
      <c r="AM28" s="62" t="s">
        <v>396</v>
      </c>
      <c r="AN28" s="65" t="n">
        <v>84.8</v>
      </c>
      <c r="AO28" s="62" t="s">
        <v>389</v>
      </c>
      <c r="AP28" s="62" t="s">
        <v>390</v>
      </c>
      <c r="AQ28" s="62" t="s">
        <v>390</v>
      </c>
      <c r="AR28" s="66"/>
      <c r="AS28" s="62"/>
      <c r="AT28" s="65"/>
      <c r="AU28" s="62" t="s">
        <v>400</v>
      </c>
    </row>
    <row r="29" customFormat="false" ht="15" hidden="false" customHeight="false" outlineLevel="0" collapsed="false">
      <c r="A29" s="62" t="s">
        <v>388</v>
      </c>
      <c r="B29" s="63" t="n">
        <v>335</v>
      </c>
      <c r="C29" s="64" t="n">
        <v>46300.9002072801</v>
      </c>
      <c r="D29" s="62" t="s">
        <v>72</v>
      </c>
      <c r="E29" s="63" t="n">
        <v>21</v>
      </c>
      <c r="F29" s="62" t="s">
        <v>390</v>
      </c>
      <c r="G29" s="62" t="s">
        <v>390</v>
      </c>
      <c r="H29" s="62" t="s">
        <v>390</v>
      </c>
      <c r="I29" s="62" t="s">
        <v>389</v>
      </c>
      <c r="J29" s="65"/>
      <c r="K29" s="62" t="s">
        <v>275</v>
      </c>
      <c r="L29" s="62" t="s">
        <v>389</v>
      </c>
      <c r="M29" s="62" t="s">
        <v>390</v>
      </c>
      <c r="N29" s="62"/>
      <c r="O29" s="62" t="s">
        <v>389</v>
      </c>
      <c r="P29" s="62" t="s">
        <v>390</v>
      </c>
      <c r="Q29" s="62" t="s">
        <v>390</v>
      </c>
      <c r="R29" s="62" t="s">
        <v>277</v>
      </c>
      <c r="S29" s="62" t="s">
        <v>390</v>
      </c>
      <c r="T29" s="65" t="n">
        <v>4072.1</v>
      </c>
      <c r="U29" s="62" t="s">
        <v>277</v>
      </c>
      <c r="V29" s="65" t="n">
        <v>4072.1</v>
      </c>
      <c r="W29" s="65"/>
      <c r="X29" s="63" t="n">
        <v>0</v>
      </c>
      <c r="Y29" s="62" t="s">
        <v>390</v>
      </c>
      <c r="Z29" s="62" t="s">
        <v>389</v>
      </c>
      <c r="AA29" s="62" t="s">
        <v>395</v>
      </c>
      <c r="AB29" s="62" t="s">
        <v>275</v>
      </c>
      <c r="AC29" s="65" t="n">
        <v>39.4</v>
      </c>
      <c r="AD29" s="63" t="n">
        <v>1</v>
      </c>
      <c r="AE29" s="63" t="n">
        <v>20</v>
      </c>
      <c r="AF29" s="63" t="n">
        <v>1</v>
      </c>
      <c r="AG29" s="62" t="s">
        <v>390</v>
      </c>
      <c r="AH29" s="62"/>
      <c r="AI29" s="63" t="n">
        <v>0</v>
      </c>
      <c r="AJ29" s="62" t="s">
        <v>147</v>
      </c>
      <c r="AK29" s="62" t="s">
        <v>391</v>
      </c>
      <c r="AL29" s="62" t="s">
        <v>392</v>
      </c>
      <c r="AM29" s="62" t="s">
        <v>396</v>
      </c>
      <c r="AN29" s="65" t="n">
        <v>132.2</v>
      </c>
      <c r="AO29" s="62" t="s">
        <v>389</v>
      </c>
      <c r="AP29" s="62" t="s">
        <v>390</v>
      </c>
      <c r="AQ29" s="62" t="s">
        <v>390</v>
      </c>
      <c r="AR29" s="66"/>
      <c r="AS29" s="62"/>
      <c r="AT29" s="65"/>
      <c r="AU29" s="62" t="s">
        <v>400</v>
      </c>
    </row>
    <row r="30" customFormat="false" ht="15" hidden="false" customHeight="false" outlineLevel="0" collapsed="false">
      <c r="A30" s="62" t="s">
        <v>388</v>
      </c>
      <c r="B30" s="63" t="n">
        <v>336</v>
      </c>
      <c r="C30" s="64" t="n">
        <v>46300.9007504051</v>
      </c>
      <c r="D30" s="62" t="s">
        <v>72</v>
      </c>
      <c r="E30" s="63" t="n">
        <v>21</v>
      </c>
      <c r="F30" s="62" t="s">
        <v>390</v>
      </c>
      <c r="G30" s="62" t="s">
        <v>389</v>
      </c>
      <c r="H30" s="62" t="s">
        <v>389</v>
      </c>
      <c r="I30" s="62" t="s">
        <v>389</v>
      </c>
      <c r="J30" s="65" t="n">
        <v>0.3</v>
      </c>
      <c r="K30" s="62" t="s">
        <v>279</v>
      </c>
      <c r="L30" s="62" t="s">
        <v>389</v>
      </c>
      <c r="M30" s="62" t="s">
        <v>390</v>
      </c>
      <c r="N30" s="62"/>
      <c r="O30" s="62" t="s">
        <v>389</v>
      </c>
      <c r="P30" s="62" t="s">
        <v>390</v>
      </c>
      <c r="Q30" s="62" t="s">
        <v>390</v>
      </c>
      <c r="R30" s="62" t="s">
        <v>278</v>
      </c>
      <c r="S30" s="62" t="s">
        <v>390</v>
      </c>
      <c r="T30" s="65" t="n">
        <v>5516.2</v>
      </c>
      <c r="U30" s="62" t="s">
        <v>278</v>
      </c>
      <c r="V30" s="65" t="n">
        <v>1.2</v>
      </c>
      <c r="W30" s="65" t="n">
        <v>5515.3</v>
      </c>
      <c r="X30" s="63" t="n">
        <v>1</v>
      </c>
      <c r="Y30" s="62" t="s">
        <v>390</v>
      </c>
      <c r="Z30" s="62" t="s">
        <v>389</v>
      </c>
      <c r="AA30" s="62" t="s">
        <v>395</v>
      </c>
      <c r="AB30" s="62" t="s">
        <v>275</v>
      </c>
      <c r="AC30" s="65" t="n">
        <v>39.4</v>
      </c>
      <c r="AD30" s="63" t="n">
        <v>3</v>
      </c>
      <c r="AE30" s="63" t="n">
        <v>21</v>
      </c>
      <c r="AF30" s="63" t="n">
        <v>1</v>
      </c>
      <c r="AG30" s="62" t="s">
        <v>389</v>
      </c>
      <c r="AH30" s="62" t="s">
        <v>398</v>
      </c>
      <c r="AI30" s="63" t="n">
        <v>0</v>
      </c>
      <c r="AJ30" s="62" t="s">
        <v>153</v>
      </c>
      <c r="AK30" s="62" t="s">
        <v>391</v>
      </c>
      <c r="AL30" s="62" t="s">
        <v>392</v>
      </c>
      <c r="AM30" s="62" t="s">
        <v>396</v>
      </c>
      <c r="AN30" s="65" t="n">
        <v>91.9</v>
      </c>
      <c r="AO30" s="62" t="s">
        <v>389</v>
      </c>
      <c r="AP30" s="62" t="s">
        <v>389</v>
      </c>
      <c r="AQ30" s="62" t="s">
        <v>390</v>
      </c>
      <c r="AR30" s="66"/>
      <c r="AS30" s="62"/>
      <c r="AT30" s="65"/>
      <c r="AU30" s="62" t="s">
        <v>400</v>
      </c>
    </row>
    <row r="31" customFormat="false" ht="15" hidden="false" customHeight="false" outlineLevel="0" collapsed="false">
      <c r="A31" s="62" t="s">
        <v>388</v>
      </c>
      <c r="B31" s="63" t="n">
        <v>342</v>
      </c>
      <c r="C31" s="64" t="n">
        <v>46300.9777140509</v>
      </c>
      <c r="D31" s="62" t="s">
        <v>72</v>
      </c>
      <c r="E31" s="63" t="n">
        <v>23</v>
      </c>
      <c r="F31" s="62" t="s">
        <v>390</v>
      </c>
      <c r="G31" s="62" t="s">
        <v>390</v>
      </c>
      <c r="H31" s="62" t="s">
        <v>390</v>
      </c>
      <c r="I31" s="62" t="s">
        <v>389</v>
      </c>
      <c r="J31" s="65"/>
      <c r="K31" s="62" t="s">
        <v>275</v>
      </c>
      <c r="L31" s="62" t="s">
        <v>389</v>
      </c>
      <c r="M31" s="62" t="s">
        <v>390</v>
      </c>
      <c r="N31" s="62"/>
      <c r="O31" s="62" t="s">
        <v>389</v>
      </c>
      <c r="P31" s="62" t="s">
        <v>390</v>
      </c>
      <c r="Q31" s="62" t="s">
        <v>390</v>
      </c>
      <c r="R31" s="62" t="s">
        <v>277</v>
      </c>
      <c r="S31" s="62" t="s">
        <v>390</v>
      </c>
      <c r="T31" s="65" t="n">
        <v>3960</v>
      </c>
      <c r="U31" s="62" t="s">
        <v>277</v>
      </c>
      <c r="V31" s="65" t="n">
        <v>3960</v>
      </c>
      <c r="W31" s="65"/>
      <c r="X31" s="63" t="n">
        <v>0</v>
      </c>
      <c r="Y31" s="62" t="s">
        <v>390</v>
      </c>
      <c r="Z31" s="62" t="s">
        <v>389</v>
      </c>
      <c r="AA31" s="62" t="s">
        <v>395</v>
      </c>
      <c r="AB31" s="62" t="s">
        <v>275</v>
      </c>
      <c r="AC31" s="65" t="n">
        <v>37.6</v>
      </c>
      <c r="AD31" s="63" t="n">
        <v>1</v>
      </c>
      <c r="AE31" s="63" t="n">
        <v>19</v>
      </c>
      <c r="AF31" s="63" t="n">
        <v>2</v>
      </c>
      <c r="AG31" s="62" t="s">
        <v>389</v>
      </c>
      <c r="AH31" s="62" t="s">
        <v>398</v>
      </c>
      <c r="AI31" s="63" t="n">
        <v>0</v>
      </c>
      <c r="AJ31" s="62" t="s">
        <v>147</v>
      </c>
      <c r="AK31" s="62" t="s">
        <v>391</v>
      </c>
      <c r="AL31" s="62" t="s">
        <v>392</v>
      </c>
      <c r="AM31" s="62" t="s">
        <v>396</v>
      </c>
      <c r="AN31" s="65" t="n">
        <v>82.9</v>
      </c>
      <c r="AO31" s="62" t="s">
        <v>389</v>
      </c>
      <c r="AP31" s="62" t="s">
        <v>390</v>
      </c>
      <c r="AQ31" s="62" t="s">
        <v>390</v>
      </c>
      <c r="AR31" s="66"/>
      <c r="AS31" s="62"/>
      <c r="AT31" s="65"/>
      <c r="AU31" s="62" t="s">
        <v>400</v>
      </c>
    </row>
    <row r="32" customFormat="false" ht="15" hidden="false" customHeight="false" outlineLevel="0" collapsed="false">
      <c r="A32" s="62" t="s">
        <v>388</v>
      </c>
      <c r="B32" s="63" t="n">
        <v>348</v>
      </c>
      <c r="C32" s="64" t="n">
        <v>46301.3234266204</v>
      </c>
      <c r="D32" s="62" t="s">
        <v>72</v>
      </c>
      <c r="E32" s="63" t="n">
        <v>7</v>
      </c>
      <c r="F32" s="62" t="s">
        <v>390</v>
      </c>
      <c r="G32" s="62" t="s">
        <v>389</v>
      </c>
      <c r="H32" s="62" t="s">
        <v>389</v>
      </c>
      <c r="I32" s="62" t="s">
        <v>389</v>
      </c>
      <c r="J32" s="65" t="n">
        <v>0.2</v>
      </c>
      <c r="K32" s="62" t="s">
        <v>277</v>
      </c>
      <c r="L32" s="62" t="s">
        <v>389</v>
      </c>
      <c r="M32" s="62" t="s">
        <v>389</v>
      </c>
      <c r="N32" s="62" t="s">
        <v>303</v>
      </c>
      <c r="O32" s="62" t="s">
        <v>389</v>
      </c>
      <c r="P32" s="62" t="s">
        <v>389</v>
      </c>
      <c r="Q32" s="62" t="s">
        <v>389</v>
      </c>
      <c r="R32" s="62" t="s">
        <v>277</v>
      </c>
      <c r="S32" s="62" t="s">
        <v>389</v>
      </c>
      <c r="T32" s="65" t="n">
        <v>26.4</v>
      </c>
      <c r="U32" s="62" t="s">
        <v>276</v>
      </c>
      <c r="V32" s="65" t="n">
        <v>0.9</v>
      </c>
      <c r="W32" s="65" t="n">
        <v>1.9</v>
      </c>
      <c r="X32" s="63" t="n">
        <v>0</v>
      </c>
      <c r="Y32" s="62" t="s">
        <v>389</v>
      </c>
      <c r="Z32" s="62" t="s">
        <v>389</v>
      </c>
      <c r="AA32" s="62" t="s">
        <v>395</v>
      </c>
      <c r="AB32" s="62" t="s">
        <v>277</v>
      </c>
      <c r="AC32" s="65" t="n">
        <v>53.2</v>
      </c>
      <c r="AD32" s="63" t="n">
        <v>15</v>
      </c>
      <c r="AE32" s="63" t="n">
        <v>16</v>
      </c>
      <c r="AF32" s="63" t="n">
        <v>26</v>
      </c>
      <c r="AG32" s="62" t="s">
        <v>389</v>
      </c>
      <c r="AH32" s="62" t="s">
        <v>330</v>
      </c>
      <c r="AI32" s="63" t="n">
        <v>0</v>
      </c>
      <c r="AJ32" s="62" t="s">
        <v>153</v>
      </c>
      <c r="AK32" s="62" t="s">
        <v>391</v>
      </c>
      <c r="AL32" s="62" t="s">
        <v>392</v>
      </c>
      <c r="AM32" s="62" t="s">
        <v>404</v>
      </c>
      <c r="AN32" s="65" t="n">
        <v>97.9</v>
      </c>
      <c r="AO32" s="62" t="s">
        <v>389</v>
      </c>
      <c r="AP32" s="62" t="s">
        <v>389</v>
      </c>
      <c r="AQ32" s="62" t="s">
        <v>390</v>
      </c>
      <c r="AR32" s="66"/>
      <c r="AS32" s="62"/>
      <c r="AT32" s="65"/>
      <c r="AU32" s="62" t="s">
        <v>400</v>
      </c>
    </row>
    <row r="33" customFormat="false" ht="15" hidden="false" customHeight="false" outlineLevel="0" collapsed="false">
      <c r="A33" s="62" t="s">
        <v>388</v>
      </c>
      <c r="B33" s="63" t="n">
        <v>350</v>
      </c>
      <c r="C33" s="64" t="n">
        <v>46301.3263715278</v>
      </c>
      <c r="D33" s="62" t="s">
        <v>72</v>
      </c>
      <c r="E33" s="63" t="n">
        <v>7</v>
      </c>
      <c r="F33" s="62" t="s">
        <v>390</v>
      </c>
      <c r="G33" s="62" t="s">
        <v>390</v>
      </c>
      <c r="H33" s="62" t="s">
        <v>390</v>
      </c>
      <c r="I33" s="62" t="s">
        <v>389</v>
      </c>
      <c r="J33" s="65"/>
      <c r="K33" s="62" t="s">
        <v>275</v>
      </c>
      <c r="L33" s="62" t="s">
        <v>389</v>
      </c>
      <c r="M33" s="62" t="s">
        <v>389</v>
      </c>
      <c r="N33" s="62" t="s">
        <v>305</v>
      </c>
      <c r="O33" s="62" t="s">
        <v>390</v>
      </c>
      <c r="P33" s="62" t="s">
        <v>390</v>
      </c>
      <c r="Q33" s="62" t="s">
        <v>390</v>
      </c>
      <c r="R33" s="62" t="s">
        <v>277</v>
      </c>
      <c r="S33" s="62" t="s">
        <v>389</v>
      </c>
      <c r="T33" s="65" t="n">
        <v>41.3</v>
      </c>
      <c r="U33" s="62" t="s">
        <v>276</v>
      </c>
      <c r="V33" s="65" t="n">
        <v>41.3</v>
      </c>
      <c r="W33" s="65" t="n">
        <v>0.7</v>
      </c>
      <c r="X33" s="63" t="n">
        <v>0</v>
      </c>
      <c r="Y33" s="62" t="s">
        <v>389</v>
      </c>
      <c r="Z33" s="62" t="s">
        <v>389</v>
      </c>
      <c r="AA33" s="62" t="s">
        <v>395</v>
      </c>
      <c r="AB33" s="62" t="s">
        <v>277</v>
      </c>
      <c r="AC33" s="65" t="n">
        <v>57.9</v>
      </c>
      <c r="AD33" s="63" t="n">
        <v>6</v>
      </c>
      <c r="AE33" s="63" t="n">
        <v>9</v>
      </c>
      <c r="AF33" s="63" t="n">
        <v>11</v>
      </c>
      <c r="AG33" s="62" t="s">
        <v>390</v>
      </c>
      <c r="AH33" s="62"/>
      <c r="AI33" s="63" t="n">
        <v>0</v>
      </c>
      <c r="AJ33" s="62" t="s">
        <v>149</v>
      </c>
      <c r="AK33" s="62" t="s">
        <v>391</v>
      </c>
      <c r="AL33" s="62" t="s">
        <v>392</v>
      </c>
      <c r="AM33" s="62" t="s">
        <v>396</v>
      </c>
      <c r="AN33" s="65" t="n">
        <v>122</v>
      </c>
      <c r="AO33" s="62" t="s">
        <v>389</v>
      </c>
      <c r="AP33" s="62" t="s">
        <v>390</v>
      </c>
      <c r="AQ33" s="62" t="s">
        <v>390</v>
      </c>
      <c r="AR33" s="66"/>
      <c r="AS33" s="62"/>
      <c r="AT33" s="65"/>
      <c r="AU33" s="62" t="s">
        <v>400</v>
      </c>
    </row>
    <row r="34" customFormat="false" ht="15" hidden="false" customHeight="false" outlineLevel="0" collapsed="false">
      <c r="A34" s="62" t="s">
        <v>388</v>
      </c>
      <c r="B34" s="63" t="n">
        <v>357</v>
      </c>
      <c r="C34" s="64" t="n">
        <v>46301.3509268634</v>
      </c>
      <c r="D34" s="62" t="s">
        <v>72</v>
      </c>
      <c r="E34" s="63" t="n">
        <v>8</v>
      </c>
      <c r="F34" s="62" t="s">
        <v>390</v>
      </c>
      <c r="G34" s="62" t="s">
        <v>389</v>
      </c>
      <c r="H34" s="62" t="s">
        <v>390</v>
      </c>
      <c r="I34" s="62" t="s">
        <v>389</v>
      </c>
      <c r="J34" s="65" t="n">
        <v>2.8</v>
      </c>
      <c r="K34" s="62" t="s">
        <v>276</v>
      </c>
      <c r="L34" s="62" t="s">
        <v>389</v>
      </c>
      <c r="M34" s="62" t="s">
        <v>390</v>
      </c>
      <c r="N34" s="62"/>
      <c r="O34" s="62" t="s">
        <v>389</v>
      </c>
      <c r="P34" s="62" t="s">
        <v>390</v>
      </c>
      <c r="Q34" s="62" t="s">
        <v>390</v>
      </c>
      <c r="R34" s="62" t="s">
        <v>277</v>
      </c>
      <c r="S34" s="62" t="s">
        <v>389</v>
      </c>
      <c r="T34" s="65" t="n">
        <v>0.6</v>
      </c>
      <c r="U34" s="62" t="s">
        <v>276</v>
      </c>
      <c r="V34" s="65" t="n">
        <v>0.6</v>
      </c>
      <c r="W34" s="65" t="n">
        <v>0.4</v>
      </c>
      <c r="X34" s="63" t="n">
        <v>0</v>
      </c>
      <c r="Y34" s="62" t="s">
        <v>390</v>
      </c>
      <c r="Z34" s="62" t="s">
        <v>389</v>
      </c>
      <c r="AA34" s="62" t="s">
        <v>395</v>
      </c>
      <c r="AB34" s="62" t="s">
        <v>275</v>
      </c>
      <c r="AC34" s="65" t="n">
        <v>28.6</v>
      </c>
      <c r="AD34" s="63" t="n">
        <v>2</v>
      </c>
      <c r="AE34" s="63" t="n">
        <v>18</v>
      </c>
      <c r="AF34" s="63" t="n">
        <v>4</v>
      </c>
      <c r="AG34" s="62" t="s">
        <v>390</v>
      </c>
      <c r="AH34" s="62"/>
      <c r="AI34" s="63" t="n">
        <v>0</v>
      </c>
      <c r="AJ34" s="62" t="s">
        <v>148</v>
      </c>
      <c r="AK34" s="62" t="s">
        <v>391</v>
      </c>
      <c r="AL34" s="62" t="s">
        <v>392</v>
      </c>
      <c r="AM34" s="62" t="s">
        <v>396</v>
      </c>
      <c r="AN34" s="65" t="n">
        <v>76.2</v>
      </c>
      <c r="AO34" s="62" t="s">
        <v>389</v>
      </c>
      <c r="AP34" s="62" t="s">
        <v>390</v>
      </c>
      <c r="AQ34" s="62" t="s">
        <v>390</v>
      </c>
      <c r="AR34" s="66"/>
      <c r="AS34" s="62"/>
      <c r="AT34" s="65"/>
      <c r="AU34" s="62" t="s">
        <v>400</v>
      </c>
    </row>
    <row r="35" customFormat="false" ht="15" hidden="false" customHeight="false" outlineLevel="0" collapsed="false">
      <c r="A35" s="62" t="s">
        <v>388</v>
      </c>
      <c r="B35" s="63" t="n">
        <v>359</v>
      </c>
      <c r="C35" s="64" t="n">
        <v>46301.3749658565</v>
      </c>
      <c r="D35" s="62" t="s">
        <v>72</v>
      </c>
      <c r="E35" s="63" t="n">
        <v>8</v>
      </c>
      <c r="F35" s="62" t="s">
        <v>390</v>
      </c>
      <c r="G35" s="62" t="s">
        <v>389</v>
      </c>
      <c r="H35" s="62" t="s">
        <v>389</v>
      </c>
      <c r="I35" s="62" t="s">
        <v>389</v>
      </c>
      <c r="J35" s="65" t="n">
        <v>0.2</v>
      </c>
      <c r="K35" s="62" t="s">
        <v>277</v>
      </c>
      <c r="L35" s="62" t="s">
        <v>389</v>
      </c>
      <c r="M35" s="62" t="s">
        <v>389</v>
      </c>
      <c r="N35" s="62" t="s">
        <v>307</v>
      </c>
      <c r="O35" s="62" t="s">
        <v>389</v>
      </c>
      <c r="P35" s="62" t="s">
        <v>389</v>
      </c>
      <c r="Q35" s="62" t="s">
        <v>390</v>
      </c>
      <c r="R35" s="62" t="s">
        <v>277</v>
      </c>
      <c r="S35" s="62" t="s">
        <v>389</v>
      </c>
      <c r="T35" s="65" t="n">
        <v>9</v>
      </c>
      <c r="U35" s="62" t="s">
        <v>276</v>
      </c>
      <c r="V35" s="65" t="n">
        <v>0.7</v>
      </c>
      <c r="W35" s="65" t="n">
        <v>3.5</v>
      </c>
      <c r="X35" s="63" t="n">
        <v>0</v>
      </c>
      <c r="Y35" s="62" t="s">
        <v>389</v>
      </c>
      <c r="Z35" s="62" t="s">
        <v>389</v>
      </c>
      <c r="AA35" s="62" t="s">
        <v>395</v>
      </c>
      <c r="AB35" s="62" t="s">
        <v>275</v>
      </c>
      <c r="AC35" s="65" t="n">
        <v>28.6</v>
      </c>
      <c r="AD35" s="63" t="n">
        <v>6</v>
      </c>
      <c r="AE35" s="63" t="n">
        <v>24</v>
      </c>
      <c r="AF35" s="63" t="n">
        <v>8</v>
      </c>
      <c r="AG35" s="62" t="s">
        <v>389</v>
      </c>
      <c r="AH35" s="62" t="s">
        <v>405</v>
      </c>
      <c r="AI35" s="63" t="n">
        <v>0</v>
      </c>
      <c r="AJ35" s="62" t="s">
        <v>150</v>
      </c>
      <c r="AK35" s="62" t="s">
        <v>391</v>
      </c>
      <c r="AL35" s="62" t="s">
        <v>392</v>
      </c>
      <c r="AM35" s="62" t="s">
        <v>404</v>
      </c>
      <c r="AN35" s="65" t="n">
        <v>101.4</v>
      </c>
      <c r="AO35" s="62" t="s">
        <v>389</v>
      </c>
      <c r="AP35" s="62" t="s">
        <v>390</v>
      </c>
      <c r="AQ35" s="62" t="s">
        <v>390</v>
      </c>
      <c r="AR35" s="66"/>
      <c r="AS35" s="62"/>
      <c r="AT35" s="65"/>
      <c r="AU35" s="62" t="s">
        <v>400</v>
      </c>
    </row>
    <row r="36" customFormat="false" ht="15" hidden="false" customHeight="false" outlineLevel="0" collapsed="false">
      <c r="A36" s="62" t="s">
        <v>388</v>
      </c>
      <c r="B36" s="63" t="n">
        <v>366</v>
      </c>
      <c r="C36" s="64" t="n">
        <v>46301.4398892477</v>
      </c>
      <c r="D36" s="62" t="s">
        <v>72</v>
      </c>
      <c r="E36" s="63" t="n">
        <v>10</v>
      </c>
      <c r="F36" s="62" t="s">
        <v>389</v>
      </c>
      <c r="G36" s="62" t="s">
        <v>389</v>
      </c>
      <c r="H36" s="62" t="s">
        <v>389</v>
      </c>
      <c r="I36" s="62" t="s">
        <v>389</v>
      </c>
      <c r="J36" s="65" t="n">
        <v>0.5</v>
      </c>
      <c r="K36" s="62" t="s">
        <v>277</v>
      </c>
      <c r="L36" s="62" t="s">
        <v>389</v>
      </c>
      <c r="M36" s="62" t="s">
        <v>389</v>
      </c>
      <c r="N36" s="62" t="s">
        <v>304</v>
      </c>
      <c r="O36" s="62" t="s">
        <v>389</v>
      </c>
      <c r="P36" s="62" t="s">
        <v>390</v>
      </c>
      <c r="Q36" s="62" t="s">
        <v>390</v>
      </c>
      <c r="R36" s="62" t="s">
        <v>277</v>
      </c>
      <c r="S36" s="62" t="s">
        <v>389</v>
      </c>
      <c r="T36" s="65" t="n">
        <v>9.8</v>
      </c>
      <c r="U36" s="62" t="s">
        <v>276</v>
      </c>
      <c r="V36" s="65" t="n">
        <v>1</v>
      </c>
      <c r="W36" s="65" t="n">
        <v>1.6</v>
      </c>
      <c r="X36" s="63" t="n">
        <v>0</v>
      </c>
      <c r="Y36" s="62" t="s">
        <v>389</v>
      </c>
      <c r="Z36" s="62" t="s">
        <v>389</v>
      </c>
      <c r="AA36" s="62" t="s">
        <v>395</v>
      </c>
      <c r="AB36" s="62" t="s">
        <v>277</v>
      </c>
      <c r="AC36" s="65" t="n">
        <v>55.3</v>
      </c>
      <c r="AD36" s="63" t="n">
        <v>56</v>
      </c>
      <c r="AE36" s="63" t="n">
        <v>10</v>
      </c>
      <c r="AF36" s="63" t="n">
        <v>63</v>
      </c>
      <c r="AG36" s="62" t="s">
        <v>390</v>
      </c>
      <c r="AH36" s="62"/>
      <c r="AI36" s="63" t="n">
        <v>0</v>
      </c>
      <c r="AJ36" s="62" t="s">
        <v>150</v>
      </c>
      <c r="AK36" s="62" t="s">
        <v>402</v>
      </c>
      <c r="AL36" s="62"/>
      <c r="AM36" s="62"/>
      <c r="AN36" s="65"/>
      <c r="AO36" s="62" t="s">
        <v>390</v>
      </c>
      <c r="AP36" s="62"/>
      <c r="AQ36" s="62" t="s">
        <v>390</v>
      </c>
      <c r="AR36" s="66"/>
      <c r="AS36" s="62"/>
      <c r="AT36" s="65"/>
      <c r="AU36" s="62" t="s">
        <v>400</v>
      </c>
    </row>
    <row r="37" customFormat="false" ht="15" hidden="false" customHeight="false" outlineLevel="0" collapsed="false">
      <c r="A37" s="62" t="s">
        <v>388</v>
      </c>
      <c r="B37" s="63" t="n">
        <v>367</v>
      </c>
      <c r="C37" s="64" t="n">
        <v>46301.4446102083</v>
      </c>
      <c r="D37" s="62" t="s">
        <v>72</v>
      </c>
      <c r="E37" s="63" t="n">
        <v>10</v>
      </c>
      <c r="F37" s="62" t="s">
        <v>389</v>
      </c>
      <c r="G37" s="62" t="s">
        <v>389</v>
      </c>
      <c r="H37" s="62" t="s">
        <v>389</v>
      </c>
      <c r="I37" s="62" t="s">
        <v>389</v>
      </c>
      <c r="J37" s="65" t="n">
        <v>0.7</v>
      </c>
      <c r="K37" s="62" t="s">
        <v>276</v>
      </c>
      <c r="L37" s="62" t="s">
        <v>389</v>
      </c>
      <c r="M37" s="62" t="s">
        <v>389</v>
      </c>
      <c r="N37" s="62" t="s">
        <v>303</v>
      </c>
      <c r="O37" s="62" t="s">
        <v>389</v>
      </c>
      <c r="P37" s="62" t="s">
        <v>390</v>
      </c>
      <c r="Q37" s="62" t="s">
        <v>390</v>
      </c>
      <c r="R37" s="62" t="s">
        <v>277</v>
      </c>
      <c r="S37" s="62" t="s">
        <v>389</v>
      </c>
      <c r="T37" s="65" t="n">
        <v>13.7</v>
      </c>
      <c r="U37" s="62" t="s">
        <v>276</v>
      </c>
      <c r="V37" s="65" t="n">
        <v>1.3</v>
      </c>
      <c r="W37" s="65" t="n">
        <v>6.9</v>
      </c>
      <c r="X37" s="63" t="n">
        <v>0</v>
      </c>
      <c r="Y37" s="62" t="s">
        <v>389</v>
      </c>
      <c r="Z37" s="62" t="s">
        <v>389</v>
      </c>
      <c r="AA37" s="62" t="s">
        <v>395</v>
      </c>
      <c r="AB37" s="62" t="s">
        <v>275</v>
      </c>
      <c r="AC37" s="65" t="n">
        <v>26.4</v>
      </c>
      <c r="AD37" s="63" t="n">
        <v>8</v>
      </c>
      <c r="AE37" s="63" t="n">
        <v>22</v>
      </c>
      <c r="AF37" s="63" t="n">
        <v>9</v>
      </c>
      <c r="AG37" s="62" t="s">
        <v>390</v>
      </c>
      <c r="AH37" s="62"/>
      <c r="AI37" s="63" t="n">
        <v>0</v>
      </c>
      <c r="AJ37" s="62" t="s">
        <v>150</v>
      </c>
      <c r="AK37" s="62" t="s">
        <v>391</v>
      </c>
      <c r="AL37" s="62" t="s">
        <v>392</v>
      </c>
      <c r="AM37" s="62" t="s">
        <v>406</v>
      </c>
      <c r="AN37" s="65" t="n">
        <v>50.6</v>
      </c>
      <c r="AO37" s="62" t="s">
        <v>389</v>
      </c>
      <c r="AP37" s="62" t="s">
        <v>390</v>
      </c>
      <c r="AQ37" s="62" t="s">
        <v>390</v>
      </c>
      <c r="AR37" s="66"/>
      <c r="AS37" s="62"/>
      <c r="AT37" s="65"/>
      <c r="AU37" s="62" t="s">
        <v>400</v>
      </c>
    </row>
    <row r="38" customFormat="false" ht="15" hidden="false" customHeight="false" outlineLevel="0" collapsed="false">
      <c r="A38" s="62" t="s">
        <v>388</v>
      </c>
      <c r="B38" s="63" t="n">
        <v>369</v>
      </c>
      <c r="C38" s="64" t="n">
        <v>46301.455419919</v>
      </c>
      <c r="D38" s="62" t="s">
        <v>72</v>
      </c>
      <c r="E38" s="63" t="n">
        <v>10</v>
      </c>
      <c r="F38" s="62" t="s">
        <v>389</v>
      </c>
      <c r="G38" s="62" t="s">
        <v>389</v>
      </c>
      <c r="H38" s="62" t="s">
        <v>389</v>
      </c>
      <c r="I38" s="62" t="s">
        <v>389</v>
      </c>
      <c r="J38" s="65" t="n">
        <v>0.5</v>
      </c>
      <c r="K38" s="62" t="s">
        <v>277</v>
      </c>
      <c r="L38" s="62" t="s">
        <v>389</v>
      </c>
      <c r="M38" s="62" t="s">
        <v>389</v>
      </c>
      <c r="N38" s="62" t="s">
        <v>306</v>
      </c>
      <c r="O38" s="62" t="s">
        <v>389</v>
      </c>
      <c r="P38" s="62" t="s">
        <v>389</v>
      </c>
      <c r="Q38" s="62" t="s">
        <v>390</v>
      </c>
      <c r="R38" s="62" t="s">
        <v>277</v>
      </c>
      <c r="S38" s="62" t="s">
        <v>390</v>
      </c>
      <c r="T38" s="65" t="n">
        <v>20.6</v>
      </c>
      <c r="U38" s="62" t="s">
        <v>277</v>
      </c>
      <c r="V38" s="65" t="n">
        <v>9.2</v>
      </c>
      <c r="W38" s="65" t="n">
        <v>0.2</v>
      </c>
      <c r="X38" s="63" t="n">
        <v>0</v>
      </c>
      <c r="Y38" s="62" t="s">
        <v>389</v>
      </c>
      <c r="Z38" s="62" t="s">
        <v>389</v>
      </c>
      <c r="AA38" s="62" t="s">
        <v>395</v>
      </c>
      <c r="AB38" s="62" t="s">
        <v>275</v>
      </c>
      <c r="AC38" s="65" t="n">
        <v>28.7</v>
      </c>
      <c r="AD38" s="63" t="n">
        <v>4</v>
      </c>
      <c r="AE38" s="63" t="n">
        <v>20</v>
      </c>
      <c r="AF38" s="63" t="n">
        <v>6</v>
      </c>
      <c r="AG38" s="62" t="s">
        <v>390</v>
      </c>
      <c r="AH38" s="62"/>
      <c r="AI38" s="63" t="n">
        <v>0</v>
      </c>
      <c r="AJ38" s="62" t="s">
        <v>149</v>
      </c>
      <c r="AK38" s="62" t="s">
        <v>391</v>
      </c>
      <c r="AL38" s="62" t="s">
        <v>392</v>
      </c>
      <c r="AM38" s="62" t="s">
        <v>396</v>
      </c>
      <c r="AN38" s="65" t="n">
        <v>75.4</v>
      </c>
      <c r="AO38" s="62" t="s">
        <v>389</v>
      </c>
      <c r="AP38" s="62" t="s">
        <v>390</v>
      </c>
      <c r="AQ38" s="62" t="s">
        <v>390</v>
      </c>
      <c r="AR38" s="66"/>
      <c r="AS38" s="62"/>
      <c r="AT38" s="65"/>
      <c r="AU38" s="62" t="s">
        <v>400</v>
      </c>
    </row>
    <row r="39" customFormat="false" ht="15" hidden="false" customHeight="false" outlineLevel="0" collapsed="false">
      <c r="A39" s="62" t="s">
        <v>388</v>
      </c>
      <c r="B39" s="63" t="n">
        <v>370</v>
      </c>
      <c r="C39" s="64" t="n">
        <v>46301.4588618403</v>
      </c>
      <c r="D39" s="62" t="s">
        <v>72</v>
      </c>
      <c r="E39" s="63" t="n">
        <v>11</v>
      </c>
      <c r="F39" s="62" t="s">
        <v>389</v>
      </c>
      <c r="G39" s="62" t="s">
        <v>389</v>
      </c>
      <c r="H39" s="62" t="s">
        <v>389</v>
      </c>
      <c r="I39" s="62" t="s">
        <v>389</v>
      </c>
      <c r="J39" s="65" t="n">
        <v>0.9</v>
      </c>
      <c r="K39" s="62" t="s">
        <v>277</v>
      </c>
      <c r="L39" s="62" t="s">
        <v>389</v>
      </c>
      <c r="M39" s="62" t="s">
        <v>390</v>
      </c>
      <c r="N39" s="62"/>
      <c r="O39" s="62" t="s">
        <v>390</v>
      </c>
      <c r="P39" s="62" t="s">
        <v>389</v>
      </c>
      <c r="Q39" s="62" t="s">
        <v>389</v>
      </c>
      <c r="R39" s="62" t="s">
        <v>277</v>
      </c>
      <c r="S39" s="62" t="s">
        <v>389</v>
      </c>
      <c r="T39" s="65" t="n">
        <v>1315.7</v>
      </c>
      <c r="U39" s="62" t="s">
        <v>277</v>
      </c>
      <c r="V39" s="65" t="n">
        <v>0.9</v>
      </c>
      <c r="W39" s="65" t="n">
        <v>1313.7</v>
      </c>
      <c r="X39" s="63" t="n">
        <v>0</v>
      </c>
      <c r="Y39" s="62" t="s">
        <v>390</v>
      </c>
      <c r="Z39" s="62" t="s">
        <v>389</v>
      </c>
      <c r="AA39" s="62" t="s">
        <v>267</v>
      </c>
      <c r="AB39" s="62" t="s">
        <v>276</v>
      </c>
      <c r="AC39" s="65" t="n">
        <v>22</v>
      </c>
      <c r="AD39" s="63" t="n">
        <v>10</v>
      </c>
      <c r="AE39" s="63" t="n">
        <v>9</v>
      </c>
      <c r="AF39" s="63" t="n">
        <v>2</v>
      </c>
      <c r="AG39" s="62" t="s">
        <v>390</v>
      </c>
      <c r="AH39" s="62"/>
      <c r="AI39" s="63" t="n">
        <v>0</v>
      </c>
      <c r="AJ39" s="62" t="s">
        <v>154</v>
      </c>
      <c r="AK39" s="62" t="s">
        <v>407</v>
      </c>
      <c r="AL39" s="62"/>
      <c r="AM39" s="62"/>
      <c r="AN39" s="65"/>
      <c r="AO39" s="62" t="s">
        <v>390</v>
      </c>
      <c r="AP39" s="62"/>
      <c r="AQ39" s="62" t="s">
        <v>389</v>
      </c>
      <c r="AR39" s="66" t="n">
        <v>2799</v>
      </c>
      <c r="AS39" s="62" t="s">
        <v>408</v>
      </c>
      <c r="AT39" s="65" t="n">
        <v>22</v>
      </c>
      <c r="AU39" s="62" t="s">
        <v>400</v>
      </c>
    </row>
    <row r="40" customFormat="false" ht="15" hidden="false" customHeight="false" outlineLevel="0" collapsed="false">
      <c r="A40" s="62" t="s">
        <v>388</v>
      </c>
      <c r="B40" s="63" t="n">
        <v>376</v>
      </c>
      <c r="C40" s="64" t="n">
        <v>46301.4855493634</v>
      </c>
      <c r="D40" s="62" t="s">
        <v>72</v>
      </c>
      <c r="E40" s="63" t="n">
        <v>11</v>
      </c>
      <c r="F40" s="62" t="s">
        <v>389</v>
      </c>
      <c r="G40" s="62" t="s">
        <v>389</v>
      </c>
      <c r="H40" s="62" t="s">
        <v>389</v>
      </c>
      <c r="I40" s="62" t="s">
        <v>389</v>
      </c>
      <c r="J40" s="65" t="n">
        <v>0.4</v>
      </c>
      <c r="K40" s="62" t="s">
        <v>277</v>
      </c>
      <c r="L40" s="62" t="s">
        <v>389</v>
      </c>
      <c r="M40" s="62" t="s">
        <v>389</v>
      </c>
      <c r="N40" s="62" t="s">
        <v>304</v>
      </c>
      <c r="O40" s="62" t="s">
        <v>389</v>
      </c>
      <c r="P40" s="62" t="s">
        <v>389</v>
      </c>
      <c r="Q40" s="62" t="s">
        <v>390</v>
      </c>
      <c r="R40" s="62" t="s">
        <v>277</v>
      </c>
      <c r="S40" s="62" t="s">
        <v>390</v>
      </c>
      <c r="T40" s="65" t="n">
        <v>3.5</v>
      </c>
      <c r="U40" s="62" t="s">
        <v>277</v>
      </c>
      <c r="V40" s="65" t="n">
        <v>1.8</v>
      </c>
      <c r="W40" s="65" t="n">
        <v>2.1</v>
      </c>
      <c r="X40" s="63" t="n">
        <v>0</v>
      </c>
      <c r="Y40" s="62" t="s">
        <v>389</v>
      </c>
      <c r="Z40" s="62" t="s">
        <v>389</v>
      </c>
      <c r="AA40" s="62" t="s">
        <v>395</v>
      </c>
      <c r="AB40" s="62" t="s">
        <v>275</v>
      </c>
      <c r="AC40" s="65" t="n">
        <v>28.7</v>
      </c>
      <c r="AD40" s="63" t="n">
        <v>4</v>
      </c>
      <c r="AE40" s="63" t="n">
        <v>20</v>
      </c>
      <c r="AF40" s="63" t="n">
        <v>7</v>
      </c>
      <c r="AG40" s="62" t="s">
        <v>390</v>
      </c>
      <c r="AH40" s="62"/>
      <c r="AI40" s="63" t="n">
        <v>0</v>
      </c>
      <c r="AJ40" s="62" t="s">
        <v>149</v>
      </c>
      <c r="AK40" s="62" t="s">
        <v>391</v>
      </c>
      <c r="AL40" s="62" t="s">
        <v>392</v>
      </c>
      <c r="AM40" s="62" t="s">
        <v>396</v>
      </c>
      <c r="AN40" s="65" t="n">
        <v>74.7</v>
      </c>
      <c r="AO40" s="62" t="s">
        <v>389</v>
      </c>
      <c r="AP40" s="62" t="s">
        <v>390</v>
      </c>
      <c r="AQ40" s="62" t="s">
        <v>390</v>
      </c>
      <c r="AR40" s="66"/>
      <c r="AS40" s="62"/>
      <c r="AT40" s="65"/>
      <c r="AU40" s="62" t="s">
        <v>400</v>
      </c>
    </row>
    <row r="41" customFormat="false" ht="15" hidden="false" customHeight="false" outlineLevel="0" collapsed="false">
      <c r="A41" s="62" t="s">
        <v>388</v>
      </c>
      <c r="B41" s="63" t="n">
        <v>378</v>
      </c>
      <c r="C41" s="64" t="n">
        <v>46301.4944325347</v>
      </c>
      <c r="D41" s="62" t="s">
        <v>72</v>
      </c>
      <c r="E41" s="63" t="n">
        <v>11</v>
      </c>
      <c r="F41" s="62" t="s">
        <v>389</v>
      </c>
      <c r="G41" s="62" t="s">
        <v>390</v>
      </c>
      <c r="H41" s="62" t="s">
        <v>390</v>
      </c>
      <c r="I41" s="62" t="s">
        <v>389</v>
      </c>
      <c r="J41" s="65"/>
      <c r="K41" s="62" t="s">
        <v>275</v>
      </c>
      <c r="L41" s="62" t="s">
        <v>389</v>
      </c>
      <c r="M41" s="62" t="s">
        <v>390</v>
      </c>
      <c r="N41" s="62"/>
      <c r="O41" s="62" t="s">
        <v>389</v>
      </c>
      <c r="P41" s="62" t="s">
        <v>390</v>
      </c>
      <c r="Q41" s="62" t="s">
        <v>390</v>
      </c>
      <c r="R41" s="62" t="s">
        <v>277</v>
      </c>
      <c r="S41" s="62" t="s">
        <v>390</v>
      </c>
      <c r="T41" s="65" t="n">
        <v>3246.1</v>
      </c>
      <c r="U41" s="62" t="s">
        <v>277</v>
      </c>
      <c r="V41" s="65" t="n">
        <v>3246.1</v>
      </c>
      <c r="W41" s="65"/>
      <c r="X41" s="63" t="n">
        <v>0</v>
      </c>
      <c r="Y41" s="62" t="s">
        <v>390</v>
      </c>
      <c r="Z41" s="62" t="s">
        <v>389</v>
      </c>
      <c r="AA41" s="62" t="s">
        <v>395</v>
      </c>
      <c r="AB41" s="62" t="s">
        <v>275</v>
      </c>
      <c r="AC41" s="65" t="n">
        <v>26.6</v>
      </c>
      <c r="AD41" s="63" t="n">
        <v>1</v>
      </c>
      <c r="AE41" s="63" t="n">
        <v>22</v>
      </c>
      <c r="AF41" s="63" t="n">
        <v>2</v>
      </c>
      <c r="AG41" s="62" t="s">
        <v>390</v>
      </c>
      <c r="AH41" s="62"/>
      <c r="AI41" s="63" t="n">
        <v>0</v>
      </c>
      <c r="AJ41" s="62" t="s">
        <v>147</v>
      </c>
      <c r="AK41" s="62" t="s">
        <v>391</v>
      </c>
      <c r="AL41" s="62" t="s">
        <v>392</v>
      </c>
      <c r="AM41" s="62" t="s">
        <v>396</v>
      </c>
      <c r="AN41" s="65" t="n">
        <v>118</v>
      </c>
      <c r="AO41" s="62" t="s">
        <v>389</v>
      </c>
      <c r="AP41" s="62" t="s">
        <v>390</v>
      </c>
      <c r="AQ41" s="62" t="s">
        <v>390</v>
      </c>
      <c r="AR41" s="66"/>
      <c r="AS41" s="62"/>
      <c r="AT41" s="65"/>
      <c r="AU41" s="62" t="s">
        <v>397</v>
      </c>
    </row>
    <row r="42" customFormat="false" ht="15" hidden="false" customHeight="false" outlineLevel="0" collapsed="false">
      <c r="A42" s="62" t="s">
        <v>388</v>
      </c>
      <c r="B42" s="63" t="n">
        <v>379</v>
      </c>
      <c r="C42" s="64" t="n">
        <v>46301.4948299884</v>
      </c>
      <c r="D42" s="62" t="s">
        <v>72</v>
      </c>
      <c r="E42" s="63" t="n">
        <v>11</v>
      </c>
      <c r="F42" s="62" t="s">
        <v>389</v>
      </c>
      <c r="G42" s="62" t="s">
        <v>390</v>
      </c>
      <c r="H42" s="62" t="s">
        <v>390</v>
      </c>
      <c r="I42" s="62" t="s">
        <v>389</v>
      </c>
      <c r="J42" s="65"/>
      <c r="K42" s="62" t="s">
        <v>277</v>
      </c>
      <c r="L42" s="62" t="s">
        <v>389</v>
      </c>
      <c r="M42" s="62" t="s">
        <v>390</v>
      </c>
      <c r="N42" s="62"/>
      <c r="O42" s="62" t="s">
        <v>389</v>
      </c>
      <c r="P42" s="62" t="s">
        <v>389</v>
      </c>
      <c r="Q42" s="62" t="s">
        <v>390</v>
      </c>
      <c r="R42" s="62" t="s">
        <v>277</v>
      </c>
      <c r="S42" s="62" t="s">
        <v>389</v>
      </c>
      <c r="T42" s="65" t="n">
        <v>135.5</v>
      </c>
      <c r="U42" s="62" t="s">
        <v>277</v>
      </c>
      <c r="V42" s="65" t="n">
        <v>135.5</v>
      </c>
      <c r="W42" s="65" t="n">
        <v>135.5</v>
      </c>
      <c r="X42" s="63" t="n">
        <v>0</v>
      </c>
      <c r="Y42" s="62" t="s">
        <v>389</v>
      </c>
      <c r="Z42" s="62" t="s">
        <v>389</v>
      </c>
      <c r="AA42" s="62" t="s">
        <v>395</v>
      </c>
      <c r="AB42" s="62" t="s">
        <v>275</v>
      </c>
      <c r="AC42" s="65" t="n">
        <v>30.6</v>
      </c>
      <c r="AD42" s="63" t="n">
        <v>7</v>
      </c>
      <c r="AE42" s="63" t="n">
        <v>13</v>
      </c>
      <c r="AF42" s="63" t="n">
        <v>6</v>
      </c>
      <c r="AG42" s="62" t="s">
        <v>390</v>
      </c>
      <c r="AH42" s="62"/>
      <c r="AI42" s="63" t="n">
        <v>0</v>
      </c>
      <c r="AJ42" s="62" t="s">
        <v>148</v>
      </c>
      <c r="AK42" s="62" t="s">
        <v>391</v>
      </c>
      <c r="AL42" s="62" t="s">
        <v>392</v>
      </c>
      <c r="AM42" s="62" t="s">
        <v>396</v>
      </c>
      <c r="AN42" s="65" t="n">
        <v>72.4</v>
      </c>
      <c r="AO42" s="62" t="s">
        <v>389</v>
      </c>
      <c r="AP42" s="62" t="s">
        <v>390</v>
      </c>
      <c r="AQ42" s="62" t="s">
        <v>390</v>
      </c>
      <c r="AR42" s="66"/>
      <c r="AS42" s="62"/>
      <c r="AT42" s="65"/>
      <c r="AU42" s="62"/>
    </row>
    <row r="43" customFormat="false" ht="15" hidden="false" customHeight="false" outlineLevel="0" collapsed="false">
      <c r="A43" s="62" t="s">
        <v>388</v>
      </c>
      <c r="B43" s="63" t="n">
        <v>388</v>
      </c>
      <c r="C43" s="64" t="n">
        <v>46301.5169681945</v>
      </c>
      <c r="D43" s="62" t="s">
        <v>72</v>
      </c>
      <c r="E43" s="63" t="n">
        <v>12</v>
      </c>
      <c r="F43" s="62" t="s">
        <v>389</v>
      </c>
      <c r="G43" s="62" t="s">
        <v>389</v>
      </c>
      <c r="H43" s="62" t="s">
        <v>389</v>
      </c>
      <c r="I43" s="62" t="s">
        <v>389</v>
      </c>
      <c r="J43" s="65" t="n">
        <v>0.7</v>
      </c>
      <c r="K43" s="62" t="s">
        <v>277</v>
      </c>
      <c r="L43" s="62" t="s">
        <v>389</v>
      </c>
      <c r="M43" s="62" t="s">
        <v>389</v>
      </c>
      <c r="N43" s="62" t="s">
        <v>303</v>
      </c>
      <c r="O43" s="62" t="s">
        <v>389</v>
      </c>
      <c r="P43" s="62" t="s">
        <v>389</v>
      </c>
      <c r="Q43" s="62" t="s">
        <v>390</v>
      </c>
      <c r="R43" s="62" t="s">
        <v>277</v>
      </c>
      <c r="S43" s="62" t="s">
        <v>390</v>
      </c>
      <c r="T43" s="65" t="n">
        <v>6</v>
      </c>
      <c r="U43" s="62" t="s">
        <v>277</v>
      </c>
      <c r="V43" s="65" t="n">
        <v>0.9</v>
      </c>
      <c r="W43" s="65" t="n">
        <v>3.5</v>
      </c>
      <c r="X43" s="63" t="n">
        <v>0</v>
      </c>
      <c r="Y43" s="62" t="s">
        <v>389</v>
      </c>
      <c r="Z43" s="62" t="s">
        <v>389</v>
      </c>
      <c r="AA43" s="62" t="s">
        <v>395</v>
      </c>
      <c r="AB43" s="62" t="s">
        <v>275</v>
      </c>
      <c r="AC43" s="65" t="n">
        <v>28.4</v>
      </c>
      <c r="AD43" s="63" t="n">
        <v>3</v>
      </c>
      <c r="AE43" s="63" t="n">
        <v>20</v>
      </c>
      <c r="AF43" s="63" t="n">
        <v>5</v>
      </c>
      <c r="AG43" s="62" t="s">
        <v>390</v>
      </c>
      <c r="AH43" s="62"/>
      <c r="AI43" s="63" t="n">
        <v>0</v>
      </c>
      <c r="AJ43" s="62" t="s">
        <v>149</v>
      </c>
      <c r="AK43" s="62" t="s">
        <v>391</v>
      </c>
      <c r="AL43" s="62" t="s">
        <v>392</v>
      </c>
      <c r="AM43" s="62" t="s">
        <v>396</v>
      </c>
      <c r="AN43" s="65" t="n">
        <v>74.1</v>
      </c>
      <c r="AO43" s="62" t="s">
        <v>389</v>
      </c>
      <c r="AP43" s="62" t="s">
        <v>390</v>
      </c>
      <c r="AQ43" s="62" t="s">
        <v>390</v>
      </c>
      <c r="AR43" s="66"/>
      <c r="AS43" s="62"/>
      <c r="AT43" s="65"/>
      <c r="AU43" s="62" t="s">
        <v>400</v>
      </c>
    </row>
    <row r="44" customFormat="false" ht="15" hidden="false" customHeight="false" outlineLevel="0" collapsed="false">
      <c r="A44" s="62" t="s">
        <v>388</v>
      </c>
      <c r="B44" s="63" t="n">
        <v>392</v>
      </c>
      <c r="C44" s="64" t="n">
        <v>46301.5206806482</v>
      </c>
      <c r="D44" s="62" t="s">
        <v>72</v>
      </c>
      <c r="E44" s="63" t="n">
        <v>12</v>
      </c>
      <c r="F44" s="62" t="s">
        <v>389</v>
      </c>
      <c r="G44" s="62" t="s">
        <v>390</v>
      </c>
      <c r="H44" s="62" t="s">
        <v>390</v>
      </c>
      <c r="I44" s="62" t="s">
        <v>389</v>
      </c>
      <c r="J44" s="65"/>
      <c r="K44" s="62" t="s">
        <v>275</v>
      </c>
      <c r="L44" s="62" t="s">
        <v>389</v>
      </c>
      <c r="M44" s="62" t="s">
        <v>390</v>
      </c>
      <c r="N44" s="62"/>
      <c r="O44" s="62" t="s">
        <v>389</v>
      </c>
      <c r="P44" s="62" t="s">
        <v>390</v>
      </c>
      <c r="Q44" s="62" t="s">
        <v>390</v>
      </c>
      <c r="R44" s="62" t="s">
        <v>277</v>
      </c>
      <c r="S44" s="62" t="s">
        <v>390</v>
      </c>
      <c r="T44" s="65" t="n">
        <v>6910.4</v>
      </c>
      <c r="U44" s="62" t="s">
        <v>277</v>
      </c>
      <c r="V44" s="65" t="n">
        <v>6910.4</v>
      </c>
      <c r="W44" s="65"/>
      <c r="X44" s="63" t="n">
        <v>0</v>
      </c>
      <c r="Y44" s="62" t="s">
        <v>390</v>
      </c>
      <c r="Z44" s="62" t="s">
        <v>389</v>
      </c>
      <c r="AA44" s="62" t="s">
        <v>395</v>
      </c>
      <c r="AB44" s="62" t="s">
        <v>275</v>
      </c>
      <c r="AC44" s="65" t="n">
        <v>26.6</v>
      </c>
      <c r="AD44" s="63" t="n">
        <v>1</v>
      </c>
      <c r="AE44" s="63" t="n">
        <v>23</v>
      </c>
      <c r="AF44" s="63" t="n">
        <v>1</v>
      </c>
      <c r="AG44" s="62" t="s">
        <v>390</v>
      </c>
      <c r="AH44" s="62"/>
      <c r="AI44" s="63" t="n">
        <v>0</v>
      </c>
      <c r="AJ44" s="62" t="s">
        <v>147</v>
      </c>
      <c r="AK44" s="62" t="s">
        <v>391</v>
      </c>
      <c r="AL44" s="62" t="s">
        <v>392</v>
      </c>
      <c r="AM44" s="62" t="s">
        <v>396</v>
      </c>
      <c r="AN44" s="65" t="n">
        <v>115.2</v>
      </c>
      <c r="AO44" s="62" t="s">
        <v>389</v>
      </c>
      <c r="AP44" s="62" t="s">
        <v>390</v>
      </c>
      <c r="AQ44" s="62" t="s">
        <v>390</v>
      </c>
      <c r="AR44" s="66"/>
      <c r="AS44" s="62"/>
      <c r="AT44" s="65"/>
      <c r="AU44" s="62" t="s">
        <v>400</v>
      </c>
    </row>
    <row r="45" customFormat="false" ht="15" hidden="false" customHeight="false" outlineLevel="0" collapsed="false">
      <c r="A45" s="62" t="s">
        <v>388</v>
      </c>
      <c r="B45" s="63" t="n">
        <v>398</v>
      </c>
      <c r="C45" s="64" t="n">
        <v>46301.5283758449</v>
      </c>
      <c r="D45" s="62" t="s">
        <v>72</v>
      </c>
      <c r="E45" s="63" t="n">
        <v>12</v>
      </c>
      <c r="F45" s="62" t="s">
        <v>389</v>
      </c>
      <c r="G45" s="62" t="s">
        <v>389</v>
      </c>
      <c r="H45" s="62" t="s">
        <v>389</v>
      </c>
      <c r="I45" s="62" t="s">
        <v>389</v>
      </c>
      <c r="J45" s="65" t="n">
        <v>0.1</v>
      </c>
      <c r="K45" s="62" t="s">
        <v>276</v>
      </c>
      <c r="L45" s="62" t="s">
        <v>389</v>
      </c>
      <c r="M45" s="62" t="s">
        <v>390</v>
      </c>
      <c r="N45" s="62"/>
      <c r="O45" s="62" t="s">
        <v>389</v>
      </c>
      <c r="P45" s="62" t="s">
        <v>390</v>
      </c>
      <c r="Q45" s="62" t="s">
        <v>390</v>
      </c>
      <c r="R45" s="62" t="s">
        <v>338</v>
      </c>
      <c r="S45" s="62" t="s">
        <v>389</v>
      </c>
      <c r="T45" s="65"/>
      <c r="U45" s="62"/>
      <c r="V45" s="65" t="n">
        <v>1.5</v>
      </c>
      <c r="W45" s="65"/>
      <c r="X45" s="63" t="n">
        <v>1</v>
      </c>
      <c r="Y45" s="62" t="s">
        <v>390</v>
      </c>
      <c r="Z45" s="62" t="s">
        <v>389</v>
      </c>
      <c r="AA45" s="62" t="s">
        <v>395</v>
      </c>
      <c r="AB45" s="62" t="s">
        <v>275</v>
      </c>
      <c r="AC45" s="65" t="n">
        <v>26.1</v>
      </c>
      <c r="AD45" s="63" t="n">
        <v>2</v>
      </c>
      <c r="AE45" s="63" t="n">
        <v>22</v>
      </c>
      <c r="AF45" s="63" t="n">
        <v>0</v>
      </c>
      <c r="AG45" s="62" t="s">
        <v>390</v>
      </c>
      <c r="AH45" s="62"/>
      <c r="AI45" s="63" t="n">
        <v>0</v>
      </c>
      <c r="AJ45" s="62" t="s">
        <v>148</v>
      </c>
      <c r="AK45" s="62" t="s">
        <v>391</v>
      </c>
      <c r="AL45" s="62" t="s">
        <v>275</v>
      </c>
      <c r="AM45" s="62" t="s">
        <v>350</v>
      </c>
      <c r="AN45" s="65" t="n">
        <v>120.3</v>
      </c>
      <c r="AO45" s="62" t="s">
        <v>389</v>
      </c>
      <c r="AP45" s="62" t="s">
        <v>390</v>
      </c>
      <c r="AQ45" s="62" t="s">
        <v>390</v>
      </c>
      <c r="AR45" s="66"/>
      <c r="AS45" s="62"/>
      <c r="AT45" s="65"/>
      <c r="AU45" s="62" t="s">
        <v>400</v>
      </c>
    </row>
    <row r="46" customFormat="false" ht="15" hidden="false" customHeight="false" outlineLevel="0" collapsed="false">
      <c r="A46" s="62" t="s">
        <v>388</v>
      </c>
      <c r="B46" s="63" t="n">
        <v>404</v>
      </c>
      <c r="C46" s="64" t="n">
        <v>46301.5374431713</v>
      </c>
      <c r="D46" s="62" t="s">
        <v>72</v>
      </c>
      <c r="E46" s="63" t="n">
        <v>12</v>
      </c>
      <c r="F46" s="62" t="s">
        <v>389</v>
      </c>
      <c r="G46" s="62" t="s">
        <v>389</v>
      </c>
      <c r="H46" s="62" t="s">
        <v>389</v>
      </c>
      <c r="I46" s="62" t="s">
        <v>389</v>
      </c>
      <c r="J46" s="65" t="n">
        <v>4.1</v>
      </c>
      <c r="K46" s="62" t="s">
        <v>279</v>
      </c>
      <c r="L46" s="62" t="s">
        <v>389</v>
      </c>
      <c r="M46" s="62" t="s">
        <v>390</v>
      </c>
      <c r="N46" s="62"/>
      <c r="O46" s="62" t="s">
        <v>389</v>
      </c>
      <c r="P46" s="62" t="s">
        <v>390</v>
      </c>
      <c r="Q46" s="62" t="s">
        <v>390</v>
      </c>
      <c r="R46" s="62" t="s">
        <v>279</v>
      </c>
      <c r="S46" s="62" t="s">
        <v>390</v>
      </c>
      <c r="T46" s="65"/>
      <c r="U46" s="62"/>
      <c r="V46" s="65" t="n">
        <v>4.4</v>
      </c>
      <c r="W46" s="65"/>
      <c r="X46" s="63" t="n">
        <v>1</v>
      </c>
      <c r="Y46" s="62" t="s">
        <v>390</v>
      </c>
      <c r="Z46" s="62" t="s">
        <v>389</v>
      </c>
      <c r="AA46" s="62" t="s">
        <v>395</v>
      </c>
      <c r="AB46" s="62" t="s">
        <v>275</v>
      </c>
      <c r="AC46" s="65" t="n">
        <v>26.1</v>
      </c>
      <c r="AD46" s="63" t="n">
        <v>2</v>
      </c>
      <c r="AE46" s="63" t="n">
        <v>22</v>
      </c>
      <c r="AF46" s="63" t="n">
        <v>0</v>
      </c>
      <c r="AG46" s="62" t="s">
        <v>389</v>
      </c>
      <c r="AH46" s="62" t="s">
        <v>330</v>
      </c>
      <c r="AI46" s="63" t="n">
        <v>0</v>
      </c>
      <c r="AJ46" s="62" t="s">
        <v>148</v>
      </c>
      <c r="AK46" s="62" t="s">
        <v>391</v>
      </c>
      <c r="AL46" s="62" t="s">
        <v>275</v>
      </c>
      <c r="AM46" s="62" t="s">
        <v>350</v>
      </c>
      <c r="AN46" s="65" t="n">
        <v>120.1</v>
      </c>
      <c r="AO46" s="62" t="s">
        <v>389</v>
      </c>
      <c r="AP46" s="62" t="s">
        <v>390</v>
      </c>
      <c r="AQ46" s="62" t="s">
        <v>390</v>
      </c>
      <c r="AR46" s="66"/>
      <c r="AS46" s="62"/>
      <c r="AT46" s="65"/>
      <c r="AU46" s="62" t="s">
        <v>400</v>
      </c>
    </row>
    <row r="47" customFormat="false" ht="15" hidden="false" customHeight="false" outlineLevel="0" collapsed="false">
      <c r="A47" s="62" t="s">
        <v>388</v>
      </c>
      <c r="B47" s="63" t="n">
        <v>406</v>
      </c>
      <c r="C47" s="64" t="n">
        <v>46301.5477326852</v>
      </c>
      <c r="D47" s="62" t="s">
        <v>72</v>
      </c>
      <c r="E47" s="63" t="n">
        <v>13</v>
      </c>
      <c r="F47" s="62" t="s">
        <v>389</v>
      </c>
      <c r="G47" s="62" t="s">
        <v>389</v>
      </c>
      <c r="H47" s="62" t="s">
        <v>389</v>
      </c>
      <c r="I47" s="62" t="s">
        <v>389</v>
      </c>
      <c r="J47" s="65" t="n">
        <v>0.3</v>
      </c>
      <c r="K47" s="62" t="s">
        <v>279</v>
      </c>
      <c r="L47" s="62" t="s">
        <v>389</v>
      </c>
      <c r="M47" s="62" t="s">
        <v>390</v>
      </c>
      <c r="N47" s="62"/>
      <c r="O47" s="62" t="s">
        <v>389</v>
      </c>
      <c r="P47" s="62" t="s">
        <v>390</v>
      </c>
      <c r="Q47" s="62" t="s">
        <v>390</v>
      </c>
      <c r="R47" s="62" t="s">
        <v>279</v>
      </c>
      <c r="S47" s="62" t="s">
        <v>390</v>
      </c>
      <c r="T47" s="65"/>
      <c r="U47" s="62"/>
      <c r="V47" s="65" t="n">
        <v>0.7</v>
      </c>
      <c r="W47" s="65"/>
      <c r="X47" s="63" t="n">
        <v>1</v>
      </c>
      <c r="Y47" s="62" t="s">
        <v>390</v>
      </c>
      <c r="Z47" s="62" t="s">
        <v>389</v>
      </c>
      <c r="AA47" s="62" t="s">
        <v>395</v>
      </c>
      <c r="AB47" s="62" t="s">
        <v>275</v>
      </c>
      <c r="AC47" s="65" t="n">
        <v>26.1</v>
      </c>
      <c r="AD47" s="63" t="n">
        <v>2</v>
      </c>
      <c r="AE47" s="63" t="n">
        <v>22</v>
      </c>
      <c r="AF47" s="63" t="n">
        <v>0</v>
      </c>
      <c r="AG47" s="62" t="s">
        <v>390</v>
      </c>
      <c r="AH47" s="62"/>
      <c r="AI47" s="63" t="n">
        <v>0</v>
      </c>
      <c r="AJ47" s="62" t="s">
        <v>148</v>
      </c>
      <c r="AK47" s="62" t="s">
        <v>391</v>
      </c>
      <c r="AL47" s="62" t="s">
        <v>275</v>
      </c>
      <c r="AM47" s="62" t="s">
        <v>350</v>
      </c>
      <c r="AN47" s="65" t="n">
        <v>119.9</v>
      </c>
      <c r="AO47" s="62" t="s">
        <v>389</v>
      </c>
      <c r="AP47" s="62" t="s">
        <v>390</v>
      </c>
      <c r="AQ47" s="62" t="s">
        <v>390</v>
      </c>
      <c r="AR47" s="66"/>
      <c r="AS47" s="62"/>
      <c r="AT47" s="65"/>
      <c r="AU47" s="62" t="s">
        <v>400</v>
      </c>
    </row>
    <row r="48" customFormat="false" ht="15" hidden="false" customHeight="false" outlineLevel="0" collapsed="false">
      <c r="A48" s="62" t="s">
        <v>388</v>
      </c>
      <c r="B48" s="63" t="n">
        <v>407</v>
      </c>
      <c r="C48" s="64" t="n">
        <v>46301.5482397801</v>
      </c>
      <c r="D48" s="62" t="s">
        <v>72</v>
      </c>
      <c r="E48" s="63" t="n">
        <v>13</v>
      </c>
      <c r="F48" s="62" t="s">
        <v>389</v>
      </c>
      <c r="G48" s="62" t="s">
        <v>389</v>
      </c>
      <c r="H48" s="62" t="s">
        <v>389</v>
      </c>
      <c r="I48" s="62" t="s">
        <v>389</v>
      </c>
      <c r="J48" s="65" t="n">
        <v>0.5</v>
      </c>
      <c r="K48" s="62" t="s">
        <v>278</v>
      </c>
      <c r="L48" s="62" t="s">
        <v>389</v>
      </c>
      <c r="M48" s="62" t="s">
        <v>390</v>
      </c>
      <c r="N48" s="62"/>
      <c r="O48" s="62" t="s">
        <v>389</v>
      </c>
      <c r="P48" s="62" t="s">
        <v>390</v>
      </c>
      <c r="Q48" s="62" t="s">
        <v>390</v>
      </c>
      <c r="R48" s="62" t="s">
        <v>278</v>
      </c>
      <c r="S48" s="62" t="s">
        <v>390</v>
      </c>
      <c r="T48" s="65" t="n">
        <v>4582.6</v>
      </c>
      <c r="U48" s="62" t="s">
        <v>278</v>
      </c>
      <c r="V48" s="65" t="n">
        <v>0.7</v>
      </c>
      <c r="W48" s="65" t="n">
        <v>4581.8</v>
      </c>
      <c r="X48" s="63" t="n">
        <v>0</v>
      </c>
      <c r="Y48" s="62" t="s">
        <v>390</v>
      </c>
      <c r="Z48" s="62" t="s">
        <v>389</v>
      </c>
      <c r="AA48" s="62" t="s">
        <v>395</v>
      </c>
      <c r="AB48" s="62" t="s">
        <v>275</v>
      </c>
      <c r="AC48" s="65" t="n">
        <v>26.1</v>
      </c>
      <c r="AD48" s="63" t="n">
        <v>3</v>
      </c>
      <c r="AE48" s="63" t="n">
        <v>21</v>
      </c>
      <c r="AF48" s="63" t="n">
        <v>1</v>
      </c>
      <c r="AG48" s="62" t="s">
        <v>390</v>
      </c>
      <c r="AH48" s="62"/>
      <c r="AI48" s="63" t="n">
        <v>0</v>
      </c>
      <c r="AJ48" s="62" t="s">
        <v>149</v>
      </c>
      <c r="AK48" s="62" t="s">
        <v>391</v>
      </c>
      <c r="AL48" s="62" t="s">
        <v>392</v>
      </c>
      <c r="AM48" s="62" t="s">
        <v>396</v>
      </c>
      <c r="AN48" s="65" t="n">
        <v>76.4</v>
      </c>
      <c r="AO48" s="62" t="s">
        <v>389</v>
      </c>
      <c r="AP48" s="62" t="s">
        <v>390</v>
      </c>
      <c r="AQ48" s="62" t="s">
        <v>390</v>
      </c>
      <c r="AR48" s="66"/>
      <c r="AS48" s="62"/>
      <c r="AT48" s="65"/>
      <c r="AU48" s="62" t="s">
        <v>400</v>
      </c>
    </row>
    <row r="49" customFormat="false" ht="15" hidden="false" customHeight="false" outlineLevel="0" collapsed="false">
      <c r="A49" s="62" t="s">
        <v>388</v>
      </c>
      <c r="B49" s="63" t="n">
        <v>413</v>
      </c>
      <c r="C49" s="64" t="n">
        <v>46301.5693218403</v>
      </c>
      <c r="D49" s="62" t="s">
        <v>72</v>
      </c>
      <c r="E49" s="63" t="n">
        <v>13</v>
      </c>
      <c r="F49" s="62" t="s">
        <v>389</v>
      </c>
      <c r="G49" s="62" t="s">
        <v>389</v>
      </c>
      <c r="H49" s="62" t="s">
        <v>389</v>
      </c>
      <c r="I49" s="62" t="s">
        <v>389</v>
      </c>
      <c r="J49" s="65" t="n">
        <v>0.3</v>
      </c>
      <c r="K49" s="62" t="s">
        <v>278</v>
      </c>
      <c r="L49" s="62" t="s">
        <v>389</v>
      </c>
      <c r="M49" s="62" t="s">
        <v>390</v>
      </c>
      <c r="N49" s="62"/>
      <c r="O49" s="62" t="s">
        <v>389</v>
      </c>
      <c r="P49" s="62" t="s">
        <v>390</v>
      </c>
      <c r="Q49" s="62" t="s">
        <v>390</v>
      </c>
      <c r="R49" s="62" t="s">
        <v>278</v>
      </c>
      <c r="S49" s="62" t="s">
        <v>390</v>
      </c>
      <c r="T49" s="65" t="n">
        <v>4552.7</v>
      </c>
      <c r="U49" s="62" t="s">
        <v>278</v>
      </c>
      <c r="V49" s="65" t="n">
        <v>11</v>
      </c>
      <c r="W49" s="65" t="n">
        <v>4542</v>
      </c>
      <c r="X49" s="63" t="n">
        <v>0</v>
      </c>
      <c r="Y49" s="62" t="s">
        <v>390</v>
      </c>
      <c r="Z49" s="62" t="s">
        <v>389</v>
      </c>
      <c r="AA49" s="62" t="s">
        <v>395</v>
      </c>
      <c r="AB49" s="62" t="s">
        <v>275</v>
      </c>
      <c r="AC49" s="65" t="n">
        <v>26.3</v>
      </c>
      <c r="AD49" s="63" t="n">
        <v>2</v>
      </c>
      <c r="AE49" s="63" t="n">
        <v>21</v>
      </c>
      <c r="AF49" s="63" t="n">
        <v>1</v>
      </c>
      <c r="AG49" s="62" t="s">
        <v>390</v>
      </c>
      <c r="AH49" s="62"/>
      <c r="AI49" s="63" t="n">
        <v>0</v>
      </c>
      <c r="AJ49" s="62" t="s">
        <v>148</v>
      </c>
      <c r="AK49" s="62" t="s">
        <v>391</v>
      </c>
      <c r="AL49" s="62" t="s">
        <v>392</v>
      </c>
      <c r="AM49" s="62" t="s">
        <v>396</v>
      </c>
      <c r="AN49" s="65" t="n">
        <v>75.9</v>
      </c>
      <c r="AO49" s="62" t="s">
        <v>389</v>
      </c>
      <c r="AP49" s="62" t="s">
        <v>390</v>
      </c>
      <c r="AQ49" s="62" t="s">
        <v>390</v>
      </c>
      <c r="AR49" s="66"/>
      <c r="AS49" s="62"/>
      <c r="AT49" s="65"/>
      <c r="AU49" s="62" t="s">
        <v>400</v>
      </c>
    </row>
    <row r="50" customFormat="false" ht="15" hidden="false" customHeight="false" outlineLevel="0" collapsed="false">
      <c r="A50" s="62" t="s">
        <v>388</v>
      </c>
      <c r="B50" s="63" t="n">
        <v>417</v>
      </c>
      <c r="C50" s="64" t="n">
        <v>46301.5947250347</v>
      </c>
      <c r="D50" s="62" t="s">
        <v>72</v>
      </c>
      <c r="E50" s="63" t="n">
        <v>14</v>
      </c>
      <c r="F50" s="62" t="s">
        <v>389</v>
      </c>
      <c r="G50" s="62" t="s">
        <v>389</v>
      </c>
      <c r="H50" s="62" t="s">
        <v>389</v>
      </c>
      <c r="I50" s="62" t="s">
        <v>389</v>
      </c>
      <c r="J50" s="65" t="n">
        <v>3.2</v>
      </c>
      <c r="K50" s="62" t="s">
        <v>278</v>
      </c>
      <c r="L50" s="62" t="s">
        <v>389</v>
      </c>
      <c r="M50" s="62" t="s">
        <v>389</v>
      </c>
      <c r="N50" s="62" t="s">
        <v>303</v>
      </c>
      <c r="O50" s="62" t="s">
        <v>389</v>
      </c>
      <c r="P50" s="62" t="s">
        <v>389</v>
      </c>
      <c r="Q50" s="62" t="s">
        <v>390</v>
      </c>
      <c r="R50" s="62" t="s">
        <v>278</v>
      </c>
      <c r="S50" s="62" t="s">
        <v>390</v>
      </c>
      <c r="T50" s="65" t="n">
        <v>12.6</v>
      </c>
      <c r="U50" s="62" t="s">
        <v>278</v>
      </c>
      <c r="V50" s="65" t="n">
        <v>5.3</v>
      </c>
      <c r="W50" s="65" t="n">
        <v>2.1</v>
      </c>
      <c r="X50" s="63" t="n">
        <v>0</v>
      </c>
      <c r="Y50" s="62" t="s">
        <v>389</v>
      </c>
      <c r="Z50" s="62" t="s">
        <v>389</v>
      </c>
      <c r="AA50" s="62" t="s">
        <v>395</v>
      </c>
      <c r="AB50" s="62" t="s">
        <v>278</v>
      </c>
      <c r="AC50" s="65" t="n">
        <v>47.1</v>
      </c>
      <c r="AD50" s="63" t="n">
        <v>7</v>
      </c>
      <c r="AE50" s="63" t="n">
        <v>15</v>
      </c>
      <c r="AF50" s="63" t="n">
        <v>14</v>
      </c>
      <c r="AG50" s="62" t="s">
        <v>390</v>
      </c>
      <c r="AH50" s="62"/>
      <c r="AI50" s="63" t="n">
        <v>0</v>
      </c>
      <c r="AJ50" s="62" t="s">
        <v>150</v>
      </c>
      <c r="AK50" s="62" t="s">
        <v>391</v>
      </c>
      <c r="AL50" s="62" t="s">
        <v>392</v>
      </c>
      <c r="AM50" s="62" t="s">
        <v>396</v>
      </c>
      <c r="AN50" s="65" t="n">
        <v>75.4</v>
      </c>
      <c r="AO50" s="62" t="s">
        <v>389</v>
      </c>
      <c r="AP50" s="62" t="s">
        <v>390</v>
      </c>
      <c r="AQ50" s="62" t="s">
        <v>390</v>
      </c>
      <c r="AR50" s="66"/>
      <c r="AS50" s="62"/>
      <c r="AT50" s="65"/>
      <c r="AU50" s="62" t="s">
        <v>400</v>
      </c>
    </row>
    <row r="51" customFormat="false" ht="15" hidden="false" customHeight="false" outlineLevel="0" collapsed="false">
      <c r="A51" s="62" t="s">
        <v>388</v>
      </c>
      <c r="B51" s="63" t="n">
        <v>422</v>
      </c>
      <c r="C51" s="64" t="n">
        <v>46301.6229989699</v>
      </c>
      <c r="D51" s="62" t="s">
        <v>72</v>
      </c>
      <c r="E51" s="63" t="n">
        <v>14</v>
      </c>
      <c r="F51" s="62" t="s">
        <v>389</v>
      </c>
      <c r="G51" s="62" t="s">
        <v>389</v>
      </c>
      <c r="H51" s="62" t="s">
        <v>389</v>
      </c>
      <c r="I51" s="62" t="s">
        <v>389</v>
      </c>
      <c r="J51" s="65" t="n">
        <v>2.2</v>
      </c>
      <c r="K51" s="62" t="s">
        <v>278</v>
      </c>
      <c r="L51" s="62" t="s">
        <v>389</v>
      </c>
      <c r="M51" s="62" t="s">
        <v>390</v>
      </c>
      <c r="N51" s="62"/>
      <c r="O51" s="62" t="s">
        <v>389</v>
      </c>
      <c r="P51" s="62" t="s">
        <v>390</v>
      </c>
      <c r="Q51" s="62" t="s">
        <v>390</v>
      </c>
      <c r="R51" s="62" t="s">
        <v>278</v>
      </c>
      <c r="S51" s="62" t="s">
        <v>390</v>
      </c>
      <c r="T51" s="65" t="n">
        <v>4471.9</v>
      </c>
      <c r="U51" s="62" t="s">
        <v>278</v>
      </c>
      <c r="V51" s="65" t="n">
        <v>3.5</v>
      </c>
      <c r="W51" s="65" t="n">
        <v>4470.6</v>
      </c>
      <c r="X51" s="63" t="n">
        <v>0</v>
      </c>
      <c r="Y51" s="62" t="s">
        <v>390</v>
      </c>
      <c r="Z51" s="62" t="s">
        <v>389</v>
      </c>
      <c r="AA51" s="62" t="s">
        <v>395</v>
      </c>
      <c r="AB51" s="62" t="s">
        <v>275</v>
      </c>
      <c r="AC51" s="65" t="n">
        <v>26.1</v>
      </c>
      <c r="AD51" s="63" t="n">
        <v>3</v>
      </c>
      <c r="AE51" s="63" t="n">
        <v>21</v>
      </c>
      <c r="AF51" s="63" t="n">
        <v>1</v>
      </c>
      <c r="AG51" s="62" t="s">
        <v>389</v>
      </c>
      <c r="AH51" s="62" t="s">
        <v>398</v>
      </c>
      <c r="AI51" s="63" t="n">
        <v>0</v>
      </c>
      <c r="AJ51" s="62" t="s">
        <v>148</v>
      </c>
      <c r="AK51" s="62" t="s">
        <v>391</v>
      </c>
      <c r="AL51" s="62" t="s">
        <v>392</v>
      </c>
      <c r="AM51" s="62" t="s">
        <v>396</v>
      </c>
      <c r="AN51" s="65" t="n">
        <v>74.5</v>
      </c>
      <c r="AO51" s="62" t="s">
        <v>389</v>
      </c>
      <c r="AP51" s="62" t="s">
        <v>390</v>
      </c>
      <c r="AQ51" s="62" t="s">
        <v>390</v>
      </c>
      <c r="AR51" s="66"/>
      <c r="AS51" s="62"/>
      <c r="AT51" s="65"/>
      <c r="AU51" s="62" t="s">
        <v>400</v>
      </c>
    </row>
    <row r="52" customFormat="false" ht="15" hidden="false" customHeight="false" outlineLevel="0" collapsed="false">
      <c r="A52" s="62" t="s">
        <v>388</v>
      </c>
      <c r="B52" s="63" t="n">
        <v>423</v>
      </c>
      <c r="C52" s="64" t="n">
        <v>46301.6258037847</v>
      </c>
      <c r="D52" s="62" t="s">
        <v>72</v>
      </c>
      <c r="E52" s="63" t="n">
        <v>15</v>
      </c>
      <c r="F52" s="62" t="s">
        <v>389</v>
      </c>
      <c r="G52" s="62" t="s">
        <v>389</v>
      </c>
      <c r="H52" s="62" t="s">
        <v>389</v>
      </c>
      <c r="I52" s="62" t="s">
        <v>389</v>
      </c>
      <c r="J52" s="65" t="n">
        <v>0.8</v>
      </c>
      <c r="K52" s="62" t="s">
        <v>276</v>
      </c>
      <c r="L52" s="62" t="s">
        <v>389</v>
      </c>
      <c r="M52" s="62" t="s">
        <v>389</v>
      </c>
      <c r="N52" s="62" t="s">
        <v>304</v>
      </c>
      <c r="O52" s="62" t="s">
        <v>389</v>
      </c>
      <c r="P52" s="62" t="s">
        <v>389</v>
      </c>
      <c r="Q52" s="62" t="s">
        <v>390</v>
      </c>
      <c r="R52" s="62" t="s">
        <v>278</v>
      </c>
      <c r="S52" s="62" t="s">
        <v>389</v>
      </c>
      <c r="T52" s="65" t="n">
        <v>9</v>
      </c>
      <c r="U52" s="62" t="s">
        <v>278</v>
      </c>
      <c r="V52" s="65" t="n">
        <v>2.6</v>
      </c>
      <c r="W52" s="65" t="n">
        <v>4.8</v>
      </c>
      <c r="X52" s="63" t="n">
        <v>0</v>
      </c>
      <c r="Y52" s="62" t="s">
        <v>389</v>
      </c>
      <c r="Z52" s="62" t="s">
        <v>389</v>
      </c>
      <c r="AA52" s="62" t="s">
        <v>395</v>
      </c>
      <c r="AB52" s="62" t="s">
        <v>275</v>
      </c>
      <c r="AC52" s="65" t="n">
        <v>46</v>
      </c>
      <c r="AD52" s="63" t="n">
        <v>3</v>
      </c>
      <c r="AE52" s="63" t="n">
        <v>20</v>
      </c>
      <c r="AF52" s="63" t="n">
        <v>7</v>
      </c>
      <c r="AG52" s="62" t="s">
        <v>389</v>
      </c>
      <c r="AH52" s="62" t="s">
        <v>398</v>
      </c>
      <c r="AI52" s="63" t="n">
        <v>0</v>
      </c>
      <c r="AJ52" s="62" t="s">
        <v>149</v>
      </c>
      <c r="AK52" s="62" t="s">
        <v>391</v>
      </c>
      <c r="AL52" s="62" t="s">
        <v>392</v>
      </c>
      <c r="AM52" s="62" t="s">
        <v>396</v>
      </c>
      <c r="AN52" s="65" t="n">
        <v>74.7</v>
      </c>
      <c r="AO52" s="62" t="s">
        <v>389</v>
      </c>
      <c r="AP52" s="62" t="s">
        <v>390</v>
      </c>
      <c r="AQ52" s="62" t="s">
        <v>390</v>
      </c>
      <c r="AR52" s="66"/>
      <c r="AS52" s="62"/>
      <c r="AT52" s="65"/>
      <c r="AU52" s="62" t="s">
        <v>400</v>
      </c>
    </row>
    <row r="53" customFormat="false" ht="15" hidden="false" customHeight="false" outlineLevel="0" collapsed="false">
      <c r="A53" s="62" t="s">
        <v>388</v>
      </c>
      <c r="B53" s="63" t="n">
        <v>424</v>
      </c>
      <c r="C53" s="64" t="n">
        <v>46301.6347848148</v>
      </c>
      <c r="D53" s="62" t="s">
        <v>72</v>
      </c>
      <c r="E53" s="63" t="n">
        <v>15</v>
      </c>
      <c r="F53" s="62" t="s">
        <v>389</v>
      </c>
      <c r="G53" s="62" t="s">
        <v>390</v>
      </c>
      <c r="H53" s="62" t="s">
        <v>390</v>
      </c>
      <c r="I53" s="62" t="s">
        <v>389</v>
      </c>
      <c r="J53" s="65"/>
      <c r="K53" s="62" t="s">
        <v>275</v>
      </c>
      <c r="L53" s="62" t="s">
        <v>389</v>
      </c>
      <c r="M53" s="62" t="s">
        <v>390</v>
      </c>
      <c r="N53" s="62"/>
      <c r="O53" s="62" t="s">
        <v>389</v>
      </c>
      <c r="P53" s="62" t="s">
        <v>390</v>
      </c>
      <c r="Q53" s="62" t="s">
        <v>390</v>
      </c>
      <c r="R53" s="62" t="s">
        <v>278</v>
      </c>
      <c r="S53" s="62" t="s">
        <v>390</v>
      </c>
      <c r="T53" s="65" t="n">
        <v>4460.5</v>
      </c>
      <c r="U53" s="62" t="s">
        <v>278</v>
      </c>
      <c r="V53" s="65" t="n">
        <v>4460.5</v>
      </c>
      <c r="W53" s="65"/>
      <c r="X53" s="63" t="n">
        <v>0</v>
      </c>
      <c r="Y53" s="62" t="s">
        <v>390</v>
      </c>
      <c r="Z53" s="62" t="s">
        <v>389</v>
      </c>
      <c r="AA53" s="62" t="s">
        <v>395</v>
      </c>
      <c r="AB53" s="62" t="s">
        <v>275</v>
      </c>
      <c r="AC53" s="65" t="n">
        <v>26.6</v>
      </c>
      <c r="AD53" s="63" t="n">
        <v>1</v>
      </c>
      <c r="AE53" s="63" t="n">
        <v>22</v>
      </c>
      <c r="AF53" s="63" t="n">
        <v>1</v>
      </c>
      <c r="AG53" s="62" t="s">
        <v>390</v>
      </c>
      <c r="AH53" s="62"/>
      <c r="AI53" s="63" t="n">
        <v>0</v>
      </c>
      <c r="AJ53" s="62" t="s">
        <v>147</v>
      </c>
      <c r="AK53" s="62" t="s">
        <v>391</v>
      </c>
      <c r="AL53" s="62" t="s">
        <v>392</v>
      </c>
      <c r="AM53" s="62" t="s">
        <v>396</v>
      </c>
      <c r="AN53" s="65" t="n">
        <v>74.4</v>
      </c>
      <c r="AO53" s="62" t="s">
        <v>389</v>
      </c>
      <c r="AP53" s="62" t="s">
        <v>390</v>
      </c>
      <c r="AQ53" s="62" t="s">
        <v>390</v>
      </c>
      <c r="AR53" s="66"/>
      <c r="AS53" s="62"/>
      <c r="AT53" s="65"/>
      <c r="AU53" s="62" t="s">
        <v>397</v>
      </c>
    </row>
    <row r="54" customFormat="false" ht="15" hidden="false" customHeight="false" outlineLevel="0" collapsed="false">
      <c r="A54" s="62" t="s">
        <v>388</v>
      </c>
      <c r="B54" s="63" t="n">
        <v>430</v>
      </c>
      <c r="C54" s="64" t="n">
        <v>46301.6519780671</v>
      </c>
      <c r="D54" s="62" t="s">
        <v>72</v>
      </c>
      <c r="E54" s="63" t="n">
        <v>15</v>
      </c>
      <c r="F54" s="62" t="s">
        <v>389</v>
      </c>
      <c r="G54" s="62" t="s">
        <v>390</v>
      </c>
      <c r="H54" s="62" t="s">
        <v>390</v>
      </c>
      <c r="I54" s="62" t="s">
        <v>389</v>
      </c>
      <c r="J54" s="65"/>
      <c r="K54" s="62" t="s">
        <v>278</v>
      </c>
      <c r="L54" s="62" t="s">
        <v>389</v>
      </c>
      <c r="M54" s="62" t="s">
        <v>390</v>
      </c>
      <c r="N54" s="62"/>
      <c r="O54" s="62" t="s">
        <v>390</v>
      </c>
      <c r="P54" s="62" t="s">
        <v>389</v>
      </c>
      <c r="Q54" s="62" t="s">
        <v>390</v>
      </c>
      <c r="R54" s="62" t="s">
        <v>278</v>
      </c>
      <c r="S54" s="62" t="s">
        <v>389</v>
      </c>
      <c r="T54" s="65" t="n">
        <v>0.6</v>
      </c>
      <c r="U54" s="62" t="s">
        <v>278</v>
      </c>
      <c r="V54" s="65" t="n">
        <v>0.6</v>
      </c>
      <c r="W54" s="65" t="n">
        <v>2.6</v>
      </c>
      <c r="X54" s="63" t="n">
        <v>0</v>
      </c>
      <c r="Y54" s="62" t="s">
        <v>390</v>
      </c>
      <c r="Z54" s="62" t="s">
        <v>390</v>
      </c>
      <c r="AA54" s="62"/>
      <c r="AB54" s="62"/>
      <c r="AC54" s="65"/>
      <c r="AD54" s="63" t="n">
        <v>9</v>
      </c>
      <c r="AE54" s="63" t="n">
        <v>2</v>
      </c>
      <c r="AF54" s="63" t="n">
        <v>12</v>
      </c>
      <c r="AG54" s="62" t="s">
        <v>390</v>
      </c>
      <c r="AH54" s="62"/>
      <c r="AI54" s="63" t="n">
        <v>0</v>
      </c>
      <c r="AJ54" s="62" t="s">
        <v>151</v>
      </c>
      <c r="AK54" s="62" t="s">
        <v>391</v>
      </c>
      <c r="AL54" s="62" t="s">
        <v>392</v>
      </c>
      <c r="AM54" s="62" t="s">
        <v>409</v>
      </c>
      <c r="AN54" s="65" t="n">
        <v>214.4</v>
      </c>
      <c r="AO54" s="62" t="s">
        <v>389</v>
      </c>
      <c r="AP54" s="62" t="s">
        <v>390</v>
      </c>
      <c r="AQ54" s="62" t="s">
        <v>390</v>
      </c>
      <c r="AR54" s="66"/>
      <c r="AS54" s="62"/>
      <c r="AT54" s="65"/>
      <c r="AU54" s="62"/>
    </row>
    <row r="55" customFormat="false" ht="15" hidden="false" customHeight="false" outlineLevel="0" collapsed="false">
      <c r="A55" s="62" t="s">
        <v>388</v>
      </c>
      <c r="B55" s="63" t="n">
        <v>433</v>
      </c>
      <c r="C55" s="64" t="n">
        <v>46301.6636214931</v>
      </c>
      <c r="D55" s="62" t="s">
        <v>72</v>
      </c>
      <c r="E55" s="63" t="n">
        <v>15</v>
      </c>
      <c r="F55" s="62" t="s">
        <v>389</v>
      </c>
      <c r="G55" s="62" t="s">
        <v>389</v>
      </c>
      <c r="H55" s="62" t="s">
        <v>389</v>
      </c>
      <c r="I55" s="62" t="s">
        <v>389</v>
      </c>
      <c r="J55" s="65" t="n">
        <v>1</v>
      </c>
      <c r="K55" s="62" t="s">
        <v>278</v>
      </c>
      <c r="L55" s="62" t="s">
        <v>389</v>
      </c>
      <c r="M55" s="62" t="s">
        <v>389</v>
      </c>
      <c r="N55" s="62" t="s">
        <v>303</v>
      </c>
      <c r="O55" s="62" t="s">
        <v>389</v>
      </c>
      <c r="P55" s="62" t="s">
        <v>389</v>
      </c>
      <c r="Q55" s="62" t="s">
        <v>390</v>
      </c>
      <c r="R55" s="62" t="s">
        <v>277</v>
      </c>
      <c r="S55" s="62" t="s">
        <v>390</v>
      </c>
      <c r="T55" s="65" t="n">
        <v>6.4</v>
      </c>
      <c r="U55" s="62" t="s">
        <v>277</v>
      </c>
      <c r="V55" s="65" t="n">
        <v>1.4</v>
      </c>
      <c r="W55" s="65" t="n">
        <v>3.2</v>
      </c>
      <c r="X55" s="63" t="n">
        <v>1</v>
      </c>
      <c r="Y55" s="62" t="s">
        <v>389</v>
      </c>
      <c r="Z55" s="62" t="s">
        <v>389</v>
      </c>
      <c r="AA55" s="62" t="s">
        <v>395</v>
      </c>
      <c r="AB55" s="62" t="s">
        <v>275</v>
      </c>
      <c r="AC55" s="65" t="n">
        <v>45.1</v>
      </c>
      <c r="AD55" s="63" t="n">
        <v>4</v>
      </c>
      <c r="AE55" s="63" t="n">
        <v>20</v>
      </c>
      <c r="AF55" s="63" t="n">
        <v>6</v>
      </c>
      <c r="AG55" s="62" t="s">
        <v>389</v>
      </c>
      <c r="AH55" s="62" t="s">
        <v>405</v>
      </c>
      <c r="AI55" s="63" t="n">
        <v>0</v>
      </c>
      <c r="AJ55" s="62" t="s">
        <v>153</v>
      </c>
      <c r="AK55" s="62" t="s">
        <v>391</v>
      </c>
      <c r="AL55" s="62" t="s">
        <v>392</v>
      </c>
      <c r="AM55" s="62" t="s">
        <v>396</v>
      </c>
      <c r="AN55" s="65" t="n">
        <v>114</v>
      </c>
      <c r="AO55" s="62" t="s">
        <v>389</v>
      </c>
      <c r="AP55" s="62" t="s">
        <v>389</v>
      </c>
      <c r="AQ55" s="62" t="s">
        <v>390</v>
      </c>
      <c r="AR55" s="66"/>
      <c r="AS55" s="62"/>
      <c r="AT55" s="65"/>
      <c r="AU55" s="62" t="s">
        <v>400</v>
      </c>
    </row>
    <row r="56" customFormat="false" ht="15" hidden="false" customHeight="false" outlineLevel="0" collapsed="false">
      <c r="A56" s="62" t="s">
        <v>388</v>
      </c>
      <c r="B56" s="63" t="n">
        <v>435</v>
      </c>
      <c r="C56" s="64" t="n">
        <v>46301.674931956</v>
      </c>
      <c r="D56" s="62" t="s">
        <v>72</v>
      </c>
      <c r="E56" s="63" t="n">
        <v>16</v>
      </c>
      <c r="F56" s="62" t="s">
        <v>389</v>
      </c>
      <c r="G56" s="62" t="s">
        <v>389</v>
      </c>
      <c r="H56" s="62" t="s">
        <v>389</v>
      </c>
      <c r="I56" s="62" t="s">
        <v>389</v>
      </c>
      <c r="J56" s="65" t="n">
        <v>0.4</v>
      </c>
      <c r="K56" s="62" t="s">
        <v>279</v>
      </c>
      <c r="L56" s="62" t="s">
        <v>389</v>
      </c>
      <c r="M56" s="62" t="s">
        <v>389</v>
      </c>
      <c r="N56" s="62" t="s">
        <v>304</v>
      </c>
      <c r="O56" s="62" t="s">
        <v>389</v>
      </c>
      <c r="P56" s="62" t="s">
        <v>389</v>
      </c>
      <c r="Q56" s="62" t="s">
        <v>390</v>
      </c>
      <c r="R56" s="62" t="s">
        <v>279</v>
      </c>
      <c r="S56" s="62" t="s">
        <v>389</v>
      </c>
      <c r="T56" s="65" t="n">
        <v>3.9</v>
      </c>
      <c r="U56" s="62" t="s">
        <v>279</v>
      </c>
      <c r="V56" s="65" t="n">
        <v>0.7</v>
      </c>
      <c r="W56" s="65" t="n">
        <v>2.8</v>
      </c>
      <c r="X56" s="63" t="n">
        <v>0</v>
      </c>
      <c r="Y56" s="62" t="s">
        <v>389</v>
      </c>
      <c r="Z56" s="62" t="s">
        <v>389</v>
      </c>
      <c r="AA56" s="62" t="s">
        <v>395</v>
      </c>
      <c r="AB56" s="62" t="s">
        <v>275</v>
      </c>
      <c r="AC56" s="65" t="n">
        <v>44.8</v>
      </c>
      <c r="AD56" s="63" t="n">
        <v>5</v>
      </c>
      <c r="AE56" s="63" t="n">
        <v>24</v>
      </c>
      <c r="AF56" s="63" t="n">
        <v>6</v>
      </c>
      <c r="AG56" s="62" t="s">
        <v>390</v>
      </c>
      <c r="AH56" s="62"/>
      <c r="AI56" s="63" t="n">
        <v>0</v>
      </c>
      <c r="AJ56" s="62" t="s">
        <v>149</v>
      </c>
      <c r="AK56" s="62" t="s">
        <v>391</v>
      </c>
      <c r="AL56" s="62" t="s">
        <v>392</v>
      </c>
      <c r="AM56" s="62" t="s">
        <v>396</v>
      </c>
      <c r="AN56" s="65" t="n">
        <v>139.9</v>
      </c>
      <c r="AO56" s="62" t="s">
        <v>389</v>
      </c>
      <c r="AP56" s="62" t="s">
        <v>390</v>
      </c>
      <c r="AQ56" s="62" t="s">
        <v>390</v>
      </c>
      <c r="AR56" s="66"/>
      <c r="AS56" s="62"/>
      <c r="AT56" s="65"/>
      <c r="AU56" s="62" t="s">
        <v>400</v>
      </c>
    </row>
    <row r="57" customFormat="false" ht="15" hidden="false" customHeight="false" outlineLevel="0" collapsed="false">
      <c r="A57" s="62" t="s">
        <v>388</v>
      </c>
      <c r="B57" s="63" t="n">
        <v>438</v>
      </c>
      <c r="C57" s="64" t="n">
        <v>46301.6950302315</v>
      </c>
      <c r="D57" s="62" t="s">
        <v>72</v>
      </c>
      <c r="E57" s="63" t="n">
        <v>16</v>
      </c>
      <c r="F57" s="62" t="s">
        <v>389</v>
      </c>
      <c r="G57" s="62" t="s">
        <v>389</v>
      </c>
      <c r="H57" s="62" t="s">
        <v>389</v>
      </c>
      <c r="I57" s="62" t="s">
        <v>389</v>
      </c>
      <c r="J57" s="65" t="n">
        <v>0.4</v>
      </c>
      <c r="K57" s="62" t="s">
        <v>279</v>
      </c>
      <c r="L57" s="62" t="s">
        <v>389</v>
      </c>
      <c r="M57" s="62" t="s">
        <v>389</v>
      </c>
      <c r="N57" s="62" t="s">
        <v>303</v>
      </c>
      <c r="O57" s="62" t="s">
        <v>389</v>
      </c>
      <c r="P57" s="62" t="s">
        <v>389</v>
      </c>
      <c r="Q57" s="62" t="s">
        <v>390</v>
      </c>
      <c r="R57" s="62" t="s">
        <v>279</v>
      </c>
      <c r="S57" s="62" t="s">
        <v>389</v>
      </c>
      <c r="T57" s="65" t="n">
        <v>12.6</v>
      </c>
      <c r="U57" s="62" t="s">
        <v>279</v>
      </c>
      <c r="V57" s="65" t="n">
        <v>1.7</v>
      </c>
      <c r="W57" s="65" t="n">
        <v>7.5</v>
      </c>
      <c r="X57" s="63" t="n">
        <v>0</v>
      </c>
      <c r="Y57" s="62" t="s">
        <v>389</v>
      </c>
      <c r="Z57" s="62" t="s">
        <v>389</v>
      </c>
      <c r="AA57" s="62" t="s">
        <v>395</v>
      </c>
      <c r="AB57" s="62" t="s">
        <v>275</v>
      </c>
      <c r="AC57" s="65" t="n">
        <v>44.4</v>
      </c>
      <c r="AD57" s="63" t="n">
        <v>3</v>
      </c>
      <c r="AE57" s="63" t="n">
        <v>24</v>
      </c>
      <c r="AF57" s="63" t="n">
        <v>5</v>
      </c>
      <c r="AG57" s="62" t="s">
        <v>390</v>
      </c>
      <c r="AH57" s="62"/>
      <c r="AI57" s="63" t="n">
        <v>0</v>
      </c>
      <c r="AJ57" s="62" t="s">
        <v>149</v>
      </c>
      <c r="AK57" s="62" t="s">
        <v>391</v>
      </c>
      <c r="AL57" s="62" t="s">
        <v>392</v>
      </c>
      <c r="AM57" s="62" t="s">
        <v>396</v>
      </c>
      <c r="AN57" s="65" t="n">
        <v>139.5</v>
      </c>
      <c r="AO57" s="62" t="s">
        <v>389</v>
      </c>
      <c r="AP57" s="62" t="s">
        <v>390</v>
      </c>
      <c r="AQ57" s="62" t="s">
        <v>390</v>
      </c>
      <c r="AR57" s="66"/>
      <c r="AS57" s="62"/>
      <c r="AT57" s="65"/>
      <c r="AU57" s="62" t="s">
        <v>400</v>
      </c>
    </row>
    <row r="58" customFormat="false" ht="15" hidden="false" customHeight="false" outlineLevel="0" collapsed="false">
      <c r="A58" s="62" t="s">
        <v>388</v>
      </c>
      <c r="B58" s="63" t="n">
        <v>440</v>
      </c>
      <c r="C58" s="64" t="n">
        <v>46301.7003082523</v>
      </c>
      <c r="D58" s="62" t="s">
        <v>72</v>
      </c>
      <c r="E58" s="63" t="n">
        <v>16</v>
      </c>
      <c r="F58" s="62" t="s">
        <v>389</v>
      </c>
      <c r="G58" s="62" t="s">
        <v>389</v>
      </c>
      <c r="H58" s="62" t="s">
        <v>389</v>
      </c>
      <c r="I58" s="62" t="s">
        <v>389</v>
      </c>
      <c r="J58" s="65" t="n">
        <v>8.3</v>
      </c>
      <c r="K58" s="62" t="s">
        <v>279</v>
      </c>
      <c r="L58" s="62" t="s">
        <v>389</v>
      </c>
      <c r="M58" s="62" t="s">
        <v>390</v>
      </c>
      <c r="N58" s="62"/>
      <c r="O58" s="62" t="s">
        <v>389</v>
      </c>
      <c r="P58" s="62" t="s">
        <v>390</v>
      </c>
      <c r="Q58" s="62" t="s">
        <v>390</v>
      </c>
      <c r="R58" s="62" t="s">
        <v>277</v>
      </c>
      <c r="S58" s="62" t="s">
        <v>390</v>
      </c>
      <c r="T58" s="65" t="n">
        <v>4251.3</v>
      </c>
      <c r="U58" s="62" t="s">
        <v>277</v>
      </c>
      <c r="V58" s="65" t="n">
        <v>9.3</v>
      </c>
      <c r="W58" s="65" t="n">
        <v>4250.2</v>
      </c>
      <c r="X58" s="63" t="n">
        <v>0</v>
      </c>
      <c r="Y58" s="62" t="s">
        <v>390</v>
      </c>
      <c r="Z58" s="62" t="s">
        <v>389</v>
      </c>
      <c r="AA58" s="62" t="s">
        <v>395</v>
      </c>
      <c r="AB58" s="62" t="s">
        <v>275</v>
      </c>
      <c r="AC58" s="65" t="n">
        <v>44.2</v>
      </c>
      <c r="AD58" s="63" t="n">
        <v>2</v>
      </c>
      <c r="AE58" s="63" t="n">
        <v>18</v>
      </c>
      <c r="AF58" s="63" t="n">
        <v>2</v>
      </c>
      <c r="AG58" s="62" t="s">
        <v>389</v>
      </c>
      <c r="AH58" s="62" t="s">
        <v>330</v>
      </c>
      <c r="AI58" s="63" t="n">
        <v>0</v>
      </c>
      <c r="AJ58" s="62" t="s">
        <v>148</v>
      </c>
      <c r="AK58" s="62" t="s">
        <v>391</v>
      </c>
      <c r="AL58" s="62" t="s">
        <v>392</v>
      </c>
      <c r="AM58" s="62" t="s">
        <v>396</v>
      </c>
      <c r="AN58" s="65" t="n">
        <v>113.5</v>
      </c>
      <c r="AO58" s="62" t="s">
        <v>389</v>
      </c>
      <c r="AP58" s="62" t="s">
        <v>390</v>
      </c>
      <c r="AQ58" s="62" t="s">
        <v>390</v>
      </c>
      <c r="AR58" s="66"/>
      <c r="AS58" s="62"/>
      <c r="AT58" s="65"/>
      <c r="AU58" s="62" t="s">
        <v>400</v>
      </c>
    </row>
    <row r="59" customFormat="false" ht="15" hidden="false" customHeight="false" outlineLevel="0" collapsed="false">
      <c r="A59" s="62" t="s">
        <v>388</v>
      </c>
      <c r="B59" s="63" t="n">
        <v>442</v>
      </c>
      <c r="C59" s="64" t="n">
        <v>46301.7038007292</v>
      </c>
      <c r="D59" s="62" t="s">
        <v>72</v>
      </c>
      <c r="E59" s="63" t="n">
        <v>16</v>
      </c>
      <c r="F59" s="62" t="s">
        <v>389</v>
      </c>
      <c r="G59" s="62" t="s">
        <v>389</v>
      </c>
      <c r="H59" s="62" t="s">
        <v>389</v>
      </c>
      <c r="I59" s="62" t="s">
        <v>389</v>
      </c>
      <c r="J59" s="65" t="n">
        <v>0.9</v>
      </c>
      <c r="K59" s="62" t="s">
        <v>279</v>
      </c>
      <c r="L59" s="62" t="s">
        <v>389</v>
      </c>
      <c r="M59" s="62" t="s">
        <v>390</v>
      </c>
      <c r="N59" s="62"/>
      <c r="O59" s="62" t="s">
        <v>389</v>
      </c>
      <c r="P59" s="62" t="s">
        <v>390</v>
      </c>
      <c r="Q59" s="62" t="s">
        <v>390</v>
      </c>
      <c r="R59" s="62" t="s">
        <v>277</v>
      </c>
      <c r="S59" s="62" t="s">
        <v>390</v>
      </c>
      <c r="T59" s="65" t="n">
        <v>2977.5</v>
      </c>
      <c r="U59" s="62" t="s">
        <v>277</v>
      </c>
      <c r="V59" s="65" t="n">
        <v>1.3</v>
      </c>
      <c r="W59" s="65" t="n">
        <v>2977</v>
      </c>
      <c r="X59" s="63" t="n">
        <v>0</v>
      </c>
      <c r="Y59" s="62" t="s">
        <v>390</v>
      </c>
      <c r="Z59" s="62" t="s">
        <v>389</v>
      </c>
      <c r="AA59" s="62" t="s">
        <v>395</v>
      </c>
      <c r="AB59" s="62" t="s">
        <v>275</v>
      </c>
      <c r="AC59" s="65" t="n">
        <v>26.1</v>
      </c>
      <c r="AD59" s="63" t="n">
        <v>2</v>
      </c>
      <c r="AE59" s="63" t="n">
        <v>21</v>
      </c>
      <c r="AF59" s="63" t="n">
        <v>2</v>
      </c>
      <c r="AG59" s="62" t="s">
        <v>390</v>
      </c>
      <c r="AH59" s="62"/>
      <c r="AI59" s="63" t="n">
        <v>0</v>
      </c>
      <c r="AJ59" s="62" t="s">
        <v>148</v>
      </c>
      <c r="AK59" s="62" t="s">
        <v>391</v>
      </c>
      <c r="AL59" s="62" t="s">
        <v>392</v>
      </c>
      <c r="AM59" s="62" t="s">
        <v>396</v>
      </c>
      <c r="AN59" s="65" t="n">
        <v>113.4</v>
      </c>
      <c r="AO59" s="62" t="s">
        <v>389</v>
      </c>
      <c r="AP59" s="62" t="s">
        <v>390</v>
      </c>
      <c r="AQ59" s="62" t="s">
        <v>390</v>
      </c>
      <c r="AR59" s="66"/>
      <c r="AS59" s="62"/>
      <c r="AT59" s="65"/>
      <c r="AU59" s="62" t="s">
        <v>400</v>
      </c>
    </row>
    <row r="60" customFormat="false" ht="15" hidden="false" customHeight="false" outlineLevel="0" collapsed="false">
      <c r="A60" s="62" t="s">
        <v>388</v>
      </c>
      <c r="B60" s="63" t="n">
        <v>450</v>
      </c>
      <c r="C60" s="64" t="n">
        <v>46301.7357351389</v>
      </c>
      <c r="D60" s="62" t="s">
        <v>72</v>
      </c>
      <c r="E60" s="63" t="n">
        <v>17</v>
      </c>
      <c r="F60" s="62" t="s">
        <v>389</v>
      </c>
      <c r="G60" s="62" t="s">
        <v>389</v>
      </c>
      <c r="H60" s="62" t="s">
        <v>389</v>
      </c>
      <c r="I60" s="62" t="s">
        <v>389</v>
      </c>
      <c r="J60" s="65" t="n">
        <v>0.7</v>
      </c>
      <c r="K60" s="62" t="s">
        <v>279</v>
      </c>
      <c r="L60" s="62" t="s">
        <v>389</v>
      </c>
      <c r="M60" s="62" t="s">
        <v>389</v>
      </c>
      <c r="N60" s="62" t="s">
        <v>303</v>
      </c>
      <c r="O60" s="62" t="s">
        <v>389</v>
      </c>
      <c r="P60" s="62" t="s">
        <v>389</v>
      </c>
      <c r="Q60" s="62" t="s">
        <v>390</v>
      </c>
      <c r="R60" s="62" t="s">
        <v>278</v>
      </c>
      <c r="S60" s="62" t="s">
        <v>389</v>
      </c>
      <c r="T60" s="65" t="n">
        <v>11.7</v>
      </c>
      <c r="U60" s="62" t="s">
        <v>278</v>
      </c>
      <c r="V60" s="65" t="n">
        <v>0.9</v>
      </c>
      <c r="W60" s="65" t="n">
        <v>11.6</v>
      </c>
      <c r="X60" s="63" t="n">
        <v>0</v>
      </c>
      <c r="Y60" s="62" t="s">
        <v>389</v>
      </c>
      <c r="Z60" s="62" t="s">
        <v>389</v>
      </c>
      <c r="AA60" s="62" t="s">
        <v>395</v>
      </c>
      <c r="AB60" s="62" t="s">
        <v>275</v>
      </c>
      <c r="AC60" s="65" t="n">
        <v>43.4</v>
      </c>
      <c r="AD60" s="63" t="n">
        <v>6</v>
      </c>
      <c r="AE60" s="63" t="n">
        <v>26</v>
      </c>
      <c r="AF60" s="63" t="n">
        <v>9</v>
      </c>
      <c r="AG60" s="62" t="s">
        <v>390</v>
      </c>
      <c r="AH60" s="62"/>
      <c r="AI60" s="63" t="n">
        <v>0</v>
      </c>
      <c r="AJ60" s="62" t="s">
        <v>151</v>
      </c>
      <c r="AK60" s="62" t="s">
        <v>391</v>
      </c>
      <c r="AL60" s="62" t="s">
        <v>392</v>
      </c>
      <c r="AM60" s="62" t="s">
        <v>396</v>
      </c>
      <c r="AN60" s="65" t="n">
        <v>138.5</v>
      </c>
      <c r="AO60" s="62" t="s">
        <v>389</v>
      </c>
      <c r="AP60" s="62" t="s">
        <v>390</v>
      </c>
      <c r="AQ60" s="62" t="s">
        <v>390</v>
      </c>
      <c r="AR60" s="66"/>
      <c r="AS60" s="62"/>
      <c r="AT60" s="65"/>
      <c r="AU60" s="62" t="s">
        <v>400</v>
      </c>
    </row>
    <row r="61" customFormat="false" ht="15" hidden="false" customHeight="false" outlineLevel="0" collapsed="false">
      <c r="A61" s="62" t="s">
        <v>388</v>
      </c>
      <c r="B61" s="63" t="n">
        <v>454</v>
      </c>
      <c r="C61" s="64" t="n">
        <v>46301.7681025926</v>
      </c>
      <c r="D61" s="62" t="s">
        <v>72</v>
      </c>
      <c r="E61" s="63" t="n">
        <v>18</v>
      </c>
      <c r="F61" s="62" t="s">
        <v>389</v>
      </c>
      <c r="G61" s="62" t="s">
        <v>390</v>
      </c>
      <c r="H61" s="62" t="s">
        <v>390</v>
      </c>
      <c r="I61" s="62" t="s">
        <v>389</v>
      </c>
      <c r="J61" s="65"/>
      <c r="K61" s="62" t="s">
        <v>275</v>
      </c>
      <c r="L61" s="62" t="s">
        <v>389</v>
      </c>
      <c r="M61" s="62" t="s">
        <v>390</v>
      </c>
      <c r="N61" s="62"/>
      <c r="O61" s="62" t="s">
        <v>389</v>
      </c>
      <c r="P61" s="62" t="s">
        <v>390</v>
      </c>
      <c r="Q61" s="62" t="s">
        <v>390</v>
      </c>
      <c r="R61" s="62" t="s">
        <v>277</v>
      </c>
      <c r="S61" s="62" t="s">
        <v>390</v>
      </c>
      <c r="T61" s="65" t="n">
        <v>4154.9</v>
      </c>
      <c r="U61" s="62" t="s">
        <v>277</v>
      </c>
      <c r="V61" s="65" t="n">
        <v>4154.9</v>
      </c>
      <c r="W61" s="65"/>
      <c r="X61" s="63" t="n">
        <v>0</v>
      </c>
      <c r="Y61" s="62" t="s">
        <v>390</v>
      </c>
      <c r="Z61" s="62" t="s">
        <v>389</v>
      </c>
      <c r="AA61" s="62" t="s">
        <v>395</v>
      </c>
      <c r="AB61" s="62" t="s">
        <v>275</v>
      </c>
      <c r="AC61" s="65" t="n">
        <v>42.6</v>
      </c>
      <c r="AD61" s="63" t="n">
        <v>1</v>
      </c>
      <c r="AE61" s="63" t="n">
        <v>19</v>
      </c>
      <c r="AF61" s="63" t="n">
        <v>2</v>
      </c>
      <c r="AG61" s="62" t="s">
        <v>390</v>
      </c>
      <c r="AH61" s="62"/>
      <c r="AI61" s="63" t="n">
        <v>0</v>
      </c>
      <c r="AJ61" s="62" t="s">
        <v>147</v>
      </c>
      <c r="AK61" s="62" t="s">
        <v>391</v>
      </c>
      <c r="AL61" s="62" t="s">
        <v>392</v>
      </c>
      <c r="AM61" s="62" t="s">
        <v>396</v>
      </c>
      <c r="AN61" s="65" t="n">
        <v>111.9</v>
      </c>
      <c r="AO61" s="62" t="s">
        <v>389</v>
      </c>
      <c r="AP61" s="62" t="s">
        <v>390</v>
      </c>
      <c r="AQ61" s="62" t="s">
        <v>390</v>
      </c>
      <c r="AR61" s="66"/>
      <c r="AS61" s="62"/>
      <c r="AT61" s="65"/>
      <c r="AU61" s="62" t="s">
        <v>400</v>
      </c>
    </row>
    <row r="62" customFormat="false" ht="15" hidden="false" customHeight="false" outlineLevel="0" collapsed="false">
      <c r="A62" s="62" t="s">
        <v>388</v>
      </c>
      <c r="B62" s="63" t="n">
        <v>455</v>
      </c>
      <c r="C62" s="64" t="n">
        <v>46301.7710360995</v>
      </c>
      <c r="D62" s="62" t="s">
        <v>72</v>
      </c>
      <c r="E62" s="63" t="n">
        <v>18</v>
      </c>
      <c r="F62" s="62" t="s">
        <v>389</v>
      </c>
      <c r="G62" s="62" t="s">
        <v>389</v>
      </c>
      <c r="H62" s="62" t="s">
        <v>389</v>
      </c>
      <c r="I62" s="62" t="s">
        <v>389</v>
      </c>
      <c r="J62" s="65" t="n">
        <v>0.3</v>
      </c>
      <c r="K62" s="62" t="s">
        <v>279</v>
      </c>
      <c r="L62" s="62" t="s">
        <v>389</v>
      </c>
      <c r="M62" s="62" t="s">
        <v>389</v>
      </c>
      <c r="N62" s="62" t="s">
        <v>307</v>
      </c>
      <c r="O62" s="62" t="s">
        <v>389</v>
      </c>
      <c r="P62" s="62" t="s">
        <v>389</v>
      </c>
      <c r="Q62" s="62" t="s">
        <v>390</v>
      </c>
      <c r="R62" s="62" t="s">
        <v>278</v>
      </c>
      <c r="S62" s="62" t="s">
        <v>390</v>
      </c>
      <c r="T62" s="65" t="n">
        <v>14.5</v>
      </c>
      <c r="U62" s="62" t="s">
        <v>278</v>
      </c>
      <c r="V62" s="65" t="n">
        <v>0.6</v>
      </c>
      <c r="W62" s="65" t="n">
        <v>8</v>
      </c>
      <c r="X62" s="63" t="n">
        <v>0</v>
      </c>
      <c r="Y62" s="62" t="s">
        <v>389</v>
      </c>
      <c r="Z62" s="62" t="s">
        <v>389</v>
      </c>
      <c r="AA62" s="62" t="s">
        <v>395</v>
      </c>
      <c r="AB62" s="62" t="s">
        <v>275</v>
      </c>
      <c r="AC62" s="65" t="n">
        <v>42.5</v>
      </c>
      <c r="AD62" s="63" t="n">
        <v>3</v>
      </c>
      <c r="AE62" s="63" t="n">
        <v>20</v>
      </c>
      <c r="AF62" s="63" t="n">
        <v>5</v>
      </c>
      <c r="AG62" s="62" t="s">
        <v>390</v>
      </c>
      <c r="AH62" s="62"/>
      <c r="AI62" s="63" t="n">
        <v>0</v>
      </c>
      <c r="AJ62" s="62" t="s">
        <v>149</v>
      </c>
      <c r="AK62" s="62" t="s">
        <v>391</v>
      </c>
      <c r="AL62" s="62" t="s">
        <v>392</v>
      </c>
      <c r="AM62" s="62" t="s">
        <v>396</v>
      </c>
      <c r="AN62" s="65" t="n">
        <v>71.2</v>
      </c>
      <c r="AO62" s="62" t="s">
        <v>389</v>
      </c>
      <c r="AP62" s="62" t="s">
        <v>390</v>
      </c>
      <c r="AQ62" s="62" t="s">
        <v>390</v>
      </c>
      <c r="AR62" s="66"/>
      <c r="AS62" s="62"/>
      <c r="AT62" s="65"/>
      <c r="AU62" s="62" t="s">
        <v>400</v>
      </c>
    </row>
    <row r="63" customFormat="false" ht="15" hidden="false" customHeight="false" outlineLevel="0" collapsed="false">
      <c r="A63" s="62" t="s">
        <v>388</v>
      </c>
      <c r="B63" s="63" t="n">
        <v>459</v>
      </c>
      <c r="C63" s="64" t="n">
        <v>46301.796235081</v>
      </c>
      <c r="D63" s="62" t="s">
        <v>72</v>
      </c>
      <c r="E63" s="63" t="n">
        <v>19</v>
      </c>
      <c r="F63" s="62" t="s">
        <v>389</v>
      </c>
      <c r="G63" s="62" t="s">
        <v>389</v>
      </c>
      <c r="H63" s="62" t="s">
        <v>389</v>
      </c>
      <c r="I63" s="62" t="s">
        <v>389</v>
      </c>
      <c r="J63" s="65" t="n">
        <v>0.6</v>
      </c>
      <c r="K63" s="62" t="s">
        <v>278</v>
      </c>
      <c r="L63" s="62" t="s">
        <v>389</v>
      </c>
      <c r="M63" s="62" t="s">
        <v>389</v>
      </c>
      <c r="N63" s="62" t="s">
        <v>303</v>
      </c>
      <c r="O63" s="62" t="s">
        <v>389</v>
      </c>
      <c r="P63" s="62" t="s">
        <v>389</v>
      </c>
      <c r="Q63" s="62" t="s">
        <v>390</v>
      </c>
      <c r="R63" s="62" t="s">
        <v>278</v>
      </c>
      <c r="S63" s="62" t="s">
        <v>389</v>
      </c>
      <c r="T63" s="65" t="n">
        <v>4.8</v>
      </c>
      <c r="U63" s="62" t="s">
        <v>278</v>
      </c>
      <c r="V63" s="65" t="n">
        <v>0.8</v>
      </c>
      <c r="W63" s="65" t="n">
        <v>2.4</v>
      </c>
      <c r="X63" s="63" t="n">
        <v>0</v>
      </c>
      <c r="Y63" s="62" t="s">
        <v>389</v>
      </c>
      <c r="Z63" s="62" t="s">
        <v>389</v>
      </c>
      <c r="AA63" s="62" t="s">
        <v>395</v>
      </c>
      <c r="AB63" s="62" t="s">
        <v>275</v>
      </c>
      <c r="AC63" s="65" t="n">
        <v>41.9</v>
      </c>
      <c r="AD63" s="63" t="n">
        <v>6</v>
      </c>
      <c r="AE63" s="63" t="n">
        <v>23</v>
      </c>
      <c r="AF63" s="63" t="n">
        <v>9</v>
      </c>
      <c r="AG63" s="62" t="s">
        <v>389</v>
      </c>
      <c r="AH63" s="62" t="s">
        <v>410</v>
      </c>
      <c r="AI63" s="63" t="n">
        <v>0</v>
      </c>
      <c r="AJ63" s="62" t="s">
        <v>150</v>
      </c>
      <c r="AK63" s="62" t="s">
        <v>391</v>
      </c>
      <c r="AL63" s="62" t="s">
        <v>392</v>
      </c>
      <c r="AM63" s="62" t="s">
        <v>396</v>
      </c>
      <c r="AN63" s="65" t="n">
        <v>158.4</v>
      </c>
      <c r="AO63" s="62" t="s">
        <v>389</v>
      </c>
      <c r="AP63" s="62" t="s">
        <v>390</v>
      </c>
      <c r="AQ63" s="62" t="s">
        <v>390</v>
      </c>
      <c r="AR63" s="66"/>
      <c r="AS63" s="62"/>
      <c r="AT63" s="65"/>
      <c r="AU63" s="62" t="s">
        <v>400</v>
      </c>
    </row>
    <row r="64" customFormat="false" ht="15" hidden="false" customHeight="false" outlineLevel="0" collapsed="false">
      <c r="A64" s="62" t="s">
        <v>388</v>
      </c>
      <c r="B64" s="63" t="n">
        <v>461</v>
      </c>
      <c r="C64" s="64" t="n">
        <v>46301.813684838</v>
      </c>
      <c r="D64" s="62" t="s">
        <v>72</v>
      </c>
      <c r="E64" s="63" t="n">
        <v>19</v>
      </c>
      <c r="F64" s="62" t="s">
        <v>389</v>
      </c>
      <c r="G64" s="62" t="s">
        <v>389</v>
      </c>
      <c r="H64" s="62" t="s">
        <v>389</v>
      </c>
      <c r="I64" s="62" t="s">
        <v>389</v>
      </c>
      <c r="J64" s="65" t="n">
        <v>0.7</v>
      </c>
      <c r="K64" s="62" t="s">
        <v>278</v>
      </c>
      <c r="L64" s="62" t="s">
        <v>389</v>
      </c>
      <c r="M64" s="62" t="s">
        <v>389</v>
      </c>
      <c r="N64" s="62" t="s">
        <v>308</v>
      </c>
      <c r="O64" s="62" t="s">
        <v>389</v>
      </c>
      <c r="P64" s="62" t="s">
        <v>389</v>
      </c>
      <c r="Q64" s="62" t="s">
        <v>390</v>
      </c>
      <c r="R64" s="62" t="s">
        <v>278</v>
      </c>
      <c r="S64" s="62" t="s">
        <v>390</v>
      </c>
      <c r="T64" s="65" t="n">
        <v>5.6</v>
      </c>
      <c r="U64" s="62" t="s">
        <v>278</v>
      </c>
      <c r="V64" s="65" t="n">
        <v>1.2</v>
      </c>
      <c r="W64" s="65" t="n">
        <v>2.1</v>
      </c>
      <c r="X64" s="63" t="n">
        <v>0</v>
      </c>
      <c r="Y64" s="62" t="s">
        <v>389</v>
      </c>
      <c r="Z64" s="62" t="s">
        <v>389</v>
      </c>
      <c r="AA64" s="62" t="s">
        <v>395</v>
      </c>
      <c r="AB64" s="62" t="s">
        <v>275</v>
      </c>
      <c r="AC64" s="65" t="n">
        <v>41.5</v>
      </c>
      <c r="AD64" s="63" t="n">
        <v>6</v>
      </c>
      <c r="AE64" s="63" t="n">
        <v>23</v>
      </c>
      <c r="AF64" s="63" t="n">
        <v>8</v>
      </c>
      <c r="AG64" s="62" t="s">
        <v>389</v>
      </c>
      <c r="AH64" s="62" t="s">
        <v>398</v>
      </c>
      <c r="AI64" s="63" t="n">
        <v>0</v>
      </c>
      <c r="AJ64" s="62" t="s">
        <v>151</v>
      </c>
      <c r="AK64" s="62" t="s">
        <v>391</v>
      </c>
      <c r="AL64" s="62" t="s">
        <v>392</v>
      </c>
      <c r="AM64" s="62" t="s">
        <v>396</v>
      </c>
      <c r="AN64" s="65" t="n">
        <v>93.6</v>
      </c>
      <c r="AO64" s="62" t="s">
        <v>389</v>
      </c>
      <c r="AP64" s="62" t="s">
        <v>390</v>
      </c>
      <c r="AQ64" s="62" t="s">
        <v>390</v>
      </c>
      <c r="AR64" s="66"/>
      <c r="AS64" s="62"/>
      <c r="AT64" s="65"/>
      <c r="AU64" s="62" t="s">
        <v>400</v>
      </c>
    </row>
    <row r="65" customFormat="false" ht="15" hidden="false" customHeight="false" outlineLevel="0" collapsed="false">
      <c r="A65" s="62" t="s">
        <v>388</v>
      </c>
      <c r="B65" s="63" t="n">
        <v>467</v>
      </c>
      <c r="C65" s="64" t="n">
        <v>46301.8390012153</v>
      </c>
      <c r="D65" s="62" t="s">
        <v>72</v>
      </c>
      <c r="E65" s="63" t="n">
        <v>20</v>
      </c>
      <c r="F65" s="62" t="s">
        <v>389</v>
      </c>
      <c r="G65" s="62" t="s">
        <v>390</v>
      </c>
      <c r="H65" s="62" t="s">
        <v>390</v>
      </c>
      <c r="I65" s="62" t="s">
        <v>389</v>
      </c>
      <c r="J65" s="65"/>
      <c r="K65" s="62" t="s">
        <v>275</v>
      </c>
      <c r="L65" s="62" t="s">
        <v>389</v>
      </c>
      <c r="M65" s="62" t="s">
        <v>390</v>
      </c>
      <c r="N65" s="62"/>
      <c r="O65" s="62" t="s">
        <v>389</v>
      </c>
      <c r="P65" s="62" t="s">
        <v>390</v>
      </c>
      <c r="Q65" s="62" t="s">
        <v>390</v>
      </c>
      <c r="R65" s="62" t="s">
        <v>277</v>
      </c>
      <c r="S65" s="62" t="s">
        <v>389</v>
      </c>
      <c r="T65" s="65" t="n">
        <v>2224.9</v>
      </c>
      <c r="U65" s="62" t="s">
        <v>276</v>
      </c>
      <c r="V65" s="65" t="n">
        <v>2224.9</v>
      </c>
      <c r="W65" s="65" t="n">
        <v>0.8</v>
      </c>
      <c r="X65" s="63" t="n">
        <v>0</v>
      </c>
      <c r="Y65" s="62" t="s">
        <v>389</v>
      </c>
      <c r="Z65" s="62" t="s">
        <v>389</v>
      </c>
      <c r="AA65" s="62" t="s">
        <v>395</v>
      </c>
      <c r="AB65" s="62" t="s">
        <v>275</v>
      </c>
      <c r="AC65" s="65" t="n">
        <v>40.9</v>
      </c>
      <c r="AD65" s="63" t="n">
        <v>6</v>
      </c>
      <c r="AE65" s="63" t="n">
        <v>19</v>
      </c>
      <c r="AF65" s="63" t="n">
        <v>9</v>
      </c>
      <c r="AG65" s="62" t="s">
        <v>390</v>
      </c>
      <c r="AH65" s="62"/>
      <c r="AI65" s="63" t="n">
        <v>0</v>
      </c>
      <c r="AJ65" s="62" t="s">
        <v>150</v>
      </c>
      <c r="AK65" s="62" t="s">
        <v>391</v>
      </c>
      <c r="AL65" s="62" t="s">
        <v>392</v>
      </c>
      <c r="AM65" s="62" t="s">
        <v>396</v>
      </c>
      <c r="AN65" s="65" t="n">
        <v>110.2</v>
      </c>
      <c r="AO65" s="62" t="s">
        <v>389</v>
      </c>
      <c r="AP65" s="62" t="s">
        <v>390</v>
      </c>
      <c r="AQ65" s="62" t="s">
        <v>390</v>
      </c>
      <c r="AR65" s="66"/>
      <c r="AS65" s="62"/>
      <c r="AT65" s="65"/>
      <c r="AU65" s="62" t="s">
        <v>400</v>
      </c>
    </row>
    <row r="66" customFormat="false" ht="15" hidden="false" customHeight="false" outlineLevel="0" collapsed="false">
      <c r="A66" s="62" t="s">
        <v>388</v>
      </c>
      <c r="B66" s="63" t="n">
        <v>474</v>
      </c>
      <c r="C66" s="64" t="n">
        <v>46301.8533363194</v>
      </c>
      <c r="D66" s="62" t="s">
        <v>72</v>
      </c>
      <c r="E66" s="63" t="n">
        <v>20</v>
      </c>
      <c r="F66" s="62" t="s">
        <v>389</v>
      </c>
      <c r="G66" s="62" t="s">
        <v>389</v>
      </c>
      <c r="H66" s="62" t="s">
        <v>389</v>
      </c>
      <c r="I66" s="62" t="s">
        <v>389</v>
      </c>
      <c r="J66" s="65" t="n">
        <v>1.6</v>
      </c>
      <c r="K66" s="62" t="s">
        <v>279</v>
      </c>
      <c r="L66" s="62" t="s">
        <v>389</v>
      </c>
      <c r="M66" s="62" t="s">
        <v>390</v>
      </c>
      <c r="N66" s="62"/>
      <c r="O66" s="62" t="s">
        <v>389</v>
      </c>
      <c r="P66" s="62" t="s">
        <v>390</v>
      </c>
      <c r="Q66" s="62" t="s">
        <v>390</v>
      </c>
      <c r="R66" s="62" t="s">
        <v>277</v>
      </c>
      <c r="S66" s="62" t="s">
        <v>390</v>
      </c>
      <c r="T66" s="65" t="n">
        <v>4031.1</v>
      </c>
      <c r="U66" s="62" t="s">
        <v>277</v>
      </c>
      <c r="V66" s="65" t="n">
        <v>2.1</v>
      </c>
      <c r="W66" s="65" t="n">
        <v>4030.7</v>
      </c>
      <c r="X66" s="63" t="n">
        <v>0</v>
      </c>
      <c r="Y66" s="62" t="s">
        <v>390</v>
      </c>
      <c r="Z66" s="62" t="s">
        <v>389</v>
      </c>
      <c r="AA66" s="62" t="s">
        <v>395</v>
      </c>
      <c r="AB66" s="62" t="s">
        <v>275</v>
      </c>
      <c r="AC66" s="65" t="n">
        <v>40.6</v>
      </c>
      <c r="AD66" s="63" t="n">
        <v>2</v>
      </c>
      <c r="AE66" s="63" t="n">
        <v>18</v>
      </c>
      <c r="AF66" s="63" t="n">
        <v>2</v>
      </c>
      <c r="AG66" s="62" t="s">
        <v>390</v>
      </c>
      <c r="AH66" s="62"/>
      <c r="AI66" s="63" t="n">
        <v>0</v>
      </c>
      <c r="AJ66" s="62" t="s">
        <v>148</v>
      </c>
      <c r="AK66" s="62" t="s">
        <v>391</v>
      </c>
      <c r="AL66" s="62" t="s">
        <v>392</v>
      </c>
      <c r="AM66" s="62" t="s">
        <v>396</v>
      </c>
      <c r="AN66" s="65" t="n">
        <v>109.8</v>
      </c>
      <c r="AO66" s="62" t="s">
        <v>389</v>
      </c>
      <c r="AP66" s="62" t="s">
        <v>390</v>
      </c>
      <c r="AQ66" s="62" t="s">
        <v>390</v>
      </c>
      <c r="AR66" s="66"/>
      <c r="AS66" s="62"/>
      <c r="AT66" s="65"/>
      <c r="AU66" s="62" t="s">
        <v>400</v>
      </c>
    </row>
    <row r="67" customFormat="false" ht="15" hidden="false" customHeight="false" outlineLevel="0" collapsed="false">
      <c r="A67" s="62" t="s">
        <v>388</v>
      </c>
      <c r="B67" s="63" t="n">
        <v>477</v>
      </c>
      <c r="C67" s="64" t="n">
        <v>46301.859558669</v>
      </c>
      <c r="D67" s="62" t="s">
        <v>72</v>
      </c>
      <c r="E67" s="63" t="n">
        <v>20</v>
      </c>
      <c r="F67" s="62" t="s">
        <v>389</v>
      </c>
      <c r="G67" s="62" t="s">
        <v>390</v>
      </c>
      <c r="H67" s="62" t="s">
        <v>390</v>
      </c>
      <c r="I67" s="62" t="s">
        <v>389</v>
      </c>
      <c r="J67" s="65"/>
      <c r="K67" s="62" t="s">
        <v>276</v>
      </c>
      <c r="L67" s="62" t="s">
        <v>389</v>
      </c>
      <c r="M67" s="62" t="s">
        <v>390</v>
      </c>
      <c r="N67" s="62"/>
      <c r="O67" s="62" t="s">
        <v>390</v>
      </c>
      <c r="P67" s="62" t="s">
        <v>389</v>
      </c>
      <c r="Q67" s="62" t="s">
        <v>389</v>
      </c>
      <c r="R67" s="62" t="s">
        <v>279</v>
      </c>
      <c r="S67" s="62" t="s">
        <v>389</v>
      </c>
      <c r="T67" s="65" t="n">
        <v>16.6</v>
      </c>
      <c r="U67" s="62" t="s">
        <v>279</v>
      </c>
      <c r="V67" s="65" t="n">
        <v>16.6</v>
      </c>
      <c r="W67" s="65" t="n">
        <v>9</v>
      </c>
      <c r="X67" s="63" t="n">
        <v>0</v>
      </c>
      <c r="Y67" s="62" t="s">
        <v>390</v>
      </c>
      <c r="Z67" s="62" t="s">
        <v>389</v>
      </c>
      <c r="AA67" s="62" t="s">
        <v>267</v>
      </c>
      <c r="AB67" s="62" t="s">
        <v>276</v>
      </c>
      <c r="AC67" s="65" t="n">
        <v>15.7</v>
      </c>
      <c r="AD67" s="63" t="n">
        <v>9</v>
      </c>
      <c r="AE67" s="63" t="n">
        <v>2</v>
      </c>
      <c r="AF67" s="63" t="n">
        <v>10</v>
      </c>
      <c r="AG67" s="62" t="s">
        <v>390</v>
      </c>
      <c r="AH67" s="62"/>
      <c r="AI67" s="63" t="n">
        <v>0</v>
      </c>
      <c r="AJ67" s="62" t="s">
        <v>154</v>
      </c>
      <c r="AK67" s="62" t="s">
        <v>407</v>
      </c>
      <c r="AL67" s="62"/>
      <c r="AM67" s="62"/>
      <c r="AN67" s="65"/>
      <c r="AO67" s="62" t="s">
        <v>390</v>
      </c>
      <c r="AP67" s="62"/>
      <c r="AQ67" s="62" t="s">
        <v>389</v>
      </c>
      <c r="AR67" s="66" t="n">
        <v>2799</v>
      </c>
      <c r="AS67" s="62" t="s">
        <v>411</v>
      </c>
      <c r="AT67" s="65" t="n">
        <v>15.7</v>
      </c>
      <c r="AU67" s="62"/>
    </row>
    <row r="68" customFormat="false" ht="15" hidden="false" customHeight="false" outlineLevel="0" collapsed="false">
      <c r="A68" s="62" t="s">
        <v>388</v>
      </c>
      <c r="B68" s="63" t="n">
        <v>478</v>
      </c>
      <c r="C68" s="64" t="n">
        <v>46301.8680648611</v>
      </c>
      <c r="D68" s="62" t="s">
        <v>72</v>
      </c>
      <c r="E68" s="63" t="n">
        <v>20</v>
      </c>
      <c r="F68" s="62" t="s">
        <v>389</v>
      </c>
      <c r="G68" s="62" t="s">
        <v>389</v>
      </c>
      <c r="H68" s="62" t="s">
        <v>389</v>
      </c>
      <c r="I68" s="62" t="s">
        <v>389</v>
      </c>
      <c r="J68" s="65" t="n">
        <v>0.2</v>
      </c>
      <c r="K68" s="62" t="s">
        <v>279</v>
      </c>
      <c r="L68" s="62" t="s">
        <v>389</v>
      </c>
      <c r="M68" s="62" t="s">
        <v>389</v>
      </c>
      <c r="N68" s="62" t="s">
        <v>303</v>
      </c>
      <c r="O68" s="62" t="s">
        <v>389</v>
      </c>
      <c r="P68" s="62" t="s">
        <v>389</v>
      </c>
      <c r="Q68" s="62" t="s">
        <v>390</v>
      </c>
      <c r="R68" s="62" t="s">
        <v>278</v>
      </c>
      <c r="S68" s="62" t="s">
        <v>389</v>
      </c>
      <c r="T68" s="65" t="n">
        <v>20.2</v>
      </c>
      <c r="U68" s="62" t="s">
        <v>278</v>
      </c>
      <c r="V68" s="65" t="n">
        <v>0.5</v>
      </c>
      <c r="W68" s="65" t="n">
        <v>10.2</v>
      </c>
      <c r="X68" s="63" t="n">
        <v>0</v>
      </c>
      <c r="Y68" s="62" t="s">
        <v>389</v>
      </c>
      <c r="Z68" s="62" t="s">
        <v>389</v>
      </c>
      <c r="AA68" s="62" t="s">
        <v>395</v>
      </c>
      <c r="AB68" s="62" t="s">
        <v>275</v>
      </c>
      <c r="AC68" s="65" t="n">
        <v>40.2</v>
      </c>
      <c r="AD68" s="63" t="n">
        <v>3</v>
      </c>
      <c r="AE68" s="63" t="n">
        <v>24</v>
      </c>
      <c r="AF68" s="63" t="n">
        <v>3</v>
      </c>
      <c r="AG68" s="62" t="s">
        <v>389</v>
      </c>
      <c r="AH68" s="62" t="s">
        <v>412</v>
      </c>
      <c r="AI68" s="63" t="n">
        <v>0</v>
      </c>
      <c r="AJ68" s="62" t="s">
        <v>149</v>
      </c>
      <c r="AK68" s="62" t="s">
        <v>391</v>
      </c>
      <c r="AL68" s="62" t="s">
        <v>392</v>
      </c>
      <c r="AM68" s="62" t="s">
        <v>396</v>
      </c>
      <c r="AN68" s="65" t="n">
        <v>135.2</v>
      </c>
      <c r="AO68" s="62" t="s">
        <v>389</v>
      </c>
      <c r="AP68" s="62" t="s">
        <v>390</v>
      </c>
      <c r="AQ68" s="62" t="s">
        <v>390</v>
      </c>
      <c r="AR68" s="66"/>
      <c r="AS68" s="62"/>
      <c r="AT68" s="65"/>
      <c r="AU68" s="62" t="s">
        <v>400</v>
      </c>
    </row>
    <row r="69" customFormat="false" ht="15" hidden="false" customHeight="false" outlineLevel="0" collapsed="false">
      <c r="A69" s="62" t="s">
        <v>388</v>
      </c>
      <c r="B69" s="63" t="n">
        <v>484</v>
      </c>
      <c r="C69" s="64" t="n">
        <v>46301.9027446528</v>
      </c>
      <c r="D69" s="62" t="s">
        <v>72</v>
      </c>
      <c r="E69" s="63" t="n">
        <v>21</v>
      </c>
      <c r="F69" s="62" t="s">
        <v>390</v>
      </c>
      <c r="G69" s="62" t="s">
        <v>389</v>
      </c>
      <c r="H69" s="62" t="s">
        <v>389</v>
      </c>
      <c r="I69" s="62" t="s">
        <v>389</v>
      </c>
      <c r="J69" s="65" t="n">
        <v>0.6</v>
      </c>
      <c r="K69" s="62" t="s">
        <v>278</v>
      </c>
      <c r="L69" s="62" t="s">
        <v>389</v>
      </c>
      <c r="M69" s="62" t="s">
        <v>389</v>
      </c>
      <c r="N69" s="62" t="s">
        <v>307</v>
      </c>
      <c r="O69" s="62" t="s">
        <v>389</v>
      </c>
      <c r="P69" s="62" t="s">
        <v>389</v>
      </c>
      <c r="Q69" s="62" t="s">
        <v>390</v>
      </c>
      <c r="R69" s="62" t="s">
        <v>278</v>
      </c>
      <c r="S69" s="62" t="s">
        <v>390</v>
      </c>
      <c r="T69" s="65" t="n">
        <v>4.5</v>
      </c>
      <c r="U69" s="62" t="s">
        <v>278</v>
      </c>
      <c r="V69" s="65" t="n">
        <v>1</v>
      </c>
      <c r="W69" s="65" t="n">
        <v>2.5</v>
      </c>
      <c r="X69" s="63" t="n">
        <v>0</v>
      </c>
      <c r="Y69" s="62" t="s">
        <v>389</v>
      </c>
      <c r="Z69" s="62" t="s">
        <v>389</v>
      </c>
      <c r="AA69" s="62" t="s">
        <v>395</v>
      </c>
      <c r="AB69" s="62" t="s">
        <v>275</v>
      </c>
      <c r="AC69" s="65" t="n">
        <v>39.4</v>
      </c>
      <c r="AD69" s="63" t="n">
        <v>5</v>
      </c>
      <c r="AE69" s="63" t="n">
        <v>23</v>
      </c>
      <c r="AF69" s="63" t="n">
        <v>7</v>
      </c>
      <c r="AG69" s="62" t="s">
        <v>390</v>
      </c>
      <c r="AH69" s="62"/>
      <c r="AI69" s="63" t="n">
        <v>0</v>
      </c>
      <c r="AJ69" s="62" t="s">
        <v>151</v>
      </c>
      <c r="AK69" s="62" t="s">
        <v>391</v>
      </c>
      <c r="AL69" s="62" t="s">
        <v>392</v>
      </c>
      <c r="AM69" s="62" t="s">
        <v>396</v>
      </c>
      <c r="AN69" s="65" t="n">
        <v>91.5</v>
      </c>
      <c r="AO69" s="62" t="s">
        <v>389</v>
      </c>
      <c r="AP69" s="62" t="s">
        <v>390</v>
      </c>
      <c r="AQ69" s="62" t="s">
        <v>390</v>
      </c>
      <c r="AR69" s="66"/>
      <c r="AS69" s="62"/>
      <c r="AT69" s="65"/>
      <c r="AU69" s="62" t="s">
        <v>400</v>
      </c>
    </row>
    <row r="70" customFormat="false" ht="15" hidden="false" customHeight="false" outlineLevel="0" collapsed="false">
      <c r="A70" s="62" t="s">
        <v>388</v>
      </c>
      <c r="B70" s="63" t="n">
        <v>487</v>
      </c>
      <c r="C70" s="64" t="n">
        <v>46301.9095050695</v>
      </c>
      <c r="D70" s="62" t="s">
        <v>72</v>
      </c>
      <c r="E70" s="63" t="n">
        <v>21</v>
      </c>
      <c r="F70" s="62" t="s">
        <v>390</v>
      </c>
      <c r="G70" s="62" t="s">
        <v>389</v>
      </c>
      <c r="H70" s="62" t="s">
        <v>389</v>
      </c>
      <c r="I70" s="62" t="s">
        <v>389</v>
      </c>
      <c r="J70" s="65" t="n">
        <v>1</v>
      </c>
      <c r="K70" s="62" t="s">
        <v>279</v>
      </c>
      <c r="L70" s="62" t="s">
        <v>389</v>
      </c>
      <c r="M70" s="62" t="s">
        <v>389</v>
      </c>
      <c r="N70" s="62" t="s">
        <v>308</v>
      </c>
      <c r="O70" s="62" t="s">
        <v>389</v>
      </c>
      <c r="P70" s="62" t="s">
        <v>389</v>
      </c>
      <c r="Q70" s="62" t="s">
        <v>390</v>
      </c>
      <c r="R70" s="62" t="s">
        <v>279</v>
      </c>
      <c r="S70" s="62" t="s">
        <v>389</v>
      </c>
      <c r="T70" s="65" t="n">
        <v>38.9</v>
      </c>
      <c r="U70" s="62" t="s">
        <v>279</v>
      </c>
      <c r="V70" s="65" t="n">
        <v>1.4</v>
      </c>
      <c r="W70" s="65" t="n">
        <v>34.6</v>
      </c>
      <c r="X70" s="63" t="n">
        <v>0</v>
      </c>
      <c r="Y70" s="62" t="s">
        <v>389</v>
      </c>
      <c r="Z70" s="62" t="s">
        <v>389</v>
      </c>
      <c r="AA70" s="62" t="s">
        <v>395</v>
      </c>
      <c r="AB70" s="62" t="s">
        <v>275</v>
      </c>
      <c r="AC70" s="65" t="n">
        <v>39.2</v>
      </c>
      <c r="AD70" s="63" t="n">
        <v>4</v>
      </c>
      <c r="AE70" s="63" t="n">
        <v>24</v>
      </c>
      <c r="AF70" s="63" t="n">
        <v>6</v>
      </c>
      <c r="AG70" s="62" t="s">
        <v>390</v>
      </c>
      <c r="AH70" s="62"/>
      <c r="AI70" s="63" t="n">
        <v>0</v>
      </c>
      <c r="AJ70" s="62" t="s">
        <v>149</v>
      </c>
      <c r="AK70" s="62" t="s">
        <v>391</v>
      </c>
      <c r="AL70" s="62" t="s">
        <v>392</v>
      </c>
      <c r="AM70" s="62" t="s">
        <v>396</v>
      </c>
      <c r="AN70" s="65" t="n">
        <v>134.3</v>
      </c>
      <c r="AO70" s="62" t="s">
        <v>389</v>
      </c>
      <c r="AP70" s="62" t="s">
        <v>390</v>
      </c>
      <c r="AQ70" s="62" t="s">
        <v>390</v>
      </c>
      <c r="AR70" s="66"/>
      <c r="AS70" s="62"/>
      <c r="AT70" s="65"/>
      <c r="AU70" s="62" t="s">
        <v>400</v>
      </c>
    </row>
    <row r="71" customFormat="false" ht="15" hidden="false" customHeight="false" outlineLevel="0" collapsed="false">
      <c r="A71" s="62" t="s">
        <v>388</v>
      </c>
      <c r="B71" s="63" t="n">
        <v>489</v>
      </c>
      <c r="C71" s="64" t="n">
        <v>46301.9183621759</v>
      </c>
      <c r="D71" s="62" t="s">
        <v>72</v>
      </c>
      <c r="E71" s="63" t="n">
        <v>22</v>
      </c>
      <c r="F71" s="62" t="s">
        <v>390</v>
      </c>
      <c r="G71" s="62" t="s">
        <v>389</v>
      </c>
      <c r="H71" s="62" t="s">
        <v>389</v>
      </c>
      <c r="I71" s="62" t="s">
        <v>389</v>
      </c>
      <c r="J71" s="65" t="n">
        <v>0.5</v>
      </c>
      <c r="K71" s="62" t="s">
        <v>278</v>
      </c>
      <c r="L71" s="62" t="s">
        <v>389</v>
      </c>
      <c r="M71" s="62" t="s">
        <v>390</v>
      </c>
      <c r="N71" s="62"/>
      <c r="O71" s="62" t="s">
        <v>389</v>
      </c>
      <c r="P71" s="62" t="s">
        <v>390</v>
      </c>
      <c r="Q71" s="62" t="s">
        <v>390</v>
      </c>
      <c r="R71" s="62" t="s">
        <v>278</v>
      </c>
      <c r="S71" s="62" t="s">
        <v>390</v>
      </c>
      <c r="T71" s="65" t="n">
        <v>3925</v>
      </c>
      <c r="U71" s="62" t="s">
        <v>277</v>
      </c>
      <c r="V71" s="65" t="n">
        <v>1.7</v>
      </c>
      <c r="W71" s="65" t="n">
        <v>3923.8</v>
      </c>
      <c r="X71" s="63" t="n">
        <v>0</v>
      </c>
      <c r="Y71" s="62" t="s">
        <v>390</v>
      </c>
      <c r="Z71" s="62" t="s">
        <v>389</v>
      </c>
      <c r="AA71" s="62" t="s">
        <v>395</v>
      </c>
      <c r="AB71" s="62" t="s">
        <v>275</v>
      </c>
      <c r="AC71" s="65" t="n">
        <v>39</v>
      </c>
      <c r="AD71" s="63" t="n">
        <v>3</v>
      </c>
      <c r="AE71" s="63" t="n">
        <v>18</v>
      </c>
      <c r="AF71" s="63" t="n">
        <v>2</v>
      </c>
      <c r="AG71" s="62" t="s">
        <v>390</v>
      </c>
      <c r="AH71" s="62"/>
      <c r="AI71" s="63" t="n">
        <v>0</v>
      </c>
      <c r="AJ71" s="62" t="s">
        <v>148</v>
      </c>
      <c r="AK71" s="62" t="s">
        <v>391</v>
      </c>
      <c r="AL71" s="62" t="s">
        <v>392</v>
      </c>
      <c r="AM71" s="62" t="s">
        <v>396</v>
      </c>
      <c r="AN71" s="65" t="n">
        <v>108.1</v>
      </c>
      <c r="AO71" s="62" t="s">
        <v>389</v>
      </c>
      <c r="AP71" s="62" t="s">
        <v>390</v>
      </c>
      <c r="AQ71" s="62" t="s">
        <v>390</v>
      </c>
      <c r="AR71" s="66"/>
      <c r="AS71" s="62"/>
      <c r="AT71" s="65"/>
      <c r="AU71" s="62" t="s">
        <v>400</v>
      </c>
    </row>
    <row r="72" customFormat="false" ht="15" hidden="false" customHeight="false" outlineLevel="0" collapsed="false">
      <c r="A72" s="62" t="s">
        <v>388</v>
      </c>
      <c r="B72" s="63" t="n">
        <v>492</v>
      </c>
      <c r="C72" s="64" t="n">
        <v>46301.9348014815</v>
      </c>
      <c r="D72" s="62" t="s">
        <v>72</v>
      </c>
      <c r="E72" s="63" t="n">
        <v>22</v>
      </c>
      <c r="F72" s="62" t="s">
        <v>390</v>
      </c>
      <c r="G72" s="62" t="s">
        <v>389</v>
      </c>
      <c r="H72" s="62" t="s">
        <v>389</v>
      </c>
      <c r="I72" s="62" t="s">
        <v>389</v>
      </c>
      <c r="J72" s="65" t="n">
        <v>0.2</v>
      </c>
      <c r="K72" s="62" t="s">
        <v>279</v>
      </c>
      <c r="L72" s="62" t="s">
        <v>389</v>
      </c>
      <c r="M72" s="62" t="s">
        <v>390</v>
      </c>
      <c r="N72" s="62"/>
      <c r="O72" s="62" t="s">
        <v>389</v>
      </c>
      <c r="P72" s="62" t="s">
        <v>390</v>
      </c>
      <c r="Q72" s="62" t="s">
        <v>390</v>
      </c>
      <c r="R72" s="62" t="s">
        <v>277</v>
      </c>
      <c r="S72" s="62" t="s">
        <v>390</v>
      </c>
      <c r="T72" s="65" t="n">
        <v>3901.9</v>
      </c>
      <c r="U72" s="62" t="s">
        <v>277</v>
      </c>
      <c r="V72" s="65" t="n">
        <v>0.5</v>
      </c>
      <c r="W72" s="65" t="n">
        <v>3901.6</v>
      </c>
      <c r="X72" s="63" t="n">
        <v>0</v>
      </c>
      <c r="Y72" s="62" t="s">
        <v>390</v>
      </c>
      <c r="Z72" s="62" t="s">
        <v>389</v>
      </c>
      <c r="AA72" s="62" t="s">
        <v>395</v>
      </c>
      <c r="AB72" s="62" t="s">
        <v>275</v>
      </c>
      <c r="AC72" s="65" t="n">
        <v>38.6</v>
      </c>
      <c r="AD72" s="63" t="n">
        <v>2</v>
      </c>
      <c r="AE72" s="63" t="n">
        <v>18</v>
      </c>
      <c r="AF72" s="63" t="n">
        <v>2</v>
      </c>
      <c r="AG72" s="62" t="s">
        <v>390</v>
      </c>
      <c r="AH72" s="62"/>
      <c r="AI72" s="63" t="n">
        <v>0</v>
      </c>
      <c r="AJ72" s="62" t="s">
        <v>148</v>
      </c>
      <c r="AK72" s="62" t="s">
        <v>391</v>
      </c>
      <c r="AL72" s="62" t="s">
        <v>392</v>
      </c>
      <c r="AM72" s="62" t="s">
        <v>396</v>
      </c>
      <c r="AN72" s="65" t="n">
        <v>107.7</v>
      </c>
      <c r="AO72" s="62" t="s">
        <v>389</v>
      </c>
      <c r="AP72" s="62" t="s">
        <v>390</v>
      </c>
      <c r="AQ72" s="62" t="s">
        <v>390</v>
      </c>
      <c r="AR72" s="66"/>
      <c r="AS72" s="62"/>
      <c r="AT72" s="65"/>
      <c r="AU72" s="62" t="s">
        <v>400</v>
      </c>
    </row>
    <row r="73" customFormat="false" ht="15" hidden="false" customHeight="false" outlineLevel="0" collapsed="false">
      <c r="A73" s="62" t="s">
        <v>388</v>
      </c>
      <c r="B73" s="63" t="n">
        <v>500</v>
      </c>
      <c r="C73" s="64" t="n">
        <v>46301.970945382</v>
      </c>
      <c r="D73" s="62" t="s">
        <v>72</v>
      </c>
      <c r="E73" s="63" t="n">
        <v>23</v>
      </c>
      <c r="F73" s="62" t="s">
        <v>390</v>
      </c>
      <c r="G73" s="62" t="s">
        <v>390</v>
      </c>
      <c r="H73" s="62" t="s">
        <v>390</v>
      </c>
      <c r="I73" s="62" t="s">
        <v>389</v>
      </c>
      <c r="J73" s="65"/>
      <c r="K73" s="62" t="s">
        <v>275</v>
      </c>
      <c r="L73" s="62" t="s">
        <v>389</v>
      </c>
      <c r="M73" s="62" t="s">
        <v>390</v>
      </c>
      <c r="N73" s="62"/>
      <c r="O73" s="62" t="s">
        <v>389</v>
      </c>
      <c r="P73" s="62" t="s">
        <v>390</v>
      </c>
      <c r="Q73" s="62" t="s">
        <v>390</v>
      </c>
      <c r="R73" s="62" t="s">
        <v>277</v>
      </c>
      <c r="S73" s="62" t="s">
        <v>390</v>
      </c>
      <c r="T73" s="65" t="n">
        <v>3851.9</v>
      </c>
      <c r="U73" s="62" t="s">
        <v>277</v>
      </c>
      <c r="V73" s="65" t="n">
        <v>3851.9</v>
      </c>
      <c r="W73" s="65"/>
      <c r="X73" s="63" t="n">
        <v>0</v>
      </c>
      <c r="Y73" s="62" t="s">
        <v>390</v>
      </c>
      <c r="Z73" s="62" t="s">
        <v>389</v>
      </c>
      <c r="AA73" s="62" t="s">
        <v>395</v>
      </c>
      <c r="AB73" s="62" t="s">
        <v>275</v>
      </c>
      <c r="AC73" s="65" t="n">
        <v>37.7</v>
      </c>
      <c r="AD73" s="63" t="n">
        <v>1</v>
      </c>
      <c r="AE73" s="63" t="n">
        <v>22</v>
      </c>
      <c r="AF73" s="63" t="n">
        <v>2</v>
      </c>
      <c r="AG73" s="62" t="s">
        <v>390</v>
      </c>
      <c r="AH73" s="62"/>
      <c r="AI73" s="63" t="n">
        <v>0</v>
      </c>
      <c r="AJ73" s="62" t="s">
        <v>147</v>
      </c>
      <c r="AK73" s="62" t="s">
        <v>391</v>
      </c>
      <c r="AL73" s="62" t="s">
        <v>392</v>
      </c>
      <c r="AM73" s="62" t="s">
        <v>396</v>
      </c>
      <c r="AN73" s="65" t="n">
        <v>106.8</v>
      </c>
      <c r="AO73" s="62" t="s">
        <v>389</v>
      </c>
      <c r="AP73" s="62" t="s">
        <v>390</v>
      </c>
      <c r="AQ73" s="62" t="s">
        <v>390</v>
      </c>
      <c r="AR73" s="66"/>
      <c r="AS73" s="62"/>
      <c r="AT73" s="65"/>
      <c r="AU73" s="62" t="s">
        <v>400</v>
      </c>
    </row>
    <row r="74" customFormat="false" ht="15" hidden="false" customHeight="false" outlineLevel="0" collapsed="false">
      <c r="A74" s="62" t="s">
        <v>388</v>
      </c>
      <c r="B74" s="63" t="n">
        <v>502</v>
      </c>
      <c r="C74" s="64" t="n">
        <v>46301.9727513657</v>
      </c>
      <c r="D74" s="62" t="s">
        <v>72</v>
      </c>
      <c r="E74" s="63" t="n">
        <v>23</v>
      </c>
      <c r="F74" s="62" t="s">
        <v>390</v>
      </c>
      <c r="G74" s="62" t="s">
        <v>390</v>
      </c>
      <c r="H74" s="62" t="s">
        <v>390</v>
      </c>
      <c r="I74" s="62" t="s">
        <v>389</v>
      </c>
      <c r="J74" s="65"/>
      <c r="K74" s="62" t="s">
        <v>275</v>
      </c>
      <c r="L74" s="62" t="s">
        <v>389</v>
      </c>
      <c r="M74" s="62" t="s">
        <v>390</v>
      </c>
      <c r="N74" s="62"/>
      <c r="O74" s="62" t="s">
        <v>389</v>
      </c>
      <c r="P74" s="62" t="s">
        <v>390</v>
      </c>
      <c r="Q74" s="62" t="s">
        <v>390</v>
      </c>
      <c r="R74" s="62" t="s">
        <v>277</v>
      </c>
      <c r="S74" s="62" t="s">
        <v>390</v>
      </c>
      <c r="T74" s="65" t="n">
        <v>3849.6</v>
      </c>
      <c r="U74" s="62" t="s">
        <v>277</v>
      </c>
      <c r="V74" s="65" t="n">
        <v>3849.6</v>
      </c>
      <c r="W74" s="65"/>
      <c r="X74" s="63" t="n">
        <v>0</v>
      </c>
      <c r="Y74" s="62" t="s">
        <v>390</v>
      </c>
      <c r="Z74" s="62" t="s">
        <v>389</v>
      </c>
      <c r="AA74" s="62" t="s">
        <v>395</v>
      </c>
      <c r="AB74" s="62" t="s">
        <v>275</v>
      </c>
      <c r="AC74" s="65" t="n">
        <v>37.7</v>
      </c>
      <c r="AD74" s="63" t="n">
        <v>1</v>
      </c>
      <c r="AE74" s="63" t="n">
        <v>19</v>
      </c>
      <c r="AF74" s="63" t="n">
        <v>2</v>
      </c>
      <c r="AG74" s="62" t="s">
        <v>390</v>
      </c>
      <c r="AH74" s="62"/>
      <c r="AI74" s="63" t="n">
        <v>0</v>
      </c>
      <c r="AJ74" s="62" t="s">
        <v>147</v>
      </c>
      <c r="AK74" s="62" t="s">
        <v>391</v>
      </c>
      <c r="AL74" s="62" t="s">
        <v>392</v>
      </c>
      <c r="AM74" s="62" t="s">
        <v>396</v>
      </c>
      <c r="AN74" s="65" t="n">
        <v>106.8</v>
      </c>
      <c r="AO74" s="62" t="s">
        <v>389</v>
      </c>
      <c r="AP74" s="62" t="s">
        <v>390</v>
      </c>
      <c r="AQ74" s="62" t="s">
        <v>390</v>
      </c>
      <c r="AR74" s="66"/>
      <c r="AS74" s="62"/>
      <c r="AT74" s="65"/>
      <c r="AU74" s="62" t="s">
        <v>400</v>
      </c>
    </row>
    <row r="75" customFormat="false" ht="15" hidden="false" customHeight="false" outlineLevel="0" collapsed="false">
      <c r="A75" s="62" t="s">
        <v>388</v>
      </c>
      <c r="B75" s="63" t="n">
        <v>503</v>
      </c>
      <c r="C75" s="64" t="n">
        <v>46301.9754994676</v>
      </c>
      <c r="D75" s="62" t="s">
        <v>72</v>
      </c>
      <c r="E75" s="63" t="n">
        <v>23</v>
      </c>
      <c r="F75" s="62" t="s">
        <v>390</v>
      </c>
      <c r="G75" s="62" t="s">
        <v>389</v>
      </c>
      <c r="H75" s="62" t="s">
        <v>389</v>
      </c>
      <c r="I75" s="62" t="s">
        <v>389</v>
      </c>
      <c r="J75" s="65" t="n">
        <v>457.9</v>
      </c>
      <c r="K75" s="62" t="s">
        <v>277</v>
      </c>
      <c r="L75" s="62" t="s">
        <v>389</v>
      </c>
      <c r="M75" s="62" t="s">
        <v>390</v>
      </c>
      <c r="N75" s="62"/>
      <c r="O75" s="62" t="s">
        <v>389</v>
      </c>
      <c r="P75" s="62" t="s">
        <v>390</v>
      </c>
      <c r="Q75" s="62" t="s">
        <v>390</v>
      </c>
      <c r="R75" s="62" t="s">
        <v>277</v>
      </c>
      <c r="S75" s="62" t="s">
        <v>390</v>
      </c>
      <c r="T75" s="65" t="n">
        <v>3834.5</v>
      </c>
      <c r="U75" s="62" t="s">
        <v>277</v>
      </c>
      <c r="V75" s="65" t="n">
        <v>458.2</v>
      </c>
      <c r="W75" s="65" t="n">
        <v>3834.2</v>
      </c>
      <c r="X75" s="63" t="n">
        <v>0</v>
      </c>
      <c r="Y75" s="62" t="s">
        <v>390</v>
      </c>
      <c r="Z75" s="62" t="s">
        <v>389</v>
      </c>
      <c r="AA75" s="62" t="s">
        <v>395</v>
      </c>
      <c r="AB75" s="62" t="s">
        <v>275</v>
      </c>
      <c r="AC75" s="65" t="n">
        <v>37.6</v>
      </c>
      <c r="AD75" s="63" t="n">
        <v>2</v>
      </c>
      <c r="AE75" s="63" t="n">
        <v>18</v>
      </c>
      <c r="AF75" s="63" t="n">
        <v>2</v>
      </c>
      <c r="AG75" s="62" t="s">
        <v>390</v>
      </c>
      <c r="AH75" s="62"/>
      <c r="AI75" s="63" t="n">
        <v>0</v>
      </c>
      <c r="AJ75" s="62" t="s">
        <v>148</v>
      </c>
      <c r="AK75" s="62" t="s">
        <v>391</v>
      </c>
      <c r="AL75" s="62" t="s">
        <v>392</v>
      </c>
      <c r="AM75" s="62" t="s">
        <v>396</v>
      </c>
      <c r="AN75" s="65" t="n">
        <v>106.6</v>
      </c>
      <c r="AO75" s="62" t="s">
        <v>389</v>
      </c>
      <c r="AP75" s="62" t="s">
        <v>390</v>
      </c>
      <c r="AQ75" s="62" t="s">
        <v>390</v>
      </c>
      <c r="AR75" s="66"/>
      <c r="AS75" s="62"/>
      <c r="AT75" s="65"/>
      <c r="AU75" s="62" t="s">
        <v>400</v>
      </c>
    </row>
    <row r="76" customFormat="false" ht="15" hidden="false" customHeight="false" outlineLevel="0" collapsed="false">
      <c r="A76" s="62" t="s">
        <v>388</v>
      </c>
      <c r="B76" s="63" t="n">
        <v>507</v>
      </c>
      <c r="C76" s="64" t="n">
        <v>46301.9835745602</v>
      </c>
      <c r="D76" s="62" t="s">
        <v>72</v>
      </c>
      <c r="E76" s="63" t="n">
        <v>23</v>
      </c>
      <c r="F76" s="62" t="s">
        <v>390</v>
      </c>
      <c r="G76" s="62" t="s">
        <v>389</v>
      </c>
      <c r="H76" s="62" t="s">
        <v>389</v>
      </c>
      <c r="I76" s="62" t="s">
        <v>389</v>
      </c>
      <c r="J76" s="65" t="n">
        <v>446.9</v>
      </c>
      <c r="K76" s="62" t="s">
        <v>277</v>
      </c>
      <c r="L76" s="62" t="s">
        <v>389</v>
      </c>
      <c r="M76" s="62" t="s">
        <v>390</v>
      </c>
      <c r="N76" s="62"/>
      <c r="O76" s="62" t="s">
        <v>389</v>
      </c>
      <c r="P76" s="62" t="s">
        <v>390</v>
      </c>
      <c r="Q76" s="62" t="s">
        <v>390</v>
      </c>
      <c r="R76" s="62" t="s">
        <v>277</v>
      </c>
      <c r="S76" s="62" t="s">
        <v>390</v>
      </c>
      <c r="T76" s="65" t="n">
        <v>3823.6</v>
      </c>
      <c r="U76" s="62" t="s">
        <v>277</v>
      </c>
      <c r="V76" s="65" t="n">
        <v>447.2</v>
      </c>
      <c r="W76" s="65" t="n">
        <v>3823.3</v>
      </c>
      <c r="X76" s="63" t="n">
        <v>0</v>
      </c>
      <c r="Y76" s="62" t="s">
        <v>390</v>
      </c>
      <c r="Z76" s="62" t="s">
        <v>389</v>
      </c>
      <c r="AA76" s="62" t="s">
        <v>395</v>
      </c>
      <c r="AB76" s="62" t="s">
        <v>275</v>
      </c>
      <c r="AC76" s="65" t="n">
        <v>37.4</v>
      </c>
      <c r="AD76" s="63" t="n">
        <v>3</v>
      </c>
      <c r="AE76" s="63" t="n">
        <v>18</v>
      </c>
      <c r="AF76" s="63" t="n">
        <v>2</v>
      </c>
      <c r="AG76" s="62" t="s">
        <v>390</v>
      </c>
      <c r="AH76" s="62"/>
      <c r="AI76" s="63" t="n">
        <v>0</v>
      </c>
      <c r="AJ76" s="62" t="s">
        <v>148</v>
      </c>
      <c r="AK76" s="62" t="s">
        <v>391</v>
      </c>
      <c r="AL76" s="62" t="s">
        <v>392</v>
      </c>
      <c r="AM76" s="62" t="s">
        <v>396</v>
      </c>
      <c r="AN76" s="65" t="n">
        <v>106.4</v>
      </c>
      <c r="AO76" s="62" t="s">
        <v>389</v>
      </c>
      <c r="AP76" s="62" t="s">
        <v>390</v>
      </c>
      <c r="AQ76" s="62" t="s">
        <v>390</v>
      </c>
      <c r="AR76" s="66"/>
      <c r="AS76" s="62"/>
      <c r="AT76" s="65"/>
      <c r="AU76" s="62" t="s">
        <v>397</v>
      </c>
    </row>
    <row r="77" customFormat="false" ht="15" hidden="false" customHeight="false" outlineLevel="0" collapsed="false">
      <c r="A77" s="62" t="s">
        <v>388</v>
      </c>
      <c r="B77" s="63" t="n">
        <v>510</v>
      </c>
      <c r="C77" s="64" t="n">
        <v>46301.9941637153</v>
      </c>
      <c r="D77" s="62" t="s">
        <v>72</v>
      </c>
      <c r="E77" s="63" t="n">
        <v>23</v>
      </c>
      <c r="F77" s="62" t="s">
        <v>390</v>
      </c>
      <c r="G77" s="62" t="s">
        <v>389</v>
      </c>
      <c r="H77" s="62" t="s">
        <v>389</v>
      </c>
      <c r="I77" s="62" t="s">
        <v>389</v>
      </c>
      <c r="J77" s="65" t="n">
        <v>432.7</v>
      </c>
      <c r="K77" s="62" t="s">
        <v>277</v>
      </c>
      <c r="L77" s="62" t="s">
        <v>389</v>
      </c>
      <c r="M77" s="62" t="s">
        <v>389</v>
      </c>
      <c r="N77" s="62" t="s">
        <v>304</v>
      </c>
      <c r="O77" s="62" t="s">
        <v>389</v>
      </c>
      <c r="P77" s="62" t="s">
        <v>389</v>
      </c>
      <c r="Q77" s="62" t="s">
        <v>390</v>
      </c>
      <c r="R77" s="62" t="s">
        <v>277</v>
      </c>
      <c r="S77" s="62" t="s">
        <v>390</v>
      </c>
      <c r="T77" s="65" t="n">
        <v>438.7</v>
      </c>
      <c r="U77" s="62" t="s">
        <v>277</v>
      </c>
      <c r="V77" s="65" t="n">
        <v>432.9</v>
      </c>
      <c r="W77" s="65" t="n">
        <v>0.3</v>
      </c>
      <c r="X77" s="63" t="n">
        <v>0</v>
      </c>
      <c r="Y77" s="62" t="s">
        <v>389</v>
      </c>
      <c r="Z77" s="62" t="s">
        <v>389</v>
      </c>
      <c r="AA77" s="62" t="s">
        <v>395</v>
      </c>
      <c r="AB77" s="62" t="s">
        <v>275</v>
      </c>
      <c r="AC77" s="65" t="n">
        <v>37.2</v>
      </c>
      <c r="AD77" s="63" t="n">
        <v>4</v>
      </c>
      <c r="AE77" s="63" t="n">
        <v>20</v>
      </c>
      <c r="AF77" s="63" t="n">
        <v>6</v>
      </c>
      <c r="AG77" s="62" t="s">
        <v>390</v>
      </c>
      <c r="AH77" s="62"/>
      <c r="AI77" s="63" t="n">
        <v>0</v>
      </c>
      <c r="AJ77" s="62" t="s">
        <v>149</v>
      </c>
      <c r="AK77" s="62" t="s">
        <v>391</v>
      </c>
      <c r="AL77" s="62" t="s">
        <v>392</v>
      </c>
      <c r="AM77" s="62" t="s">
        <v>396</v>
      </c>
      <c r="AN77" s="65" t="n">
        <v>106.2</v>
      </c>
      <c r="AO77" s="62" t="s">
        <v>389</v>
      </c>
      <c r="AP77" s="62" t="s">
        <v>390</v>
      </c>
      <c r="AQ77" s="62" t="s">
        <v>390</v>
      </c>
      <c r="AR77" s="66"/>
      <c r="AS77" s="62"/>
      <c r="AT77" s="65"/>
      <c r="AU77" s="62" t="s">
        <v>400</v>
      </c>
    </row>
    <row r="78" customFormat="false" ht="15" hidden="false" customHeight="false" outlineLevel="0" collapsed="false">
      <c r="A78" s="62" t="s">
        <v>388</v>
      </c>
      <c r="B78" s="63" t="n">
        <v>512</v>
      </c>
      <c r="C78" s="64" t="n">
        <v>46302.0613359375</v>
      </c>
      <c r="D78" s="62" t="s">
        <v>72</v>
      </c>
      <c r="E78" s="63" t="n">
        <v>1</v>
      </c>
      <c r="F78" s="62" t="s">
        <v>390</v>
      </c>
      <c r="G78" s="62" t="s">
        <v>390</v>
      </c>
      <c r="H78" s="62" t="s">
        <v>390</v>
      </c>
      <c r="I78" s="62" t="s">
        <v>389</v>
      </c>
      <c r="J78" s="65"/>
      <c r="K78" s="62" t="s">
        <v>275</v>
      </c>
      <c r="L78" s="62" t="s">
        <v>389</v>
      </c>
      <c r="M78" s="62" t="s">
        <v>390</v>
      </c>
      <c r="N78" s="62"/>
      <c r="O78" s="62" t="s">
        <v>389</v>
      </c>
      <c r="P78" s="62" t="s">
        <v>390</v>
      </c>
      <c r="Q78" s="62" t="s">
        <v>390</v>
      </c>
      <c r="R78" s="62" t="s">
        <v>277</v>
      </c>
      <c r="S78" s="62" t="s">
        <v>390</v>
      </c>
      <c r="T78" s="65" t="n">
        <v>3724</v>
      </c>
      <c r="U78" s="62" t="s">
        <v>277</v>
      </c>
      <c r="V78" s="65" t="n">
        <v>3724</v>
      </c>
      <c r="W78" s="65"/>
      <c r="X78" s="63" t="n">
        <v>0</v>
      </c>
      <c r="Y78" s="62" t="s">
        <v>390</v>
      </c>
      <c r="Z78" s="62" t="s">
        <v>389</v>
      </c>
      <c r="AA78" s="62" t="s">
        <v>395</v>
      </c>
      <c r="AB78" s="62" t="s">
        <v>275</v>
      </c>
      <c r="AC78" s="65" t="n">
        <v>35.6</v>
      </c>
      <c r="AD78" s="63" t="n">
        <v>1</v>
      </c>
      <c r="AE78" s="63" t="n">
        <v>19</v>
      </c>
      <c r="AF78" s="63" t="n">
        <v>2</v>
      </c>
      <c r="AG78" s="62" t="s">
        <v>390</v>
      </c>
      <c r="AH78" s="62"/>
      <c r="AI78" s="63" t="n">
        <v>0</v>
      </c>
      <c r="AJ78" s="62" t="s">
        <v>147</v>
      </c>
      <c r="AK78" s="62" t="s">
        <v>391</v>
      </c>
      <c r="AL78" s="62" t="s">
        <v>392</v>
      </c>
      <c r="AM78" s="62" t="s">
        <v>396</v>
      </c>
      <c r="AN78" s="65" t="n">
        <v>104.7</v>
      </c>
      <c r="AO78" s="62" t="s">
        <v>389</v>
      </c>
      <c r="AP78" s="62" t="s">
        <v>390</v>
      </c>
      <c r="AQ78" s="62" t="s">
        <v>390</v>
      </c>
      <c r="AR78" s="66"/>
      <c r="AS78" s="62"/>
      <c r="AT78" s="65"/>
      <c r="AU78" s="62" t="s">
        <v>400</v>
      </c>
    </row>
    <row r="79" customFormat="false" ht="15" hidden="false" customHeight="false" outlineLevel="0" collapsed="false">
      <c r="A79" s="62" t="s">
        <v>388</v>
      </c>
      <c r="B79" s="63" t="n">
        <v>516</v>
      </c>
      <c r="C79" s="64" t="n">
        <v>46302.1079473727</v>
      </c>
      <c r="D79" s="62" t="s">
        <v>72</v>
      </c>
      <c r="E79" s="63" t="n">
        <v>2</v>
      </c>
      <c r="F79" s="62" t="s">
        <v>390</v>
      </c>
      <c r="G79" s="62" t="s">
        <v>389</v>
      </c>
      <c r="H79" s="62" t="s">
        <v>389</v>
      </c>
      <c r="I79" s="62" t="s">
        <v>389</v>
      </c>
      <c r="J79" s="65" t="n">
        <v>269.5</v>
      </c>
      <c r="K79" s="62" t="s">
        <v>277</v>
      </c>
      <c r="L79" s="62" t="s">
        <v>389</v>
      </c>
      <c r="M79" s="62" t="s">
        <v>390</v>
      </c>
      <c r="N79" s="62"/>
      <c r="O79" s="62" t="s">
        <v>389</v>
      </c>
      <c r="P79" s="62" t="s">
        <v>390</v>
      </c>
      <c r="Q79" s="62" t="s">
        <v>390</v>
      </c>
      <c r="R79" s="62" t="s">
        <v>277</v>
      </c>
      <c r="S79" s="62" t="s">
        <v>390</v>
      </c>
      <c r="T79" s="65" t="n">
        <v>3645.5</v>
      </c>
      <c r="U79" s="62" t="s">
        <v>277</v>
      </c>
      <c r="V79" s="65" t="n">
        <v>269.7</v>
      </c>
      <c r="W79" s="65" t="n">
        <v>3645.3</v>
      </c>
      <c r="X79" s="63" t="n">
        <v>0</v>
      </c>
      <c r="Y79" s="62" t="s">
        <v>390</v>
      </c>
      <c r="Z79" s="62" t="s">
        <v>389</v>
      </c>
      <c r="AA79" s="62" t="s">
        <v>395</v>
      </c>
      <c r="AB79" s="62" t="s">
        <v>275</v>
      </c>
      <c r="AC79" s="65" t="n">
        <v>34.5</v>
      </c>
      <c r="AD79" s="63" t="n">
        <v>2</v>
      </c>
      <c r="AE79" s="63" t="n">
        <v>18</v>
      </c>
      <c r="AF79" s="63" t="n">
        <v>2</v>
      </c>
      <c r="AG79" s="62" t="s">
        <v>390</v>
      </c>
      <c r="AH79" s="62"/>
      <c r="AI79" s="63" t="n">
        <v>0</v>
      </c>
      <c r="AJ79" s="62" t="s">
        <v>148</v>
      </c>
      <c r="AK79" s="62" t="s">
        <v>391</v>
      </c>
      <c r="AL79" s="62" t="s">
        <v>392</v>
      </c>
      <c r="AM79" s="62" t="s">
        <v>396</v>
      </c>
      <c r="AN79" s="65" t="n">
        <v>103.5</v>
      </c>
      <c r="AO79" s="62" t="s">
        <v>389</v>
      </c>
      <c r="AP79" s="62" t="s">
        <v>390</v>
      </c>
      <c r="AQ79" s="62" t="s">
        <v>390</v>
      </c>
      <c r="AR79" s="66"/>
      <c r="AS79" s="62"/>
      <c r="AT79" s="65"/>
      <c r="AU79" s="62" t="s">
        <v>400</v>
      </c>
    </row>
    <row r="80" customFormat="false" ht="15" hidden="false" customHeight="false" outlineLevel="0" collapsed="false">
      <c r="A80" s="62" t="s">
        <v>388</v>
      </c>
      <c r="B80" s="63" t="n">
        <v>518</v>
      </c>
      <c r="C80" s="64" t="n">
        <v>46302.2062760185</v>
      </c>
      <c r="D80" s="62" t="s">
        <v>72</v>
      </c>
      <c r="E80" s="63" t="n">
        <v>4</v>
      </c>
      <c r="F80" s="62" t="s">
        <v>390</v>
      </c>
      <c r="G80" s="62" t="s">
        <v>390</v>
      </c>
      <c r="H80" s="62" t="s">
        <v>390</v>
      </c>
      <c r="I80" s="62" t="s">
        <v>389</v>
      </c>
      <c r="J80" s="65"/>
      <c r="K80" s="62" t="s">
        <v>275</v>
      </c>
      <c r="L80" s="62" t="s">
        <v>389</v>
      </c>
      <c r="M80" s="62" t="s">
        <v>390</v>
      </c>
      <c r="N80" s="62"/>
      <c r="O80" s="62" t="s">
        <v>389</v>
      </c>
      <c r="P80" s="62" t="s">
        <v>390</v>
      </c>
      <c r="Q80" s="62" t="s">
        <v>390</v>
      </c>
      <c r="R80" s="62" t="s">
        <v>277</v>
      </c>
      <c r="S80" s="62" t="s">
        <v>390</v>
      </c>
      <c r="T80" s="65" t="n">
        <v>3516.5</v>
      </c>
      <c r="U80" s="62" t="s">
        <v>277</v>
      </c>
      <c r="V80" s="65" t="n">
        <v>3516.5</v>
      </c>
      <c r="W80" s="65"/>
      <c r="X80" s="63" t="n">
        <v>0</v>
      </c>
      <c r="Y80" s="62" t="s">
        <v>390</v>
      </c>
      <c r="Z80" s="62" t="s">
        <v>389</v>
      </c>
      <c r="AA80" s="62" t="s">
        <v>395</v>
      </c>
      <c r="AB80" s="62" t="s">
        <v>275</v>
      </c>
      <c r="AC80" s="65" t="n">
        <v>32.1</v>
      </c>
      <c r="AD80" s="63" t="n">
        <v>1</v>
      </c>
      <c r="AE80" s="63" t="n">
        <v>19</v>
      </c>
      <c r="AF80" s="63" t="n">
        <v>2</v>
      </c>
      <c r="AG80" s="62" t="s">
        <v>390</v>
      </c>
      <c r="AH80" s="62"/>
      <c r="AI80" s="63" t="n">
        <v>0</v>
      </c>
      <c r="AJ80" s="62" t="s">
        <v>147</v>
      </c>
      <c r="AK80" s="62" t="s">
        <v>391</v>
      </c>
      <c r="AL80" s="62" t="s">
        <v>392</v>
      </c>
      <c r="AM80" s="62" t="s">
        <v>396</v>
      </c>
      <c r="AN80" s="65" t="n">
        <v>101.2</v>
      </c>
      <c r="AO80" s="62" t="s">
        <v>389</v>
      </c>
      <c r="AP80" s="62" t="s">
        <v>390</v>
      </c>
      <c r="AQ80" s="62" t="s">
        <v>390</v>
      </c>
      <c r="AR80" s="66"/>
      <c r="AS80" s="62"/>
      <c r="AT80" s="65"/>
      <c r="AU80" s="62" t="s">
        <v>400</v>
      </c>
    </row>
    <row r="81" customFormat="false" ht="15" hidden="false" customHeight="false" outlineLevel="0" collapsed="false">
      <c r="A81" s="62" t="s">
        <v>388</v>
      </c>
      <c r="B81" s="63" t="n">
        <v>520</v>
      </c>
      <c r="C81" s="64" t="n">
        <v>46302.2570149306</v>
      </c>
      <c r="D81" s="62" t="s">
        <v>72</v>
      </c>
      <c r="E81" s="63" t="n">
        <v>6</v>
      </c>
      <c r="F81" s="62" t="s">
        <v>390</v>
      </c>
      <c r="G81" s="62" t="s">
        <v>390</v>
      </c>
      <c r="H81" s="62" t="s">
        <v>390</v>
      </c>
      <c r="I81" s="62" t="s">
        <v>389</v>
      </c>
      <c r="J81" s="65"/>
      <c r="K81" s="62" t="s">
        <v>275</v>
      </c>
      <c r="L81" s="62" t="s">
        <v>389</v>
      </c>
      <c r="M81" s="62" t="s">
        <v>390</v>
      </c>
      <c r="N81" s="62"/>
      <c r="O81" s="62" t="s">
        <v>389</v>
      </c>
      <c r="P81" s="62" t="s">
        <v>390</v>
      </c>
      <c r="Q81" s="62" t="s">
        <v>390</v>
      </c>
      <c r="R81" s="62" t="s">
        <v>277</v>
      </c>
      <c r="S81" s="62" t="s">
        <v>390</v>
      </c>
      <c r="T81" s="65" t="n">
        <v>3446.4</v>
      </c>
      <c r="U81" s="62" t="s">
        <v>277</v>
      </c>
      <c r="V81" s="65" t="n">
        <v>3446.4</v>
      </c>
      <c r="W81" s="65"/>
      <c r="X81" s="63" t="n">
        <v>0</v>
      </c>
      <c r="Y81" s="62" t="s">
        <v>390</v>
      </c>
      <c r="Z81" s="62" t="s">
        <v>389</v>
      </c>
      <c r="AA81" s="62" t="s">
        <v>395</v>
      </c>
      <c r="AB81" s="62" t="s">
        <v>275</v>
      </c>
      <c r="AC81" s="65" t="n">
        <v>30.9</v>
      </c>
      <c r="AD81" s="63" t="n">
        <v>1</v>
      </c>
      <c r="AE81" s="63" t="n">
        <v>19</v>
      </c>
      <c r="AF81" s="63" t="n">
        <v>2</v>
      </c>
      <c r="AG81" s="62" t="s">
        <v>390</v>
      </c>
      <c r="AH81" s="62"/>
      <c r="AI81" s="63" t="n">
        <v>0</v>
      </c>
      <c r="AJ81" s="62" t="s">
        <v>147</v>
      </c>
      <c r="AK81" s="62" t="s">
        <v>391</v>
      </c>
      <c r="AL81" s="62" t="s">
        <v>392</v>
      </c>
      <c r="AM81" s="62" t="s">
        <v>396</v>
      </c>
      <c r="AN81" s="65" t="n">
        <v>100.1</v>
      </c>
      <c r="AO81" s="62" t="s">
        <v>389</v>
      </c>
      <c r="AP81" s="62" t="s">
        <v>390</v>
      </c>
      <c r="AQ81" s="62" t="s">
        <v>390</v>
      </c>
      <c r="AR81" s="66"/>
      <c r="AS81" s="62"/>
      <c r="AT81" s="65"/>
      <c r="AU81" s="62" t="s">
        <v>400</v>
      </c>
    </row>
    <row r="82" customFormat="false" ht="15" hidden="false" customHeight="false" outlineLevel="0" collapsed="false">
      <c r="A82" s="62" t="s">
        <v>388</v>
      </c>
      <c r="B82" s="63" t="n">
        <v>524</v>
      </c>
      <c r="C82" s="64" t="n">
        <v>46302.2895383565</v>
      </c>
      <c r="D82" s="62" t="s">
        <v>72</v>
      </c>
      <c r="E82" s="63" t="n">
        <v>6</v>
      </c>
      <c r="F82" s="62" t="s">
        <v>390</v>
      </c>
      <c r="G82" s="62" t="s">
        <v>390</v>
      </c>
      <c r="H82" s="62" t="s">
        <v>390</v>
      </c>
      <c r="I82" s="62" t="s">
        <v>389</v>
      </c>
      <c r="J82" s="65"/>
      <c r="K82" s="62" t="s">
        <v>275</v>
      </c>
      <c r="L82" s="62" t="s">
        <v>389</v>
      </c>
      <c r="M82" s="62" t="s">
        <v>390</v>
      </c>
      <c r="N82" s="62"/>
      <c r="O82" s="62" t="s">
        <v>389</v>
      </c>
      <c r="P82" s="62" t="s">
        <v>390</v>
      </c>
      <c r="Q82" s="62" t="s">
        <v>390</v>
      </c>
      <c r="R82" s="62" t="s">
        <v>277</v>
      </c>
      <c r="S82" s="62" t="s">
        <v>390</v>
      </c>
      <c r="T82" s="65" t="n">
        <v>3401.3</v>
      </c>
      <c r="U82" s="62" t="s">
        <v>277</v>
      </c>
      <c r="V82" s="65" t="n">
        <v>3401.3</v>
      </c>
      <c r="W82" s="65"/>
      <c r="X82" s="63" t="n">
        <v>0</v>
      </c>
      <c r="Y82" s="62" t="s">
        <v>390</v>
      </c>
      <c r="Z82" s="62" t="s">
        <v>389</v>
      </c>
      <c r="AA82" s="62" t="s">
        <v>395</v>
      </c>
      <c r="AB82" s="62" t="s">
        <v>275</v>
      </c>
      <c r="AC82" s="65" t="n">
        <v>30.1</v>
      </c>
      <c r="AD82" s="63" t="n">
        <v>1</v>
      </c>
      <c r="AE82" s="63" t="n">
        <v>19</v>
      </c>
      <c r="AF82" s="63" t="n">
        <v>2</v>
      </c>
      <c r="AG82" s="62" t="s">
        <v>390</v>
      </c>
      <c r="AH82" s="62"/>
      <c r="AI82" s="63" t="n">
        <v>0</v>
      </c>
      <c r="AJ82" s="62" t="s">
        <v>147</v>
      </c>
      <c r="AK82" s="62" t="s">
        <v>391</v>
      </c>
      <c r="AL82" s="62" t="s">
        <v>392</v>
      </c>
      <c r="AM82" s="62" t="s">
        <v>396</v>
      </c>
      <c r="AN82" s="65" t="n">
        <v>99.3</v>
      </c>
      <c r="AO82" s="62" t="s">
        <v>389</v>
      </c>
      <c r="AP82" s="62" t="s">
        <v>390</v>
      </c>
      <c r="AQ82" s="62" t="s">
        <v>390</v>
      </c>
      <c r="AR82" s="66"/>
      <c r="AS82" s="62"/>
      <c r="AT82" s="65"/>
      <c r="AU82" s="62" t="s">
        <v>400</v>
      </c>
    </row>
    <row r="83" customFormat="false" ht="15" hidden="false" customHeight="false" outlineLevel="0" collapsed="false">
      <c r="A83" s="62" t="s">
        <v>388</v>
      </c>
      <c r="B83" s="63" t="n">
        <v>530</v>
      </c>
      <c r="C83" s="64" t="n">
        <v>46302.3168281019</v>
      </c>
      <c r="D83" s="62" t="s">
        <v>72</v>
      </c>
      <c r="E83" s="63" t="n">
        <v>7</v>
      </c>
      <c r="F83" s="62" t="s">
        <v>390</v>
      </c>
      <c r="G83" s="62" t="s">
        <v>389</v>
      </c>
      <c r="H83" s="62" t="s">
        <v>389</v>
      </c>
      <c r="I83" s="62" t="s">
        <v>389</v>
      </c>
      <c r="J83" s="65" t="n">
        <v>0.8</v>
      </c>
      <c r="K83" s="62" t="s">
        <v>277</v>
      </c>
      <c r="L83" s="62" t="s">
        <v>389</v>
      </c>
      <c r="M83" s="62" t="s">
        <v>390</v>
      </c>
      <c r="N83" s="62"/>
      <c r="O83" s="62" t="s">
        <v>389</v>
      </c>
      <c r="P83" s="62" t="s">
        <v>390</v>
      </c>
      <c r="Q83" s="62" t="s">
        <v>390</v>
      </c>
      <c r="R83" s="62" t="s">
        <v>277</v>
      </c>
      <c r="S83" s="62" t="s">
        <v>390</v>
      </c>
      <c r="T83" s="65" t="n">
        <v>3355.8</v>
      </c>
      <c r="U83" s="62" t="s">
        <v>277</v>
      </c>
      <c r="V83" s="65" t="n">
        <v>1.4</v>
      </c>
      <c r="W83" s="65" t="n">
        <v>3355.2</v>
      </c>
      <c r="X83" s="63" t="n">
        <v>0</v>
      </c>
      <c r="Y83" s="62" t="s">
        <v>390</v>
      </c>
      <c r="Z83" s="62" t="s">
        <v>389</v>
      </c>
      <c r="AA83" s="62" t="s">
        <v>395</v>
      </c>
      <c r="AB83" s="62" t="s">
        <v>275</v>
      </c>
      <c r="AC83" s="65" t="n">
        <v>29.4</v>
      </c>
      <c r="AD83" s="63" t="n">
        <v>2</v>
      </c>
      <c r="AE83" s="63" t="n">
        <v>18</v>
      </c>
      <c r="AF83" s="63" t="n">
        <v>2</v>
      </c>
      <c r="AG83" s="62" t="s">
        <v>390</v>
      </c>
      <c r="AH83" s="62"/>
      <c r="AI83" s="63" t="n">
        <v>0</v>
      </c>
      <c r="AJ83" s="62" t="s">
        <v>148</v>
      </c>
      <c r="AK83" s="62" t="s">
        <v>391</v>
      </c>
      <c r="AL83" s="62" t="s">
        <v>392</v>
      </c>
      <c r="AM83" s="62" t="s">
        <v>396</v>
      </c>
      <c r="AN83" s="65" t="n">
        <v>98.5</v>
      </c>
      <c r="AO83" s="62" t="s">
        <v>389</v>
      </c>
      <c r="AP83" s="62" t="s">
        <v>390</v>
      </c>
      <c r="AQ83" s="62" t="s">
        <v>390</v>
      </c>
      <c r="AR83" s="66"/>
      <c r="AS83" s="62"/>
      <c r="AT83" s="65"/>
      <c r="AU83" s="62" t="s">
        <v>400</v>
      </c>
    </row>
    <row r="84" customFormat="false" ht="15" hidden="false" customHeight="false" outlineLevel="0" collapsed="false">
      <c r="A84" s="62" t="s">
        <v>388</v>
      </c>
      <c r="B84" s="63" t="n">
        <v>549</v>
      </c>
      <c r="C84" s="64" t="n">
        <v>46302.380170625</v>
      </c>
      <c r="D84" s="62" t="s">
        <v>72</v>
      </c>
      <c r="E84" s="63" t="n">
        <v>9</v>
      </c>
      <c r="F84" s="62" t="s">
        <v>389</v>
      </c>
      <c r="G84" s="62" t="s">
        <v>390</v>
      </c>
      <c r="H84" s="62" t="s">
        <v>390</v>
      </c>
      <c r="I84" s="62" t="s">
        <v>389</v>
      </c>
      <c r="J84" s="65"/>
      <c r="K84" s="62" t="s">
        <v>275</v>
      </c>
      <c r="L84" s="62" t="s">
        <v>389</v>
      </c>
      <c r="M84" s="62" t="s">
        <v>390</v>
      </c>
      <c r="N84" s="62"/>
      <c r="O84" s="62" t="s">
        <v>389</v>
      </c>
      <c r="P84" s="62" t="s">
        <v>390</v>
      </c>
      <c r="Q84" s="62" t="s">
        <v>390</v>
      </c>
      <c r="R84" s="62" t="s">
        <v>277</v>
      </c>
      <c r="S84" s="62" t="s">
        <v>390</v>
      </c>
      <c r="T84" s="65" t="n">
        <v>3434</v>
      </c>
      <c r="U84" s="62" t="s">
        <v>277</v>
      </c>
      <c r="V84" s="65" t="n">
        <v>3434</v>
      </c>
      <c r="W84" s="65"/>
      <c r="X84" s="63" t="n">
        <v>0</v>
      </c>
      <c r="Y84" s="62" t="s">
        <v>390</v>
      </c>
      <c r="Z84" s="62" t="s">
        <v>389</v>
      </c>
      <c r="AA84" s="62" t="s">
        <v>395</v>
      </c>
      <c r="AB84" s="62" t="s">
        <v>275</v>
      </c>
      <c r="AC84" s="65" t="n">
        <v>27.9</v>
      </c>
      <c r="AD84" s="63" t="n">
        <v>1</v>
      </c>
      <c r="AE84" s="63" t="n">
        <v>22</v>
      </c>
      <c r="AF84" s="63" t="n">
        <v>2</v>
      </c>
      <c r="AG84" s="62" t="s">
        <v>390</v>
      </c>
      <c r="AH84" s="62"/>
      <c r="AI84" s="63" t="n">
        <v>0</v>
      </c>
      <c r="AJ84" s="62" t="s">
        <v>147</v>
      </c>
      <c r="AK84" s="62" t="s">
        <v>391</v>
      </c>
      <c r="AL84" s="62" t="s">
        <v>392</v>
      </c>
      <c r="AM84" s="62" t="s">
        <v>396</v>
      </c>
      <c r="AN84" s="65" t="n">
        <v>97.6</v>
      </c>
      <c r="AO84" s="62" t="s">
        <v>389</v>
      </c>
      <c r="AP84" s="62" t="s">
        <v>390</v>
      </c>
      <c r="AQ84" s="62" t="s">
        <v>390</v>
      </c>
      <c r="AR84" s="66"/>
      <c r="AS84" s="62"/>
      <c r="AT84" s="65"/>
      <c r="AU84" s="62" t="s">
        <v>400</v>
      </c>
    </row>
    <row r="85" customFormat="false" ht="15" hidden="false" customHeight="false" outlineLevel="0" collapsed="false">
      <c r="A85" s="62" t="s">
        <v>388</v>
      </c>
      <c r="B85" s="63" t="n">
        <v>551</v>
      </c>
      <c r="C85" s="64" t="n">
        <v>46302.3834183102</v>
      </c>
      <c r="D85" s="62" t="s">
        <v>72</v>
      </c>
      <c r="E85" s="63" t="n">
        <v>9</v>
      </c>
      <c r="F85" s="62" t="s">
        <v>389</v>
      </c>
      <c r="G85" s="62" t="s">
        <v>389</v>
      </c>
      <c r="H85" s="62" t="s">
        <v>389</v>
      </c>
      <c r="I85" s="62" t="s">
        <v>389</v>
      </c>
      <c r="J85" s="65" t="n">
        <v>0.4</v>
      </c>
      <c r="K85" s="62" t="s">
        <v>276</v>
      </c>
      <c r="L85" s="62" t="s">
        <v>389</v>
      </c>
      <c r="M85" s="62" t="s">
        <v>389</v>
      </c>
      <c r="N85" s="62" t="s">
        <v>309</v>
      </c>
      <c r="O85" s="62" t="s">
        <v>389</v>
      </c>
      <c r="P85" s="62" t="s">
        <v>389</v>
      </c>
      <c r="Q85" s="62" t="s">
        <v>390</v>
      </c>
      <c r="R85" s="62" t="s">
        <v>338</v>
      </c>
      <c r="S85" s="62" t="s">
        <v>389</v>
      </c>
      <c r="T85" s="65" t="n">
        <v>25.3</v>
      </c>
      <c r="U85" s="62" t="s">
        <v>276</v>
      </c>
      <c r="V85" s="65" t="n">
        <v>0.2</v>
      </c>
      <c r="W85" s="65" t="n">
        <v>20.6</v>
      </c>
      <c r="X85" s="63" t="n">
        <v>0</v>
      </c>
      <c r="Y85" s="62" t="s">
        <v>389</v>
      </c>
      <c r="Z85" s="62" t="s">
        <v>389</v>
      </c>
      <c r="AA85" s="62" t="s">
        <v>395</v>
      </c>
      <c r="AB85" s="62" t="s">
        <v>275</v>
      </c>
      <c r="AC85" s="65" t="n">
        <v>28.7</v>
      </c>
      <c r="AD85" s="63" t="n">
        <v>4</v>
      </c>
      <c r="AE85" s="63" t="n">
        <v>24</v>
      </c>
      <c r="AF85" s="63" t="n">
        <v>10</v>
      </c>
      <c r="AG85" s="62" t="s">
        <v>390</v>
      </c>
      <c r="AH85" s="62"/>
      <c r="AI85" s="63" t="n">
        <v>0</v>
      </c>
      <c r="AJ85" s="62" t="s">
        <v>149</v>
      </c>
      <c r="AK85" s="62" t="s">
        <v>391</v>
      </c>
      <c r="AL85" s="62" t="s">
        <v>392</v>
      </c>
      <c r="AM85" s="62" t="s">
        <v>396</v>
      </c>
      <c r="AN85" s="65" t="n">
        <v>123.1</v>
      </c>
      <c r="AO85" s="62" t="s">
        <v>389</v>
      </c>
      <c r="AP85" s="62" t="s">
        <v>390</v>
      </c>
      <c r="AQ85" s="62" t="s">
        <v>390</v>
      </c>
      <c r="AR85" s="66"/>
      <c r="AS85" s="62"/>
      <c r="AT85" s="65"/>
      <c r="AU85" s="62"/>
    </row>
    <row r="86" customFormat="false" ht="15" hidden="false" customHeight="false" outlineLevel="0" collapsed="false">
      <c r="A86" s="62" t="s">
        <v>388</v>
      </c>
      <c r="B86" s="63" t="n">
        <v>568</v>
      </c>
      <c r="C86" s="64" t="n">
        <v>46302.4244955787</v>
      </c>
      <c r="D86" s="62" t="s">
        <v>72</v>
      </c>
      <c r="E86" s="63" t="n">
        <v>10</v>
      </c>
      <c r="F86" s="62" t="s">
        <v>389</v>
      </c>
      <c r="G86" s="62" t="s">
        <v>389</v>
      </c>
      <c r="H86" s="62" t="s">
        <v>389</v>
      </c>
      <c r="I86" s="62" t="s">
        <v>389</v>
      </c>
      <c r="J86" s="65" t="n">
        <v>0.6</v>
      </c>
      <c r="K86" s="62" t="s">
        <v>276</v>
      </c>
      <c r="L86" s="62" t="s">
        <v>389</v>
      </c>
      <c r="M86" s="62" t="s">
        <v>389</v>
      </c>
      <c r="N86" s="62" t="s">
        <v>306</v>
      </c>
      <c r="O86" s="62" t="s">
        <v>389</v>
      </c>
      <c r="P86" s="62" t="s">
        <v>390</v>
      </c>
      <c r="Q86" s="62" t="s">
        <v>390</v>
      </c>
      <c r="R86" s="62" t="s">
        <v>277</v>
      </c>
      <c r="S86" s="62" t="s">
        <v>389</v>
      </c>
      <c r="T86" s="65" t="n">
        <v>7.8</v>
      </c>
      <c r="U86" s="62" t="s">
        <v>276</v>
      </c>
      <c r="V86" s="65" t="n">
        <v>3.4</v>
      </c>
      <c r="W86" s="65" t="n">
        <v>4.1</v>
      </c>
      <c r="X86" s="63" t="n">
        <v>0</v>
      </c>
      <c r="Y86" s="62" t="s">
        <v>389</v>
      </c>
      <c r="Z86" s="62" t="s">
        <v>389</v>
      </c>
      <c r="AA86" s="62" t="s">
        <v>395</v>
      </c>
      <c r="AB86" s="62" t="s">
        <v>275</v>
      </c>
      <c r="AC86" s="65" t="n">
        <v>26.8</v>
      </c>
      <c r="AD86" s="63" t="n">
        <v>5</v>
      </c>
      <c r="AE86" s="63" t="n">
        <v>18</v>
      </c>
      <c r="AF86" s="63" t="n">
        <v>8</v>
      </c>
      <c r="AG86" s="62" t="s">
        <v>390</v>
      </c>
      <c r="AH86" s="62"/>
      <c r="AI86" s="63" t="n">
        <v>0</v>
      </c>
      <c r="AJ86" s="62" t="s">
        <v>149</v>
      </c>
      <c r="AK86" s="62" t="s">
        <v>391</v>
      </c>
      <c r="AL86" s="62" t="s">
        <v>392</v>
      </c>
      <c r="AM86" s="62" t="s">
        <v>396</v>
      </c>
      <c r="AN86" s="65" t="n">
        <v>96.5</v>
      </c>
      <c r="AO86" s="62" t="s">
        <v>389</v>
      </c>
      <c r="AP86" s="62" t="s">
        <v>390</v>
      </c>
      <c r="AQ86" s="62" t="s">
        <v>390</v>
      </c>
      <c r="AR86" s="66"/>
      <c r="AS86" s="62"/>
      <c r="AT86" s="65"/>
      <c r="AU86" s="62" t="s">
        <v>400</v>
      </c>
    </row>
    <row r="87" customFormat="false" ht="15" hidden="false" customHeight="false" outlineLevel="0" collapsed="false">
      <c r="A87" s="62" t="s">
        <v>388</v>
      </c>
      <c r="B87" s="63" t="n">
        <v>570</v>
      </c>
      <c r="C87" s="64" t="n">
        <v>46302.4270513773</v>
      </c>
      <c r="D87" s="62" t="s">
        <v>72</v>
      </c>
      <c r="E87" s="63" t="n">
        <v>10</v>
      </c>
      <c r="F87" s="62" t="s">
        <v>389</v>
      </c>
      <c r="G87" s="62" t="s">
        <v>389</v>
      </c>
      <c r="H87" s="62" t="s">
        <v>389</v>
      </c>
      <c r="I87" s="62" t="s">
        <v>389</v>
      </c>
      <c r="J87" s="65" t="n">
        <v>0.8</v>
      </c>
      <c r="K87" s="62" t="s">
        <v>276</v>
      </c>
      <c r="L87" s="62" t="s">
        <v>389</v>
      </c>
      <c r="M87" s="62" t="s">
        <v>390</v>
      </c>
      <c r="N87" s="62"/>
      <c r="O87" s="62" t="s">
        <v>389</v>
      </c>
      <c r="P87" s="62" t="s">
        <v>390</v>
      </c>
      <c r="Q87" s="62" t="s">
        <v>390</v>
      </c>
      <c r="R87" s="62" t="s">
        <v>278</v>
      </c>
      <c r="S87" s="62" t="s">
        <v>389</v>
      </c>
      <c r="T87" s="65" t="n">
        <v>460.3</v>
      </c>
      <c r="U87" s="62" t="s">
        <v>278</v>
      </c>
      <c r="V87" s="65" t="n">
        <v>1</v>
      </c>
      <c r="W87" s="65" t="n">
        <v>232.1</v>
      </c>
      <c r="X87" s="63" t="n">
        <v>0</v>
      </c>
      <c r="Y87" s="62" t="s">
        <v>390</v>
      </c>
      <c r="Z87" s="62" t="s">
        <v>389</v>
      </c>
      <c r="AA87" s="62" t="s">
        <v>395</v>
      </c>
      <c r="AB87" s="62" t="s">
        <v>278</v>
      </c>
      <c r="AC87" s="65" t="n">
        <v>30.9</v>
      </c>
      <c r="AD87" s="63" t="n">
        <v>3</v>
      </c>
      <c r="AE87" s="63" t="n">
        <v>13</v>
      </c>
      <c r="AF87" s="63" t="n">
        <v>7</v>
      </c>
      <c r="AG87" s="62" t="s">
        <v>389</v>
      </c>
      <c r="AH87" s="62" t="s">
        <v>398</v>
      </c>
      <c r="AI87" s="63" t="n">
        <v>0</v>
      </c>
      <c r="AJ87" s="62" t="s">
        <v>150</v>
      </c>
      <c r="AK87" s="62" t="s">
        <v>391</v>
      </c>
      <c r="AL87" s="62" t="s">
        <v>392</v>
      </c>
      <c r="AM87" s="62" t="s">
        <v>396</v>
      </c>
      <c r="AN87" s="65" t="n">
        <v>75.5</v>
      </c>
      <c r="AO87" s="62" t="s">
        <v>389</v>
      </c>
      <c r="AP87" s="62" t="s">
        <v>390</v>
      </c>
      <c r="AQ87" s="62" t="s">
        <v>390</v>
      </c>
      <c r="AR87" s="66"/>
      <c r="AS87" s="62"/>
      <c r="AT87" s="65"/>
      <c r="AU87" s="62" t="s">
        <v>400</v>
      </c>
    </row>
    <row r="88" customFormat="false" ht="15" hidden="false" customHeight="false" outlineLevel="0" collapsed="false">
      <c r="A88" s="62" t="s">
        <v>388</v>
      </c>
      <c r="B88" s="63" t="n">
        <v>572</v>
      </c>
      <c r="C88" s="64" t="n">
        <v>46302.432057581</v>
      </c>
      <c r="D88" s="62" t="s">
        <v>72</v>
      </c>
      <c r="E88" s="63" t="n">
        <v>10</v>
      </c>
      <c r="F88" s="62" t="s">
        <v>389</v>
      </c>
      <c r="G88" s="62" t="s">
        <v>389</v>
      </c>
      <c r="H88" s="62" t="s">
        <v>389</v>
      </c>
      <c r="I88" s="62" t="s">
        <v>389</v>
      </c>
      <c r="J88" s="65" t="n">
        <v>1.4</v>
      </c>
      <c r="K88" s="62" t="s">
        <v>276</v>
      </c>
      <c r="L88" s="62" t="s">
        <v>389</v>
      </c>
      <c r="M88" s="62" t="s">
        <v>389</v>
      </c>
      <c r="N88" s="62" t="s">
        <v>307</v>
      </c>
      <c r="O88" s="62" t="s">
        <v>389</v>
      </c>
      <c r="P88" s="62" t="s">
        <v>390</v>
      </c>
      <c r="Q88" s="62" t="s">
        <v>390</v>
      </c>
      <c r="R88" s="62" t="s">
        <v>277</v>
      </c>
      <c r="S88" s="62" t="s">
        <v>389</v>
      </c>
      <c r="T88" s="65" t="n">
        <v>11.2</v>
      </c>
      <c r="U88" s="62" t="s">
        <v>276</v>
      </c>
      <c r="V88" s="65" t="n">
        <v>2.3</v>
      </c>
      <c r="W88" s="65" t="n">
        <v>6.2</v>
      </c>
      <c r="X88" s="63" t="n">
        <v>0</v>
      </c>
      <c r="Y88" s="62" t="s">
        <v>389</v>
      </c>
      <c r="Z88" s="62" t="s">
        <v>389</v>
      </c>
      <c r="AA88" s="62" t="s">
        <v>395</v>
      </c>
      <c r="AB88" s="62" t="s">
        <v>275</v>
      </c>
      <c r="AC88" s="65" t="n">
        <v>26.7</v>
      </c>
      <c r="AD88" s="63" t="n">
        <v>5</v>
      </c>
      <c r="AE88" s="63" t="n">
        <v>18</v>
      </c>
      <c r="AF88" s="63" t="n">
        <v>7</v>
      </c>
      <c r="AG88" s="62" t="s">
        <v>390</v>
      </c>
      <c r="AH88" s="62"/>
      <c r="AI88" s="63" t="n">
        <v>0</v>
      </c>
      <c r="AJ88" s="62" t="s">
        <v>149</v>
      </c>
      <c r="AK88" s="62" t="s">
        <v>391</v>
      </c>
      <c r="AL88" s="62" t="s">
        <v>392</v>
      </c>
      <c r="AM88" s="62" t="s">
        <v>396</v>
      </c>
      <c r="AN88" s="65" t="n">
        <v>96.2</v>
      </c>
      <c r="AO88" s="62" t="s">
        <v>389</v>
      </c>
      <c r="AP88" s="62" t="s">
        <v>390</v>
      </c>
      <c r="AQ88" s="62" t="s">
        <v>390</v>
      </c>
      <c r="AR88" s="66"/>
      <c r="AS88" s="62"/>
      <c r="AT88" s="65"/>
      <c r="AU88" s="62" t="s">
        <v>400</v>
      </c>
    </row>
    <row r="89" customFormat="false" ht="15" hidden="false" customHeight="false" outlineLevel="0" collapsed="false">
      <c r="A89" s="62" t="s">
        <v>388</v>
      </c>
      <c r="B89" s="63" t="n">
        <v>575</v>
      </c>
      <c r="C89" s="64" t="n">
        <v>46302.440824294</v>
      </c>
      <c r="D89" s="62" t="s">
        <v>72</v>
      </c>
      <c r="E89" s="63" t="n">
        <v>10</v>
      </c>
      <c r="F89" s="62" t="s">
        <v>389</v>
      </c>
      <c r="G89" s="62" t="s">
        <v>389</v>
      </c>
      <c r="H89" s="62" t="s">
        <v>389</v>
      </c>
      <c r="I89" s="62" t="s">
        <v>389</v>
      </c>
      <c r="J89" s="65" t="n">
        <v>2.2</v>
      </c>
      <c r="K89" s="62" t="s">
        <v>276</v>
      </c>
      <c r="L89" s="62" t="s">
        <v>389</v>
      </c>
      <c r="M89" s="62" t="s">
        <v>389</v>
      </c>
      <c r="N89" s="62" t="s">
        <v>303</v>
      </c>
      <c r="O89" s="62" t="s">
        <v>389</v>
      </c>
      <c r="P89" s="62" t="s">
        <v>389</v>
      </c>
      <c r="Q89" s="62" t="s">
        <v>390</v>
      </c>
      <c r="R89" s="62" t="s">
        <v>277</v>
      </c>
      <c r="S89" s="62" t="s">
        <v>389</v>
      </c>
      <c r="T89" s="65" t="n">
        <v>26.1</v>
      </c>
      <c r="U89" s="62" t="s">
        <v>276</v>
      </c>
      <c r="V89" s="65" t="n">
        <v>3.1</v>
      </c>
      <c r="W89" s="65" t="n">
        <v>16.7</v>
      </c>
      <c r="X89" s="63" t="n">
        <v>0</v>
      </c>
      <c r="Y89" s="62" t="s">
        <v>389</v>
      </c>
      <c r="Z89" s="62" t="s">
        <v>389</v>
      </c>
      <c r="AA89" s="62" t="s">
        <v>395</v>
      </c>
      <c r="AB89" s="62" t="s">
        <v>275</v>
      </c>
      <c r="AC89" s="65" t="n">
        <v>28.8</v>
      </c>
      <c r="AD89" s="63" t="n">
        <v>3</v>
      </c>
      <c r="AE89" s="63" t="n">
        <v>20</v>
      </c>
      <c r="AF89" s="63" t="n">
        <v>5</v>
      </c>
      <c r="AG89" s="62" t="s">
        <v>389</v>
      </c>
      <c r="AH89" s="62" t="s">
        <v>398</v>
      </c>
      <c r="AI89" s="63" t="n">
        <v>0</v>
      </c>
      <c r="AJ89" s="62" t="s">
        <v>149</v>
      </c>
      <c r="AK89" s="62" t="s">
        <v>391</v>
      </c>
      <c r="AL89" s="62" t="s">
        <v>392</v>
      </c>
      <c r="AM89" s="62" t="s">
        <v>396</v>
      </c>
      <c r="AN89" s="65" t="n">
        <v>95.8</v>
      </c>
      <c r="AO89" s="62" t="s">
        <v>389</v>
      </c>
      <c r="AP89" s="62" t="s">
        <v>390</v>
      </c>
      <c r="AQ89" s="62" t="s">
        <v>390</v>
      </c>
      <c r="AR89" s="66"/>
      <c r="AS89" s="62"/>
      <c r="AT89" s="65"/>
      <c r="AU89" s="62" t="s">
        <v>400</v>
      </c>
    </row>
    <row r="90" customFormat="false" ht="15" hidden="false" customHeight="false" outlineLevel="0" collapsed="false">
      <c r="A90" s="62" t="s">
        <v>388</v>
      </c>
      <c r="B90" s="63" t="n">
        <v>578</v>
      </c>
      <c r="C90" s="64" t="n">
        <v>46302.4596864815</v>
      </c>
      <c r="D90" s="62" t="s">
        <v>72</v>
      </c>
      <c r="E90" s="63" t="n">
        <v>11</v>
      </c>
      <c r="F90" s="62" t="s">
        <v>389</v>
      </c>
      <c r="G90" s="62" t="s">
        <v>390</v>
      </c>
      <c r="H90" s="62" t="s">
        <v>390</v>
      </c>
      <c r="I90" s="62" t="s">
        <v>389</v>
      </c>
      <c r="J90" s="65"/>
      <c r="K90" s="62" t="s">
        <v>275</v>
      </c>
      <c r="L90" s="62" t="s">
        <v>389</v>
      </c>
      <c r="M90" s="62" t="s">
        <v>390</v>
      </c>
      <c r="N90" s="62"/>
      <c r="O90" s="62" t="s">
        <v>389</v>
      </c>
      <c r="P90" s="62" t="s">
        <v>390</v>
      </c>
      <c r="Q90" s="62" t="s">
        <v>390</v>
      </c>
      <c r="R90" s="62" t="s">
        <v>277</v>
      </c>
      <c r="S90" s="62" t="s">
        <v>390</v>
      </c>
      <c r="T90" s="65" t="n">
        <v>3313.4</v>
      </c>
      <c r="U90" s="62" t="s">
        <v>277</v>
      </c>
      <c r="V90" s="65" t="n">
        <v>3313.4</v>
      </c>
      <c r="W90" s="65"/>
      <c r="X90" s="63" t="n">
        <v>0</v>
      </c>
      <c r="Y90" s="62" t="s">
        <v>390</v>
      </c>
      <c r="Z90" s="62" t="s">
        <v>389</v>
      </c>
      <c r="AA90" s="62" t="s">
        <v>395</v>
      </c>
      <c r="AB90" s="62" t="s">
        <v>275</v>
      </c>
      <c r="AC90" s="65" t="n">
        <v>26.6</v>
      </c>
      <c r="AD90" s="63" t="n">
        <v>1</v>
      </c>
      <c r="AE90" s="63" t="n">
        <v>19</v>
      </c>
      <c r="AF90" s="63" t="n">
        <v>2</v>
      </c>
      <c r="AG90" s="62" t="s">
        <v>390</v>
      </c>
      <c r="AH90" s="62"/>
      <c r="AI90" s="63" t="n">
        <v>0</v>
      </c>
      <c r="AJ90" s="62" t="s">
        <v>147</v>
      </c>
      <c r="AK90" s="62" t="s">
        <v>391</v>
      </c>
      <c r="AL90" s="62" t="s">
        <v>392</v>
      </c>
      <c r="AM90" s="62" t="s">
        <v>396</v>
      </c>
      <c r="AN90" s="65" t="n">
        <v>95.5</v>
      </c>
      <c r="AO90" s="62" t="s">
        <v>389</v>
      </c>
      <c r="AP90" s="62" t="s">
        <v>390</v>
      </c>
      <c r="AQ90" s="62" t="s">
        <v>390</v>
      </c>
      <c r="AR90" s="66"/>
      <c r="AS90" s="62"/>
      <c r="AT90" s="65"/>
      <c r="AU90" s="62" t="s">
        <v>400</v>
      </c>
    </row>
    <row r="91" customFormat="false" ht="15" hidden="false" customHeight="false" outlineLevel="0" collapsed="false">
      <c r="A91" s="62" t="s">
        <v>388</v>
      </c>
      <c r="B91" s="63" t="n">
        <v>579</v>
      </c>
      <c r="C91" s="64" t="n">
        <v>46302.4606629051</v>
      </c>
      <c r="D91" s="62" t="s">
        <v>72</v>
      </c>
      <c r="E91" s="63" t="n">
        <v>11</v>
      </c>
      <c r="F91" s="62" t="s">
        <v>389</v>
      </c>
      <c r="G91" s="62" t="s">
        <v>389</v>
      </c>
      <c r="H91" s="62" t="s">
        <v>389</v>
      </c>
      <c r="I91" s="62" t="s">
        <v>389</v>
      </c>
      <c r="J91" s="65" t="n">
        <v>0.3</v>
      </c>
      <c r="K91" s="62" t="s">
        <v>277</v>
      </c>
      <c r="L91" s="62" t="s">
        <v>389</v>
      </c>
      <c r="M91" s="62" t="s">
        <v>390</v>
      </c>
      <c r="N91" s="62"/>
      <c r="O91" s="62" t="s">
        <v>389</v>
      </c>
      <c r="P91" s="62" t="s">
        <v>390</v>
      </c>
      <c r="Q91" s="62" t="s">
        <v>390</v>
      </c>
      <c r="R91" s="62" t="s">
        <v>277</v>
      </c>
      <c r="S91" s="62" t="s">
        <v>390</v>
      </c>
      <c r="T91" s="65" t="n">
        <v>3306.5</v>
      </c>
      <c r="U91" s="62" t="s">
        <v>277</v>
      </c>
      <c r="V91" s="65" t="n">
        <v>0.7</v>
      </c>
      <c r="W91" s="65" t="n">
        <v>3306.2</v>
      </c>
      <c r="X91" s="63" t="n">
        <v>2</v>
      </c>
      <c r="Y91" s="62" t="s">
        <v>390</v>
      </c>
      <c r="Z91" s="62" t="s">
        <v>389</v>
      </c>
      <c r="AA91" s="62" t="s">
        <v>395</v>
      </c>
      <c r="AB91" s="62" t="s">
        <v>275</v>
      </c>
      <c r="AC91" s="65" t="n">
        <v>26.1</v>
      </c>
      <c r="AD91" s="63" t="n">
        <v>4</v>
      </c>
      <c r="AE91" s="63" t="n">
        <v>31</v>
      </c>
      <c r="AF91" s="63" t="n">
        <v>1</v>
      </c>
      <c r="AG91" s="62" t="s">
        <v>389</v>
      </c>
      <c r="AH91" s="62" t="s">
        <v>330</v>
      </c>
      <c r="AI91" s="63" t="n">
        <v>0</v>
      </c>
      <c r="AJ91" s="62" t="s">
        <v>148</v>
      </c>
      <c r="AK91" s="62" t="s">
        <v>391</v>
      </c>
      <c r="AL91" s="62" t="s">
        <v>392</v>
      </c>
      <c r="AM91" s="62" t="s">
        <v>396</v>
      </c>
      <c r="AN91" s="65" t="n">
        <v>118.1</v>
      </c>
      <c r="AO91" s="62" t="s">
        <v>389</v>
      </c>
      <c r="AP91" s="62" t="s">
        <v>390</v>
      </c>
      <c r="AQ91" s="62" t="s">
        <v>390</v>
      </c>
      <c r="AR91" s="66"/>
      <c r="AS91" s="62"/>
      <c r="AT91" s="65"/>
      <c r="AU91" s="62" t="s">
        <v>400</v>
      </c>
    </row>
    <row r="92" customFormat="false" ht="15" hidden="false" customHeight="false" outlineLevel="0" collapsed="false">
      <c r="A92" s="62" t="s">
        <v>388</v>
      </c>
      <c r="B92" s="63" t="n">
        <v>580</v>
      </c>
      <c r="C92" s="64" t="n">
        <v>46302.4637566088</v>
      </c>
      <c r="D92" s="62" t="s">
        <v>72</v>
      </c>
      <c r="E92" s="63" t="n">
        <v>11</v>
      </c>
      <c r="F92" s="62" t="s">
        <v>389</v>
      </c>
      <c r="G92" s="62" t="s">
        <v>389</v>
      </c>
      <c r="H92" s="62" t="s">
        <v>389</v>
      </c>
      <c r="I92" s="62" t="s">
        <v>389</v>
      </c>
      <c r="J92" s="65" t="n">
        <v>0.4</v>
      </c>
      <c r="K92" s="62" t="s">
        <v>277</v>
      </c>
      <c r="L92" s="62" t="s">
        <v>389</v>
      </c>
      <c r="M92" s="62" t="s">
        <v>390</v>
      </c>
      <c r="N92" s="62"/>
      <c r="O92" s="62" t="s">
        <v>389</v>
      </c>
      <c r="P92" s="62" t="s">
        <v>390</v>
      </c>
      <c r="Q92" s="62" t="s">
        <v>390</v>
      </c>
      <c r="R92" s="62" t="s">
        <v>277</v>
      </c>
      <c r="S92" s="62" t="s">
        <v>390</v>
      </c>
      <c r="T92" s="65" t="n">
        <v>3302.8</v>
      </c>
      <c r="U92" s="62" t="s">
        <v>277</v>
      </c>
      <c r="V92" s="65" t="n">
        <v>0.6</v>
      </c>
      <c r="W92" s="65" t="n">
        <v>3302.5</v>
      </c>
      <c r="X92" s="63" t="n">
        <v>0</v>
      </c>
      <c r="Y92" s="62" t="s">
        <v>390</v>
      </c>
      <c r="Z92" s="62" t="s">
        <v>389</v>
      </c>
      <c r="AA92" s="62" t="s">
        <v>395</v>
      </c>
      <c r="AB92" s="62" t="s">
        <v>275</v>
      </c>
      <c r="AC92" s="65" t="n">
        <v>26.1</v>
      </c>
      <c r="AD92" s="63" t="n">
        <v>2</v>
      </c>
      <c r="AE92" s="63" t="n">
        <v>18</v>
      </c>
      <c r="AF92" s="63" t="n">
        <v>2</v>
      </c>
      <c r="AG92" s="62" t="s">
        <v>390</v>
      </c>
      <c r="AH92" s="62"/>
      <c r="AI92" s="63" t="n">
        <v>0</v>
      </c>
      <c r="AJ92" s="62" t="s">
        <v>148</v>
      </c>
      <c r="AK92" s="62" t="s">
        <v>391</v>
      </c>
      <c r="AL92" s="62" t="s">
        <v>392</v>
      </c>
      <c r="AM92" s="62" t="s">
        <v>396</v>
      </c>
      <c r="AN92" s="65" t="n">
        <v>95.3</v>
      </c>
      <c r="AO92" s="62" t="s">
        <v>389</v>
      </c>
      <c r="AP92" s="62" t="s">
        <v>390</v>
      </c>
      <c r="AQ92" s="62" t="s">
        <v>390</v>
      </c>
      <c r="AR92" s="66"/>
      <c r="AS92" s="62"/>
      <c r="AT92" s="65"/>
      <c r="AU92" s="62" t="s">
        <v>400</v>
      </c>
    </row>
    <row r="93" customFormat="false" ht="15" hidden="false" customHeight="false" outlineLevel="0" collapsed="false">
      <c r="A93" s="62" t="s">
        <v>388</v>
      </c>
      <c r="B93" s="63" t="n">
        <v>581</v>
      </c>
      <c r="C93" s="64" t="n">
        <v>46302.4639851852</v>
      </c>
      <c r="D93" s="62" t="s">
        <v>72</v>
      </c>
      <c r="E93" s="63" t="n">
        <v>11</v>
      </c>
      <c r="F93" s="62" t="s">
        <v>389</v>
      </c>
      <c r="G93" s="62" t="s">
        <v>389</v>
      </c>
      <c r="H93" s="62" t="s">
        <v>389</v>
      </c>
      <c r="I93" s="62" t="s">
        <v>389</v>
      </c>
      <c r="J93" s="65" t="n">
        <v>0.4</v>
      </c>
      <c r="K93" s="62" t="s">
        <v>277</v>
      </c>
      <c r="L93" s="62" t="s">
        <v>389</v>
      </c>
      <c r="M93" s="62" t="s">
        <v>390</v>
      </c>
      <c r="N93" s="62"/>
      <c r="O93" s="62" t="s">
        <v>389</v>
      </c>
      <c r="P93" s="62" t="s">
        <v>390</v>
      </c>
      <c r="Q93" s="62" t="s">
        <v>390</v>
      </c>
      <c r="R93" s="62" t="s">
        <v>277</v>
      </c>
      <c r="S93" s="62" t="s">
        <v>390</v>
      </c>
      <c r="T93" s="65" t="n">
        <v>3302.9</v>
      </c>
      <c r="U93" s="62" t="s">
        <v>277</v>
      </c>
      <c r="V93" s="65" t="n">
        <v>0.7</v>
      </c>
      <c r="W93" s="65" t="n">
        <v>3302.6</v>
      </c>
      <c r="X93" s="63" t="n">
        <v>0</v>
      </c>
      <c r="Y93" s="62" t="s">
        <v>390</v>
      </c>
      <c r="Z93" s="62" t="s">
        <v>389</v>
      </c>
      <c r="AA93" s="62" t="s">
        <v>395</v>
      </c>
      <c r="AB93" s="62" t="s">
        <v>275</v>
      </c>
      <c r="AC93" s="65" t="n">
        <v>26.1</v>
      </c>
      <c r="AD93" s="63" t="n">
        <v>2</v>
      </c>
      <c r="AE93" s="63" t="n">
        <v>18</v>
      </c>
      <c r="AF93" s="63" t="n">
        <v>2</v>
      </c>
      <c r="AG93" s="62" t="s">
        <v>390</v>
      </c>
      <c r="AH93" s="62"/>
      <c r="AI93" s="63" t="n">
        <v>0</v>
      </c>
      <c r="AJ93" s="62" t="s">
        <v>148</v>
      </c>
      <c r="AK93" s="62" t="s">
        <v>391</v>
      </c>
      <c r="AL93" s="62" t="s">
        <v>392</v>
      </c>
      <c r="AM93" s="62" t="s">
        <v>396</v>
      </c>
      <c r="AN93" s="65" t="n">
        <v>95.3</v>
      </c>
      <c r="AO93" s="62" t="s">
        <v>389</v>
      </c>
      <c r="AP93" s="62" t="s">
        <v>390</v>
      </c>
      <c r="AQ93" s="62" t="s">
        <v>390</v>
      </c>
      <c r="AR93" s="66"/>
      <c r="AS93" s="62"/>
      <c r="AT93" s="65"/>
      <c r="AU93" s="62" t="s">
        <v>400</v>
      </c>
    </row>
    <row r="94" customFormat="false" ht="15" hidden="false" customHeight="false" outlineLevel="0" collapsed="false">
      <c r="A94" s="62" t="s">
        <v>388</v>
      </c>
      <c r="B94" s="63" t="n">
        <v>585</v>
      </c>
      <c r="C94" s="64" t="n">
        <v>46302.476995081</v>
      </c>
      <c r="D94" s="62" t="s">
        <v>72</v>
      </c>
      <c r="E94" s="63" t="n">
        <v>11</v>
      </c>
      <c r="F94" s="62" t="s">
        <v>389</v>
      </c>
      <c r="G94" s="62" t="s">
        <v>389</v>
      </c>
      <c r="H94" s="62" t="s">
        <v>389</v>
      </c>
      <c r="I94" s="62" t="s">
        <v>389</v>
      </c>
      <c r="J94" s="65" t="n">
        <v>1.5</v>
      </c>
      <c r="K94" s="62" t="s">
        <v>277</v>
      </c>
      <c r="L94" s="62" t="s">
        <v>389</v>
      </c>
      <c r="M94" s="62" t="s">
        <v>389</v>
      </c>
      <c r="N94" s="62" t="s">
        <v>305</v>
      </c>
      <c r="O94" s="62" t="s">
        <v>390</v>
      </c>
      <c r="P94" s="62" t="s">
        <v>389</v>
      </c>
      <c r="Q94" s="62" t="s">
        <v>390</v>
      </c>
      <c r="R94" s="62" t="s">
        <v>277</v>
      </c>
      <c r="S94" s="62" t="s">
        <v>389</v>
      </c>
      <c r="T94" s="65" t="n">
        <v>5.2</v>
      </c>
      <c r="U94" s="62" t="s">
        <v>277</v>
      </c>
      <c r="V94" s="65" t="n">
        <v>1.7</v>
      </c>
      <c r="W94" s="65" t="n">
        <v>2.7</v>
      </c>
      <c r="X94" s="63" t="n">
        <v>0</v>
      </c>
      <c r="Y94" s="62" t="s">
        <v>389</v>
      </c>
      <c r="Z94" s="62" t="s">
        <v>389</v>
      </c>
      <c r="AA94" s="62" t="s">
        <v>395</v>
      </c>
      <c r="AB94" s="62" t="s">
        <v>276</v>
      </c>
      <c r="AC94" s="65" t="n">
        <v>50.5</v>
      </c>
      <c r="AD94" s="63" t="n">
        <v>5</v>
      </c>
      <c r="AE94" s="63" t="n">
        <v>10</v>
      </c>
      <c r="AF94" s="63" t="n">
        <v>10</v>
      </c>
      <c r="AG94" s="62" t="s">
        <v>389</v>
      </c>
      <c r="AH94" s="62" t="s">
        <v>398</v>
      </c>
      <c r="AI94" s="63" t="n">
        <v>0</v>
      </c>
      <c r="AJ94" s="62" t="s">
        <v>151</v>
      </c>
      <c r="AK94" s="62" t="s">
        <v>391</v>
      </c>
      <c r="AL94" s="62" t="s">
        <v>392</v>
      </c>
      <c r="AM94" s="62" t="s">
        <v>396</v>
      </c>
      <c r="AN94" s="65" t="n">
        <v>99.7</v>
      </c>
      <c r="AO94" s="62" t="s">
        <v>389</v>
      </c>
      <c r="AP94" s="62" t="s">
        <v>390</v>
      </c>
      <c r="AQ94" s="62" t="s">
        <v>390</v>
      </c>
      <c r="AR94" s="66"/>
      <c r="AS94" s="62"/>
      <c r="AT94" s="65"/>
      <c r="AU94" s="62" t="s">
        <v>400</v>
      </c>
    </row>
    <row r="95" customFormat="false" ht="15" hidden="false" customHeight="false" outlineLevel="0" collapsed="false">
      <c r="A95" s="62" t="s">
        <v>388</v>
      </c>
      <c r="B95" s="63" t="n">
        <v>586</v>
      </c>
      <c r="C95" s="64" t="n">
        <v>46302.4831334954</v>
      </c>
      <c r="D95" s="62" t="s">
        <v>72</v>
      </c>
      <c r="E95" s="63" t="n">
        <v>11</v>
      </c>
      <c r="F95" s="62" t="s">
        <v>389</v>
      </c>
      <c r="G95" s="62" t="s">
        <v>389</v>
      </c>
      <c r="H95" s="62" t="s">
        <v>389</v>
      </c>
      <c r="I95" s="62" t="s">
        <v>389</v>
      </c>
      <c r="J95" s="65" t="n">
        <v>1.5</v>
      </c>
      <c r="K95" s="62" t="s">
        <v>277</v>
      </c>
      <c r="L95" s="62" t="s">
        <v>389</v>
      </c>
      <c r="M95" s="62" t="s">
        <v>389</v>
      </c>
      <c r="N95" s="62" t="s">
        <v>304</v>
      </c>
      <c r="O95" s="62" t="s">
        <v>389</v>
      </c>
      <c r="P95" s="62" t="s">
        <v>390</v>
      </c>
      <c r="Q95" s="62" t="s">
        <v>390</v>
      </c>
      <c r="R95" s="62" t="s">
        <v>277</v>
      </c>
      <c r="S95" s="62" t="s">
        <v>389</v>
      </c>
      <c r="T95" s="65" t="n">
        <v>179.5</v>
      </c>
      <c r="U95" s="62" t="s">
        <v>277</v>
      </c>
      <c r="V95" s="65" t="n">
        <v>1.9</v>
      </c>
      <c r="W95" s="65" t="n">
        <v>1.2</v>
      </c>
      <c r="X95" s="63" t="n">
        <v>0</v>
      </c>
      <c r="Y95" s="62" t="s">
        <v>389</v>
      </c>
      <c r="Z95" s="62" t="s">
        <v>389</v>
      </c>
      <c r="AA95" s="62" t="s">
        <v>395</v>
      </c>
      <c r="AB95" s="62" t="s">
        <v>275</v>
      </c>
      <c r="AC95" s="65" t="n">
        <v>26.1</v>
      </c>
      <c r="AD95" s="63" t="n">
        <v>5</v>
      </c>
      <c r="AE95" s="63" t="n">
        <v>18</v>
      </c>
      <c r="AF95" s="63" t="n">
        <v>11</v>
      </c>
      <c r="AG95" s="62" t="s">
        <v>389</v>
      </c>
      <c r="AH95" s="62" t="s">
        <v>398</v>
      </c>
      <c r="AI95" s="63" t="n">
        <v>0</v>
      </c>
      <c r="AJ95" s="62" t="s">
        <v>150</v>
      </c>
      <c r="AK95" s="62" t="s">
        <v>391</v>
      </c>
      <c r="AL95" s="62" t="s">
        <v>392</v>
      </c>
      <c r="AM95" s="62" t="s">
        <v>396</v>
      </c>
      <c r="AN95" s="65" t="n">
        <v>94.9</v>
      </c>
      <c r="AO95" s="62" t="s">
        <v>389</v>
      </c>
      <c r="AP95" s="62" t="s">
        <v>390</v>
      </c>
      <c r="AQ95" s="62" t="s">
        <v>390</v>
      </c>
      <c r="AR95" s="66"/>
      <c r="AS95" s="62"/>
      <c r="AT95" s="65"/>
      <c r="AU95" s="62" t="s">
        <v>400</v>
      </c>
    </row>
    <row r="96" customFormat="false" ht="15" hidden="false" customHeight="false" outlineLevel="0" collapsed="false">
      <c r="A96" s="62" t="s">
        <v>388</v>
      </c>
      <c r="B96" s="63" t="n">
        <v>590</v>
      </c>
      <c r="C96" s="64" t="n">
        <v>46302.5055747338</v>
      </c>
      <c r="D96" s="62" t="s">
        <v>72</v>
      </c>
      <c r="E96" s="63" t="n">
        <v>12</v>
      </c>
      <c r="F96" s="62" t="s">
        <v>389</v>
      </c>
      <c r="G96" s="62" t="s">
        <v>389</v>
      </c>
      <c r="H96" s="62" t="s">
        <v>389</v>
      </c>
      <c r="I96" s="62" t="s">
        <v>389</v>
      </c>
      <c r="J96" s="65" t="n">
        <v>0.5</v>
      </c>
      <c r="K96" s="62" t="s">
        <v>277</v>
      </c>
      <c r="L96" s="62" t="s">
        <v>389</v>
      </c>
      <c r="M96" s="62" t="s">
        <v>390</v>
      </c>
      <c r="N96" s="62"/>
      <c r="O96" s="62" t="s">
        <v>389</v>
      </c>
      <c r="P96" s="62" t="s">
        <v>389</v>
      </c>
      <c r="Q96" s="62" t="s">
        <v>390</v>
      </c>
      <c r="R96" s="62" t="s">
        <v>277</v>
      </c>
      <c r="S96" s="62" t="s">
        <v>390</v>
      </c>
      <c r="T96" s="65" t="n">
        <v>1484.3</v>
      </c>
      <c r="U96" s="62" t="s">
        <v>277</v>
      </c>
      <c r="V96" s="65" t="n">
        <v>7.3</v>
      </c>
      <c r="W96" s="65" t="n">
        <v>1477.5</v>
      </c>
      <c r="X96" s="63" t="n">
        <v>0</v>
      </c>
      <c r="Y96" s="62" t="s">
        <v>390</v>
      </c>
      <c r="Z96" s="62" t="s">
        <v>389</v>
      </c>
      <c r="AA96" s="62" t="s">
        <v>395</v>
      </c>
      <c r="AB96" s="62" t="s">
        <v>275</v>
      </c>
      <c r="AC96" s="65" t="n">
        <v>26.2</v>
      </c>
      <c r="AD96" s="63" t="n">
        <v>4</v>
      </c>
      <c r="AE96" s="63" t="n">
        <v>28</v>
      </c>
      <c r="AF96" s="63" t="n">
        <v>3</v>
      </c>
      <c r="AG96" s="62" t="s">
        <v>389</v>
      </c>
      <c r="AH96" s="62" t="s">
        <v>413</v>
      </c>
      <c r="AI96" s="63" t="n">
        <v>0</v>
      </c>
      <c r="AJ96" s="62" t="s">
        <v>150</v>
      </c>
      <c r="AK96" s="62" t="s">
        <v>391</v>
      </c>
      <c r="AL96" s="62" t="s">
        <v>392</v>
      </c>
      <c r="AM96" s="62" t="s">
        <v>396</v>
      </c>
      <c r="AN96" s="65" t="n">
        <v>117.2</v>
      </c>
      <c r="AO96" s="62" t="s">
        <v>389</v>
      </c>
      <c r="AP96" s="62" t="s">
        <v>390</v>
      </c>
      <c r="AQ96" s="62" t="s">
        <v>390</v>
      </c>
      <c r="AR96" s="66"/>
      <c r="AS96" s="62"/>
      <c r="AT96" s="65"/>
      <c r="AU96" s="62" t="s">
        <v>400</v>
      </c>
    </row>
    <row r="97" customFormat="false" ht="15" hidden="false" customHeight="false" outlineLevel="0" collapsed="false">
      <c r="A97" s="62" t="s">
        <v>388</v>
      </c>
      <c r="B97" s="63" t="n">
        <v>592</v>
      </c>
      <c r="C97" s="64" t="n">
        <v>46302.5099719792</v>
      </c>
      <c r="D97" s="62" t="s">
        <v>72</v>
      </c>
      <c r="E97" s="63" t="n">
        <v>12</v>
      </c>
      <c r="F97" s="62" t="s">
        <v>389</v>
      </c>
      <c r="G97" s="62" t="s">
        <v>389</v>
      </c>
      <c r="H97" s="62" t="s">
        <v>389</v>
      </c>
      <c r="I97" s="62" t="s">
        <v>389</v>
      </c>
      <c r="J97" s="65" t="n">
        <v>1</v>
      </c>
      <c r="K97" s="62" t="s">
        <v>277</v>
      </c>
      <c r="L97" s="62" t="s">
        <v>389</v>
      </c>
      <c r="M97" s="62" t="s">
        <v>390</v>
      </c>
      <c r="N97" s="62"/>
      <c r="O97" s="62" t="s">
        <v>389</v>
      </c>
      <c r="P97" s="62" t="s">
        <v>390</v>
      </c>
      <c r="Q97" s="62" t="s">
        <v>390</v>
      </c>
      <c r="R97" s="62" t="s">
        <v>277</v>
      </c>
      <c r="S97" s="62" t="s">
        <v>390</v>
      </c>
      <c r="T97" s="65" t="n">
        <v>3245.1</v>
      </c>
      <c r="U97" s="62" t="s">
        <v>277</v>
      </c>
      <c r="V97" s="65" t="n">
        <v>1.2</v>
      </c>
      <c r="W97" s="65" t="n">
        <v>3244.9</v>
      </c>
      <c r="X97" s="63" t="n">
        <v>0</v>
      </c>
      <c r="Y97" s="62" t="s">
        <v>390</v>
      </c>
      <c r="Z97" s="62" t="s">
        <v>389</v>
      </c>
      <c r="AA97" s="62" t="s">
        <v>395</v>
      </c>
      <c r="AB97" s="62" t="s">
        <v>275</v>
      </c>
      <c r="AC97" s="65" t="n">
        <v>26.1</v>
      </c>
      <c r="AD97" s="63" t="n">
        <v>2</v>
      </c>
      <c r="AE97" s="63" t="n">
        <v>18</v>
      </c>
      <c r="AF97" s="63" t="n">
        <v>2</v>
      </c>
      <c r="AG97" s="62" t="s">
        <v>389</v>
      </c>
      <c r="AH97" s="62" t="s">
        <v>398</v>
      </c>
      <c r="AI97" s="63" t="n">
        <v>0</v>
      </c>
      <c r="AJ97" s="62" t="s">
        <v>148</v>
      </c>
      <c r="AK97" s="62" t="s">
        <v>391</v>
      </c>
      <c r="AL97" s="62" t="s">
        <v>392</v>
      </c>
      <c r="AM97" s="62" t="s">
        <v>396</v>
      </c>
      <c r="AN97" s="65" t="n">
        <v>94.5</v>
      </c>
      <c r="AO97" s="62" t="s">
        <v>389</v>
      </c>
      <c r="AP97" s="62" t="s">
        <v>390</v>
      </c>
      <c r="AQ97" s="62" t="s">
        <v>390</v>
      </c>
      <c r="AR97" s="66"/>
      <c r="AS97" s="62"/>
      <c r="AT97" s="65"/>
      <c r="AU97" s="62" t="s">
        <v>399</v>
      </c>
    </row>
    <row r="98" customFormat="false" ht="15" hidden="false" customHeight="false" outlineLevel="0" collapsed="false">
      <c r="A98" s="62" t="s">
        <v>388</v>
      </c>
      <c r="B98" s="63" t="n">
        <v>600</v>
      </c>
      <c r="C98" s="64" t="n">
        <v>46302.5326323495</v>
      </c>
      <c r="D98" s="62" t="s">
        <v>72</v>
      </c>
      <c r="E98" s="63" t="n">
        <v>12</v>
      </c>
      <c r="F98" s="62" t="s">
        <v>389</v>
      </c>
      <c r="G98" s="62" t="s">
        <v>390</v>
      </c>
      <c r="H98" s="62" t="s">
        <v>390</v>
      </c>
      <c r="I98" s="62" t="s">
        <v>389</v>
      </c>
      <c r="J98" s="65"/>
      <c r="K98" s="62" t="s">
        <v>275</v>
      </c>
      <c r="L98" s="62" t="s">
        <v>389</v>
      </c>
      <c r="M98" s="62" t="s">
        <v>390</v>
      </c>
      <c r="N98" s="62"/>
      <c r="O98" s="62" t="s">
        <v>389</v>
      </c>
      <c r="P98" s="62" t="s">
        <v>390</v>
      </c>
      <c r="Q98" s="62" t="s">
        <v>390</v>
      </c>
      <c r="R98" s="62" t="s">
        <v>277</v>
      </c>
      <c r="S98" s="62" t="s">
        <v>390</v>
      </c>
      <c r="T98" s="65" t="n">
        <v>3214.7</v>
      </c>
      <c r="U98" s="62" t="s">
        <v>277</v>
      </c>
      <c r="V98" s="65" t="n">
        <v>3214.7</v>
      </c>
      <c r="W98" s="65"/>
      <c r="X98" s="63" t="n">
        <v>0</v>
      </c>
      <c r="Y98" s="62" t="s">
        <v>390</v>
      </c>
      <c r="Z98" s="62" t="s">
        <v>389</v>
      </c>
      <c r="AA98" s="62" t="s">
        <v>395</v>
      </c>
      <c r="AB98" s="62" t="s">
        <v>275</v>
      </c>
      <c r="AC98" s="65" t="n">
        <v>26.6</v>
      </c>
      <c r="AD98" s="63" t="n">
        <v>1</v>
      </c>
      <c r="AE98" s="63" t="n">
        <v>19</v>
      </c>
      <c r="AF98" s="63" t="n">
        <v>2</v>
      </c>
      <c r="AG98" s="62" t="s">
        <v>390</v>
      </c>
      <c r="AH98" s="62"/>
      <c r="AI98" s="63" t="n">
        <v>0</v>
      </c>
      <c r="AJ98" s="62" t="s">
        <v>147</v>
      </c>
      <c r="AK98" s="62" t="s">
        <v>391</v>
      </c>
      <c r="AL98" s="62" t="s">
        <v>392</v>
      </c>
      <c r="AM98" s="62" t="s">
        <v>396</v>
      </c>
      <c r="AN98" s="65" t="n">
        <v>94</v>
      </c>
      <c r="AO98" s="62" t="s">
        <v>389</v>
      </c>
      <c r="AP98" s="62" t="s">
        <v>390</v>
      </c>
      <c r="AQ98" s="62" t="s">
        <v>390</v>
      </c>
      <c r="AR98" s="66"/>
      <c r="AS98" s="62"/>
      <c r="AT98" s="65"/>
      <c r="AU98" s="62" t="s">
        <v>400</v>
      </c>
    </row>
    <row r="99" customFormat="false" ht="15" hidden="false" customHeight="false" outlineLevel="0" collapsed="false">
      <c r="A99" s="62" t="s">
        <v>388</v>
      </c>
      <c r="B99" s="63" t="n">
        <v>601</v>
      </c>
      <c r="C99" s="64" t="n">
        <v>46302.5336640625</v>
      </c>
      <c r="D99" s="62" t="s">
        <v>72</v>
      </c>
      <c r="E99" s="63" t="n">
        <v>12</v>
      </c>
      <c r="F99" s="62" t="s">
        <v>389</v>
      </c>
      <c r="G99" s="62" t="s">
        <v>389</v>
      </c>
      <c r="H99" s="62" t="s">
        <v>389</v>
      </c>
      <c r="I99" s="62" t="s">
        <v>389</v>
      </c>
      <c r="J99" s="65" t="n">
        <v>2.8</v>
      </c>
      <c r="K99" s="62" t="s">
        <v>276</v>
      </c>
      <c r="L99" s="62" t="s">
        <v>389</v>
      </c>
      <c r="M99" s="62" t="s">
        <v>389</v>
      </c>
      <c r="N99" s="62" t="s">
        <v>303</v>
      </c>
      <c r="O99" s="62" t="s">
        <v>389</v>
      </c>
      <c r="P99" s="62" t="s">
        <v>389</v>
      </c>
      <c r="Q99" s="62" t="s">
        <v>390</v>
      </c>
      <c r="R99" s="62" t="s">
        <v>279</v>
      </c>
      <c r="S99" s="62" t="s">
        <v>389</v>
      </c>
      <c r="T99" s="65" t="n">
        <v>24.7</v>
      </c>
      <c r="U99" s="62" t="s">
        <v>279</v>
      </c>
      <c r="V99" s="65" t="n">
        <v>3</v>
      </c>
      <c r="W99" s="65" t="n">
        <v>17.6</v>
      </c>
      <c r="X99" s="63" t="n">
        <v>0</v>
      </c>
      <c r="Y99" s="62" t="s">
        <v>389</v>
      </c>
      <c r="Z99" s="62" t="s">
        <v>389</v>
      </c>
      <c r="AA99" s="62" t="s">
        <v>395</v>
      </c>
      <c r="AB99" s="62" t="s">
        <v>275</v>
      </c>
      <c r="AC99" s="65" t="n">
        <v>28.7</v>
      </c>
      <c r="AD99" s="63" t="n">
        <v>4</v>
      </c>
      <c r="AE99" s="63" t="n">
        <v>30</v>
      </c>
      <c r="AF99" s="63" t="n">
        <v>9</v>
      </c>
      <c r="AG99" s="62" t="s">
        <v>389</v>
      </c>
      <c r="AH99" s="62" t="s">
        <v>414</v>
      </c>
      <c r="AI99" s="63" t="n">
        <v>0</v>
      </c>
      <c r="AJ99" s="62" t="s">
        <v>150</v>
      </c>
      <c r="AK99" s="62" t="s">
        <v>391</v>
      </c>
      <c r="AL99" s="62" t="s">
        <v>392</v>
      </c>
      <c r="AM99" s="62" t="s">
        <v>396</v>
      </c>
      <c r="AN99" s="65" t="n">
        <v>140.2</v>
      </c>
      <c r="AO99" s="62" t="s">
        <v>389</v>
      </c>
      <c r="AP99" s="62" t="s">
        <v>390</v>
      </c>
      <c r="AQ99" s="62" t="s">
        <v>390</v>
      </c>
      <c r="AR99" s="66"/>
      <c r="AS99" s="62"/>
      <c r="AT99" s="65"/>
      <c r="AU99" s="62" t="s">
        <v>400</v>
      </c>
    </row>
    <row r="100" customFormat="false" ht="15" hidden="false" customHeight="false" outlineLevel="0" collapsed="false">
      <c r="A100" s="62" t="s">
        <v>388</v>
      </c>
      <c r="B100" s="63" t="n">
        <v>611</v>
      </c>
      <c r="C100" s="64" t="n">
        <v>46302.558017338</v>
      </c>
      <c r="D100" s="62" t="s">
        <v>72</v>
      </c>
      <c r="E100" s="63" t="n">
        <v>13</v>
      </c>
      <c r="F100" s="62" t="s">
        <v>389</v>
      </c>
      <c r="G100" s="62" t="s">
        <v>390</v>
      </c>
      <c r="H100" s="62" t="s">
        <v>390</v>
      </c>
      <c r="I100" s="62" t="s">
        <v>389</v>
      </c>
      <c r="J100" s="65"/>
      <c r="K100" s="62" t="s">
        <v>275</v>
      </c>
      <c r="L100" s="62" t="s">
        <v>389</v>
      </c>
      <c r="M100" s="62" t="s">
        <v>390</v>
      </c>
      <c r="N100" s="62"/>
      <c r="O100" s="62" t="s">
        <v>389</v>
      </c>
      <c r="P100" s="62" t="s">
        <v>390</v>
      </c>
      <c r="Q100" s="62" t="s">
        <v>390</v>
      </c>
      <c r="R100" s="62" t="s">
        <v>277</v>
      </c>
      <c r="S100" s="62" t="s">
        <v>390</v>
      </c>
      <c r="T100" s="65" t="n">
        <v>3178.7</v>
      </c>
      <c r="U100" s="62" t="s">
        <v>277</v>
      </c>
      <c r="V100" s="65" t="n">
        <v>3178.7</v>
      </c>
      <c r="W100" s="65"/>
      <c r="X100" s="63" t="n">
        <v>0</v>
      </c>
      <c r="Y100" s="62" t="s">
        <v>390</v>
      </c>
      <c r="Z100" s="62" t="s">
        <v>389</v>
      </c>
      <c r="AA100" s="62" t="s">
        <v>395</v>
      </c>
      <c r="AB100" s="62" t="s">
        <v>275</v>
      </c>
      <c r="AC100" s="65" t="n">
        <v>26.6</v>
      </c>
      <c r="AD100" s="63" t="n">
        <v>1</v>
      </c>
      <c r="AE100" s="63" t="n">
        <v>19</v>
      </c>
      <c r="AF100" s="63" t="n">
        <v>2</v>
      </c>
      <c r="AG100" s="62" t="s">
        <v>390</v>
      </c>
      <c r="AH100" s="62"/>
      <c r="AI100" s="63" t="n">
        <v>0</v>
      </c>
      <c r="AJ100" s="62" t="s">
        <v>147</v>
      </c>
      <c r="AK100" s="62" t="s">
        <v>391</v>
      </c>
      <c r="AL100" s="62" t="s">
        <v>392</v>
      </c>
      <c r="AM100" s="62" t="s">
        <v>396</v>
      </c>
      <c r="AN100" s="65" t="n">
        <v>93.4</v>
      </c>
      <c r="AO100" s="62" t="s">
        <v>389</v>
      </c>
      <c r="AP100" s="62" t="s">
        <v>390</v>
      </c>
      <c r="AQ100" s="62" t="s">
        <v>390</v>
      </c>
      <c r="AR100" s="66"/>
      <c r="AS100" s="62"/>
      <c r="AT100" s="65"/>
      <c r="AU100" s="62" t="s">
        <v>400</v>
      </c>
    </row>
    <row r="101" customFormat="false" ht="15" hidden="false" customHeight="false" outlineLevel="0" collapsed="false">
      <c r="A101" s="62" t="s">
        <v>388</v>
      </c>
      <c r="B101" s="63" t="n">
        <v>620</v>
      </c>
      <c r="C101" s="64" t="n">
        <v>46302.5862637037</v>
      </c>
      <c r="D101" s="62" t="s">
        <v>72</v>
      </c>
      <c r="E101" s="63" t="n">
        <v>14</v>
      </c>
      <c r="F101" s="62" t="s">
        <v>389</v>
      </c>
      <c r="G101" s="62" t="s">
        <v>389</v>
      </c>
      <c r="H101" s="62" t="s">
        <v>389</v>
      </c>
      <c r="I101" s="62" t="s">
        <v>389</v>
      </c>
      <c r="J101" s="65" t="n">
        <v>1.5</v>
      </c>
      <c r="K101" s="62" t="s">
        <v>278</v>
      </c>
      <c r="L101" s="62" t="s">
        <v>389</v>
      </c>
      <c r="M101" s="62" t="s">
        <v>389</v>
      </c>
      <c r="N101" s="62" t="s">
        <v>306</v>
      </c>
      <c r="O101" s="62" t="s">
        <v>389</v>
      </c>
      <c r="P101" s="62" t="s">
        <v>389</v>
      </c>
      <c r="Q101" s="62" t="s">
        <v>390</v>
      </c>
      <c r="R101" s="62" t="s">
        <v>278</v>
      </c>
      <c r="S101" s="62" t="s">
        <v>389</v>
      </c>
      <c r="T101" s="65" t="n">
        <v>4.8</v>
      </c>
      <c r="U101" s="62" t="s">
        <v>278</v>
      </c>
      <c r="V101" s="65" t="n">
        <v>1.8</v>
      </c>
      <c r="W101" s="65" t="n">
        <v>2.4</v>
      </c>
      <c r="X101" s="63" t="n">
        <v>0</v>
      </c>
      <c r="Y101" s="62" t="s">
        <v>389</v>
      </c>
      <c r="Z101" s="62" t="s">
        <v>389</v>
      </c>
      <c r="AA101" s="62" t="s">
        <v>395</v>
      </c>
      <c r="AB101" s="62" t="s">
        <v>275</v>
      </c>
      <c r="AC101" s="65" t="n">
        <v>28.4</v>
      </c>
      <c r="AD101" s="63" t="n">
        <v>3</v>
      </c>
      <c r="AE101" s="63" t="n">
        <v>24</v>
      </c>
      <c r="AF101" s="63" t="n">
        <v>3</v>
      </c>
      <c r="AG101" s="62" t="s">
        <v>389</v>
      </c>
      <c r="AH101" s="62" t="s">
        <v>398</v>
      </c>
      <c r="AI101" s="63" t="n">
        <v>0</v>
      </c>
      <c r="AJ101" s="62" t="s">
        <v>149</v>
      </c>
      <c r="AK101" s="62" t="s">
        <v>391</v>
      </c>
      <c r="AL101" s="62" t="s">
        <v>392</v>
      </c>
      <c r="AM101" s="62" t="s">
        <v>396</v>
      </c>
      <c r="AN101" s="65" t="n">
        <v>118</v>
      </c>
      <c r="AO101" s="62" t="s">
        <v>389</v>
      </c>
      <c r="AP101" s="62" t="s">
        <v>390</v>
      </c>
      <c r="AQ101" s="62" t="s">
        <v>390</v>
      </c>
      <c r="AR101" s="66"/>
      <c r="AS101" s="62"/>
      <c r="AT101" s="65"/>
      <c r="AU101" s="62" t="s">
        <v>400</v>
      </c>
    </row>
    <row r="102" customFormat="false" ht="15" hidden="false" customHeight="false" outlineLevel="0" collapsed="false">
      <c r="A102" s="62" t="s">
        <v>388</v>
      </c>
      <c r="B102" s="63" t="n">
        <v>626</v>
      </c>
      <c r="C102" s="64" t="n">
        <v>46302.5941606597</v>
      </c>
      <c r="D102" s="62" t="s">
        <v>72</v>
      </c>
      <c r="E102" s="63" t="n">
        <v>14</v>
      </c>
      <c r="F102" s="62" t="s">
        <v>389</v>
      </c>
      <c r="G102" s="62" t="s">
        <v>390</v>
      </c>
      <c r="H102" s="62" t="s">
        <v>390</v>
      </c>
      <c r="I102" s="62" t="s">
        <v>389</v>
      </c>
      <c r="J102" s="65"/>
      <c r="K102" s="62" t="s">
        <v>275</v>
      </c>
      <c r="L102" s="62" t="s">
        <v>389</v>
      </c>
      <c r="M102" s="62" t="s">
        <v>390</v>
      </c>
      <c r="N102" s="62"/>
      <c r="O102" s="62" t="s">
        <v>389</v>
      </c>
      <c r="P102" s="62" t="s">
        <v>390</v>
      </c>
      <c r="Q102" s="62" t="s">
        <v>390</v>
      </c>
      <c r="R102" s="62" t="s">
        <v>277</v>
      </c>
      <c r="S102" s="62" t="s">
        <v>390</v>
      </c>
      <c r="T102" s="65" t="n">
        <v>3132.2</v>
      </c>
      <c r="U102" s="62" t="s">
        <v>277</v>
      </c>
      <c r="V102" s="65" t="n">
        <v>3132.2</v>
      </c>
      <c r="W102" s="65"/>
      <c r="X102" s="63" t="n">
        <v>0</v>
      </c>
      <c r="Y102" s="62" t="s">
        <v>390</v>
      </c>
      <c r="Z102" s="62" t="s">
        <v>389</v>
      </c>
      <c r="AA102" s="62" t="s">
        <v>395</v>
      </c>
      <c r="AB102" s="62" t="s">
        <v>275</v>
      </c>
      <c r="AC102" s="65" t="n">
        <v>26.6</v>
      </c>
      <c r="AD102" s="63" t="n">
        <v>1</v>
      </c>
      <c r="AE102" s="63" t="n">
        <v>19</v>
      </c>
      <c r="AF102" s="63" t="n">
        <v>2</v>
      </c>
      <c r="AG102" s="62" t="s">
        <v>390</v>
      </c>
      <c r="AH102" s="62"/>
      <c r="AI102" s="63" t="n">
        <v>0</v>
      </c>
      <c r="AJ102" s="62" t="s">
        <v>147</v>
      </c>
      <c r="AK102" s="62" t="s">
        <v>391</v>
      </c>
      <c r="AL102" s="62" t="s">
        <v>392</v>
      </c>
      <c r="AM102" s="62" t="s">
        <v>396</v>
      </c>
      <c r="AN102" s="65" t="n">
        <v>93</v>
      </c>
      <c r="AO102" s="62" t="s">
        <v>389</v>
      </c>
      <c r="AP102" s="62" t="s">
        <v>390</v>
      </c>
      <c r="AQ102" s="62" t="s">
        <v>390</v>
      </c>
      <c r="AR102" s="66"/>
      <c r="AS102" s="62"/>
      <c r="AT102" s="65"/>
      <c r="AU102" s="62" t="s">
        <v>400</v>
      </c>
    </row>
    <row r="103" customFormat="false" ht="15" hidden="false" customHeight="false" outlineLevel="0" collapsed="false">
      <c r="A103" s="62" t="s">
        <v>388</v>
      </c>
      <c r="B103" s="63" t="n">
        <v>628</v>
      </c>
      <c r="C103" s="64" t="n">
        <v>46302.6018598958</v>
      </c>
      <c r="D103" s="62" t="s">
        <v>72</v>
      </c>
      <c r="E103" s="63" t="n">
        <v>14</v>
      </c>
      <c r="F103" s="62" t="s">
        <v>389</v>
      </c>
      <c r="G103" s="62" t="s">
        <v>390</v>
      </c>
      <c r="H103" s="62" t="s">
        <v>390</v>
      </c>
      <c r="I103" s="62" t="s">
        <v>389</v>
      </c>
      <c r="J103" s="65"/>
      <c r="K103" s="62" t="s">
        <v>275</v>
      </c>
      <c r="L103" s="62" t="s">
        <v>389</v>
      </c>
      <c r="M103" s="62" t="s">
        <v>389</v>
      </c>
      <c r="N103" s="62" t="s">
        <v>306</v>
      </c>
      <c r="O103" s="62" t="s">
        <v>389</v>
      </c>
      <c r="P103" s="62" t="s">
        <v>389</v>
      </c>
      <c r="Q103" s="62" t="s">
        <v>390</v>
      </c>
      <c r="R103" s="62" t="s">
        <v>278</v>
      </c>
      <c r="S103" s="62" t="s">
        <v>389</v>
      </c>
      <c r="T103" s="65" t="n">
        <v>68.7</v>
      </c>
      <c r="U103" s="62" t="s">
        <v>278</v>
      </c>
      <c r="V103" s="65" t="n">
        <v>68.7</v>
      </c>
      <c r="W103" s="65" t="n">
        <v>10.4</v>
      </c>
      <c r="X103" s="63" t="n">
        <v>0</v>
      </c>
      <c r="Y103" s="62" t="s">
        <v>389</v>
      </c>
      <c r="Z103" s="62" t="s">
        <v>389</v>
      </c>
      <c r="AA103" s="62" t="s">
        <v>395</v>
      </c>
      <c r="AB103" s="62" t="s">
        <v>275</v>
      </c>
      <c r="AC103" s="65" t="n">
        <v>46.6</v>
      </c>
      <c r="AD103" s="63" t="n">
        <v>4</v>
      </c>
      <c r="AE103" s="63" t="n">
        <v>24</v>
      </c>
      <c r="AF103" s="63" t="n">
        <v>6</v>
      </c>
      <c r="AG103" s="62" t="s">
        <v>390</v>
      </c>
      <c r="AH103" s="62"/>
      <c r="AI103" s="63" t="n">
        <v>0</v>
      </c>
      <c r="AJ103" s="62" t="s">
        <v>151</v>
      </c>
      <c r="AK103" s="62" t="s">
        <v>391</v>
      </c>
      <c r="AL103" s="62" t="s">
        <v>392</v>
      </c>
      <c r="AM103" s="62" t="s">
        <v>396</v>
      </c>
      <c r="AN103" s="65" t="n">
        <v>117.7</v>
      </c>
      <c r="AO103" s="62" t="s">
        <v>389</v>
      </c>
      <c r="AP103" s="62" t="s">
        <v>390</v>
      </c>
      <c r="AQ103" s="62" t="s">
        <v>390</v>
      </c>
      <c r="AR103" s="66"/>
      <c r="AS103" s="62"/>
      <c r="AT103" s="65"/>
      <c r="AU103" s="62" t="s">
        <v>400</v>
      </c>
    </row>
    <row r="104" customFormat="false" ht="15" hidden="false" customHeight="false" outlineLevel="0" collapsed="false">
      <c r="A104" s="62" t="s">
        <v>388</v>
      </c>
      <c r="B104" s="63" t="n">
        <v>636</v>
      </c>
      <c r="C104" s="64" t="n">
        <v>46302.6253194097</v>
      </c>
      <c r="D104" s="62" t="s">
        <v>72</v>
      </c>
      <c r="E104" s="63" t="n">
        <v>15</v>
      </c>
      <c r="F104" s="62" t="s">
        <v>389</v>
      </c>
      <c r="G104" s="62" t="s">
        <v>389</v>
      </c>
      <c r="H104" s="62" t="s">
        <v>389</v>
      </c>
      <c r="I104" s="62" t="s">
        <v>389</v>
      </c>
      <c r="J104" s="65" t="n">
        <v>0.3</v>
      </c>
      <c r="K104" s="62" t="s">
        <v>278</v>
      </c>
      <c r="L104" s="62" t="s">
        <v>389</v>
      </c>
      <c r="M104" s="62" t="s">
        <v>390</v>
      </c>
      <c r="N104" s="62"/>
      <c r="O104" s="62" t="s">
        <v>389</v>
      </c>
      <c r="P104" s="62" t="s">
        <v>390</v>
      </c>
      <c r="Q104" s="62" t="s">
        <v>390</v>
      </c>
      <c r="R104" s="62" t="s">
        <v>278</v>
      </c>
      <c r="S104" s="62" t="s">
        <v>390</v>
      </c>
      <c r="T104" s="65" t="n">
        <v>2788.8</v>
      </c>
      <c r="U104" s="62" t="s">
        <v>278</v>
      </c>
      <c r="V104" s="65" t="n">
        <v>0.6</v>
      </c>
      <c r="W104" s="65" t="n">
        <v>2788.5</v>
      </c>
      <c r="X104" s="63" t="n">
        <v>0</v>
      </c>
      <c r="Y104" s="62" t="s">
        <v>390</v>
      </c>
      <c r="Z104" s="62" t="s">
        <v>389</v>
      </c>
      <c r="AA104" s="62" t="s">
        <v>395</v>
      </c>
      <c r="AB104" s="62" t="s">
        <v>275</v>
      </c>
      <c r="AC104" s="65" t="n">
        <v>26.1</v>
      </c>
      <c r="AD104" s="63" t="n">
        <v>2</v>
      </c>
      <c r="AE104" s="63" t="n">
        <v>21</v>
      </c>
      <c r="AF104" s="63" t="n">
        <v>2</v>
      </c>
      <c r="AG104" s="62" t="s">
        <v>390</v>
      </c>
      <c r="AH104" s="62"/>
      <c r="AI104" s="63" t="n">
        <v>0</v>
      </c>
      <c r="AJ104" s="62" t="s">
        <v>148</v>
      </c>
      <c r="AK104" s="62" t="s">
        <v>391</v>
      </c>
      <c r="AL104" s="62" t="s">
        <v>392</v>
      </c>
      <c r="AM104" s="62" t="s">
        <v>396</v>
      </c>
      <c r="AN104" s="65" t="n">
        <v>74.1</v>
      </c>
      <c r="AO104" s="62" t="s">
        <v>389</v>
      </c>
      <c r="AP104" s="62" t="s">
        <v>390</v>
      </c>
      <c r="AQ104" s="62" t="s">
        <v>390</v>
      </c>
      <c r="AR104" s="66"/>
      <c r="AS104" s="62"/>
      <c r="AT104" s="65"/>
      <c r="AU104" s="62" t="s">
        <v>400</v>
      </c>
    </row>
    <row r="105" customFormat="false" ht="15" hidden="false" customHeight="false" outlineLevel="0" collapsed="false">
      <c r="A105" s="62" t="s">
        <v>388</v>
      </c>
      <c r="B105" s="63" t="n">
        <v>642</v>
      </c>
      <c r="C105" s="64" t="n">
        <v>46302.6439780208</v>
      </c>
      <c r="D105" s="62" t="s">
        <v>72</v>
      </c>
      <c r="E105" s="63" t="n">
        <v>15</v>
      </c>
      <c r="F105" s="62" t="s">
        <v>389</v>
      </c>
      <c r="G105" s="62" t="s">
        <v>389</v>
      </c>
      <c r="H105" s="62" t="s">
        <v>389</v>
      </c>
      <c r="I105" s="62" t="s">
        <v>389</v>
      </c>
      <c r="J105" s="65" t="n">
        <v>5.6</v>
      </c>
      <c r="K105" s="62" t="s">
        <v>278</v>
      </c>
      <c r="L105" s="62" t="s">
        <v>389</v>
      </c>
      <c r="M105" s="62" t="s">
        <v>389</v>
      </c>
      <c r="N105" s="62" t="s">
        <v>303</v>
      </c>
      <c r="O105" s="62" t="s">
        <v>389</v>
      </c>
      <c r="P105" s="62" t="s">
        <v>389</v>
      </c>
      <c r="Q105" s="62" t="s">
        <v>390</v>
      </c>
      <c r="R105" s="62" t="s">
        <v>278</v>
      </c>
      <c r="S105" s="62" t="s">
        <v>389</v>
      </c>
      <c r="T105" s="65" t="n">
        <v>14.2</v>
      </c>
      <c r="U105" s="62" t="s">
        <v>278</v>
      </c>
      <c r="V105" s="65" t="n">
        <v>5.8</v>
      </c>
      <c r="W105" s="65" t="n">
        <v>14</v>
      </c>
      <c r="X105" s="63" t="n">
        <v>0</v>
      </c>
      <c r="Y105" s="62" t="s">
        <v>389</v>
      </c>
      <c r="Z105" s="62" t="s">
        <v>389</v>
      </c>
      <c r="AA105" s="62" t="s">
        <v>395</v>
      </c>
      <c r="AB105" s="62" t="s">
        <v>275</v>
      </c>
      <c r="AC105" s="65" t="n">
        <v>45.6</v>
      </c>
      <c r="AD105" s="63" t="n">
        <v>4</v>
      </c>
      <c r="AE105" s="63" t="n">
        <v>25</v>
      </c>
      <c r="AF105" s="63" t="n">
        <v>5</v>
      </c>
      <c r="AG105" s="62" t="s">
        <v>389</v>
      </c>
      <c r="AH105" s="62" t="s">
        <v>398</v>
      </c>
      <c r="AI105" s="63" t="n">
        <v>0</v>
      </c>
      <c r="AJ105" s="62" t="s">
        <v>151</v>
      </c>
      <c r="AK105" s="62" t="s">
        <v>391</v>
      </c>
      <c r="AL105" s="62" t="s">
        <v>392</v>
      </c>
      <c r="AM105" s="62" t="s">
        <v>396</v>
      </c>
      <c r="AN105" s="65" t="n">
        <v>116.8</v>
      </c>
      <c r="AO105" s="62" t="s">
        <v>389</v>
      </c>
      <c r="AP105" s="62" t="s">
        <v>390</v>
      </c>
      <c r="AQ105" s="62" t="s">
        <v>390</v>
      </c>
      <c r="AR105" s="66"/>
      <c r="AS105" s="62"/>
      <c r="AT105" s="65"/>
      <c r="AU105" s="62" t="s">
        <v>400</v>
      </c>
    </row>
    <row r="106" customFormat="false" ht="15" hidden="false" customHeight="false" outlineLevel="0" collapsed="false">
      <c r="A106" s="62" t="s">
        <v>388</v>
      </c>
      <c r="B106" s="63" t="n">
        <v>645</v>
      </c>
      <c r="C106" s="64" t="n">
        <v>46302.654766713</v>
      </c>
      <c r="D106" s="62" t="s">
        <v>72</v>
      </c>
      <c r="E106" s="63" t="n">
        <v>15</v>
      </c>
      <c r="F106" s="62" t="s">
        <v>389</v>
      </c>
      <c r="G106" s="62" t="s">
        <v>390</v>
      </c>
      <c r="H106" s="62" t="s">
        <v>390</v>
      </c>
      <c r="I106" s="62" t="s">
        <v>389</v>
      </c>
      <c r="J106" s="65"/>
      <c r="K106" s="62" t="s">
        <v>275</v>
      </c>
      <c r="L106" s="62" t="s">
        <v>389</v>
      </c>
      <c r="M106" s="62" t="s">
        <v>390</v>
      </c>
      <c r="N106" s="62"/>
      <c r="O106" s="62" t="s">
        <v>389</v>
      </c>
      <c r="P106" s="62" t="s">
        <v>390</v>
      </c>
      <c r="Q106" s="62" t="s">
        <v>390</v>
      </c>
      <c r="R106" s="62" t="s">
        <v>277</v>
      </c>
      <c r="S106" s="62" t="s">
        <v>390</v>
      </c>
      <c r="T106" s="65" t="n">
        <v>3044.7</v>
      </c>
      <c r="U106" s="62" t="s">
        <v>277</v>
      </c>
      <c r="V106" s="65" t="n">
        <v>3044.7</v>
      </c>
      <c r="W106" s="65"/>
      <c r="X106" s="63" t="n">
        <v>0</v>
      </c>
      <c r="Y106" s="62" t="s">
        <v>390</v>
      </c>
      <c r="Z106" s="62" t="s">
        <v>389</v>
      </c>
      <c r="AA106" s="62" t="s">
        <v>395</v>
      </c>
      <c r="AB106" s="62" t="s">
        <v>275</v>
      </c>
      <c r="AC106" s="65" t="n">
        <v>26.6</v>
      </c>
      <c r="AD106" s="63" t="n">
        <v>1</v>
      </c>
      <c r="AE106" s="63" t="n">
        <v>19</v>
      </c>
      <c r="AF106" s="63" t="n">
        <v>2</v>
      </c>
      <c r="AG106" s="62" t="s">
        <v>390</v>
      </c>
      <c r="AH106" s="62"/>
      <c r="AI106" s="63" t="n">
        <v>0</v>
      </c>
      <c r="AJ106" s="62" t="s">
        <v>147</v>
      </c>
      <c r="AK106" s="62" t="s">
        <v>391</v>
      </c>
      <c r="AL106" s="62" t="s">
        <v>392</v>
      </c>
      <c r="AM106" s="62" t="s">
        <v>396</v>
      </c>
      <c r="AN106" s="65" t="n">
        <v>91.6</v>
      </c>
      <c r="AO106" s="62" t="s">
        <v>389</v>
      </c>
      <c r="AP106" s="62" t="s">
        <v>390</v>
      </c>
      <c r="AQ106" s="62" t="s">
        <v>390</v>
      </c>
      <c r="AR106" s="66"/>
      <c r="AS106" s="62"/>
      <c r="AT106" s="65"/>
      <c r="AU106" s="62" t="s">
        <v>397</v>
      </c>
    </row>
    <row r="107" customFormat="false" ht="15" hidden="false" customHeight="false" outlineLevel="0" collapsed="false">
      <c r="A107" s="62" t="s">
        <v>388</v>
      </c>
      <c r="B107" s="63" t="n">
        <v>651</v>
      </c>
      <c r="C107" s="64" t="n">
        <v>46302.6713166782</v>
      </c>
      <c r="D107" s="62" t="s">
        <v>72</v>
      </c>
      <c r="E107" s="63" t="n">
        <v>16</v>
      </c>
      <c r="F107" s="62" t="s">
        <v>389</v>
      </c>
      <c r="G107" s="62" t="s">
        <v>389</v>
      </c>
      <c r="H107" s="62" t="s">
        <v>389</v>
      </c>
      <c r="I107" s="62" t="s">
        <v>389</v>
      </c>
      <c r="J107" s="65" t="n">
        <v>0.3</v>
      </c>
      <c r="K107" s="62" t="s">
        <v>278</v>
      </c>
      <c r="L107" s="62" t="s">
        <v>389</v>
      </c>
      <c r="M107" s="62" t="s">
        <v>389</v>
      </c>
      <c r="N107" s="62" t="s">
        <v>306</v>
      </c>
      <c r="O107" s="62" t="s">
        <v>389</v>
      </c>
      <c r="P107" s="62" t="s">
        <v>389</v>
      </c>
      <c r="Q107" s="62" t="s">
        <v>389</v>
      </c>
      <c r="R107" s="62" t="s">
        <v>279</v>
      </c>
      <c r="S107" s="62" t="s">
        <v>389</v>
      </c>
      <c r="T107" s="65" t="n">
        <v>8.3</v>
      </c>
      <c r="U107" s="62" t="s">
        <v>279</v>
      </c>
      <c r="V107" s="65" t="n">
        <v>0.6</v>
      </c>
      <c r="W107" s="65" t="n">
        <v>2.6</v>
      </c>
      <c r="X107" s="63" t="n">
        <v>0</v>
      </c>
      <c r="Y107" s="62" t="s">
        <v>389</v>
      </c>
      <c r="Z107" s="62" t="s">
        <v>389</v>
      </c>
      <c r="AA107" s="62" t="s">
        <v>395</v>
      </c>
      <c r="AB107" s="62" t="s">
        <v>275</v>
      </c>
      <c r="AC107" s="65" t="n">
        <v>44.9</v>
      </c>
      <c r="AD107" s="63" t="n">
        <v>9</v>
      </c>
      <c r="AE107" s="63" t="n">
        <v>29</v>
      </c>
      <c r="AF107" s="63" t="n">
        <v>10</v>
      </c>
      <c r="AG107" s="62" t="s">
        <v>390</v>
      </c>
      <c r="AH107" s="62"/>
      <c r="AI107" s="63" t="n">
        <v>0</v>
      </c>
      <c r="AJ107" s="62" t="s">
        <v>151</v>
      </c>
      <c r="AK107" s="62" t="s">
        <v>391</v>
      </c>
      <c r="AL107" s="62" t="s">
        <v>392</v>
      </c>
      <c r="AM107" s="62" t="s">
        <v>396</v>
      </c>
      <c r="AN107" s="65" t="n">
        <v>116.2</v>
      </c>
      <c r="AO107" s="62" t="s">
        <v>389</v>
      </c>
      <c r="AP107" s="62" t="s">
        <v>390</v>
      </c>
      <c r="AQ107" s="62" t="s">
        <v>390</v>
      </c>
      <c r="AR107" s="66"/>
      <c r="AS107" s="62"/>
      <c r="AT107" s="65"/>
      <c r="AU107" s="62" t="s">
        <v>397</v>
      </c>
    </row>
    <row r="108" customFormat="false" ht="15" hidden="false" customHeight="false" outlineLevel="0" collapsed="false">
      <c r="A108" s="62" t="s">
        <v>388</v>
      </c>
      <c r="B108" s="63" t="n">
        <v>659</v>
      </c>
      <c r="C108" s="64" t="n">
        <v>46302.6959411343</v>
      </c>
      <c r="D108" s="62" t="s">
        <v>72</v>
      </c>
      <c r="E108" s="63" t="n">
        <v>16</v>
      </c>
      <c r="F108" s="62" t="s">
        <v>389</v>
      </c>
      <c r="G108" s="62" t="s">
        <v>390</v>
      </c>
      <c r="H108" s="62" t="s">
        <v>390</v>
      </c>
      <c r="I108" s="62" t="s">
        <v>389</v>
      </c>
      <c r="J108" s="65"/>
      <c r="K108" s="62" t="s">
        <v>275</v>
      </c>
      <c r="L108" s="62" t="s">
        <v>389</v>
      </c>
      <c r="M108" s="62" t="s">
        <v>389</v>
      </c>
      <c r="N108" s="62" t="s">
        <v>304</v>
      </c>
      <c r="O108" s="62" t="s">
        <v>389</v>
      </c>
      <c r="P108" s="62" t="s">
        <v>390</v>
      </c>
      <c r="Q108" s="62" t="s">
        <v>390</v>
      </c>
      <c r="R108" s="62" t="s">
        <v>277</v>
      </c>
      <c r="S108" s="62" t="s">
        <v>390</v>
      </c>
      <c r="T108" s="65" t="n">
        <v>163.3</v>
      </c>
      <c r="U108" s="62" t="s">
        <v>277</v>
      </c>
      <c r="V108" s="65" t="n">
        <v>163.3</v>
      </c>
      <c r="W108" s="65" t="n">
        <v>17.4</v>
      </c>
      <c r="X108" s="63" t="n">
        <v>0</v>
      </c>
      <c r="Y108" s="62" t="s">
        <v>389</v>
      </c>
      <c r="Z108" s="62" t="s">
        <v>389</v>
      </c>
      <c r="AA108" s="62" t="s">
        <v>395</v>
      </c>
      <c r="AB108" s="62" t="s">
        <v>275</v>
      </c>
      <c r="AC108" s="65" t="n">
        <v>44.3</v>
      </c>
      <c r="AD108" s="63" t="n">
        <v>3</v>
      </c>
      <c r="AE108" s="63" t="n">
        <v>22</v>
      </c>
      <c r="AF108" s="63" t="n">
        <v>3</v>
      </c>
      <c r="AG108" s="62" t="s">
        <v>390</v>
      </c>
      <c r="AH108" s="62"/>
      <c r="AI108" s="63" t="n">
        <v>0</v>
      </c>
      <c r="AJ108" s="62" t="s">
        <v>149</v>
      </c>
      <c r="AK108" s="62" t="s">
        <v>391</v>
      </c>
      <c r="AL108" s="62" t="s">
        <v>392</v>
      </c>
      <c r="AM108" s="62" t="s">
        <v>396</v>
      </c>
      <c r="AN108" s="65" t="n">
        <v>112.7</v>
      </c>
      <c r="AO108" s="62" t="s">
        <v>389</v>
      </c>
      <c r="AP108" s="62" t="s">
        <v>390</v>
      </c>
      <c r="AQ108" s="62" t="s">
        <v>390</v>
      </c>
      <c r="AR108" s="66"/>
      <c r="AS108" s="62"/>
      <c r="AT108" s="65"/>
      <c r="AU108" s="62" t="s">
        <v>397</v>
      </c>
    </row>
    <row r="109" customFormat="false" ht="15" hidden="false" customHeight="false" outlineLevel="0" collapsed="false">
      <c r="A109" s="62" t="s">
        <v>388</v>
      </c>
      <c r="B109" s="63" t="n">
        <v>660</v>
      </c>
      <c r="C109" s="64" t="n">
        <v>46302.7035468403</v>
      </c>
      <c r="D109" s="62" t="s">
        <v>72</v>
      </c>
      <c r="E109" s="63" t="n">
        <v>16</v>
      </c>
      <c r="F109" s="62" t="s">
        <v>389</v>
      </c>
      <c r="G109" s="62" t="s">
        <v>389</v>
      </c>
      <c r="H109" s="62" t="s">
        <v>389</v>
      </c>
      <c r="I109" s="62" t="s">
        <v>389</v>
      </c>
      <c r="J109" s="65" t="n">
        <v>0.5</v>
      </c>
      <c r="K109" s="62" t="s">
        <v>279</v>
      </c>
      <c r="L109" s="62" t="s">
        <v>389</v>
      </c>
      <c r="M109" s="62" t="s">
        <v>390</v>
      </c>
      <c r="N109" s="62"/>
      <c r="O109" s="62" t="s">
        <v>389</v>
      </c>
      <c r="P109" s="62" t="s">
        <v>390</v>
      </c>
      <c r="Q109" s="62" t="s">
        <v>390</v>
      </c>
      <c r="R109" s="62" t="s">
        <v>277</v>
      </c>
      <c r="S109" s="62" t="s">
        <v>390</v>
      </c>
      <c r="T109" s="65" t="n">
        <v>2974.8</v>
      </c>
      <c r="U109" s="62" t="s">
        <v>277</v>
      </c>
      <c r="V109" s="65" t="n">
        <v>0.9</v>
      </c>
      <c r="W109" s="65" t="n">
        <v>2974.4</v>
      </c>
      <c r="X109" s="63" t="n">
        <v>0</v>
      </c>
      <c r="Y109" s="62" t="s">
        <v>390</v>
      </c>
      <c r="Z109" s="62" t="s">
        <v>389</v>
      </c>
      <c r="AA109" s="62" t="s">
        <v>395</v>
      </c>
      <c r="AB109" s="62" t="s">
        <v>275</v>
      </c>
      <c r="AC109" s="65" t="n">
        <v>26.1</v>
      </c>
      <c r="AD109" s="63" t="n">
        <v>3</v>
      </c>
      <c r="AE109" s="63" t="n">
        <v>18</v>
      </c>
      <c r="AF109" s="63" t="n">
        <v>2</v>
      </c>
      <c r="AG109" s="62" t="s">
        <v>390</v>
      </c>
      <c r="AH109" s="62"/>
      <c r="AI109" s="63" t="n">
        <v>0</v>
      </c>
      <c r="AJ109" s="62" t="s">
        <v>148</v>
      </c>
      <c r="AK109" s="62" t="s">
        <v>391</v>
      </c>
      <c r="AL109" s="62" t="s">
        <v>392</v>
      </c>
      <c r="AM109" s="62" t="s">
        <v>396</v>
      </c>
      <c r="AN109" s="65" t="n">
        <v>90.4</v>
      </c>
      <c r="AO109" s="62" t="s">
        <v>389</v>
      </c>
      <c r="AP109" s="62" t="s">
        <v>390</v>
      </c>
      <c r="AQ109" s="62" t="s">
        <v>390</v>
      </c>
      <c r="AR109" s="66"/>
      <c r="AS109" s="62"/>
      <c r="AT109" s="65"/>
      <c r="AU109" s="62" t="s">
        <v>397</v>
      </c>
    </row>
    <row r="110" customFormat="false" ht="15" hidden="false" customHeight="false" outlineLevel="0" collapsed="false">
      <c r="A110" s="62" t="s">
        <v>388</v>
      </c>
      <c r="B110" s="63" t="n">
        <v>663</v>
      </c>
      <c r="C110" s="64" t="n">
        <v>46302.7186615046</v>
      </c>
      <c r="D110" s="62" t="s">
        <v>72</v>
      </c>
      <c r="E110" s="63" t="n">
        <v>17</v>
      </c>
      <c r="F110" s="62" t="s">
        <v>389</v>
      </c>
      <c r="G110" s="62" t="s">
        <v>389</v>
      </c>
      <c r="H110" s="62" t="s">
        <v>389</v>
      </c>
      <c r="I110" s="62" t="s">
        <v>389</v>
      </c>
      <c r="J110" s="65" t="n">
        <v>0.6</v>
      </c>
      <c r="K110" s="62" t="s">
        <v>279</v>
      </c>
      <c r="L110" s="62" t="s">
        <v>389</v>
      </c>
      <c r="M110" s="62" t="s">
        <v>390</v>
      </c>
      <c r="N110" s="62"/>
      <c r="O110" s="62" t="s">
        <v>390</v>
      </c>
      <c r="P110" s="62" t="s">
        <v>390</v>
      </c>
      <c r="Q110" s="62" t="s">
        <v>390</v>
      </c>
      <c r="R110" s="62" t="s">
        <v>278</v>
      </c>
      <c r="S110" s="62" t="s">
        <v>390</v>
      </c>
      <c r="T110" s="65" t="n">
        <v>7.6</v>
      </c>
      <c r="U110" s="62" t="s">
        <v>278</v>
      </c>
      <c r="V110" s="65" t="n">
        <v>1.4</v>
      </c>
      <c r="W110" s="65" t="n">
        <v>1.8</v>
      </c>
      <c r="X110" s="63" t="n">
        <v>0</v>
      </c>
      <c r="Y110" s="62" t="s">
        <v>390</v>
      </c>
      <c r="Z110" s="62" t="s">
        <v>389</v>
      </c>
      <c r="AA110" s="62" t="s">
        <v>395</v>
      </c>
      <c r="AB110" s="62" t="s">
        <v>278</v>
      </c>
      <c r="AC110" s="65" t="n">
        <v>48.5</v>
      </c>
      <c r="AD110" s="63" t="n">
        <v>4</v>
      </c>
      <c r="AE110" s="63" t="n">
        <v>8</v>
      </c>
      <c r="AF110" s="63" t="n">
        <v>6</v>
      </c>
      <c r="AG110" s="62" t="s">
        <v>389</v>
      </c>
      <c r="AH110" s="62" t="s">
        <v>398</v>
      </c>
      <c r="AI110" s="63" t="n">
        <v>0</v>
      </c>
      <c r="AJ110" s="62" t="s">
        <v>149</v>
      </c>
      <c r="AK110" s="62" t="s">
        <v>391</v>
      </c>
      <c r="AL110" s="62" t="s">
        <v>392</v>
      </c>
      <c r="AM110" s="62" t="s">
        <v>396</v>
      </c>
      <c r="AN110" s="65" t="n">
        <v>74.6</v>
      </c>
      <c r="AO110" s="62" t="s">
        <v>389</v>
      </c>
      <c r="AP110" s="62" t="s">
        <v>390</v>
      </c>
      <c r="AQ110" s="62" t="s">
        <v>390</v>
      </c>
      <c r="AR110" s="66"/>
      <c r="AS110" s="62"/>
      <c r="AT110" s="65"/>
      <c r="AU110" s="62" t="s">
        <v>397</v>
      </c>
    </row>
    <row r="111" customFormat="false" ht="15" hidden="false" customHeight="false" outlineLevel="0" collapsed="false">
      <c r="A111" s="62" t="s">
        <v>388</v>
      </c>
      <c r="B111" s="63" t="n">
        <v>666</v>
      </c>
      <c r="C111" s="64" t="n">
        <v>46302.7233150116</v>
      </c>
      <c r="D111" s="62" t="s">
        <v>72</v>
      </c>
      <c r="E111" s="63" t="n">
        <v>17</v>
      </c>
      <c r="F111" s="62" t="s">
        <v>389</v>
      </c>
      <c r="G111" s="62" t="s">
        <v>390</v>
      </c>
      <c r="H111" s="62" t="s">
        <v>390</v>
      </c>
      <c r="I111" s="62" t="s">
        <v>389</v>
      </c>
      <c r="J111" s="65"/>
      <c r="K111" s="62" t="s">
        <v>275</v>
      </c>
      <c r="L111" s="62" t="s">
        <v>389</v>
      </c>
      <c r="M111" s="62" t="s">
        <v>390</v>
      </c>
      <c r="N111" s="62"/>
      <c r="O111" s="62" t="s">
        <v>389</v>
      </c>
      <c r="P111" s="62" t="s">
        <v>390</v>
      </c>
      <c r="Q111" s="62" t="s">
        <v>390</v>
      </c>
      <c r="R111" s="62" t="s">
        <v>277</v>
      </c>
      <c r="S111" s="62" t="s">
        <v>390</v>
      </c>
      <c r="T111" s="65" t="n">
        <v>2691.2</v>
      </c>
      <c r="U111" s="62" t="s">
        <v>277</v>
      </c>
      <c r="V111" s="65" t="n">
        <v>2691.2</v>
      </c>
      <c r="W111" s="65" t="n">
        <v>3.1</v>
      </c>
      <c r="X111" s="63" t="n">
        <v>0</v>
      </c>
      <c r="Y111" s="62" t="s">
        <v>390</v>
      </c>
      <c r="Z111" s="62" t="s">
        <v>389</v>
      </c>
      <c r="AA111" s="62" t="s">
        <v>395</v>
      </c>
      <c r="AB111" s="62" t="s">
        <v>275</v>
      </c>
      <c r="AC111" s="65" t="n">
        <v>43.7</v>
      </c>
      <c r="AD111" s="63" t="n">
        <v>6</v>
      </c>
      <c r="AE111" s="63" t="n">
        <v>23</v>
      </c>
      <c r="AF111" s="63" t="n">
        <v>4</v>
      </c>
      <c r="AG111" s="62" t="s">
        <v>390</v>
      </c>
      <c r="AH111" s="62"/>
      <c r="AI111" s="63" t="n">
        <v>0</v>
      </c>
      <c r="AJ111" s="62" t="s">
        <v>150</v>
      </c>
      <c r="AK111" s="62" t="s">
        <v>391</v>
      </c>
      <c r="AL111" s="62" t="s">
        <v>392</v>
      </c>
      <c r="AM111" s="62" t="s">
        <v>396</v>
      </c>
      <c r="AN111" s="65" t="n">
        <v>90.9</v>
      </c>
      <c r="AO111" s="62" t="s">
        <v>389</v>
      </c>
      <c r="AP111" s="62" t="s">
        <v>390</v>
      </c>
      <c r="AQ111" s="62" t="s">
        <v>390</v>
      </c>
      <c r="AR111" s="66"/>
      <c r="AS111" s="62"/>
      <c r="AT111" s="65"/>
      <c r="AU111" s="62" t="s">
        <v>397</v>
      </c>
    </row>
    <row r="112" customFormat="false" ht="15" hidden="false" customHeight="false" outlineLevel="0" collapsed="false">
      <c r="A112" s="62" t="s">
        <v>388</v>
      </c>
      <c r="B112" s="63" t="n">
        <v>670</v>
      </c>
      <c r="C112" s="64" t="n">
        <v>46302.7299010995</v>
      </c>
      <c r="D112" s="62" t="s">
        <v>72</v>
      </c>
      <c r="E112" s="63" t="n">
        <v>17</v>
      </c>
      <c r="F112" s="62" t="s">
        <v>389</v>
      </c>
      <c r="G112" s="62" t="s">
        <v>389</v>
      </c>
      <c r="H112" s="62" t="s">
        <v>389</v>
      </c>
      <c r="I112" s="62" t="s">
        <v>389</v>
      </c>
      <c r="J112" s="65" t="n">
        <v>0.3</v>
      </c>
      <c r="K112" s="62" t="s">
        <v>278</v>
      </c>
      <c r="L112" s="62" t="s">
        <v>389</v>
      </c>
      <c r="M112" s="62" t="s">
        <v>389</v>
      </c>
      <c r="N112" s="62" t="s">
        <v>304</v>
      </c>
      <c r="O112" s="62" t="s">
        <v>390</v>
      </c>
      <c r="P112" s="62" t="s">
        <v>389</v>
      </c>
      <c r="Q112" s="62" t="s">
        <v>389</v>
      </c>
      <c r="R112" s="62" t="s">
        <v>278</v>
      </c>
      <c r="S112" s="62" t="s">
        <v>389</v>
      </c>
      <c r="T112" s="65" t="n">
        <v>5</v>
      </c>
      <c r="U112" s="62" t="s">
        <v>278</v>
      </c>
      <c r="V112" s="65" t="n">
        <v>0.7</v>
      </c>
      <c r="W112" s="65" t="n">
        <v>1.5</v>
      </c>
      <c r="X112" s="63" t="n">
        <v>0</v>
      </c>
      <c r="Y112" s="62" t="s">
        <v>389</v>
      </c>
      <c r="Z112" s="62" t="s">
        <v>389</v>
      </c>
      <c r="AA112" s="62" t="s">
        <v>395</v>
      </c>
      <c r="AB112" s="62" t="s">
        <v>278</v>
      </c>
      <c r="AC112" s="65" t="n">
        <v>44</v>
      </c>
      <c r="AD112" s="63" t="n">
        <v>23</v>
      </c>
      <c r="AE112" s="63" t="n">
        <v>16</v>
      </c>
      <c r="AF112" s="63" t="n">
        <v>33</v>
      </c>
      <c r="AG112" s="62" t="s">
        <v>389</v>
      </c>
      <c r="AH112" s="62" t="s">
        <v>398</v>
      </c>
      <c r="AI112" s="63" t="n">
        <v>0</v>
      </c>
      <c r="AJ112" s="62" t="s">
        <v>153</v>
      </c>
      <c r="AK112" s="62" t="s">
        <v>391</v>
      </c>
      <c r="AL112" s="62" t="s">
        <v>392</v>
      </c>
      <c r="AM112" s="62" t="s">
        <v>396</v>
      </c>
      <c r="AN112" s="65" t="n">
        <v>158.5</v>
      </c>
      <c r="AO112" s="62" t="s">
        <v>389</v>
      </c>
      <c r="AP112" s="62" t="s">
        <v>389</v>
      </c>
      <c r="AQ112" s="62" t="s">
        <v>390</v>
      </c>
      <c r="AR112" s="66"/>
      <c r="AS112" s="62"/>
      <c r="AT112" s="65"/>
      <c r="AU112" s="62" t="s">
        <v>397</v>
      </c>
    </row>
    <row r="113" customFormat="false" ht="15" hidden="false" customHeight="false" outlineLevel="0" collapsed="false">
      <c r="A113" s="62" t="s">
        <v>388</v>
      </c>
      <c r="B113" s="63" t="n">
        <v>680</v>
      </c>
      <c r="C113" s="64" t="n">
        <v>46302.7526338426</v>
      </c>
      <c r="D113" s="62" t="s">
        <v>72</v>
      </c>
      <c r="E113" s="63" t="n">
        <v>18</v>
      </c>
      <c r="F113" s="62" t="s">
        <v>389</v>
      </c>
      <c r="G113" s="62" t="s">
        <v>390</v>
      </c>
      <c r="H113" s="62" t="s">
        <v>390</v>
      </c>
      <c r="I113" s="62" t="s">
        <v>389</v>
      </c>
      <c r="J113" s="65"/>
      <c r="K113" s="62" t="s">
        <v>275</v>
      </c>
      <c r="L113" s="62" t="s">
        <v>389</v>
      </c>
      <c r="M113" s="62" t="s">
        <v>390</v>
      </c>
      <c r="N113" s="62"/>
      <c r="O113" s="62" t="s">
        <v>389</v>
      </c>
      <c r="P113" s="62" t="s">
        <v>390</v>
      </c>
      <c r="Q113" s="62" t="s">
        <v>390</v>
      </c>
      <c r="R113" s="62" t="s">
        <v>277</v>
      </c>
      <c r="S113" s="62" t="s">
        <v>390</v>
      </c>
      <c r="T113" s="65" t="n">
        <v>5618.3</v>
      </c>
      <c r="U113" s="62" t="s">
        <v>277</v>
      </c>
      <c r="V113" s="65" t="n">
        <v>5618.3</v>
      </c>
      <c r="W113" s="65"/>
      <c r="X113" s="63" t="n">
        <v>0</v>
      </c>
      <c r="Y113" s="62" t="s">
        <v>390</v>
      </c>
      <c r="Z113" s="62" t="s">
        <v>389</v>
      </c>
      <c r="AA113" s="62" t="s">
        <v>395</v>
      </c>
      <c r="AB113" s="62" t="s">
        <v>275</v>
      </c>
      <c r="AC113" s="65" t="n">
        <v>43</v>
      </c>
      <c r="AD113" s="63" t="n">
        <v>1</v>
      </c>
      <c r="AE113" s="63" t="n">
        <v>22</v>
      </c>
      <c r="AF113" s="63" t="n">
        <v>1</v>
      </c>
      <c r="AG113" s="62" t="s">
        <v>390</v>
      </c>
      <c r="AH113" s="62"/>
      <c r="AI113" s="63" t="n">
        <v>0</v>
      </c>
      <c r="AJ113" s="62" t="s">
        <v>147</v>
      </c>
      <c r="AK113" s="62" t="s">
        <v>391</v>
      </c>
      <c r="AL113" s="62" t="s">
        <v>392</v>
      </c>
      <c r="AM113" s="62" t="s">
        <v>396</v>
      </c>
      <c r="AN113" s="65" t="n">
        <v>93.6</v>
      </c>
      <c r="AO113" s="62" t="s">
        <v>389</v>
      </c>
      <c r="AP113" s="62" t="s">
        <v>390</v>
      </c>
      <c r="AQ113" s="62" t="s">
        <v>390</v>
      </c>
      <c r="AR113" s="66"/>
      <c r="AS113" s="62"/>
      <c r="AT113" s="65"/>
      <c r="AU113" s="62" t="s">
        <v>397</v>
      </c>
    </row>
    <row r="114" customFormat="false" ht="15" hidden="false" customHeight="false" outlineLevel="0" collapsed="false">
      <c r="A114" s="62" t="s">
        <v>388</v>
      </c>
      <c r="B114" s="63" t="n">
        <v>682</v>
      </c>
      <c r="C114" s="64" t="n">
        <v>46302.7555906713</v>
      </c>
      <c r="D114" s="62" t="s">
        <v>72</v>
      </c>
      <c r="E114" s="63" t="n">
        <v>18</v>
      </c>
      <c r="F114" s="62" t="s">
        <v>389</v>
      </c>
      <c r="G114" s="62" t="s">
        <v>389</v>
      </c>
      <c r="H114" s="62" t="s">
        <v>389</v>
      </c>
      <c r="I114" s="62" t="s">
        <v>389</v>
      </c>
      <c r="J114" s="65" t="n">
        <v>0.3</v>
      </c>
      <c r="K114" s="62" t="s">
        <v>279</v>
      </c>
      <c r="L114" s="62" t="s">
        <v>389</v>
      </c>
      <c r="M114" s="62" t="s">
        <v>389</v>
      </c>
      <c r="N114" s="62" t="s">
        <v>303</v>
      </c>
      <c r="O114" s="62" t="s">
        <v>389</v>
      </c>
      <c r="P114" s="62" t="s">
        <v>390</v>
      </c>
      <c r="Q114" s="62" t="s">
        <v>390</v>
      </c>
      <c r="R114" s="62" t="s">
        <v>279</v>
      </c>
      <c r="S114" s="62" t="s">
        <v>389</v>
      </c>
      <c r="T114" s="65" t="n">
        <v>3.6</v>
      </c>
      <c r="U114" s="62" t="s">
        <v>279</v>
      </c>
      <c r="V114" s="65" t="n">
        <v>0.5</v>
      </c>
      <c r="W114" s="65" t="n">
        <v>1.6</v>
      </c>
      <c r="X114" s="63" t="n">
        <v>0</v>
      </c>
      <c r="Y114" s="62" t="s">
        <v>390</v>
      </c>
      <c r="Z114" s="62" t="s">
        <v>389</v>
      </c>
      <c r="AA114" s="62" t="s">
        <v>395</v>
      </c>
      <c r="AB114" s="62" t="s">
        <v>275</v>
      </c>
      <c r="AC114" s="65" t="n">
        <v>42.9</v>
      </c>
      <c r="AD114" s="63" t="n">
        <v>4</v>
      </c>
      <c r="AE114" s="63" t="n">
        <v>21</v>
      </c>
      <c r="AF114" s="63" t="n">
        <v>3</v>
      </c>
      <c r="AG114" s="62" t="s">
        <v>390</v>
      </c>
      <c r="AH114" s="62"/>
      <c r="AI114" s="63" t="n">
        <v>0</v>
      </c>
      <c r="AJ114" s="62" t="s">
        <v>149</v>
      </c>
      <c r="AK114" s="62" t="s">
        <v>391</v>
      </c>
      <c r="AL114" s="62" t="s">
        <v>392</v>
      </c>
      <c r="AM114" s="62" t="s">
        <v>396</v>
      </c>
      <c r="AN114" s="65" t="n">
        <v>114.2</v>
      </c>
      <c r="AO114" s="62" t="s">
        <v>389</v>
      </c>
      <c r="AP114" s="62" t="s">
        <v>390</v>
      </c>
      <c r="AQ114" s="62" t="s">
        <v>390</v>
      </c>
      <c r="AR114" s="66"/>
      <c r="AS114" s="62"/>
      <c r="AT114" s="65"/>
      <c r="AU114" s="62" t="s">
        <v>397</v>
      </c>
    </row>
    <row r="115" customFormat="false" ht="15" hidden="false" customHeight="false" outlineLevel="0" collapsed="false">
      <c r="A115" s="62" t="s">
        <v>388</v>
      </c>
      <c r="B115" s="63" t="n">
        <v>687</v>
      </c>
      <c r="C115" s="64" t="n">
        <v>46302.7697101389</v>
      </c>
      <c r="D115" s="62" t="s">
        <v>72</v>
      </c>
      <c r="E115" s="63" t="n">
        <v>18</v>
      </c>
      <c r="F115" s="62" t="s">
        <v>389</v>
      </c>
      <c r="G115" s="62" t="s">
        <v>390</v>
      </c>
      <c r="H115" s="62" t="s">
        <v>390</v>
      </c>
      <c r="I115" s="62" t="s">
        <v>389</v>
      </c>
      <c r="J115" s="65"/>
      <c r="K115" s="62" t="s">
        <v>275</v>
      </c>
      <c r="L115" s="62" t="s">
        <v>389</v>
      </c>
      <c r="M115" s="62" t="s">
        <v>390</v>
      </c>
      <c r="N115" s="62"/>
      <c r="O115" s="62" t="s">
        <v>389</v>
      </c>
      <c r="P115" s="62" t="s">
        <v>390</v>
      </c>
      <c r="Q115" s="62" t="s">
        <v>390</v>
      </c>
      <c r="R115" s="62" t="s">
        <v>277</v>
      </c>
      <c r="S115" s="62" t="s">
        <v>390</v>
      </c>
      <c r="T115" s="65" t="n">
        <v>5607.7</v>
      </c>
      <c r="U115" s="62" t="s">
        <v>277</v>
      </c>
      <c r="V115" s="65" t="n">
        <v>5607.7</v>
      </c>
      <c r="W115" s="65"/>
      <c r="X115" s="63" t="n">
        <v>0</v>
      </c>
      <c r="Y115" s="62" t="s">
        <v>390</v>
      </c>
      <c r="Z115" s="62" t="s">
        <v>389</v>
      </c>
      <c r="AA115" s="62" t="s">
        <v>395</v>
      </c>
      <c r="AB115" s="62" t="s">
        <v>275</v>
      </c>
      <c r="AC115" s="65" t="n">
        <v>42.6</v>
      </c>
      <c r="AD115" s="63" t="n">
        <v>1</v>
      </c>
      <c r="AE115" s="63" t="n">
        <v>22</v>
      </c>
      <c r="AF115" s="63" t="n">
        <v>1</v>
      </c>
      <c r="AG115" s="62" t="s">
        <v>389</v>
      </c>
      <c r="AH115" s="62" t="s">
        <v>330</v>
      </c>
      <c r="AI115" s="63" t="n">
        <v>0</v>
      </c>
      <c r="AJ115" s="62" t="s">
        <v>147</v>
      </c>
      <c r="AK115" s="62" t="s">
        <v>391</v>
      </c>
      <c r="AL115" s="62" t="s">
        <v>392</v>
      </c>
      <c r="AM115" s="62" t="s">
        <v>396</v>
      </c>
      <c r="AN115" s="65" t="n">
        <v>93.5</v>
      </c>
      <c r="AO115" s="62" t="s">
        <v>389</v>
      </c>
      <c r="AP115" s="62" t="s">
        <v>390</v>
      </c>
      <c r="AQ115" s="62" t="s">
        <v>390</v>
      </c>
      <c r="AR115" s="66"/>
      <c r="AS115" s="62"/>
      <c r="AT115" s="65"/>
      <c r="AU115" s="62" t="s">
        <v>399</v>
      </c>
    </row>
    <row r="116" customFormat="false" ht="15" hidden="false" customHeight="false" outlineLevel="0" collapsed="false">
      <c r="A116" s="62" t="s">
        <v>388</v>
      </c>
      <c r="B116" s="63" t="n">
        <v>692</v>
      </c>
      <c r="C116" s="64" t="n">
        <v>46302.7829692245</v>
      </c>
      <c r="D116" s="62" t="s">
        <v>72</v>
      </c>
      <c r="E116" s="63" t="n">
        <v>18</v>
      </c>
      <c r="F116" s="62" t="s">
        <v>389</v>
      </c>
      <c r="G116" s="62" t="s">
        <v>390</v>
      </c>
      <c r="H116" s="62" t="s">
        <v>390</v>
      </c>
      <c r="I116" s="62" t="s">
        <v>389</v>
      </c>
      <c r="J116" s="65"/>
      <c r="K116" s="62" t="s">
        <v>275</v>
      </c>
      <c r="L116" s="62" t="s">
        <v>389</v>
      </c>
      <c r="M116" s="62" t="s">
        <v>390</v>
      </c>
      <c r="N116" s="62"/>
      <c r="O116" s="62" t="s">
        <v>389</v>
      </c>
      <c r="P116" s="62" t="s">
        <v>390</v>
      </c>
      <c r="Q116" s="62" t="s">
        <v>390</v>
      </c>
      <c r="R116" s="62" t="s">
        <v>277</v>
      </c>
      <c r="S116" s="62" t="s">
        <v>390</v>
      </c>
      <c r="T116" s="65" t="n">
        <v>6704.6</v>
      </c>
      <c r="U116" s="62" t="s">
        <v>277</v>
      </c>
      <c r="V116" s="65" t="n">
        <v>6704.6</v>
      </c>
      <c r="W116" s="65"/>
      <c r="X116" s="63" t="n">
        <v>0</v>
      </c>
      <c r="Y116" s="62" t="s">
        <v>390</v>
      </c>
      <c r="Z116" s="62" t="s">
        <v>389</v>
      </c>
      <c r="AA116" s="62" t="s">
        <v>395</v>
      </c>
      <c r="AB116" s="62" t="s">
        <v>275</v>
      </c>
      <c r="AC116" s="65" t="n">
        <v>42.2</v>
      </c>
      <c r="AD116" s="63" t="n">
        <v>1</v>
      </c>
      <c r="AE116" s="63" t="n">
        <v>22</v>
      </c>
      <c r="AF116" s="63" t="n">
        <v>1</v>
      </c>
      <c r="AG116" s="62" t="s">
        <v>390</v>
      </c>
      <c r="AH116" s="62"/>
      <c r="AI116" s="63" t="n">
        <v>0</v>
      </c>
      <c r="AJ116" s="62" t="s">
        <v>147</v>
      </c>
      <c r="AK116" s="62" t="s">
        <v>391</v>
      </c>
      <c r="AL116" s="62" t="s">
        <v>392</v>
      </c>
      <c r="AM116" s="62" t="s">
        <v>396</v>
      </c>
      <c r="AN116" s="65" t="n">
        <v>111.7</v>
      </c>
      <c r="AO116" s="62" t="s">
        <v>389</v>
      </c>
      <c r="AP116" s="62" t="s">
        <v>390</v>
      </c>
      <c r="AQ116" s="62" t="s">
        <v>390</v>
      </c>
      <c r="AR116" s="66"/>
      <c r="AS116" s="62"/>
      <c r="AT116" s="65"/>
      <c r="AU116" s="62" t="s">
        <v>397</v>
      </c>
    </row>
    <row r="117" customFormat="false" ht="15" hidden="false" customHeight="false" outlineLevel="0" collapsed="false">
      <c r="A117" s="62" t="s">
        <v>388</v>
      </c>
      <c r="B117" s="63" t="n">
        <v>702</v>
      </c>
      <c r="C117" s="64" t="n">
        <v>46302.7944710764</v>
      </c>
      <c r="D117" s="62" t="s">
        <v>72</v>
      </c>
      <c r="E117" s="63" t="n">
        <v>19</v>
      </c>
      <c r="F117" s="62" t="s">
        <v>389</v>
      </c>
      <c r="G117" s="62" t="s">
        <v>390</v>
      </c>
      <c r="H117" s="62" t="s">
        <v>390</v>
      </c>
      <c r="I117" s="62" t="s">
        <v>389</v>
      </c>
      <c r="J117" s="65"/>
      <c r="K117" s="62" t="s">
        <v>275</v>
      </c>
      <c r="L117" s="62" t="s">
        <v>389</v>
      </c>
      <c r="M117" s="62" t="s">
        <v>390</v>
      </c>
      <c r="N117" s="62"/>
      <c r="O117" s="62" t="s">
        <v>389</v>
      </c>
      <c r="P117" s="62" t="s">
        <v>390</v>
      </c>
      <c r="Q117" s="62" t="s">
        <v>390</v>
      </c>
      <c r="R117" s="62" t="s">
        <v>277</v>
      </c>
      <c r="S117" s="62" t="s">
        <v>390</v>
      </c>
      <c r="T117" s="65" t="n">
        <v>6688.8</v>
      </c>
      <c r="U117" s="62" t="s">
        <v>277</v>
      </c>
      <c r="V117" s="65" t="n">
        <v>6688.8</v>
      </c>
      <c r="W117" s="65"/>
      <c r="X117" s="63" t="n">
        <v>0</v>
      </c>
      <c r="Y117" s="62" t="s">
        <v>390</v>
      </c>
      <c r="Z117" s="62" t="s">
        <v>389</v>
      </c>
      <c r="AA117" s="62" t="s">
        <v>395</v>
      </c>
      <c r="AB117" s="62" t="s">
        <v>275</v>
      </c>
      <c r="AC117" s="65" t="n">
        <v>42</v>
      </c>
      <c r="AD117" s="63" t="n">
        <v>1</v>
      </c>
      <c r="AE117" s="63" t="n">
        <v>22</v>
      </c>
      <c r="AF117" s="63" t="n">
        <v>1</v>
      </c>
      <c r="AG117" s="62" t="s">
        <v>390</v>
      </c>
      <c r="AH117" s="62"/>
      <c r="AI117" s="63" t="n">
        <v>0</v>
      </c>
      <c r="AJ117" s="62" t="s">
        <v>147</v>
      </c>
      <c r="AK117" s="62" t="s">
        <v>391</v>
      </c>
      <c r="AL117" s="62" t="s">
        <v>392</v>
      </c>
      <c r="AM117" s="62" t="s">
        <v>396</v>
      </c>
      <c r="AN117" s="65" t="n">
        <v>111.5</v>
      </c>
      <c r="AO117" s="62" t="s">
        <v>389</v>
      </c>
      <c r="AP117" s="62" t="s">
        <v>390</v>
      </c>
      <c r="AQ117" s="62" t="s">
        <v>390</v>
      </c>
      <c r="AR117" s="66"/>
      <c r="AS117" s="62"/>
      <c r="AT117" s="65"/>
      <c r="AU117" s="62" t="s">
        <v>397</v>
      </c>
    </row>
    <row r="118" customFormat="false" ht="15" hidden="false" customHeight="false" outlineLevel="0" collapsed="false">
      <c r="A118" s="62" t="s">
        <v>388</v>
      </c>
      <c r="B118" s="63" t="n">
        <v>704</v>
      </c>
      <c r="C118" s="64" t="n">
        <v>46302.7993420833</v>
      </c>
      <c r="D118" s="62" t="s">
        <v>72</v>
      </c>
      <c r="E118" s="63" t="n">
        <v>19</v>
      </c>
      <c r="F118" s="62" t="s">
        <v>389</v>
      </c>
      <c r="G118" s="62" t="s">
        <v>390</v>
      </c>
      <c r="H118" s="62" t="s">
        <v>390</v>
      </c>
      <c r="I118" s="62" t="s">
        <v>389</v>
      </c>
      <c r="J118" s="65"/>
      <c r="K118" s="62" t="s">
        <v>275</v>
      </c>
      <c r="L118" s="62" t="s">
        <v>389</v>
      </c>
      <c r="M118" s="62" t="s">
        <v>390</v>
      </c>
      <c r="N118" s="62"/>
      <c r="O118" s="62" t="s">
        <v>389</v>
      </c>
      <c r="P118" s="62" t="s">
        <v>390</v>
      </c>
      <c r="Q118" s="62" t="s">
        <v>390</v>
      </c>
      <c r="R118" s="62" t="s">
        <v>277</v>
      </c>
      <c r="S118" s="62" t="s">
        <v>390</v>
      </c>
      <c r="T118" s="65" t="n">
        <v>5566.3</v>
      </c>
      <c r="U118" s="62" t="s">
        <v>277</v>
      </c>
      <c r="V118" s="65" t="n">
        <v>5566.3</v>
      </c>
      <c r="W118" s="65"/>
      <c r="X118" s="63" t="n">
        <v>0</v>
      </c>
      <c r="Y118" s="62" t="s">
        <v>390</v>
      </c>
      <c r="Z118" s="62" t="s">
        <v>389</v>
      </c>
      <c r="AA118" s="62" t="s">
        <v>395</v>
      </c>
      <c r="AB118" s="62" t="s">
        <v>275</v>
      </c>
      <c r="AC118" s="65" t="n">
        <v>41.8</v>
      </c>
      <c r="AD118" s="63" t="n">
        <v>1</v>
      </c>
      <c r="AE118" s="63" t="n">
        <v>22</v>
      </c>
      <c r="AF118" s="63" t="n">
        <v>1</v>
      </c>
      <c r="AG118" s="62" t="s">
        <v>390</v>
      </c>
      <c r="AH118" s="62"/>
      <c r="AI118" s="63" t="n">
        <v>0</v>
      </c>
      <c r="AJ118" s="62" t="s">
        <v>147</v>
      </c>
      <c r="AK118" s="62" t="s">
        <v>391</v>
      </c>
      <c r="AL118" s="62" t="s">
        <v>392</v>
      </c>
      <c r="AM118" s="62" t="s">
        <v>396</v>
      </c>
      <c r="AN118" s="65" t="n">
        <v>92.8</v>
      </c>
      <c r="AO118" s="62" t="s">
        <v>389</v>
      </c>
      <c r="AP118" s="62" t="s">
        <v>390</v>
      </c>
      <c r="AQ118" s="62" t="s">
        <v>390</v>
      </c>
      <c r="AR118" s="66"/>
      <c r="AS118" s="62"/>
      <c r="AT118" s="65"/>
      <c r="AU118" s="62" t="s">
        <v>397</v>
      </c>
    </row>
    <row r="119" customFormat="false" ht="15" hidden="false" customHeight="false" outlineLevel="0" collapsed="false">
      <c r="A119" s="62" t="s">
        <v>388</v>
      </c>
      <c r="B119" s="63" t="n">
        <v>705</v>
      </c>
      <c r="C119" s="64" t="n">
        <v>46302.8025745023</v>
      </c>
      <c r="D119" s="62" t="s">
        <v>72</v>
      </c>
      <c r="E119" s="63" t="n">
        <v>19</v>
      </c>
      <c r="F119" s="62" t="s">
        <v>389</v>
      </c>
      <c r="G119" s="62" t="s">
        <v>389</v>
      </c>
      <c r="H119" s="62" t="s">
        <v>389</v>
      </c>
      <c r="I119" s="62" t="s">
        <v>389</v>
      </c>
      <c r="J119" s="65" t="n">
        <v>0.4</v>
      </c>
      <c r="K119" s="62" t="s">
        <v>278</v>
      </c>
      <c r="L119" s="62" t="s">
        <v>389</v>
      </c>
      <c r="M119" s="62" t="s">
        <v>390</v>
      </c>
      <c r="N119" s="62"/>
      <c r="O119" s="62" t="s">
        <v>389</v>
      </c>
      <c r="P119" s="62" t="s">
        <v>390</v>
      </c>
      <c r="Q119" s="62" t="s">
        <v>390</v>
      </c>
      <c r="R119" s="62" t="s">
        <v>278</v>
      </c>
      <c r="S119" s="62" t="s">
        <v>389</v>
      </c>
      <c r="T119" s="65" t="n">
        <v>9.4</v>
      </c>
      <c r="U119" s="62" t="s">
        <v>278</v>
      </c>
      <c r="V119" s="65" t="n">
        <v>1.5</v>
      </c>
      <c r="W119" s="65" t="n">
        <v>6.6</v>
      </c>
      <c r="X119" s="63" t="n">
        <v>0</v>
      </c>
      <c r="Y119" s="62" t="s">
        <v>390</v>
      </c>
      <c r="Z119" s="62" t="s">
        <v>389</v>
      </c>
      <c r="AA119" s="62" t="s">
        <v>395</v>
      </c>
      <c r="AB119" s="62" t="s">
        <v>275</v>
      </c>
      <c r="AC119" s="65" t="n">
        <v>41.8</v>
      </c>
      <c r="AD119" s="63" t="n">
        <v>3</v>
      </c>
      <c r="AE119" s="63" t="n">
        <v>21</v>
      </c>
      <c r="AF119" s="63" t="n">
        <v>2</v>
      </c>
      <c r="AG119" s="62" t="s">
        <v>390</v>
      </c>
      <c r="AH119" s="62"/>
      <c r="AI119" s="63" t="n">
        <v>0</v>
      </c>
      <c r="AJ119" s="62" t="s">
        <v>149</v>
      </c>
      <c r="AK119" s="62" t="s">
        <v>391</v>
      </c>
      <c r="AL119" s="62" t="s">
        <v>392</v>
      </c>
      <c r="AM119" s="62" t="s">
        <v>396</v>
      </c>
      <c r="AN119" s="65" t="n">
        <v>112.9</v>
      </c>
      <c r="AO119" s="62" t="s">
        <v>389</v>
      </c>
      <c r="AP119" s="62" t="s">
        <v>390</v>
      </c>
      <c r="AQ119" s="62" t="s">
        <v>390</v>
      </c>
      <c r="AR119" s="66"/>
      <c r="AS119" s="62"/>
      <c r="AT119" s="65"/>
      <c r="AU119" s="62" t="s">
        <v>397</v>
      </c>
    </row>
    <row r="120" customFormat="false" ht="15" hidden="false" customHeight="false" outlineLevel="0" collapsed="false">
      <c r="A120" s="62" t="s">
        <v>388</v>
      </c>
      <c r="B120" s="63" t="n">
        <v>707</v>
      </c>
      <c r="C120" s="64" t="n">
        <v>46302.8060242477</v>
      </c>
      <c r="D120" s="62" t="s">
        <v>72</v>
      </c>
      <c r="E120" s="63" t="n">
        <v>19</v>
      </c>
      <c r="F120" s="62" t="s">
        <v>389</v>
      </c>
      <c r="G120" s="62" t="s">
        <v>390</v>
      </c>
      <c r="H120" s="62" t="s">
        <v>390</v>
      </c>
      <c r="I120" s="62" t="s">
        <v>389</v>
      </c>
      <c r="J120" s="65"/>
      <c r="K120" s="62" t="s">
        <v>275</v>
      </c>
      <c r="L120" s="62" t="s">
        <v>389</v>
      </c>
      <c r="M120" s="62" t="s">
        <v>390</v>
      </c>
      <c r="N120" s="62"/>
      <c r="O120" s="62" t="s">
        <v>389</v>
      </c>
      <c r="P120" s="62" t="s">
        <v>390</v>
      </c>
      <c r="Q120" s="62" t="s">
        <v>390</v>
      </c>
      <c r="R120" s="62" t="s">
        <v>277</v>
      </c>
      <c r="S120" s="62" t="s">
        <v>390</v>
      </c>
      <c r="T120" s="65" t="n">
        <v>6672.9</v>
      </c>
      <c r="U120" s="62" t="s">
        <v>277</v>
      </c>
      <c r="V120" s="65" t="n">
        <v>6672.9</v>
      </c>
      <c r="W120" s="65"/>
      <c r="X120" s="63" t="n">
        <v>0</v>
      </c>
      <c r="Y120" s="62" t="s">
        <v>390</v>
      </c>
      <c r="Z120" s="62" t="s">
        <v>389</v>
      </c>
      <c r="AA120" s="62" t="s">
        <v>395</v>
      </c>
      <c r="AB120" s="62" t="s">
        <v>275</v>
      </c>
      <c r="AC120" s="65" t="n">
        <v>41.7</v>
      </c>
      <c r="AD120" s="63" t="n">
        <v>1</v>
      </c>
      <c r="AE120" s="63" t="n">
        <v>22</v>
      </c>
      <c r="AF120" s="63" t="n">
        <v>1</v>
      </c>
      <c r="AG120" s="62" t="s">
        <v>390</v>
      </c>
      <c r="AH120" s="62"/>
      <c r="AI120" s="63" t="n">
        <v>0</v>
      </c>
      <c r="AJ120" s="62" t="s">
        <v>147</v>
      </c>
      <c r="AK120" s="62" t="s">
        <v>391</v>
      </c>
      <c r="AL120" s="62" t="s">
        <v>392</v>
      </c>
      <c r="AM120" s="62" t="s">
        <v>396</v>
      </c>
      <c r="AN120" s="65" t="n">
        <v>111.2</v>
      </c>
      <c r="AO120" s="62" t="s">
        <v>389</v>
      </c>
      <c r="AP120" s="62" t="s">
        <v>390</v>
      </c>
      <c r="AQ120" s="62" t="s">
        <v>390</v>
      </c>
      <c r="AR120" s="66"/>
      <c r="AS120" s="62"/>
      <c r="AT120" s="65"/>
      <c r="AU120" s="62" t="s">
        <v>397</v>
      </c>
    </row>
    <row r="121" customFormat="false" ht="15" hidden="false" customHeight="false" outlineLevel="0" collapsed="false">
      <c r="A121" s="62" t="s">
        <v>388</v>
      </c>
      <c r="B121" s="63" t="n">
        <v>710</v>
      </c>
      <c r="C121" s="64" t="n">
        <v>46302.8114727315</v>
      </c>
      <c r="D121" s="62" t="s">
        <v>72</v>
      </c>
      <c r="E121" s="63" t="n">
        <v>19</v>
      </c>
      <c r="F121" s="62" t="s">
        <v>389</v>
      </c>
      <c r="G121" s="62" t="s">
        <v>390</v>
      </c>
      <c r="H121" s="62" t="s">
        <v>390</v>
      </c>
      <c r="I121" s="62" t="s">
        <v>389</v>
      </c>
      <c r="J121" s="65"/>
      <c r="K121" s="62" t="s">
        <v>275</v>
      </c>
      <c r="L121" s="62" t="s">
        <v>389</v>
      </c>
      <c r="M121" s="62" t="s">
        <v>390</v>
      </c>
      <c r="N121" s="62"/>
      <c r="O121" s="62" t="s">
        <v>389</v>
      </c>
      <c r="P121" s="62" t="s">
        <v>390</v>
      </c>
      <c r="Q121" s="62" t="s">
        <v>390</v>
      </c>
      <c r="R121" s="62" t="s">
        <v>277</v>
      </c>
      <c r="S121" s="62" t="s">
        <v>390</v>
      </c>
      <c r="T121" s="65" t="n">
        <v>5545.3</v>
      </c>
      <c r="U121" s="62" t="s">
        <v>277</v>
      </c>
      <c r="V121" s="65" t="n">
        <v>5545.3</v>
      </c>
      <c r="W121" s="65"/>
      <c r="X121" s="63" t="n">
        <v>0</v>
      </c>
      <c r="Y121" s="62" t="s">
        <v>390</v>
      </c>
      <c r="Z121" s="62" t="s">
        <v>389</v>
      </c>
      <c r="AA121" s="62" t="s">
        <v>395</v>
      </c>
      <c r="AB121" s="62" t="s">
        <v>275</v>
      </c>
      <c r="AC121" s="65" t="n">
        <v>41.6</v>
      </c>
      <c r="AD121" s="63" t="n">
        <v>1</v>
      </c>
      <c r="AE121" s="63" t="n">
        <v>22</v>
      </c>
      <c r="AF121" s="63" t="n">
        <v>1</v>
      </c>
      <c r="AG121" s="62" t="s">
        <v>390</v>
      </c>
      <c r="AH121" s="62"/>
      <c r="AI121" s="63" t="n">
        <v>0</v>
      </c>
      <c r="AJ121" s="62" t="s">
        <v>147</v>
      </c>
      <c r="AK121" s="62" t="s">
        <v>391</v>
      </c>
      <c r="AL121" s="62" t="s">
        <v>392</v>
      </c>
      <c r="AM121" s="62" t="s">
        <v>396</v>
      </c>
      <c r="AN121" s="65" t="n">
        <v>92.4</v>
      </c>
      <c r="AO121" s="62" t="s">
        <v>389</v>
      </c>
      <c r="AP121" s="62" t="s">
        <v>390</v>
      </c>
      <c r="AQ121" s="62" t="s">
        <v>390</v>
      </c>
      <c r="AR121" s="66"/>
      <c r="AS121" s="62"/>
      <c r="AT121" s="65"/>
      <c r="AU121" s="62" t="s">
        <v>397</v>
      </c>
    </row>
    <row r="122" customFormat="false" ht="15" hidden="false" customHeight="false" outlineLevel="0" collapsed="false">
      <c r="A122" s="62" t="s">
        <v>388</v>
      </c>
      <c r="B122" s="63" t="n">
        <v>713</v>
      </c>
      <c r="C122" s="64" t="n">
        <v>46302.8173550232</v>
      </c>
      <c r="D122" s="62" t="s">
        <v>72</v>
      </c>
      <c r="E122" s="63" t="n">
        <v>19</v>
      </c>
      <c r="F122" s="62" t="s">
        <v>389</v>
      </c>
      <c r="G122" s="62" t="s">
        <v>389</v>
      </c>
      <c r="H122" s="62" t="s">
        <v>389</v>
      </c>
      <c r="I122" s="62" t="s">
        <v>389</v>
      </c>
      <c r="J122" s="65" t="n">
        <v>3.3</v>
      </c>
      <c r="K122" s="62" t="s">
        <v>278</v>
      </c>
      <c r="L122" s="62" t="s">
        <v>389</v>
      </c>
      <c r="M122" s="62" t="s">
        <v>390</v>
      </c>
      <c r="N122" s="62"/>
      <c r="O122" s="62" t="s">
        <v>389</v>
      </c>
      <c r="P122" s="62" t="s">
        <v>390</v>
      </c>
      <c r="Q122" s="62" t="s">
        <v>390</v>
      </c>
      <c r="R122" s="62" t="s">
        <v>277</v>
      </c>
      <c r="S122" s="62" t="s">
        <v>390</v>
      </c>
      <c r="T122" s="65" t="n">
        <v>6655.3</v>
      </c>
      <c r="U122" s="62" t="s">
        <v>277</v>
      </c>
      <c r="V122" s="65" t="n">
        <v>3.8</v>
      </c>
      <c r="W122" s="65" t="n">
        <v>6654.8</v>
      </c>
      <c r="X122" s="63" t="n">
        <v>0</v>
      </c>
      <c r="Y122" s="62" t="s">
        <v>390</v>
      </c>
      <c r="Z122" s="62" t="s">
        <v>389</v>
      </c>
      <c r="AA122" s="62" t="s">
        <v>395</v>
      </c>
      <c r="AB122" s="62" t="s">
        <v>275</v>
      </c>
      <c r="AC122" s="65" t="n">
        <v>41.4</v>
      </c>
      <c r="AD122" s="63" t="n">
        <v>3</v>
      </c>
      <c r="AE122" s="63" t="n">
        <v>21</v>
      </c>
      <c r="AF122" s="63" t="n">
        <v>1</v>
      </c>
      <c r="AG122" s="62" t="s">
        <v>390</v>
      </c>
      <c r="AH122" s="62"/>
      <c r="AI122" s="63" t="n">
        <v>0</v>
      </c>
      <c r="AJ122" s="62" t="s">
        <v>148</v>
      </c>
      <c r="AK122" s="62" t="s">
        <v>391</v>
      </c>
      <c r="AL122" s="62" t="s">
        <v>392</v>
      </c>
      <c r="AM122" s="62" t="s">
        <v>396</v>
      </c>
      <c r="AN122" s="65" t="n">
        <v>110.9</v>
      </c>
      <c r="AO122" s="62" t="s">
        <v>389</v>
      </c>
      <c r="AP122" s="62" t="s">
        <v>390</v>
      </c>
      <c r="AQ122" s="62" t="s">
        <v>390</v>
      </c>
      <c r="AR122" s="66"/>
      <c r="AS122" s="62"/>
      <c r="AT122" s="65"/>
      <c r="AU122" s="62" t="s">
        <v>397</v>
      </c>
    </row>
    <row r="123" customFormat="false" ht="15" hidden="false" customHeight="false" outlineLevel="0" collapsed="false">
      <c r="A123" s="62" t="s">
        <v>388</v>
      </c>
      <c r="B123" s="63" t="n">
        <v>720</v>
      </c>
      <c r="C123" s="64" t="n">
        <v>46302.8515462616</v>
      </c>
      <c r="D123" s="62" t="s">
        <v>72</v>
      </c>
      <c r="E123" s="63" t="n">
        <v>20</v>
      </c>
      <c r="F123" s="62" t="s">
        <v>389</v>
      </c>
      <c r="G123" s="62" t="s">
        <v>389</v>
      </c>
      <c r="H123" s="62" t="s">
        <v>389</v>
      </c>
      <c r="I123" s="62" t="s">
        <v>389</v>
      </c>
      <c r="J123" s="65" t="n">
        <v>3.6</v>
      </c>
      <c r="K123" s="62" t="s">
        <v>279</v>
      </c>
      <c r="L123" s="62" t="s">
        <v>389</v>
      </c>
      <c r="M123" s="62" t="s">
        <v>390</v>
      </c>
      <c r="N123" s="62"/>
      <c r="O123" s="62" t="s">
        <v>389</v>
      </c>
      <c r="P123" s="62" t="s">
        <v>390</v>
      </c>
      <c r="Q123" s="62" t="s">
        <v>390</v>
      </c>
      <c r="R123" s="62" t="s">
        <v>277</v>
      </c>
      <c r="S123" s="62" t="s">
        <v>389</v>
      </c>
      <c r="T123" s="65" t="n">
        <v>766</v>
      </c>
      <c r="U123" s="62" t="s">
        <v>277</v>
      </c>
      <c r="V123" s="65" t="n">
        <v>4</v>
      </c>
      <c r="W123" s="65" t="n">
        <v>2.2</v>
      </c>
      <c r="X123" s="63" t="n">
        <v>0</v>
      </c>
      <c r="Y123" s="62" t="s">
        <v>390</v>
      </c>
      <c r="Z123" s="62" t="s">
        <v>389</v>
      </c>
      <c r="AA123" s="62" t="s">
        <v>395</v>
      </c>
      <c r="AB123" s="62" t="s">
        <v>276</v>
      </c>
      <c r="AC123" s="65" t="n">
        <v>37.2</v>
      </c>
      <c r="AD123" s="63" t="n">
        <v>11</v>
      </c>
      <c r="AE123" s="63" t="n">
        <v>11</v>
      </c>
      <c r="AF123" s="63" t="n">
        <v>16</v>
      </c>
      <c r="AG123" s="62" t="s">
        <v>390</v>
      </c>
      <c r="AH123" s="62"/>
      <c r="AI123" s="63" t="n">
        <v>0</v>
      </c>
      <c r="AJ123" s="62" t="s">
        <v>150</v>
      </c>
      <c r="AK123" s="62" t="s">
        <v>391</v>
      </c>
      <c r="AL123" s="62" t="s">
        <v>392</v>
      </c>
      <c r="AM123" s="62" t="s">
        <v>396</v>
      </c>
      <c r="AN123" s="65" t="n">
        <v>108.9</v>
      </c>
      <c r="AO123" s="62" t="s">
        <v>389</v>
      </c>
      <c r="AP123" s="62" t="s">
        <v>390</v>
      </c>
      <c r="AQ123" s="62" t="s">
        <v>390</v>
      </c>
      <c r="AR123" s="66"/>
      <c r="AS123" s="62"/>
      <c r="AT123" s="65"/>
      <c r="AU123" s="62" t="s">
        <v>397</v>
      </c>
    </row>
    <row r="124" customFormat="false" ht="15" hidden="false" customHeight="false" outlineLevel="0" collapsed="false">
      <c r="A124" s="62" t="s">
        <v>388</v>
      </c>
      <c r="B124" s="63" t="n">
        <v>721</v>
      </c>
      <c r="C124" s="64" t="n">
        <v>46302.8517480093</v>
      </c>
      <c r="D124" s="62" t="s">
        <v>72</v>
      </c>
      <c r="E124" s="63" t="n">
        <v>20</v>
      </c>
      <c r="F124" s="62" t="s">
        <v>389</v>
      </c>
      <c r="G124" s="62" t="s">
        <v>389</v>
      </c>
      <c r="H124" s="62" t="s">
        <v>389</v>
      </c>
      <c r="I124" s="62" t="s">
        <v>389</v>
      </c>
      <c r="J124" s="65" t="n">
        <v>8.1</v>
      </c>
      <c r="K124" s="62" t="s">
        <v>279</v>
      </c>
      <c r="L124" s="62" t="s">
        <v>389</v>
      </c>
      <c r="M124" s="62" t="s">
        <v>389</v>
      </c>
      <c r="N124" s="62" t="s">
        <v>307</v>
      </c>
      <c r="O124" s="62" t="s">
        <v>389</v>
      </c>
      <c r="P124" s="62" t="s">
        <v>389</v>
      </c>
      <c r="Q124" s="62" t="s">
        <v>390</v>
      </c>
      <c r="R124" s="62" t="s">
        <v>279</v>
      </c>
      <c r="S124" s="62" t="s">
        <v>389</v>
      </c>
      <c r="T124" s="65" t="n">
        <v>23.4</v>
      </c>
      <c r="U124" s="62" t="s">
        <v>279</v>
      </c>
      <c r="V124" s="65" t="n">
        <v>16.6</v>
      </c>
      <c r="W124" s="65" t="n">
        <v>2.5</v>
      </c>
      <c r="X124" s="63" t="n">
        <v>0</v>
      </c>
      <c r="Y124" s="62" t="s">
        <v>389</v>
      </c>
      <c r="Z124" s="62" t="s">
        <v>389</v>
      </c>
      <c r="AA124" s="62" t="s">
        <v>395</v>
      </c>
      <c r="AB124" s="62" t="s">
        <v>275</v>
      </c>
      <c r="AC124" s="65" t="n">
        <v>40.6</v>
      </c>
      <c r="AD124" s="63" t="n">
        <v>5</v>
      </c>
      <c r="AE124" s="63" t="n">
        <v>23</v>
      </c>
      <c r="AF124" s="63" t="n">
        <v>12</v>
      </c>
      <c r="AG124" s="62" t="s">
        <v>390</v>
      </c>
      <c r="AH124" s="62"/>
      <c r="AI124" s="63" t="n">
        <v>0</v>
      </c>
      <c r="AJ124" s="62" t="s">
        <v>151</v>
      </c>
      <c r="AK124" s="62" t="s">
        <v>391</v>
      </c>
      <c r="AL124" s="62" t="s">
        <v>392</v>
      </c>
      <c r="AM124" s="62" t="s">
        <v>406</v>
      </c>
      <c r="AN124" s="65" t="n">
        <v>111.8</v>
      </c>
      <c r="AO124" s="62" t="s">
        <v>389</v>
      </c>
      <c r="AP124" s="62" t="s">
        <v>390</v>
      </c>
      <c r="AQ124" s="62" t="s">
        <v>390</v>
      </c>
      <c r="AR124" s="66"/>
      <c r="AS124" s="62"/>
      <c r="AT124" s="65"/>
      <c r="AU124" s="62" t="s">
        <v>397</v>
      </c>
    </row>
    <row r="125" customFormat="false" ht="15" hidden="false" customHeight="false" outlineLevel="0" collapsed="false">
      <c r="A125" s="62" t="s">
        <v>388</v>
      </c>
      <c r="B125" s="63" t="n">
        <v>723</v>
      </c>
      <c r="C125" s="64" t="n">
        <v>46302.8542289699</v>
      </c>
      <c r="D125" s="62" t="s">
        <v>72</v>
      </c>
      <c r="E125" s="63" t="n">
        <v>20</v>
      </c>
      <c r="F125" s="62" t="s">
        <v>389</v>
      </c>
      <c r="G125" s="62" t="s">
        <v>389</v>
      </c>
      <c r="H125" s="62" t="s">
        <v>389</v>
      </c>
      <c r="I125" s="62" t="s">
        <v>389</v>
      </c>
      <c r="J125" s="65" t="n">
        <v>6.3</v>
      </c>
      <c r="K125" s="62" t="s">
        <v>279</v>
      </c>
      <c r="L125" s="62" t="s">
        <v>389</v>
      </c>
      <c r="M125" s="62" t="s">
        <v>389</v>
      </c>
      <c r="N125" s="62" t="s">
        <v>303</v>
      </c>
      <c r="O125" s="62" t="s">
        <v>389</v>
      </c>
      <c r="P125" s="62" t="s">
        <v>389</v>
      </c>
      <c r="Q125" s="62" t="s">
        <v>390</v>
      </c>
      <c r="R125" s="62" t="s">
        <v>279</v>
      </c>
      <c r="S125" s="62" t="s">
        <v>389</v>
      </c>
      <c r="T125" s="65" t="n">
        <v>22.6</v>
      </c>
      <c r="U125" s="62" t="s">
        <v>279</v>
      </c>
      <c r="V125" s="65" t="n">
        <v>13.3</v>
      </c>
      <c r="W125" s="65" t="n">
        <v>3.7</v>
      </c>
      <c r="X125" s="63" t="n">
        <v>0</v>
      </c>
      <c r="Y125" s="62" t="s">
        <v>389</v>
      </c>
      <c r="Z125" s="62" t="s">
        <v>389</v>
      </c>
      <c r="AA125" s="62" t="s">
        <v>395</v>
      </c>
      <c r="AB125" s="62" t="s">
        <v>275</v>
      </c>
      <c r="AC125" s="65" t="n">
        <v>40.5</v>
      </c>
      <c r="AD125" s="63" t="n">
        <v>6</v>
      </c>
      <c r="AE125" s="63" t="n">
        <v>24</v>
      </c>
      <c r="AF125" s="63" t="n">
        <v>13</v>
      </c>
      <c r="AG125" s="62" t="s">
        <v>390</v>
      </c>
      <c r="AH125" s="62"/>
      <c r="AI125" s="63" t="n">
        <v>0</v>
      </c>
      <c r="AJ125" s="62" t="s">
        <v>151</v>
      </c>
      <c r="AK125" s="62" t="s">
        <v>391</v>
      </c>
      <c r="AL125" s="62" t="s">
        <v>392</v>
      </c>
      <c r="AM125" s="62" t="s">
        <v>396</v>
      </c>
      <c r="AN125" s="65" t="n">
        <v>111.7</v>
      </c>
      <c r="AO125" s="62" t="s">
        <v>389</v>
      </c>
      <c r="AP125" s="62" t="s">
        <v>390</v>
      </c>
      <c r="AQ125" s="62" t="s">
        <v>390</v>
      </c>
      <c r="AR125" s="66"/>
      <c r="AS125" s="62"/>
      <c r="AT125" s="65"/>
      <c r="AU125" s="62" t="s">
        <v>399</v>
      </c>
    </row>
    <row r="126" customFormat="false" ht="15" hidden="false" customHeight="false" outlineLevel="0" collapsed="false">
      <c r="A126" s="62" t="s">
        <v>388</v>
      </c>
      <c r="B126" s="63" t="n">
        <v>725</v>
      </c>
      <c r="C126" s="64" t="n">
        <v>46302.8691368519</v>
      </c>
      <c r="D126" s="62" t="s">
        <v>72</v>
      </c>
      <c r="E126" s="63" t="n">
        <v>20</v>
      </c>
      <c r="F126" s="62" t="s">
        <v>389</v>
      </c>
      <c r="G126" s="62" t="s">
        <v>389</v>
      </c>
      <c r="H126" s="62" t="s">
        <v>389</v>
      </c>
      <c r="I126" s="62" t="s">
        <v>389</v>
      </c>
      <c r="J126" s="65" t="n">
        <v>1.6</v>
      </c>
      <c r="K126" s="62" t="s">
        <v>279</v>
      </c>
      <c r="L126" s="62" t="s">
        <v>389</v>
      </c>
      <c r="M126" s="62" t="s">
        <v>390</v>
      </c>
      <c r="N126" s="62"/>
      <c r="O126" s="62" t="s">
        <v>389</v>
      </c>
      <c r="P126" s="62" t="s">
        <v>390</v>
      </c>
      <c r="Q126" s="62" t="s">
        <v>390</v>
      </c>
      <c r="R126" s="62" t="s">
        <v>277</v>
      </c>
      <c r="S126" s="62" t="s">
        <v>390</v>
      </c>
      <c r="T126" s="65" t="n">
        <v>5450.3</v>
      </c>
      <c r="U126" s="62" t="s">
        <v>277</v>
      </c>
      <c r="V126" s="65" t="n">
        <v>1.9</v>
      </c>
      <c r="W126" s="65" t="n">
        <v>5450</v>
      </c>
      <c r="X126" s="63" t="n">
        <v>0</v>
      </c>
      <c r="Y126" s="62" t="s">
        <v>390</v>
      </c>
      <c r="Z126" s="62" t="s">
        <v>389</v>
      </c>
      <c r="AA126" s="62" t="s">
        <v>395</v>
      </c>
      <c r="AB126" s="62" t="s">
        <v>275</v>
      </c>
      <c r="AC126" s="65" t="n">
        <v>40.2</v>
      </c>
      <c r="AD126" s="63" t="n">
        <v>2</v>
      </c>
      <c r="AE126" s="63" t="n">
        <v>21</v>
      </c>
      <c r="AF126" s="63" t="n">
        <v>1</v>
      </c>
      <c r="AG126" s="62" t="s">
        <v>390</v>
      </c>
      <c r="AH126" s="62"/>
      <c r="AI126" s="63" t="n">
        <v>0</v>
      </c>
      <c r="AJ126" s="62" t="s">
        <v>148</v>
      </c>
      <c r="AK126" s="62" t="s">
        <v>391</v>
      </c>
      <c r="AL126" s="62" t="s">
        <v>392</v>
      </c>
      <c r="AM126" s="62" t="s">
        <v>396</v>
      </c>
      <c r="AN126" s="65" t="n">
        <v>90.8</v>
      </c>
      <c r="AO126" s="62" t="s">
        <v>389</v>
      </c>
      <c r="AP126" s="62" t="s">
        <v>390</v>
      </c>
      <c r="AQ126" s="62" t="s">
        <v>390</v>
      </c>
      <c r="AR126" s="66"/>
      <c r="AS126" s="62"/>
      <c r="AT126" s="65"/>
      <c r="AU126" s="62" t="s">
        <v>397</v>
      </c>
    </row>
    <row r="127" customFormat="false" ht="15" hidden="false" customHeight="false" outlineLevel="0" collapsed="false">
      <c r="A127" s="62" t="s">
        <v>388</v>
      </c>
      <c r="B127" s="63" t="n">
        <v>730</v>
      </c>
      <c r="C127" s="64" t="n">
        <v>46302.8834649537</v>
      </c>
      <c r="D127" s="62" t="s">
        <v>72</v>
      </c>
      <c r="E127" s="63" t="n">
        <v>21</v>
      </c>
      <c r="F127" s="62" t="s">
        <v>390</v>
      </c>
      <c r="G127" s="62" t="s">
        <v>389</v>
      </c>
      <c r="H127" s="62" t="s">
        <v>389</v>
      </c>
      <c r="I127" s="62" t="s">
        <v>389</v>
      </c>
      <c r="J127" s="65" t="n">
        <v>0.9</v>
      </c>
      <c r="K127" s="62" t="s">
        <v>278</v>
      </c>
      <c r="L127" s="62" t="s">
        <v>389</v>
      </c>
      <c r="M127" s="62" t="s">
        <v>389</v>
      </c>
      <c r="N127" s="62" t="s">
        <v>303</v>
      </c>
      <c r="O127" s="62" t="s">
        <v>389</v>
      </c>
      <c r="P127" s="62" t="s">
        <v>389</v>
      </c>
      <c r="Q127" s="62" t="s">
        <v>389</v>
      </c>
      <c r="R127" s="62" t="s">
        <v>278</v>
      </c>
      <c r="S127" s="62" t="s">
        <v>389</v>
      </c>
      <c r="T127" s="65" t="n">
        <v>28.4</v>
      </c>
      <c r="U127" s="62" t="s">
        <v>278</v>
      </c>
      <c r="V127" s="65" t="n">
        <v>4.8</v>
      </c>
      <c r="W127" s="65" t="n">
        <v>8.1</v>
      </c>
      <c r="X127" s="63" t="n">
        <v>0</v>
      </c>
      <c r="Y127" s="62" t="s">
        <v>389</v>
      </c>
      <c r="Z127" s="62" t="s">
        <v>389</v>
      </c>
      <c r="AA127" s="62" t="s">
        <v>395</v>
      </c>
      <c r="AB127" s="62" t="s">
        <v>278</v>
      </c>
      <c r="AC127" s="65" t="n">
        <v>40.5</v>
      </c>
      <c r="AD127" s="63" t="n">
        <v>12</v>
      </c>
      <c r="AE127" s="63" t="n">
        <v>17</v>
      </c>
      <c r="AF127" s="63" t="n">
        <v>14</v>
      </c>
      <c r="AG127" s="62" t="s">
        <v>389</v>
      </c>
      <c r="AH127" s="62" t="s">
        <v>398</v>
      </c>
      <c r="AI127" s="63" t="n">
        <v>0</v>
      </c>
      <c r="AJ127" s="62" t="s">
        <v>152</v>
      </c>
      <c r="AK127" s="62" t="s">
        <v>402</v>
      </c>
      <c r="AL127" s="62"/>
      <c r="AM127" s="62"/>
      <c r="AN127" s="65"/>
      <c r="AO127" s="62" t="s">
        <v>390</v>
      </c>
      <c r="AP127" s="62"/>
      <c r="AQ127" s="62" t="s">
        <v>390</v>
      </c>
      <c r="AR127" s="66"/>
      <c r="AS127" s="62"/>
      <c r="AT127" s="65"/>
      <c r="AU127" s="62" t="s">
        <v>397</v>
      </c>
    </row>
    <row r="128" customFormat="false" ht="15" hidden="false" customHeight="false" outlineLevel="0" collapsed="false">
      <c r="A128" s="62" t="s">
        <v>388</v>
      </c>
      <c r="B128" s="63" t="n">
        <v>740</v>
      </c>
      <c r="C128" s="64" t="n">
        <v>46302.9105780787</v>
      </c>
      <c r="D128" s="62" t="s">
        <v>72</v>
      </c>
      <c r="E128" s="63" t="n">
        <v>21</v>
      </c>
      <c r="F128" s="62" t="s">
        <v>390</v>
      </c>
      <c r="G128" s="62" t="s">
        <v>390</v>
      </c>
      <c r="H128" s="62" t="s">
        <v>390</v>
      </c>
      <c r="I128" s="62" t="s">
        <v>389</v>
      </c>
      <c r="J128" s="65"/>
      <c r="K128" s="62" t="s">
        <v>278</v>
      </c>
      <c r="L128" s="62" t="s">
        <v>389</v>
      </c>
      <c r="M128" s="62" t="s">
        <v>389</v>
      </c>
      <c r="N128" s="62" t="s">
        <v>309</v>
      </c>
      <c r="O128" s="62" t="s">
        <v>389</v>
      </c>
      <c r="P128" s="62" t="s">
        <v>390</v>
      </c>
      <c r="Q128" s="62" t="s">
        <v>390</v>
      </c>
      <c r="R128" s="62" t="s">
        <v>277</v>
      </c>
      <c r="S128" s="62" t="s">
        <v>390</v>
      </c>
      <c r="T128" s="65" t="n">
        <v>2.2</v>
      </c>
      <c r="U128" s="62" t="s">
        <v>278</v>
      </c>
      <c r="V128" s="65" t="n">
        <v>2.2</v>
      </c>
      <c r="W128" s="65" t="n">
        <v>3.4</v>
      </c>
      <c r="X128" s="63" t="n">
        <v>0</v>
      </c>
      <c r="Y128" s="62" t="s">
        <v>389</v>
      </c>
      <c r="Z128" s="62" t="s">
        <v>389</v>
      </c>
      <c r="AA128" s="62" t="s">
        <v>395</v>
      </c>
      <c r="AB128" s="62" t="s">
        <v>275</v>
      </c>
      <c r="AC128" s="65" t="n">
        <v>23.1</v>
      </c>
      <c r="AD128" s="63" t="n">
        <v>7</v>
      </c>
      <c r="AE128" s="63" t="n">
        <v>19</v>
      </c>
      <c r="AF128" s="63" t="n">
        <v>15</v>
      </c>
      <c r="AG128" s="62" t="s">
        <v>389</v>
      </c>
      <c r="AH128" s="62" t="s">
        <v>412</v>
      </c>
      <c r="AI128" s="63" t="n">
        <v>0</v>
      </c>
      <c r="AJ128" s="62" t="s">
        <v>150</v>
      </c>
      <c r="AK128" s="62" t="s">
        <v>391</v>
      </c>
      <c r="AL128" s="62" t="s">
        <v>392</v>
      </c>
      <c r="AM128" s="62" t="s">
        <v>396</v>
      </c>
      <c r="AN128" s="65" t="n">
        <v>85.7</v>
      </c>
      <c r="AO128" s="62" t="s">
        <v>389</v>
      </c>
      <c r="AP128" s="62" t="s">
        <v>390</v>
      </c>
      <c r="AQ128" s="62" t="s">
        <v>390</v>
      </c>
      <c r="AR128" s="66"/>
      <c r="AS128" s="62"/>
      <c r="AT128" s="65"/>
      <c r="AU128" s="62"/>
    </row>
    <row r="129" customFormat="false" ht="15" hidden="false" customHeight="false" outlineLevel="0" collapsed="false">
      <c r="A129" s="62" t="s">
        <v>388</v>
      </c>
      <c r="B129" s="63" t="n">
        <v>741</v>
      </c>
      <c r="C129" s="64" t="n">
        <v>46302.9138377546</v>
      </c>
      <c r="D129" s="62" t="s">
        <v>72</v>
      </c>
      <c r="E129" s="63" t="n">
        <v>21</v>
      </c>
      <c r="F129" s="62" t="s">
        <v>390</v>
      </c>
      <c r="G129" s="62" t="s">
        <v>390</v>
      </c>
      <c r="H129" s="62" t="s">
        <v>390</v>
      </c>
      <c r="I129" s="62" t="s">
        <v>389</v>
      </c>
      <c r="J129" s="65"/>
      <c r="K129" s="62" t="s">
        <v>275</v>
      </c>
      <c r="L129" s="62" t="s">
        <v>389</v>
      </c>
      <c r="M129" s="62" t="s">
        <v>390</v>
      </c>
      <c r="N129" s="62"/>
      <c r="O129" s="62" t="s">
        <v>389</v>
      </c>
      <c r="P129" s="62" t="s">
        <v>390</v>
      </c>
      <c r="Q129" s="62" t="s">
        <v>390</v>
      </c>
      <c r="R129" s="62" t="s">
        <v>277</v>
      </c>
      <c r="S129" s="62" t="s">
        <v>390</v>
      </c>
      <c r="T129" s="65" t="n">
        <v>5385.6</v>
      </c>
      <c r="U129" s="62" t="s">
        <v>277</v>
      </c>
      <c r="V129" s="65" t="n">
        <v>5385.6</v>
      </c>
      <c r="W129" s="65"/>
      <c r="X129" s="63" t="n">
        <v>0</v>
      </c>
      <c r="Y129" s="62" t="s">
        <v>390</v>
      </c>
      <c r="Z129" s="62" t="s">
        <v>389</v>
      </c>
      <c r="AA129" s="62" t="s">
        <v>395</v>
      </c>
      <c r="AB129" s="62" t="s">
        <v>275</v>
      </c>
      <c r="AC129" s="65" t="n">
        <v>39.1</v>
      </c>
      <c r="AD129" s="63" t="n">
        <v>1</v>
      </c>
      <c r="AE129" s="63" t="n">
        <v>22</v>
      </c>
      <c r="AF129" s="63" t="n">
        <v>1</v>
      </c>
      <c r="AG129" s="62" t="s">
        <v>390</v>
      </c>
      <c r="AH129" s="62"/>
      <c r="AI129" s="63" t="n">
        <v>0</v>
      </c>
      <c r="AJ129" s="62" t="s">
        <v>147</v>
      </c>
      <c r="AK129" s="62" t="s">
        <v>391</v>
      </c>
      <c r="AL129" s="62" t="s">
        <v>392</v>
      </c>
      <c r="AM129" s="62" t="s">
        <v>396</v>
      </c>
      <c r="AN129" s="65" t="n">
        <v>89.8</v>
      </c>
      <c r="AO129" s="62" t="s">
        <v>389</v>
      </c>
      <c r="AP129" s="62" t="s">
        <v>390</v>
      </c>
      <c r="AQ129" s="62" t="s">
        <v>390</v>
      </c>
      <c r="AR129" s="66"/>
      <c r="AS129" s="62"/>
      <c r="AT129" s="65"/>
      <c r="AU129" s="62" t="s">
        <v>399</v>
      </c>
    </row>
    <row r="130" customFormat="false" ht="15" hidden="false" customHeight="false" outlineLevel="0" collapsed="false">
      <c r="A130" s="62" t="s">
        <v>388</v>
      </c>
      <c r="B130" s="63" t="n">
        <v>742</v>
      </c>
      <c r="C130" s="64" t="n">
        <v>46302.9226806597</v>
      </c>
      <c r="D130" s="62" t="s">
        <v>72</v>
      </c>
      <c r="E130" s="63" t="n">
        <v>22</v>
      </c>
      <c r="F130" s="62" t="s">
        <v>390</v>
      </c>
      <c r="G130" s="62" t="s">
        <v>389</v>
      </c>
      <c r="H130" s="62" t="s">
        <v>389</v>
      </c>
      <c r="I130" s="62" t="s">
        <v>389</v>
      </c>
      <c r="J130" s="65" t="n">
        <v>545.8</v>
      </c>
      <c r="K130" s="62" t="s">
        <v>277</v>
      </c>
      <c r="L130" s="62" t="s">
        <v>389</v>
      </c>
      <c r="M130" s="62" t="s">
        <v>390</v>
      </c>
      <c r="N130" s="62"/>
      <c r="O130" s="62" t="s">
        <v>389</v>
      </c>
      <c r="P130" s="62" t="s">
        <v>390</v>
      </c>
      <c r="Q130" s="62" t="s">
        <v>390</v>
      </c>
      <c r="R130" s="62" t="s">
        <v>277</v>
      </c>
      <c r="S130" s="62" t="s">
        <v>389</v>
      </c>
      <c r="T130" s="65" t="n">
        <v>721.3</v>
      </c>
      <c r="U130" s="62" t="s">
        <v>276</v>
      </c>
      <c r="V130" s="65" t="n">
        <v>546.1</v>
      </c>
      <c r="W130" s="65" t="n">
        <v>2.2</v>
      </c>
      <c r="X130" s="63" t="n">
        <v>0</v>
      </c>
      <c r="Y130" s="62" t="s">
        <v>390</v>
      </c>
      <c r="Z130" s="62" t="s">
        <v>389</v>
      </c>
      <c r="AA130" s="62" t="s">
        <v>395</v>
      </c>
      <c r="AB130" s="62" t="s">
        <v>275</v>
      </c>
      <c r="AC130" s="65" t="n">
        <v>38.9</v>
      </c>
      <c r="AD130" s="63" t="n">
        <v>5</v>
      </c>
      <c r="AE130" s="63" t="n">
        <v>21</v>
      </c>
      <c r="AF130" s="63" t="n">
        <v>5</v>
      </c>
      <c r="AG130" s="62" t="s">
        <v>390</v>
      </c>
      <c r="AH130" s="62"/>
      <c r="AI130" s="63" t="n">
        <v>0</v>
      </c>
      <c r="AJ130" s="62" t="s">
        <v>150</v>
      </c>
      <c r="AK130" s="62" t="s">
        <v>391</v>
      </c>
      <c r="AL130" s="62" t="s">
        <v>392</v>
      </c>
      <c r="AM130" s="62" t="s">
        <v>396</v>
      </c>
      <c r="AN130" s="65" t="n">
        <v>89</v>
      </c>
      <c r="AO130" s="62" t="s">
        <v>389</v>
      </c>
      <c r="AP130" s="62" t="s">
        <v>390</v>
      </c>
      <c r="AQ130" s="62" t="s">
        <v>390</v>
      </c>
      <c r="AR130" s="66"/>
      <c r="AS130" s="62"/>
      <c r="AT130" s="65"/>
      <c r="AU130" s="62" t="s">
        <v>397</v>
      </c>
    </row>
    <row r="131" customFormat="false" ht="15" hidden="false" customHeight="false" outlineLevel="0" collapsed="false">
      <c r="A131" s="62" t="s">
        <v>388</v>
      </c>
      <c r="B131" s="63" t="n">
        <v>745</v>
      </c>
      <c r="C131" s="64" t="n">
        <v>46302.9383057639</v>
      </c>
      <c r="D131" s="62" t="s">
        <v>72</v>
      </c>
      <c r="E131" s="63" t="n">
        <v>22</v>
      </c>
      <c r="F131" s="62" t="s">
        <v>390</v>
      </c>
      <c r="G131" s="62" t="s">
        <v>389</v>
      </c>
      <c r="H131" s="62" t="s">
        <v>389</v>
      </c>
      <c r="I131" s="62" t="s">
        <v>389</v>
      </c>
      <c r="J131" s="65" t="n">
        <v>529.5</v>
      </c>
      <c r="K131" s="62" t="s">
        <v>277</v>
      </c>
      <c r="L131" s="62" t="s">
        <v>389</v>
      </c>
      <c r="M131" s="62" t="s">
        <v>390</v>
      </c>
      <c r="N131" s="62"/>
      <c r="O131" s="62" t="s">
        <v>389</v>
      </c>
      <c r="P131" s="62" t="s">
        <v>390</v>
      </c>
      <c r="Q131" s="62" t="s">
        <v>390</v>
      </c>
      <c r="R131" s="62" t="s">
        <v>277</v>
      </c>
      <c r="S131" s="62" t="s">
        <v>390</v>
      </c>
      <c r="T131" s="65" t="n">
        <v>5320.8</v>
      </c>
      <c r="U131" s="62" t="s">
        <v>277</v>
      </c>
      <c r="V131" s="65" t="n">
        <v>530.1</v>
      </c>
      <c r="W131" s="65" t="n">
        <v>5320.3</v>
      </c>
      <c r="X131" s="63" t="n">
        <v>0</v>
      </c>
      <c r="Y131" s="62" t="s">
        <v>390</v>
      </c>
      <c r="Z131" s="62" t="s">
        <v>389</v>
      </c>
      <c r="AA131" s="62" t="s">
        <v>395</v>
      </c>
      <c r="AB131" s="62" t="s">
        <v>275</v>
      </c>
      <c r="AC131" s="65" t="n">
        <v>38.5</v>
      </c>
      <c r="AD131" s="63" t="n">
        <v>2</v>
      </c>
      <c r="AE131" s="63" t="n">
        <v>21</v>
      </c>
      <c r="AF131" s="63" t="n">
        <v>1</v>
      </c>
      <c r="AG131" s="62" t="s">
        <v>390</v>
      </c>
      <c r="AH131" s="62"/>
      <c r="AI131" s="63" t="n">
        <v>0</v>
      </c>
      <c r="AJ131" s="62" t="s">
        <v>148</v>
      </c>
      <c r="AK131" s="62" t="s">
        <v>391</v>
      </c>
      <c r="AL131" s="62" t="s">
        <v>392</v>
      </c>
      <c r="AM131" s="62" t="s">
        <v>396</v>
      </c>
      <c r="AN131" s="65" t="n">
        <v>88.7</v>
      </c>
      <c r="AO131" s="62" t="s">
        <v>389</v>
      </c>
      <c r="AP131" s="62" t="s">
        <v>390</v>
      </c>
      <c r="AQ131" s="62" t="s">
        <v>390</v>
      </c>
      <c r="AR131" s="66"/>
      <c r="AS131" s="62"/>
      <c r="AT131" s="65"/>
      <c r="AU131" s="62" t="s">
        <v>397</v>
      </c>
    </row>
    <row r="132" customFormat="false" ht="15" hidden="false" customHeight="false" outlineLevel="0" collapsed="false">
      <c r="A132" s="62" t="s">
        <v>388</v>
      </c>
      <c r="B132" s="63" t="n">
        <v>752</v>
      </c>
      <c r="C132" s="64" t="n">
        <v>46302.970920625</v>
      </c>
      <c r="D132" s="62" t="s">
        <v>72</v>
      </c>
      <c r="E132" s="63" t="n">
        <v>23</v>
      </c>
      <c r="F132" s="62" t="s">
        <v>390</v>
      </c>
      <c r="G132" s="62" t="s">
        <v>389</v>
      </c>
      <c r="H132" s="62" t="s">
        <v>389</v>
      </c>
      <c r="I132" s="62" t="s">
        <v>389</v>
      </c>
      <c r="J132" s="65" t="n">
        <v>489.1</v>
      </c>
      <c r="K132" s="62" t="s">
        <v>277</v>
      </c>
      <c r="L132" s="62" t="s">
        <v>389</v>
      </c>
      <c r="M132" s="62" t="s">
        <v>389</v>
      </c>
      <c r="N132" s="62" t="s">
        <v>307</v>
      </c>
      <c r="O132" s="62" t="s">
        <v>389</v>
      </c>
      <c r="P132" s="62" t="s">
        <v>390</v>
      </c>
      <c r="Q132" s="62" t="s">
        <v>390</v>
      </c>
      <c r="R132" s="62" t="s">
        <v>277</v>
      </c>
      <c r="S132" s="62" t="s">
        <v>389</v>
      </c>
      <c r="T132" s="65" t="n">
        <v>648.1</v>
      </c>
      <c r="U132" s="62" t="s">
        <v>276</v>
      </c>
      <c r="V132" s="65" t="n">
        <v>489.4</v>
      </c>
      <c r="W132" s="65" t="n">
        <v>2.3</v>
      </c>
      <c r="X132" s="63" t="n">
        <v>0</v>
      </c>
      <c r="Y132" s="62" t="s">
        <v>390</v>
      </c>
      <c r="Z132" s="62" t="s">
        <v>389</v>
      </c>
      <c r="AA132" s="62" t="s">
        <v>395</v>
      </c>
      <c r="AB132" s="62" t="s">
        <v>275</v>
      </c>
      <c r="AC132" s="65" t="n">
        <v>37.7</v>
      </c>
      <c r="AD132" s="63" t="n">
        <v>16</v>
      </c>
      <c r="AE132" s="63" t="n">
        <v>21</v>
      </c>
      <c r="AF132" s="63" t="n">
        <v>31</v>
      </c>
      <c r="AG132" s="62" t="s">
        <v>389</v>
      </c>
      <c r="AH132" s="62" t="s">
        <v>415</v>
      </c>
      <c r="AI132" s="63" t="n">
        <v>0</v>
      </c>
      <c r="AJ132" s="62" t="s">
        <v>153</v>
      </c>
      <c r="AK132" s="62" t="s">
        <v>391</v>
      </c>
      <c r="AL132" s="62" t="s">
        <v>392</v>
      </c>
      <c r="AM132" s="62" t="s">
        <v>396</v>
      </c>
      <c r="AN132" s="65" t="n">
        <v>152.8</v>
      </c>
      <c r="AO132" s="62" t="s">
        <v>389</v>
      </c>
      <c r="AP132" s="62" t="s">
        <v>389</v>
      </c>
      <c r="AQ132" s="62" t="s">
        <v>390</v>
      </c>
      <c r="AR132" s="66"/>
      <c r="AS132" s="62"/>
      <c r="AT132" s="65"/>
      <c r="AU132" s="62" t="s">
        <v>397</v>
      </c>
    </row>
    <row r="133" customFormat="false" ht="15" hidden="false" customHeight="false" outlineLevel="0" collapsed="false">
      <c r="A133" s="62" t="s">
        <v>388</v>
      </c>
      <c r="B133" s="63" t="n">
        <v>754</v>
      </c>
      <c r="C133" s="64" t="n">
        <v>46302.9842101389</v>
      </c>
      <c r="D133" s="62" t="s">
        <v>72</v>
      </c>
      <c r="E133" s="63" t="n">
        <v>23</v>
      </c>
      <c r="F133" s="62" t="s">
        <v>390</v>
      </c>
      <c r="G133" s="62" t="s">
        <v>389</v>
      </c>
      <c r="H133" s="62" t="s">
        <v>389</v>
      </c>
      <c r="I133" s="62" t="s">
        <v>389</v>
      </c>
      <c r="J133" s="65" t="n">
        <v>470.9</v>
      </c>
      <c r="K133" s="62" t="s">
        <v>277</v>
      </c>
      <c r="L133" s="62" t="s">
        <v>389</v>
      </c>
      <c r="M133" s="62" t="s">
        <v>389</v>
      </c>
      <c r="N133" s="62" t="s">
        <v>308</v>
      </c>
      <c r="O133" s="62" t="s">
        <v>389</v>
      </c>
      <c r="P133" s="62" t="s">
        <v>389</v>
      </c>
      <c r="Q133" s="62" t="s">
        <v>390</v>
      </c>
      <c r="R133" s="62" t="s">
        <v>277</v>
      </c>
      <c r="S133" s="62" t="s">
        <v>389</v>
      </c>
      <c r="T133" s="65" t="n">
        <v>477.6</v>
      </c>
      <c r="U133" s="62" t="s">
        <v>277</v>
      </c>
      <c r="V133" s="65" t="n">
        <v>471.2</v>
      </c>
      <c r="W133" s="65" t="n">
        <v>3.2</v>
      </c>
      <c r="X133" s="63" t="n">
        <v>0</v>
      </c>
      <c r="Y133" s="62" t="s">
        <v>389</v>
      </c>
      <c r="Z133" s="62" t="s">
        <v>389</v>
      </c>
      <c r="AA133" s="62" t="s">
        <v>395</v>
      </c>
      <c r="AB133" s="62" t="s">
        <v>277</v>
      </c>
      <c r="AC133" s="65" t="n">
        <v>42.9</v>
      </c>
      <c r="AD133" s="63" t="n">
        <v>13</v>
      </c>
      <c r="AE133" s="63" t="n">
        <v>13</v>
      </c>
      <c r="AF133" s="63" t="n">
        <v>26</v>
      </c>
      <c r="AG133" s="62" t="s">
        <v>390</v>
      </c>
      <c r="AH133" s="62"/>
      <c r="AI133" s="63" t="n">
        <v>0</v>
      </c>
      <c r="AJ133" s="62" t="s">
        <v>150</v>
      </c>
      <c r="AK133" s="62" t="s">
        <v>391</v>
      </c>
      <c r="AL133" s="62" t="s">
        <v>392</v>
      </c>
      <c r="AM133" s="62" t="s">
        <v>396</v>
      </c>
      <c r="AN133" s="65" t="n">
        <v>105.6</v>
      </c>
      <c r="AO133" s="62" t="s">
        <v>389</v>
      </c>
      <c r="AP133" s="62" t="s">
        <v>390</v>
      </c>
      <c r="AQ133" s="62" t="s">
        <v>390</v>
      </c>
      <c r="AR133" s="66"/>
      <c r="AS133" s="62"/>
      <c r="AT133" s="65"/>
      <c r="AU133" s="62" t="s">
        <v>397</v>
      </c>
    </row>
    <row r="134" customFormat="false" ht="15" hidden="false" customHeight="false" outlineLevel="0" collapsed="false">
      <c r="A134" s="62" t="s">
        <v>388</v>
      </c>
      <c r="B134" s="63" t="n">
        <v>757</v>
      </c>
      <c r="C134" s="64" t="n">
        <v>46302.9931014468</v>
      </c>
      <c r="D134" s="62" t="s">
        <v>72</v>
      </c>
      <c r="E134" s="63" t="n">
        <v>23</v>
      </c>
      <c r="F134" s="62" t="s">
        <v>390</v>
      </c>
      <c r="G134" s="62" t="s">
        <v>389</v>
      </c>
      <c r="H134" s="62" t="s">
        <v>389</v>
      </c>
      <c r="I134" s="62" t="s">
        <v>389</v>
      </c>
      <c r="J134" s="65" t="n">
        <v>458.5</v>
      </c>
      <c r="K134" s="62" t="s">
        <v>277</v>
      </c>
      <c r="L134" s="62" t="s">
        <v>389</v>
      </c>
      <c r="M134" s="62" t="s">
        <v>390</v>
      </c>
      <c r="N134" s="62"/>
      <c r="O134" s="62" t="s">
        <v>389</v>
      </c>
      <c r="P134" s="62" t="s">
        <v>390</v>
      </c>
      <c r="Q134" s="62" t="s">
        <v>390</v>
      </c>
      <c r="R134" s="62" t="s">
        <v>277</v>
      </c>
      <c r="S134" s="62" t="s">
        <v>390</v>
      </c>
      <c r="T134" s="65" t="n">
        <v>5248.2</v>
      </c>
      <c r="U134" s="62" t="s">
        <v>277</v>
      </c>
      <c r="V134" s="65" t="n">
        <v>458.7</v>
      </c>
      <c r="W134" s="65" t="n">
        <v>5248</v>
      </c>
      <c r="X134" s="63" t="n">
        <v>0</v>
      </c>
      <c r="Y134" s="62" t="s">
        <v>390</v>
      </c>
      <c r="Z134" s="62" t="s">
        <v>389</v>
      </c>
      <c r="AA134" s="62" t="s">
        <v>395</v>
      </c>
      <c r="AB134" s="62" t="s">
        <v>275</v>
      </c>
      <c r="AC134" s="65" t="n">
        <v>37.2</v>
      </c>
      <c r="AD134" s="63" t="n">
        <v>2</v>
      </c>
      <c r="AE134" s="63" t="n">
        <v>21</v>
      </c>
      <c r="AF134" s="63" t="n">
        <v>1</v>
      </c>
      <c r="AG134" s="62" t="s">
        <v>390</v>
      </c>
      <c r="AH134" s="62"/>
      <c r="AI134" s="63" t="n">
        <v>0</v>
      </c>
      <c r="AJ134" s="62" t="s">
        <v>148</v>
      </c>
      <c r="AK134" s="62" t="s">
        <v>391</v>
      </c>
      <c r="AL134" s="62" t="s">
        <v>392</v>
      </c>
      <c r="AM134" s="62" t="s">
        <v>396</v>
      </c>
      <c r="AN134" s="65" t="n">
        <v>87.5</v>
      </c>
      <c r="AO134" s="62" t="s">
        <v>389</v>
      </c>
      <c r="AP134" s="62" t="s">
        <v>390</v>
      </c>
      <c r="AQ134" s="62" t="s">
        <v>390</v>
      </c>
      <c r="AR134" s="66"/>
      <c r="AS134" s="62"/>
      <c r="AT134" s="65"/>
      <c r="AU134" s="62" t="s">
        <v>401</v>
      </c>
    </row>
    <row r="135" customFormat="false" ht="15" hidden="false" customHeight="false" outlineLevel="0" collapsed="false">
      <c r="A135" s="62" t="s">
        <v>388</v>
      </c>
      <c r="B135" s="63" t="n">
        <v>761</v>
      </c>
      <c r="C135" s="64" t="n">
        <v>46303.1042790162</v>
      </c>
      <c r="D135" s="62" t="s">
        <v>72</v>
      </c>
      <c r="E135" s="63" t="n">
        <v>2</v>
      </c>
      <c r="F135" s="62" t="s">
        <v>390</v>
      </c>
      <c r="G135" s="62" t="s">
        <v>390</v>
      </c>
      <c r="H135" s="62" t="s">
        <v>390</v>
      </c>
      <c r="I135" s="62" t="s">
        <v>389</v>
      </c>
      <c r="J135" s="65"/>
      <c r="K135" s="62" t="s">
        <v>275</v>
      </c>
      <c r="L135" s="62" t="s">
        <v>389</v>
      </c>
      <c r="M135" s="62" t="s">
        <v>390</v>
      </c>
      <c r="N135" s="62"/>
      <c r="O135" s="62" t="s">
        <v>389</v>
      </c>
      <c r="P135" s="62" t="s">
        <v>390</v>
      </c>
      <c r="Q135" s="62" t="s">
        <v>390</v>
      </c>
      <c r="R135" s="62" t="s">
        <v>277</v>
      </c>
      <c r="S135" s="62" t="s">
        <v>390</v>
      </c>
      <c r="T135" s="65" t="n">
        <v>1840.7</v>
      </c>
      <c r="U135" s="62" t="s">
        <v>277</v>
      </c>
      <c r="V135" s="65" t="n">
        <v>1840.7</v>
      </c>
      <c r="W135" s="65" t="n">
        <v>1631.9</v>
      </c>
      <c r="X135" s="63" t="n">
        <v>0</v>
      </c>
      <c r="Y135" s="62" t="s">
        <v>390</v>
      </c>
      <c r="Z135" s="62" t="s">
        <v>389</v>
      </c>
      <c r="AA135" s="62" t="s">
        <v>395</v>
      </c>
      <c r="AB135" s="62" t="s">
        <v>275</v>
      </c>
      <c r="AC135" s="65" t="n">
        <v>34.5</v>
      </c>
      <c r="AD135" s="63" t="n">
        <v>3</v>
      </c>
      <c r="AE135" s="63" t="n">
        <v>22</v>
      </c>
      <c r="AF135" s="63" t="n">
        <v>2</v>
      </c>
      <c r="AG135" s="62" t="s">
        <v>389</v>
      </c>
      <c r="AH135" s="62" t="s">
        <v>398</v>
      </c>
      <c r="AI135" s="63" t="n">
        <v>0</v>
      </c>
      <c r="AJ135" s="62" t="s">
        <v>150</v>
      </c>
      <c r="AK135" s="62" t="s">
        <v>391</v>
      </c>
      <c r="AL135" s="62" t="s">
        <v>392</v>
      </c>
      <c r="AM135" s="62" t="s">
        <v>396</v>
      </c>
      <c r="AN135" s="65" t="n">
        <v>85.1</v>
      </c>
      <c r="AO135" s="62" t="s">
        <v>389</v>
      </c>
      <c r="AP135" s="62" t="s">
        <v>390</v>
      </c>
      <c r="AQ135" s="62" t="s">
        <v>390</v>
      </c>
      <c r="AR135" s="66"/>
      <c r="AS135" s="62"/>
      <c r="AT135" s="65"/>
      <c r="AU135" s="62" t="s">
        <v>397</v>
      </c>
    </row>
    <row r="136" customFormat="false" ht="15" hidden="false" customHeight="false" outlineLevel="0" collapsed="false">
      <c r="A136" s="62" t="s">
        <v>388</v>
      </c>
      <c r="B136" s="63" t="n">
        <v>762</v>
      </c>
      <c r="C136" s="64" t="n">
        <v>46303.1720898148</v>
      </c>
      <c r="D136" s="62" t="s">
        <v>72</v>
      </c>
      <c r="E136" s="63" t="n">
        <v>4</v>
      </c>
      <c r="F136" s="62" t="s">
        <v>390</v>
      </c>
      <c r="G136" s="62" t="s">
        <v>390</v>
      </c>
      <c r="H136" s="62" t="s">
        <v>390</v>
      </c>
      <c r="I136" s="62" t="s">
        <v>389</v>
      </c>
      <c r="J136" s="65"/>
      <c r="K136" s="62" t="s">
        <v>275</v>
      </c>
      <c r="L136" s="62" t="s">
        <v>389</v>
      </c>
      <c r="M136" s="62" t="s">
        <v>389</v>
      </c>
      <c r="N136" s="62" t="s">
        <v>309</v>
      </c>
      <c r="O136" s="62" t="s">
        <v>389</v>
      </c>
      <c r="P136" s="62" t="s">
        <v>389</v>
      </c>
      <c r="Q136" s="62" t="s">
        <v>389</v>
      </c>
      <c r="R136" s="62" t="s">
        <v>277</v>
      </c>
      <c r="S136" s="62" t="s">
        <v>389</v>
      </c>
      <c r="T136" s="65" t="n">
        <v>202.4</v>
      </c>
      <c r="U136" s="62" t="s">
        <v>277</v>
      </c>
      <c r="V136" s="65" t="n">
        <v>202.4</v>
      </c>
      <c r="W136" s="65" t="n">
        <v>5.3</v>
      </c>
      <c r="X136" s="63" t="n">
        <v>0</v>
      </c>
      <c r="Y136" s="62" t="s">
        <v>389</v>
      </c>
      <c r="Z136" s="62" t="s">
        <v>389</v>
      </c>
      <c r="AA136" s="62" t="s">
        <v>395</v>
      </c>
      <c r="AB136" s="62" t="s">
        <v>277</v>
      </c>
      <c r="AC136" s="65" t="n">
        <v>38.4</v>
      </c>
      <c r="AD136" s="63" t="n">
        <v>9</v>
      </c>
      <c r="AE136" s="63" t="n">
        <v>17</v>
      </c>
      <c r="AF136" s="63" t="n">
        <v>18</v>
      </c>
      <c r="AG136" s="62" t="s">
        <v>390</v>
      </c>
      <c r="AH136" s="62"/>
      <c r="AI136" s="63" t="n">
        <v>0</v>
      </c>
      <c r="AJ136" s="62" t="s">
        <v>152</v>
      </c>
      <c r="AK136" s="62" t="s">
        <v>391</v>
      </c>
      <c r="AL136" s="62" t="s">
        <v>392</v>
      </c>
      <c r="AM136" s="62" t="s">
        <v>396</v>
      </c>
      <c r="AN136" s="65" t="n">
        <v>124.2</v>
      </c>
      <c r="AO136" s="62" t="s">
        <v>389</v>
      </c>
      <c r="AP136" s="62" t="s">
        <v>390</v>
      </c>
      <c r="AQ136" s="62" t="s">
        <v>390</v>
      </c>
      <c r="AR136" s="66"/>
      <c r="AS136" s="62"/>
      <c r="AT136" s="65"/>
      <c r="AU136" s="62" t="s">
        <v>401</v>
      </c>
    </row>
    <row r="137" customFormat="false" ht="15" hidden="false" customHeight="false" outlineLevel="0" collapsed="false">
      <c r="A137" s="62" t="s">
        <v>388</v>
      </c>
      <c r="B137" s="63" t="n">
        <v>767</v>
      </c>
      <c r="C137" s="64" t="n">
        <v>46303.227559213</v>
      </c>
      <c r="D137" s="62" t="s">
        <v>72</v>
      </c>
      <c r="E137" s="63" t="n">
        <v>5</v>
      </c>
      <c r="F137" s="62" t="s">
        <v>390</v>
      </c>
      <c r="G137" s="62" t="s">
        <v>389</v>
      </c>
      <c r="H137" s="62" t="s">
        <v>389</v>
      </c>
      <c r="I137" s="62" t="s">
        <v>389</v>
      </c>
      <c r="J137" s="65" t="n">
        <v>130.9</v>
      </c>
      <c r="K137" s="62" t="s">
        <v>277</v>
      </c>
      <c r="L137" s="62" t="s">
        <v>389</v>
      </c>
      <c r="M137" s="62" t="s">
        <v>390</v>
      </c>
      <c r="N137" s="62"/>
      <c r="O137" s="62" t="s">
        <v>389</v>
      </c>
      <c r="P137" s="62" t="s">
        <v>390</v>
      </c>
      <c r="Q137" s="62" t="s">
        <v>390</v>
      </c>
      <c r="R137" s="62" t="s">
        <v>277</v>
      </c>
      <c r="S137" s="62" t="s">
        <v>390</v>
      </c>
      <c r="T137" s="65" t="n">
        <v>4912</v>
      </c>
      <c r="U137" s="62" t="s">
        <v>277</v>
      </c>
      <c r="V137" s="65" t="n">
        <v>131.2</v>
      </c>
      <c r="W137" s="65" t="n">
        <v>4911.8</v>
      </c>
      <c r="X137" s="63" t="n">
        <v>0</v>
      </c>
      <c r="Y137" s="62" t="s">
        <v>390</v>
      </c>
      <c r="Z137" s="62" t="s">
        <v>389</v>
      </c>
      <c r="AA137" s="62" t="s">
        <v>395</v>
      </c>
      <c r="AB137" s="62" t="s">
        <v>275</v>
      </c>
      <c r="AC137" s="65" t="n">
        <v>31.6</v>
      </c>
      <c r="AD137" s="63" t="n">
        <v>2</v>
      </c>
      <c r="AE137" s="63" t="n">
        <v>21</v>
      </c>
      <c r="AF137" s="63" t="n">
        <v>1</v>
      </c>
      <c r="AG137" s="62" t="s">
        <v>390</v>
      </c>
      <c r="AH137" s="62"/>
      <c r="AI137" s="63" t="n">
        <v>0</v>
      </c>
      <c r="AJ137" s="62" t="s">
        <v>148</v>
      </c>
      <c r="AK137" s="62" t="s">
        <v>391</v>
      </c>
      <c r="AL137" s="62" t="s">
        <v>392</v>
      </c>
      <c r="AM137" s="62" t="s">
        <v>396</v>
      </c>
      <c r="AN137" s="65" t="n">
        <v>81.9</v>
      </c>
      <c r="AO137" s="62" t="s">
        <v>389</v>
      </c>
      <c r="AP137" s="62" t="s">
        <v>390</v>
      </c>
      <c r="AQ137" s="62" t="s">
        <v>390</v>
      </c>
      <c r="AR137" s="66"/>
      <c r="AS137" s="62"/>
      <c r="AT137" s="65"/>
      <c r="AU137" s="62" t="s">
        <v>397</v>
      </c>
    </row>
    <row r="138" customFormat="false" ht="15" hidden="false" customHeight="false" outlineLevel="0" collapsed="false">
      <c r="A138" s="62" t="s">
        <v>388</v>
      </c>
      <c r="B138" s="63" t="n">
        <v>772</v>
      </c>
      <c r="C138" s="64" t="n">
        <v>46303.2664230324</v>
      </c>
      <c r="D138" s="62" t="s">
        <v>72</v>
      </c>
      <c r="E138" s="63" t="n">
        <v>6</v>
      </c>
      <c r="F138" s="62" t="s">
        <v>390</v>
      </c>
      <c r="G138" s="62" t="s">
        <v>389</v>
      </c>
      <c r="H138" s="62" t="s">
        <v>389</v>
      </c>
      <c r="I138" s="62" t="s">
        <v>389</v>
      </c>
      <c r="J138" s="65" t="n">
        <v>75.4</v>
      </c>
      <c r="K138" s="62" t="s">
        <v>277</v>
      </c>
      <c r="L138" s="62" t="s">
        <v>389</v>
      </c>
      <c r="M138" s="62" t="s">
        <v>389</v>
      </c>
      <c r="N138" s="62" t="s">
        <v>303</v>
      </c>
      <c r="O138" s="62" t="s">
        <v>390</v>
      </c>
      <c r="P138" s="62" t="s">
        <v>389</v>
      </c>
      <c r="Q138" s="62" t="s">
        <v>390</v>
      </c>
      <c r="R138" s="62" t="s">
        <v>277</v>
      </c>
      <c r="S138" s="62" t="s">
        <v>389</v>
      </c>
      <c r="T138" s="65" t="n">
        <v>100.8</v>
      </c>
      <c r="U138" s="62" t="s">
        <v>277</v>
      </c>
      <c r="V138" s="65" t="n">
        <v>76.9</v>
      </c>
      <c r="W138" s="65" t="n">
        <v>6.4</v>
      </c>
      <c r="X138" s="63" t="n">
        <v>0</v>
      </c>
      <c r="Y138" s="62" t="s">
        <v>389</v>
      </c>
      <c r="Z138" s="62" t="s">
        <v>389</v>
      </c>
      <c r="AA138" s="62" t="s">
        <v>395</v>
      </c>
      <c r="AB138" s="62" t="s">
        <v>276</v>
      </c>
      <c r="AC138" s="65" t="n">
        <v>31.6</v>
      </c>
      <c r="AD138" s="63" t="n">
        <v>10</v>
      </c>
      <c r="AE138" s="63" t="n">
        <v>9</v>
      </c>
      <c r="AF138" s="63" t="n">
        <v>15</v>
      </c>
      <c r="AG138" s="62" t="s">
        <v>390</v>
      </c>
      <c r="AH138" s="62"/>
      <c r="AI138" s="63" t="n">
        <v>0</v>
      </c>
      <c r="AJ138" s="62" t="s">
        <v>151</v>
      </c>
      <c r="AK138" s="62" t="s">
        <v>402</v>
      </c>
      <c r="AL138" s="62"/>
      <c r="AM138" s="62"/>
      <c r="AN138" s="65"/>
      <c r="AO138" s="62" t="s">
        <v>390</v>
      </c>
      <c r="AP138" s="62"/>
      <c r="AQ138" s="62" t="s">
        <v>390</v>
      </c>
      <c r="AR138" s="66"/>
      <c r="AS138" s="62"/>
      <c r="AT138" s="65"/>
      <c r="AU138" s="62" t="s">
        <v>399</v>
      </c>
    </row>
    <row r="139" customFormat="false" ht="15" hidden="false" customHeight="false" outlineLevel="0" collapsed="false">
      <c r="A139" s="62" t="s">
        <v>388</v>
      </c>
      <c r="B139" s="63" t="n">
        <v>776</v>
      </c>
      <c r="C139" s="64" t="n">
        <v>46303.2926248495</v>
      </c>
      <c r="D139" s="62" t="s">
        <v>72</v>
      </c>
      <c r="E139" s="63" t="n">
        <v>7</v>
      </c>
      <c r="F139" s="62" t="s">
        <v>390</v>
      </c>
      <c r="G139" s="62" t="s">
        <v>389</v>
      </c>
      <c r="H139" s="62" t="s">
        <v>389</v>
      </c>
      <c r="I139" s="62" t="s">
        <v>389</v>
      </c>
      <c r="J139" s="65" t="n">
        <v>40.6</v>
      </c>
      <c r="K139" s="62" t="s">
        <v>277</v>
      </c>
      <c r="L139" s="62" t="s">
        <v>389</v>
      </c>
      <c r="M139" s="62" t="s">
        <v>389</v>
      </c>
      <c r="N139" s="62" t="s">
        <v>307</v>
      </c>
      <c r="O139" s="62" t="s">
        <v>390</v>
      </c>
      <c r="P139" s="62" t="s">
        <v>390</v>
      </c>
      <c r="Q139" s="62" t="s">
        <v>390</v>
      </c>
      <c r="R139" s="62" t="s">
        <v>277</v>
      </c>
      <c r="S139" s="62" t="s">
        <v>389</v>
      </c>
      <c r="T139" s="65" t="n">
        <v>56.3</v>
      </c>
      <c r="U139" s="62" t="s">
        <v>277</v>
      </c>
      <c r="V139" s="65" t="n">
        <v>43.6</v>
      </c>
      <c r="W139" s="65" t="n">
        <v>2.3</v>
      </c>
      <c r="X139" s="63" t="n">
        <v>0</v>
      </c>
      <c r="Y139" s="62" t="s">
        <v>389</v>
      </c>
      <c r="Z139" s="62" t="s">
        <v>390</v>
      </c>
      <c r="AA139" s="62"/>
      <c r="AB139" s="62"/>
      <c r="AC139" s="65"/>
      <c r="AD139" s="63" t="n">
        <v>11</v>
      </c>
      <c r="AE139" s="63" t="n">
        <v>8</v>
      </c>
      <c r="AF139" s="63" t="n">
        <v>15</v>
      </c>
      <c r="AG139" s="62" t="s">
        <v>389</v>
      </c>
      <c r="AH139" s="62" t="s">
        <v>414</v>
      </c>
      <c r="AI139" s="63" t="n">
        <v>0</v>
      </c>
      <c r="AJ139" s="62" t="s">
        <v>149</v>
      </c>
      <c r="AK139" s="62" t="s">
        <v>402</v>
      </c>
      <c r="AL139" s="62"/>
      <c r="AM139" s="62"/>
      <c r="AN139" s="65"/>
      <c r="AO139" s="62" t="s">
        <v>390</v>
      </c>
      <c r="AP139" s="62"/>
      <c r="AQ139" s="62" t="s">
        <v>390</v>
      </c>
      <c r="AR139" s="66"/>
      <c r="AS139" s="62"/>
      <c r="AT139" s="65"/>
      <c r="AU139" s="62" t="s">
        <v>397</v>
      </c>
    </row>
    <row r="140" customFormat="false" ht="15" hidden="false" customHeight="false" outlineLevel="0" collapsed="false">
      <c r="A140" s="62" t="s">
        <v>388</v>
      </c>
      <c r="B140" s="63" t="n">
        <v>785</v>
      </c>
      <c r="C140" s="64" t="n">
        <v>46303.3381387269</v>
      </c>
      <c r="D140" s="62" t="s">
        <v>72</v>
      </c>
      <c r="E140" s="63" t="n">
        <v>8</v>
      </c>
      <c r="F140" s="62" t="s">
        <v>390</v>
      </c>
      <c r="G140" s="62" t="s">
        <v>390</v>
      </c>
      <c r="H140" s="62" t="s">
        <v>390</v>
      </c>
      <c r="I140" s="62" t="s">
        <v>389</v>
      </c>
      <c r="J140" s="65"/>
      <c r="K140" s="62" t="s">
        <v>275</v>
      </c>
      <c r="L140" s="62" t="s">
        <v>389</v>
      </c>
      <c r="M140" s="62" t="s">
        <v>390</v>
      </c>
      <c r="N140" s="62"/>
      <c r="O140" s="62" t="s">
        <v>389</v>
      </c>
      <c r="P140" s="62" t="s">
        <v>390</v>
      </c>
      <c r="Q140" s="62" t="s">
        <v>390</v>
      </c>
      <c r="R140" s="62" t="s">
        <v>277</v>
      </c>
      <c r="S140" s="62" t="s">
        <v>390</v>
      </c>
      <c r="T140" s="65" t="n">
        <v>4772.1</v>
      </c>
      <c r="U140" s="62" t="s">
        <v>277</v>
      </c>
      <c r="V140" s="65" t="n">
        <v>4772.1</v>
      </c>
      <c r="W140" s="65"/>
      <c r="X140" s="63" t="n">
        <v>0</v>
      </c>
      <c r="Y140" s="62" t="s">
        <v>390</v>
      </c>
      <c r="Z140" s="62" t="s">
        <v>389</v>
      </c>
      <c r="AA140" s="62" t="s">
        <v>395</v>
      </c>
      <c r="AB140" s="62" t="s">
        <v>275</v>
      </c>
      <c r="AC140" s="65" t="n">
        <v>28.9</v>
      </c>
      <c r="AD140" s="63" t="n">
        <v>1</v>
      </c>
      <c r="AE140" s="63" t="n">
        <v>22</v>
      </c>
      <c r="AF140" s="63" t="n">
        <v>1</v>
      </c>
      <c r="AG140" s="62" t="s">
        <v>390</v>
      </c>
      <c r="AH140" s="62"/>
      <c r="AI140" s="63" t="n">
        <v>0</v>
      </c>
      <c r="AJ140" s="62" t="s">
        <v>147</v>
      </c>
      <c r="AK140" s="62" t="s">
        <v>391</v>
      </c>
      <c r="AL140" s="62" t="s">
        <v>392</v>
      </c>
      <c r="AM140" s="62" t="s">
        <v>396</v>
      </c>
      <c r="AN140" s="65" t="n">
        <v>79.5</v>
      </c>
      <c r="AO140" s="62" t="s">
        <v>389</v>
      </c>
      <c r="AP140" s="62" t="s">
        <v>390</v>
      </c>
      <c r="AQ140" s="62" t="s">
        <v>390</v>
      </c>
      <c r="AR140" s="66"/>
      <c r="AS140" s="62"/>
      <c r="AT140" s="65"/>
      <c r="AU140" s="62" t="s">
        <v>397</v>
      </c>
    </row>
    <row r="141" customFormat="false" ht="15" hidden="false" customHeight="false" outlineLevel="0" collapsed="false">
      <c r="A141" s="62" t="s">
        <v>388</v>
      </c>
      <c r="B141" s="63" t="n">
        <v>800</v>
      </c>
      <c r="C141" s="64" t="n">
        <v>46303.3986111111</v>
      </c>
      <c r="D141" s="62" t="s">
        <v>72</v>
      </c>
      <c r="E141" s="63" t="n">
        <v>9</v>
      </c>
      <c r="F141" s="62" t="s">
        <v>389</v>
      </c>
      <c r="G141" s="62" t="s">
        <v>390</v>
      </c>
      <c r="H141" s="62" t="s">
        <v>390</v>
      </c>
      <c r="I141" s="62" t="s">
        <v>389</v>
      </c>
      <c r="J141" s="65"/>
      <c r="K141" s="62" t="s">
        <v>275</v>
      </c>
      <c r="L141" s="62" t="s">
        <v>389</v>
      </c>
      <c r="M141" s="62" t="s">
        <v>389</v>
      </c>
      <c r="N141" s="62" t="s">
        <v>309</v>
      </c>
      <c r="O141" s="62" t="s">
        <v>389</v>
      </c>
      <c r="P141" s="62" t="s">
        <v>390</v>
      </c>
      <c r="Q141" s="62" t="s">
        <v>390</v>
      </c>
      <c r="R141" s="62" t="s">
        <v>277</v>
      </c>
      <c r="S141" s="62" t="s">
        <v>389</v>
      </c>
      <c r="T141" s="65" t="n">
        <v>76</v>
      </c>
      <c r="U141" s="62" t="s">
        <v>276</v>
      </c>
      <c r="V141" s="65" t="n">
        <v>76</v>
      </c>
      <c r="W141" s="65" t="n">
        <v>7.7</v>
      </c>
      <c r="X141" s="63" t="n">
        <v>0</v>
      </c>
      <c r="Y141" s="62" t="s">
        <v>389</v>
      </c>
      <c r="Z141" s="62" t="s">
        <v>389</v>
      </c>
      <c r="AA141" s="62" t="s">
        <v>395</v>
      </c>
      <c r="AB141" s="62" t="s">
        <v>275</v>
      </c>
      <c r="AC141" s="65" t="n">
        <v>27.5</v>
      </c>
      <c r="AD141" s="63" t="n">
        <v>2</v>
      </c>
      <c r="AE141" s="63" t="n">
        <v>22</v>
      </c>
      <c r="AF141" s="63" t="n">
        <v>6</v>
      </c>
      <c r="AG141" s="62" t="s">
        <v>390</v>
      </c>
      <c r="AH141" s="62"/>
      <c r="AI141" s="63" t="n">
        <v>0</v>
      </c>
      <c r="AJ141" s="62" t="s">
        <v>149</v>
      </c>
      <c r="AK141" s="62" t="s">
        <v>391</v>
      </c>
      <c r="AL141" s="62" t="s">
        <v>392</v>
      </c>
      <c r="AM141" s="62" t="s">
        <v>396</v>
      </c>
      <c r="AN141" s="65" t="n">
        <v>78.4</v>
      </c>
      <c r="AO141" s="62" t="s">
        <v>389</v>
      </c>
      <c r="AP141" s="62" t="s">
        <v>390</v>
      </c>
      <c r="AQ141" s="62" t="s">
        <v>390</v>
      </c>
      <c r="AR141" s="66"/>
      <c r="AS141" s="62"/>
      <c r="AT141" s="65"/>
      <c r="AU141" s="62" t="s">
        <v>397</v>
      </c>
    </row>
    <row r="142" customFormat="false" ht="15" hidden="false" customHeight="false" outlineLevel="0" collapsed="false">
      <c r="A142" s="62" t="s">
        <v>388</v>
      </c>
      <c r="B142" s="63" t="n">
        <v>803</v>
      </c>
      <c r="C142" s="64" t="n">
        <v>46303.4028840394</v>
      </c>
      <c r="D142" s="62" t="s">
        <v>72</v>
      </c>
      <c r="E142" s="63" t="n">
        <v>9</v>
      </c>
      <c r="F142" s="62" t="s">
        <v>389</v>
      </c>
      <c r="G142" s="62" t="s">
        <v>390</v>
      </c>
      <c r="H142" s="62" t="s">
        <v>390</v>
      </c>
      <c r="I142" s="62" t="s">
        <v>389</v>
      </c>
      <c r="J142" s="65"/>
      <c r="K142" s="62" t="s">
        <v>275</v>
      </c>
      <c r="L142" s="62" t="s">
        <v>389</v>
      </c>
      <c r="M142" s="62" t="s">
        <v>390</v>
      </c>
      <c r="N142" s="62"/>
      <c r="O142" s="62" t="s">
        <v>389</v>
      </c>
      <c r="P142" s="62" t="s">
        <v>390</v>
      </c>
      <c r="Q142" s="62" t="s">
        <v>390</v>
      </c>
      <c r="R142" s="62" t="s">
        <v>277</v>
      </c>
      <c r="S142" s="62" t="s">
        <v>390</v>
      </c>
      <c r="T142" s="65" t="n">
        <v>1436.9</v>
      </c>
      <c r="U142" s="62" t="s">
        <v>277</v>
      </c>
      <c r="V142" s="65" t="n">
        <v>1436.9</v>
      </c>
      <c r="W142" s="65" t="n">
        <v>6.5</v>
      </c>
      <c r="X142" s="63" t="n">
        <v>0</v>
      </c>
      <c r="Y142" s="62" t="s">
        <v>390</v>
      </c>
      <c r="Z142" s="62" t="s">
        <v>389</v>
      </c>
      <c r="AA142" s="62" t="s">
        <v>395</v>
      </c>
      <c r="AB142" s="62" t="s">
        <v>275</v>
      </c>
      <c r="AC142" s="65" t="n">
        <v>27.4</v>
      </c>
      <c r="AD142" s="63" t="n">
        <v>2</v>
      </c>
      <c r="AE142" s="63" t="n">
        <v>22</v>
      </c>
      <c r="AF142" s="63" t="n">
        <v>2</v>
      </c>
      <c r="AG142" s="62" t="s">
        <v>390</v>
      </c>
      <c r="AH142" s="62"/>
      <c r="AI142" s="63" t="n">
        <v>0</v>
      </c>
      <c r="AJ142" s="62" t="s">
        <v>150</v>
      </c>
      <c r="AK142" s="62" t="s">
        <v>391</v>
      </c>
      <c r="AL142" s="62" t="s">
        <v>392</v>
      </c>
      <c r="AM142" s="62" t="s">
        <v>396</v>
      </c>
      <c r="AN142" s="65" t="n">
        <v>96.9</v>
      </c>
      <c r="AO142" s="62" t="s">
        <v>389</v>
      </c>
      <c r="AP142" s="62" t="s">
        <v>390</v>
      </c>
      <c r="AQ142" s="62" t="s">
        <v>390</v>
      </c>
      <c r="AR142" s="66"/>
      <c r="AS142" s="62"/>
      <c r="AT142" s="65"/>
      <c r="AU142" s="62" t="s">
        <v>397</v>
      </c>
    </row>
    <row r="143" customFormat="false" ht="15" hidden="false" customHeight="false" outlineLevel="0" collapsed="false">
      <c r="A143" s="62" t="s">
        <v>388</v>
      </c>
      <c r="B143" s="63" t="n">
        <v>806</v>
      </c>
      <c r="C143" s="64" t="n">
        <v>46303.404964294</v>
      </c>
      <c r="D143" s="62" t="s">
        <v>72</v>
      </c>
      <c r="E143" s="63" t="n">
        <v>9</v>
      </c>
      <c r="F143" s="62" t="s">
        <v>389</v>
      </c>
      <c r="G143" s="62" t="s">
        <v>390</v>
      </c>
      <c r="H143" s="62" t="s">
        <v>390</v>
      </c>
      <c r="I143" s="62" t="s">
        <v>389</v>
      </c>
      <c r="J143" s="65"/>
      <c r="K143" s="62" t="s">
        <v>275</v>
      </c>
      <c r="L143" s="62" t="s">
        <v>389</v>
      </c>
      <c r="M143" s="62" t="s">
        <v>390</v>
      </c>
      <c r="N143" s="62"/>
      <c r="O143" s="62" t="s">
        <v>389</v>
      </c>
      <c r="P143" s="62" t="s">
        <v>390</v>
      </c>
      <c r="Q143" s="62" t="s">
        <v>390</v>
      </c>
      <c r="R143" s="62" t="s">
        <v>277</v>
      </c>
      <c r="S143" s="62" t="s">
        <v>390</v>
      </c>
      <c r="T143" s="65" t="n">
        <v>5808.7</v>
      </c>
      <c r="U143" s="62" t="s">
        <v>277</v>
      </c>
      <c r="V143" s="65" t="n">
        <v>5808.7</v>
      </c>
      <c r="W143" s="65"/>
      <c r="X143" s="63" t="n">
        <v>0</v>
      </c>
      <c r="Y143" s="62" t="s">
        <v>390</v>
      </c>
      <c r="Z143" s="62" t="s">
        <v>389</v>
      </c>
      <c r="AA143" s="62" t="s">
        <v>395</v>
      </c>
      <c r="AB143" s="62" t="s">
        <v>275</v>
      </c>
      <c r="AC143" s="65" t="n">
        <v>27.3</v>
      </c>
      <c r="AD143" s="63" t="n">
        <v>1</v>
      </c>
      <c r="AE143" s="63" t="n">
        <v>22</v>
      </c>
      <c r="AF143" s="63" t="n">
        <v>1</v>
      </c>
      <c r="AG143" s="62" t="s">
        <v>390</v>
      </c>
      <c r="AH143" s="62"/>
      <c r="AI143" s="63" t="n">
        <v>0</v>
      </c>
      <c r="AJ143" s="62" t="s">
        <v>147</v>
      </c>
      <c r="AK143" s="62" t="s">
        <v>391</v>
      </c>
      <c r="AL143" s="62" t="s">
        <v>392</v>
      </c>
      <c r="AM143" s="62" t="s">
        <v>396</v>
      </c>
      <c r="AN143" s="65" t="n">
        <v>96.8</v>
      </c>
      <c r="AO143" s="62" t="s">
        <v>389</v>
      </c>
      <c r="AP143" s="62" t="s">
        <v>390</v>
      </c>
      <c r="AQ143" s="62" t="s">
        <v>390</v>
      </c>
      <c r="AR143" s="66"/>
      <c r="AS143" s="62"/>
      <c r="AT143" s="65"/>
      <c r="AU143" s="62" t="s">
        <v>397</v>
      </c>
    </row>
    <row r="144" customFormat="false" ht="15" hidden="false" customHeight="false" outlineLevel="0" collapsed="false">
      <c r="A144" s="62" t="s">
        <v>388</v>
      </c>
      <c r="B144" s="63" t="n">
        <v>817</v>
      </c>
      <c r="C144" s="64" t="n">
        <v>46303.4302797917</v>
      </c>
      <c r="D144" s="62" t="s">
        <v>72</v>
      </c>
      <c r="E144" s="63" t="n">
        <v>10</v>
      </c>
      <c r="F144" s="62" t="s">
        <v>389</v>
      </c>
      <c r="G144" s="62" t="s">
        <v>389</v>
      </c>
      <c r="H144" s="62" t="s">
        <v>389</v>
      </c>
      <c r="I144" s="62" t="s">
        <v>389</v>
      </c>
      <c r="J144" s="65" t="n">
        <v>0.4</v>
      </c>
      <c r="K144" s="62" t="s">
        <v>276</v>
      </c>
      <c r="L144" s="62" t="s">
        <v>389</v>
      </c>
      <c r="M144" s="62" t="s">
        <v>389</v>
      </c>
      <c r="N144" s="62" t="s">
        <v>303</v>
      </c>
      <c r="O144" s="62" t="s">
        <v>389</v>
      </c>
      <c r="P144" s="62" t="s">
        <v>390</v>
      </c>
      <c r="Q144" s="62" t="s">
        <v>390</v>
      </c>
      <c r="R144" s="62" t="s">
        <v>277</v>
      </c>
      <c r="S144" s="62" t="s">
        <v>389</v>
      </c>
      <c r="T144" s="65" t="n">
        <v>26</v>
      </c>
      <c r="U144" s="62" t="s">
        <v>276</v>
      </c>
      <c r="V144" s="65" t="n">
        <v>0.7</v>
      </c>
      <c r="W144" s="65" t="n">
        <v>5.7</v>
      </c>
      <c r="X144" s="63" t="n">
        <v>0</v>
      </c>
      <c r="Y144" s="62" t="s">
        <v>390</v>
      </c>
      <c r="Z144" s="62" t="s">
        <v>389</v>
      </c>
      <c r="AA144" s="62" t="s">
        <v>395</v>
      </c>
      <c r="AB144" s="62" t="s">
        <v>275</v>
      </c>
      <c r="AC144" s="65" t="n">
        <v>26.7</v>
      </c>
      <c r="AD144" s="63" t="n">
        <v>4</v>
      </c>
      <c r="AE144" s="63" t="n">
        <v>21</v>
      </c>
      <c r="AF144" s="63" t="n">
        <v>4</v>
      </c>
      <c r="AG144" s="62" t="s">
        <v>389</v>
      </c>
      <c r="AH144" s="62" t="s">
        <v>412</v>
      </c>
      <c r="AI144" s="63" t="n">
        <v>0</v>
      </c>
      <c r="AJ144" s="62" t="s">
        <v>149</v>
      </c>
      <c r="AK144" s="62" t="s">
        <v>391</v>
      </c>
      <c r="AL144" s="62" t="s">
        <v>392</v>
      </c>
      <c r="AM144" s="62" t="s">
        <v>396</v>
      </c>
      <c r="AN144" s="65" t="n">
        <v>95.4</v>
      </c>
      <c r="AO144" s="62" t="s">
        <v>389</v>
      </c>
      <c r="AP144" s="62" t="s">
        <v>390</v>
      </c>
      <c r="AQ144" s="62" t="s">
        <v>390</v>
      </c>
      <c r="AR144" s="66"/>
      <c r="AS144" s="62"/>
      <c r="AT144" s="65"/>
      <c r="AU144" s="62" t="s">
        <v>399</v>
      </c>
    </row>
    <row r="145" customFormat="false" ht="15" hidden="false" customHeight="false" outlineLevel="0" collapsed="false">
      <c r="A145" s="62" t="s">
        <v>388</v>
      </c>
      <c r="B145" s="63" t="n">
        <v>822</v>
      </c>
      <c r="C145" s="64" t="n">
        <v>46303.435966412</v>
      </c>
      <c r="D145" s="62" t="s">
        <v>72</v>
      </c>
      <c r="E145" s="63" t="n">
        <v>10</v>
      </c>
      <c r="F145" s="62" t="s">
        <v>389</v>
      </c>
      <c r="G145" s="62" t="s">
        <v>389</v>
      </c>
      <c r="H145" s="62" t="s">
        <v>389</v>
      </c>
      <c r="I145" s="62" t="s">
        <v>389</v>
      </c>
      <c r="J145" s="65" t="n">
        <v>0.3</v>
      </c>
      <c r="K145" s="62" t="s">
        <v>276</v>
      </c>
      <c r="L145" s="62" t="s">
        <v>389</v>
      </c>
      <c r="M145" s="62" t="s">
        <v>390</v>
      </c>
      <c r="N145" s="62"/>
      <c r="O145" s="62" t="s">
        <v>389</v>
      </c>
      <c r="P145" s="62" t="s">
        <v>390</v>
      </c>
      <c r="Q145" s="62" t="s">
        <v>390</v>
      </c>
      <c r="R145" s="62" t="s">
        <v>277</v>
      </c>
      <c r="S145" s="62" t="s">
        <v>389</v>
      </c>
      <c r="T145" s="65" t="n">
        <v>192.1</v>
      </c>
      <c r="U145" s="62" t="s">
        <v>276</v>
      </c>
      <c r="V145" s="65" t="n">
        <v>0.5</v>
      </c>
      <c r="W145" s="65" t="n">
        <v>99.6</v>
      </c>
      <c r="X145" s="63" t="n">
        <v>0</v>
      </c>
      <c r="Y145" s="62" t="s">
        <v>390</v>
      </c>
      <c r="Z145" s="62" t="s">
        <v>389</v>
      </c>
      <c r="AA145" s="62" t="s">
        <v>395</v>
      </c>
      <c r="AB145" s="62" t="s">
        <v>277</v>
      </c>
      <c r="AC145" s="65" t="n">
        <v>73.3</v>
      </c>
      <c r="AD145" s="63" t="n">
        <v>4</v>
      </c>
      <c r="AE145" s="63" t="n">
        <v>11</v>
      </c>
      <c r="AF145" s="63" t="n">
        <v>4</v>
      </c>
      <c r="AG145" s="62" t="s">
        <v>389</v>
      </c>
      <c r="AH145" s="62" t="s">
        <v>398</v>
      </c>
      <c r="AI145" s="63" t="n">
        <v>0</v>
      </c>
      <c r="AJ145" s="62" t="s">
        <v>150</v>
      </c>
      <c r="AK145" s="62" t="s">
        <v>391</v>
      </c>
      <c r="AL145" s="62" t="s">
        <v>392</v>
      </c>
      <c r="AM145" s="62" t="s">
        <v>396</v>
      </c>
      <c r="AN145" s="65" t="n">
        <v>141.7</v>
      </c>
      <c r="AO145" s="62" t="s">
        <v>389</v>
      </c>
      <c r="AP145" s="62" t="s">
        <v>390</v>
      </c>
      <c r="AQ145" s="62" t="s">
        <v>390</v>
      </c>
      <c r="AR145" s="66"/>
      <c r="AS145" s="62"/>
      <c r="AT145" s="65"/>
      <c r="AU145" s="62" t="s">
        <v>401</v>
      </c>
    </row>
    <row r="146" customFormat="false" ht="15" hidden="false" customHeight="false" outlineLevel="0" collapsed="false">
      <c r="A146" s="62" t="s">
        <v>388</v>
      </c>
      <c r="B146" s="63" t="n">
        <v>825</v>
      </c>
      <c r="C146" s="64" t="n">
        <v>46303.4422890741</v>
      </c>
      <c r="D146" s="62" t="s">
        <v>72</v>
      </c>
      <c r="E146" s="63" t="n">
        <v>10</v>
      </c>
      <c r="F146" s="62" t="s">
        <v>389</v>
      </c>
      <c r="G146" s="62" t="s">
        <v>390</v>
      </c>
      <c r="H146" s="62" t="s">
        <v>390</v>
      </c>
      <c r="I146" s="62" t="s">
        <v>389</v>
      </c>
      <c r="J146" s="65"/>
      <c r="K146" s="62" t="s">
        <v>275</v>
      </c>
      <c r="L146" s="62" t="s">
        <v>389</v>
      </c>
      <c r="M146" s="62" t="s">
        <v>389</v>
      </c>
      <c r="N146" s="62" t="s">
        <v>304</v>
      </c>
      <c r="O146" s="62" t="s">
        <v>389</v>
      </c>
      <c r="P146" s="62" t="s">
        <v>389</v>
      </c>
      <c r="Q146" s="62" t="s">
        <v>389</v>
      </c>
      <c r="R146" s="62" t="s">
        <v>277</v>
      </c>
      <c r="S146" s="62" t="s">
        <v>389</v>
      </c>
      <c r="T146" s="65" t="n">
        <v>183.2</v>
      </c>
      <c r="U146" s="62" t="s">
        <v>277</v>
      </c>
      <c r="V146" s="65" t="n">
        <v>183.2</v>
      </c>
      <c r="W146" s="65" t="n">
        <v>0.8</v>
      </c>
      <c r="X146" s="63" t="n">
        <v>0</v>
      </c>
      <c r="Y146" s="62" t="s">
        <v>389</v>
      </c>
      <c r="Z146" s="62" t="s">
        <v>389</v>
      </c>
      <c r="AA146" s="62" t="s">
        <v>395</v>
      </c>
      <c r="AB146" s="62" t="s">
        <v>276</v>
      </c>
      <c r="AC146" s="65" t="n">
        <v>27.3</v>
      </c>
      <c r="AD146" s="63" t="n">
        <v>7</v>
      </c>
      <c r="AE146" s="63" t="n">
        <v>18</v>
      </c>
      <c r="AF146" s="63" t="n">
        <v>14</v>
      </c>
      <c r="AG146" s="62" t="s">
        <v>390</v>
      </c>
      <c r="AH146" s="62"/>
      <c r="AI146" s="63" t="n">
        <v>0</v>
      </c>
      <c r="AJ146" s="62" t="s">
        <v>152</v>
      </c>
      <c r="AK146" s="62" t="s">
        <v>391</v>
      </c>
      <c r="AL146" s="62" t="s">
        <v>392</v>
      </c>
      <c r="AM146" s="62" t="s">
        <v>396</v>
      </c>
      <c r="AN146" s="65" t="n">
        <v>94.4</v>
      </c>
      <c r="AO146" s="62" t="s">
        <v>389</v>
      </c>
      <c r="AP146" s="62" t="s">
        <v>390</v>
      </c>
      <c r="AQ146" s="62" t="s">
        <v>390</v>
      </c>
      <c r="AR146" s="66"/>
      <c r="AS146" s="62"/>
      <c r="AT146" s="65"/>
      <c r="AU146" s="62" t="s">
        <v>401</v>
      </c>
    </row>
    <row r="147" customFormat="false" ht="15" hidden="false" customHeight="false" outlineLevel="0" collapsed="false">
      <c r="A147" s="62" t="s">
        <v>388</v>
      </c>
      <c r="B147" s="63" t="n">
        <v>827</v>
      </c>
      <c r="C147" s="64" t="n">
        <v>46303.4440449653</v>
      </c>
      <c r="D147" s="62" t="s">
        <v>72</v>
      </c>
      <c r="E147" s="63" t="n">
        <v>10</v>
      </c>
      <c r="F147" s="62" t="s">
        <v>389</v>
      </c>
      <c r="G147" s="62" t="s">
        <v>389</v>
      </c>
      <c r="H147" s="62" t="s">
        <v>389</v>
      </c>
      <c r="I147" s="62" t="s">
        <v>389</v>
      </c>
      <c r="J147" s="65" t="n">
        <v>54.6</v>
      </c>
      <c r="K147" s="62" t="s">
        <v>277</v>
      </c>
      <c r="L147" s="62" t="s">
        <v>389</v>
      </c>
      <c r="M147" s="62" t="s">
        <v>389</v>
      </c>
      <c r="N147" s="62" t="s">
        <v>305</v>
      </c>
      <c r="O147" s="62" t="s">
        <v>389</v>
      </c>
      <c r="P147" s="62" t="s">
        <v>389</v>
      </c>
      <c r="Q147" s="62" t="s">
        <v>390</v>
      </c>
      <c r="R147" s="62" t="s">
        <v>277</v>
      </c>
      <c r="S147" s="62" t="s">
        <v>389</v>
      </c>
      <c r="T147" s="65" t="n">
        <v>6.7</v>
      </c>
      <c r="U147" s="62" t="s">
        <v>276</v>
      </c>
      <c r="V147" s="65" t="n">
        <v>6.7</v>
      </c>
      <c r="W147" s="65" t="n">
        <v>8.4</v>
      </c>
      <c r="X147" s="63" t="n">
        <v>0</v>
      </c>
      <c r="Y147" s="62" t="s">
        <v>389</v>
      </c>
      <c r="Z147" s="62" t="s">
        <v>389</v>
      </c>
      <c r="AA147" s="62" t="s">
        <v>395</v>
      </c>
      <c r="AB147" s="62" t="s">
        <v>275</v>
      </c>
      <c r="AC147" s="65" t="n">
        <v>31.1</v>
      </c>
      <c r="AD147" s="63" t="n">
        <v>6</v>
      </c>
      <c r="AE147" s="63" t="n">
        <v>23</v>
      </c>
      <c r="AF147" s="63" t="n">
        <v>8</v>
      </c>
      <c r="AG147" s="62" t="s">
        <v>390</v>
      </c>
      <c r="AH147" s="62"/>
      <c r="AI147" s="63" t="n">
        <v>0</v>
      </c>
      <c r="AJ147" s="62" t="s">
        <v>150</v>
      </c>
      <c r="AK147" s="62" t="s">
        <v>391</v>
      </c>
      <c r="AL147" s="62" t="s">
        <v>392</v>
      </c>
      <c r="AM147" s="62" t="s">
        <v>396</v>
      </c>
      <c r="AN147" s="65" t="n">
        <v>95.1</v>
      </c>
      <c r="AO147" s="62" t="s">
        <v>389</v>
      </c>
      <c r="AP147" s="62" t="s">
        <v>390</v>
      </c>
      <c r="AQ147" s="62" t="s">
        <v>390</v>
      </c>
      <c r="AR147" s="66"/>
      <c r="AS147" s="62"/>
      <c r="AT147" s="65"/>
      <c r="AU147" s="62" t="s">
        <v>397</v>
      </c>
    </row>
    <row r="148" customFormat="false" ht="15" hidden="false" customHeight="false" outlineLevel="0" collapsed="false">
      <c r="A148" s="62" t="s">
        <v>388</v>
      </c>
      <c r="B148" s="63" t="n">
        <v>835</v>
      </c>
      <c r="C148" s="64" t="n">
        <v>46303.4690675926</v>
      </c>
      <c r="D148" s="62" t="s">
        <v>72</v>
      </c>
      <c r="E148" s="63" t="n">
        <v>11</v>
      </c>
      <c r="F148" s="62" t="s">
        <v>389</v>
      </c>
      <c r="G148" s="62" t="s">
        <v>389</v>
      </c>
      <c r="H148" s="62" t="s">
        <v>389</v>
      </c>
      <c r="I148" s="62" t="s">
        <v>389</v>
      </c>
      <c r="J148" s="65" t="n">
        <v>1</v>
      </c>
      <c r="K148" s="62" t="s">
        <v>277</v>
      </c>
      <c r="L148" s="62" t="s">
        <v>389</v>
      </c>
      <c r="M148" s="62" t="s">
        <v>389</v>
      </c>
      <c r="N148" s="62" t="s">
        <v>304</v>
      </c>
      <c r="O148" s="62" t="s">
        <v>389</v>
      </c>
      <c r="P148" s="62" t="s">
        <v>389</v>
      </c>
      <c r="Q148" s="62" t="s">
        <v>390</v>
      </c>
      <c r="R148" s="62" t="s">
        <v>277</v>
      </c>
      <c r="S148" s="62" t="s">
        <v>390</v>
      </c>
      <c r="T148" s="65" t="n">
        <v>10</v>
      </c>
      <c r="U148" s="62" t="s">
        <v>277</v>
      </c>
      <c r="V148" s="65" t="n">
        <v>3.2</v>
      </c>
      <c r="W148" s="65" t="n">
        <v>3.3</v>
      </c>
      <c r="X148" s="63" t="n">
        <v>0</v>
      </c>
      <c r="Y148" s="62" t="s">
        <v>389</v>
      </c>
      <c r="Z148" s="62" t="s">
        <v>389</v>
      </c>
      <c r="AA148" s="62" t="s">
        <v>395</v>
      </c>
      <c r="AB148" s="62" t="s">
        <v>275</v>
      </c>
      <c r="AC148" s="65" t="n">
        <v>28.6</v>
      </c>
      <c r="AD148" s="63" t="n">
        <v>5</v>
      </c>
      <c r="AE148" s="63" t="n">
        <v>23</v>
      </c>
      <c r="AF148" s="63" t="n">
        <v>4</v>
      </c>
      <c r="AG148" s="62" t="s">
        <v>389</v>
      </c>
      <c r="AH148" s="62" t="s">
        <v>398</v>
      </c>
      <c r="AI148" s="63" t="n">
        <v>0</v>
      </c>
      <c r="AJ148" s="62" t="s">
        <v>149</v>
      </c>
      <c r="AK148" s="62" t="s">
        <v>391</v>
      </c>
      <c r="AL148" s="62" t="s">
        <v>392</v>
      </c>
      <c r="AM148" s="62" t="s">
        <v>396</v>
      </c>
      <c r="AN148" s="65" t="n">
        <v>94.6</v>
      </c>
      <c r="AO148" s="62" t="s">
        <v>389</v>
      </c>
      <c r="AP148" s="62" t="s">
        <v>390</v>
      </c>
      <c r="AQ148" s="62" t="s">
        <v>390</v>
      </c>
      <c r="AR148" s="66"/>
      <c r="AS148" s="62"/>
      <c r="AT148" s="65"/>
      <c r="AU148" s="62" t="s">
        <v>397</v>
      </c>
    </row>
    <row r="149" customFormat="false" ht="15" hidden="false" customHeight="false" outlineLevel="0" collapsed="false">
      <c r="A149" s="62" t="s">
        <v>388</v>
      </c>
      <c r="B149" s="63" t="n">
        <v>836</v>
      </c>
      <c r="C149" s="64" t="n">
        <v>46303.4695867708</v>
      </c>
      <c r="D149" s="62" t="s">
        <v>72</v>
      </c>
      <c r="E149" s="63" t="n">
        <v>11</v>
      </c>
      <c r="F149" s="62" t="s">
        <v>389</v>
      </c>
      <c r="G149" s="62" t="s">
        <v>389</v>
      </c>
      <c r="H149" s="62" t="s">
        <v>389</v>
      </c>
      <c r="I149" s="62" t="s">
        <v>389</v>
      </c>
      <c r="J149" s="65" t="n">
        <v>0.2</v>
      </c>
      <c r="K149" s="62" t="s">
        <v>277</v>
      </c>
      <c r="L149" s="62" t="s">
        <v>389</v>
      </c>
      <c r="M149" s="62" t="s">
        <v>389</v>
      </c>
      <c r="N149" s="62" t="s">
        <v>304</v>
      </c>
      <c r="O149" s="62" t="s">
        <v>389</v>
      </c>
      <c r="P149" s="62" t="s">
        <v>389</v>
      </c>
      <c r="Q149" s="62" t="s">
        <v>390</v>
      </c>
      <c r="R149" s="62" t="s">
        <v>277</v>
      </c>
      <c r="S149" s="62" t="s">
        <v>390</v>
      </c>
      <c r="T149" s="65" t="n">
        <v>12.9</v>
      </c>
      <c r="U149" s="62" t="s">
        <v>277</v>
      </c>
      <c r="V149" s="65" t="n">
        <v>0.5</v>
      </c>
      <c r="W149" s="65" t="n">
        <v>11.5</v>
      </c>
      <c r="X149" s="63" t="n">
        <v>0</v>
      </c>
      <c r="Y149" s="62" t="s">
        <v>389</v>
      </c>
      <c r="Z149" s="62" t="s">
        <v>389</v>
      </c>
      <c r="AA149" s="62" t="s">
        <v>395</v>
      </c>
      <c r="AB149" s="62" t="s">
        <v>275</v>
      </c>
      <c r="AC149" s="65" t="n">
        <v>28.7</v>
      </c>
      <c r="AD149" s="63" t="n">
        <v>5</v>
      </c>
      <c r="AE149" s="63" t="n">
        <v>23</v>
      </c>
      <c r="AF149" s="63" t="n">
        <v>4</v>
      </c>
      <c r="AG149" s="62" t="s">
        <v>389</v>
      </c>
      <c r="AH149" s="62" t="s">
        <v>398</v>
      </c>
      <c r="AI149" s="63" t="n">
        <v>0</v>
      </c>
      <c r="AJ149" s="62" t="s">
        <v>151</v>
      </c>
      <c r="AK149" s="62" t="s">
        <v>391</v>
      </c>
      <c r="AL149" s="62" t="s">
        <v>392</v>
      </c>
      <c r="AM149" s="62" t="s">
        <v>396</v>
      </c>
      <c r="AN149" s="65" t="n">
        <v>94.6</v>
      </c>
      <c r="AO149" s="62" t="s">
        <v>389</v>
      </c>
      <c r="AP149" s="62" t="s">
        <v>390</v>
      </c>
      <c r="AQ149" s="62" t="s">
        <v>390</v>
      </c>
      <c r="AR149" s="66"/>
      <c r="AS149" s="62"/>
      <c r="AT149" s="65"/>
      <c r="AU149" s="62" t="s">
        <v>397</v>
      </c>
    </row>
    <row r="150" customFormat="false" ht="15" hidden="false" customHeight="false" outlineLevel="0" collapsed="false">
      <c r="A150" s="62" t="s">
        <v>388</v>
      </c>
      <c r="B150" s="63" t="n">
        <v>845</v>
      </c>
      <c r="C150" s="64" t="n">
        <v>46303.4971053472</v>
      </c>
      <c r="D150" s="62" t="s">
        <v>72</v>
      </c>
      <c r="E150" s="63" t="n">
        <v>11</v>
      </c>
      <c r="F150" s="62" t="s">
        <v>389</v>
      </c>
      <c r="G150" s="62" t="s">
        <v>389</v>
      </c>
      <c r="H150" s="62" t="s">
        <v>389</v>
      </c>
      <c r="I150" s="62" t="s">
        <v>389</v>
      </c>
      <c r="J150" s="65" t="n">
        <v>0.5</v>
      </c>
      <c r="K150" s="62" t="s">
        <v>277</v>
      </c>
      <c r="L150" s="62" t="s">
        <v>389</v>
      </c>
      <c r="M150" s="62" t="s">
        <v>389</v>
      </c>
      <c r="N150" s="62" t="s">
        <v>304</v>
      </c>
      <c r="O150" s="62" t="s">
        <v>389</v>
      </c>
      <c r="P150" s="62" t="s">
        <v>390</v>
      </c>
      <c r="Q150" s="62" t="s">
        <v>390</v>
      </c>
      <c r="R150" s="62" t="s">
        <v>277</v>
      </c>
      <c r="S150" s="62" t="s">
        <v>389</v>
      </c>
      <c r="T150" s="65" t="n">
        <v>12.2</v>
      </c>
      <c r="U150" s="62" t="s">
        <v>276</v>
      </c>
      <c r="V150" s="65" t="n">
        <v>5.4</v>
      </c>
      <c r="W150" s="65" t="n">
        <v>3.4</v>
      </c>
      <c r="X150" s="63" t="n">
        <v>0</v>
      </c>
      <c r="Y150" s="62" t="s">
        <v>389</v>
      </c>
      <c r="Z150" s="62" t="s">
        <v>389</v>
      </c>
      <c r="AA150" s="62" t="s">
        <v>395</v>
      </c>
      <c r="AB150" s="62" t="s">
        <v>275</v>
      </c>
      <c r="AC150" s="65" t="n">
        <v>26.2</v>
      </c>
      <c r="AD150" s="63" t="n">
        <v>5</v>
      </c>
      <c r="AE150" s="63" t="n">
        <v>24</v>
      </c>
      <c r="AF150" s="63" t="n">
        <v>6</v>
      </c>
      <c r="AG150" s="62" t="s">
        <v>390</v>
      </c>
      <c r="AH150" s="62"/>
      <c r="AI150" s="63" t="n">
        <v>0</v>
      </c>
      <c r="AJ150" s="62" t="s">
        <v>149</v>
      </c>
      <c r="AK150" s="62" t="s">
        <v>391</v>
      </c>
      <c r="AL150" s="62" t="s">
        <v>392</v>
      </c>
      <c r="AM150" s="62" t="s">
        <v>396</v>
      </c>
      <c r="AN150" s="65" t="n">
        <v>117</v>
      </c>
      <c r="AO150" s="62" t="s">
        <v>389</v>
      </c>
      <c r="AP150" s="62" t="s">
        <v>390</v>
      </c>
      <c r="AQ150" s="62" t="s">
        <v>390</v>
      </c>
      <c r="AR150" s="66"/>
      <c r="AS150" s="62"/>
      <c r="AT150" s="65"/>
      <c r="AU150" s="62" t="s">
        <v>397</v>
      </c>
    </row>
    <row r="151" customFormat="false" ht="15" hidden="false" customHeight="false" outlineLevel="0" collapsed="false">
      <c r="A151" s="62" t="s">
        <v>388</v>
      </c>
      <c r="B151" s="63" t="n">
        <v>851</v>
      </c>
      <c r="C151" s="64" t="n">
        <v>46303.5124946644</v>
      </c>
      <c r="D151" s="62" t="s">
        <v>72</v>
      </c>
      <c r="E151" s="63" t="n">
        <v>12</v>
      </c>
      <c r="F151" s="62" t="s">
        <v>389</v>
      </c>
      <c r="G151" s="62" t="s">
        <v>389</v>
      </c>
      <c r="H151" s="62" t="s">
        <v>389</v>
      </c>
      <c r="I151" s="62" t="s">
        <v>389</v>
      </c>
      <c r="J151" s="65" t="n">
        <v>0.7</v>
      </c>
      <c r="K151" s="62" t="s">
        <v>277</v>
      </c>
      <c r="L151" s="62" t="s">
        <v>389</v>
      </c>
      <c r="M151" s="62" t="s">
        <v>390</v>
      </c>
      <c r="N151" s="62"/>
      <c r="O151" s="62" t="s">
        <v>389</v>
      </c>
      <c r="P151" s="62" t="s">
        <v>390</v>
      </c>
      <c r="Q151" s="62" t="s">
        <v>390</v>
      </c>
      <c r="R151" s="62" t="s">
        <v>277</v>
      </c>
      <c r="S151" s="62" t="s">
        <v>390</v>
      </c>
      <c r="T151" s="65" t="n">
        <v>5630</v>
      </c>
      <c r="U151" s="62" t="s">
        <v>277</v>
      </c>
      <c r="V151" s="65" t="n">
        <v>1.2</v>
      </c>
      <c r="W151" s="65" t="n">
        <v>5629.5</v>
      </c>
      <c r="X151" s="63" t="n">
        <v>0</v>
      </c>
      <c r="Y151" s="62" t="s">
        <v>390</v>
      </c>
      <c r="Z151" s="62" t="s">
        <v>389</v>
      </c>
      <c r="AA151" s="62" t="s">
        <v>395</v>
      </c>
      <c r="AB151" s="62" t="s">
        <v>275</v>
      </c>
      <c r="AC151" s="65" t="n">
        <v>26.1</v>
      </c>
      <c r="AD151" s="63" t="n">
        <v>2</v>
      </c>
      <c r="AE151" s="63" t="n">
        <v>21</v>
      </c>
      <c r="AF151" s="63" t="n">
        <v>1</v>
      </c>
      <c r="AG151" s="62" t="s">
        <v>390</v>
      </c>
      <c r="AH151" s="62"/>
      <c r="AI151" s="63" t="n">
        <v>0</v>
      </c>
      <c r="AJ151" s="62" t="s">
        <v>148</v>
      </c>
      <c r="AK151" s="62" t="s">
        <v>391</v>
      </c>
      <c r="AL151" s="62" t="s">
        <v>392</v>
      </c>
      <c r="AM151" s="62" t="s">
        <v>396</v>
      </c>
      <c r="AN151" s="65" t="n">
        <v>93.8</v>
      </c>
      <c r="AO151" s="62" t="s">
        <v>389</v>
      </c>
      <c r="AP151" s="62" t="s">
        <v>390</v>
      </c>
      <c r="AQ151" s="62" t="s">
        <v>390</v>
      </c>
      <c r="AR151" s="66"/>
      <c r="AS151" s="62"/>
      <c r="AT151" s="65"/>
      <c r="AU151" s="62" t="s">
        <v>397</v>
      </c>
    </row>
    <row r="152" customFormat="false" ht="15" hidden="false" customHeight="false" outlineLevel="0" collapsed="false">
      <c r="A152" s="62" t="s">
        <v>388</v>
      </c>
      <c r="B152" s="63" t="n">
        <v>852</v>
      </c>
      <c r="C152" s="64" t="n">
        <v>46303.5130587153</v>
      </c>
      <c r="D152" s="62" t="s">
        <v>72</v>
      </c>
      <c r="E152" s="63" t="n">
        <v>12</v>
      </c>
      <c r="F152" s="62" t="s">
        <v>389</v>
      </c>
      <c r="G152" s="62" t="s">
        <v>389</v>
      </c>
      <c r="H152" s="62" t="s">
        <v>389</v>
      </c>
      <c r="I152" s="62" t="s">
        <v>389</v>
      </c>
      <c r="J152" s="65" t="n">
        <v>0.6</v>
      </c>
      <c r="K152" s="62" t="s">
        <v>277</v>
      </c>
      <c r="L152" s="62" t="s">
        <v>389</v>
      </c>
      <c r="M152" s="62" t="s">
        <v>390</v>
      </c>
      <c r="N152" s="62"/>
      <c r="O152" s="62" t="s">
        <v>389</v>
      </c>
      <c r="P152" s="62" t="s">
        <v>390</v>
      </c>
      <c r="Q152" s="62" t="s">
        <v>390</v>
      </c>
      <c r="R152" s="62" t="s">
        <v>277</v>
      </c>
      <c r="S152" s="62" t="s">
        <v>390</v>
      </c>
      <c r="T152" s="65" t="n">
        <v>5629.9</v>
      </c>
      <c r="U152" s="62" t="s">
        <v>277</v>
      </c>
      <c r="V152" s="65" t="n">
        <v>7.4</v>
      </c>
      <c r="W152" s="65" t="n">
        <v>5623.1</v>
      </c>
      <c r="X152" s="63" t="n">
        <v>0</v>
      </c>
      <c r="Y152" s="62" t="s">
        <v>390</v>
      </c>
      <c r="Z152" s="62" t="s">
        <v>389</v>
      </c>
      <c r="AA152" s="62" t="s">
        <v>395</v>
      </c>
      <c r="AB152" s="62" t="s">
        <v>275</v>
      </c>
      <c r="AC152" s="65" t="n">
        <v>26.2</v>
      </c>
      <c r="AD152" s="63" t="n">
        <v>2</v>
      </c>
      <c r="AE152" s="63" t="n">
        <v>21</v>
      </c>
      <c r="AF152" s="63" t="n">
        <v>1</v>
      </c>
      <c r="AG152" s="62" t="s">
        <v>389</v>
      </c>
      <c r="AH152" s="62" t="s">
        <v>398</v>
      </c>
      <c r="AI152" s="63" t="n">
        <v>0</v>
      </c>
      <c r="AJ152" s="62" t="s">
        <v>148</v>
      </c>
      <c r="AK152" s="62" t="s">
        <v>391</v>
      </c>
      <c r="AL152" s="62" t="s">
        <v>392</v>
      </c>
      <c r="AM152" s="62" t="s">
        <v>396</v>
      </c>
      <c r="AN152" s="65" t="n">
        <v>93.8</v>
      </c>
      <c r="AO152" s="62" t="s">
        <v>389</v>
      </c>
      <c r="AP152" s="62" t="s">
        <v>390</v>
      </c>
      <c r="AQ152" s="62" t="s">
        <v>390</v>
      </c>
      <c r="AR152" s="66"/>
      <c r="AS152" s="62"/>
      <c r="AT152" s="65"/>
      <c r="AU152" s="62" t="s">
        <v>397</v>
      </c>
    </row>
    <row r="153" customFormat="false" ht="15" hidden="false" customHeight="false" outlineLevel="0" collapsed="false">
      <c r="A153" s="62" t="s">
        <v>388</v>
      </c>
      <c r="B153" s="63" t="n">
        <v>874</v>
      </c>
      <c r="C153" s="64" t="n">
        <v>46303.5958288079</v>
      </c>
      <c r="D153" s="62" t="s">
        <v>72</v>
      </c>
      <c r="E153" s="63" t="n">
        <v>14</v>
      </c>
      <c r="F153" s="62" t="s">
        <v>389</v>
      </c>
      <c r="G153" s="62" t="s">
        <v>389</v>
      </c>
      <c r="H153" s="62" t="s">
        <v>389</v>
      </c>
      <c r="I153" s="62" t="s">
        <v>389</v>
      </c>
      <c r="J153" s="65" t="n">
        <v>0.2</v>
      </c>
      <c r="K153" s="62" t="s">
        <v>276</v>
      </c>
      <c r="L153" s="62" t="s">
        <v>389</v>
      </c>
      <c r="M153" s="62" t="s">
        <v>390</v>
      </c>
      <c r="N153" s="62"/>
      <c r="O153" s="62" t="s">
        <v>389</v>
      </c>
      <c r="P153" s="62" t="s">
        <v>390</v>
      </c>
      <c r="Q153" s="62" t="s">
        <v>390</v>
      </c>
      <c r="R153" s="62" t="s">
        <v>278</v>
      </c>
      <c r="S153" s="62" t="s">
        <v>389</v>
      </c>
      <c r="T153" s="65" t="n">
        <v>5628.7</v>
      </c>
      <c r="U153" s="62" t="s">
        <v>276</v>
      </c>
      <c r="V153" s="65" t="n">
        <v>0.4</v>
      </c>
      <c r="W153" s="65" t="n">
        <v>5628.5</v>
      </c>
      <c r="X153" s="63" t="n">
        <v>0</v>
      </c>
      <c r="Y153" s="62" t="s">
        <v>390</v>
      </c>
      <c r="Z153" s="62" t="s">
        <v>389</v>
      </c>
      <c r="AA153" s="62" t="s">
        <v>395</v>
      </c>
      <c r="AB153" s="62" t="s">
        <v>275</v>
      </c>
      <c r="AC153" s="65" t="n">
        <v>26.1</v>
      </c>
      <c r="AD153" s="63" t="n">
        <v>2</v>
      </c>
      <c r="AE153" s="63" t="n">
        <v>21</v>
      </c>
      <c r="AF153" s="63" t="n">
        <v>1</v>
      </c>
      <c r="AG153" s="62" t="s">
        <v>390</v>
      </c>
      <c r="AH153" s="62"/>
      <c r="AI153" s="63" t="n">
        <v>0</v>
      </c>
      <c r="AJ153" s="62" t="s">
        <v>148</v>
      </c>
      <c r="AK153" s="62" t="s">
        <v>391</v>
      </c>
      <c r="AL153" s="62" t="s">
        <v>392</v>
      </c>
      <c r="AM153" s="62" t="s">
        <v>396</v>
      </c>
      <c r="AN153" s="65" t="n">
        <v>93.8</v>
      </c>
      <c r="AO153" s="62" t="s">
        <v>389</v>
      </c>
      <c r="AP153" s="62" t="s">
        <v>390</v>
      </c>
      <c r="AQ153" s="62" t="s">
        <v>390</v>
      </c>
      <c r="AR153" s="66"/>
      <c r="AS153" s="62"/>
      <c r="AT153" s="65"/>
      <c r="AU153" s="62" t="s">
        <v>397</v>
      </c>
    </row>
    <row r="154" customFormat="false" ht="15" hidden="false" customHeight="false" outlineLevel="0" collapsed="false">
      <c r="A154" s="62" t="s">
        <v>388</v>
      </c>
      <c r="B154" s="63" t="n">
        <v>880</v>
      </c>
      <c r="C154" s="64" t="n">
        <v>46303.6214679167</v>
      </c>
      <c r="D154" s="62" t="s">
        <v>72</v>
      </c>
      <c r="E154" s="63" t="n">
        <v>14</v>
      </c>
      <c r="F154" s="62" t="s">
        <v>389</v>
      </c>
      <c r="G154" s="62" t="s">
        <v>389</v>
      </c>
      <c r="H154" s="62" t="s">
        <v>389</v>
      </c>
      <c r="I154" s="62" t="s">
        <v>389</v>
      </c>
      <c r="J154" s="65" t="n">
        <v>0.3</v>
      </c>
      <c r="K154" s="62" t="s">
        <v>277</v>
      </c>
      <c r="L154" s="62" t="s">
        <v>389</v>
      </c>
      <c r="M154" s="62" t="s">
        <v>389</v>
      </c>
      <c r="N154" s="62" t="s">
        <v>303</v>
      </c>
      <c r="O154" s="62" t="s">
        <v>389</v>
      </c>
      <c r="P154" s="62" t="s">
        <v>389</v>
      </c>
      <c r="Q154" s="62" t="s">
        <v>389</v>
      </c>
      <c r="R154" s="62" t="s">
        <v>277</v>
      </c>
      <c r="S154" s="62" t="s">
        <v>389</v>
      </c>
      <c r="T154" s="65" t="n">
        <v>45.1</v>
      </c>
      <c r="U154" s="62" t="s">
        <v>277</v>
      </c>
      <c r="V154" s="65" t="n">
        <v>6.2</v>
      </c>
      <c r="W154" s="65" t="n">
        <v>2</v>
      </c>
      <c r="X154" s="63" t="n">
        <v>0</v>
      </c>
      <c r="Y154" s="62" t="s">
        <v>389</v>
      </c>
      <c r="Z154" s="62" t="s">
        <v>389</v>
      </c>
      <c r="AA154" s="62" t="s">
        <v>416</v>
      </c>
      <c r="AB154" s="62" t="s">
        <v>276</v>
      </c>
      <c r="AC154" s="65" t="n">
        <v>43.5</v>
      </c>
      <c r="AD154" s="63" t="n">
        <v>8</v>
      </c>
      <c r="AE154" s="63" t="n">
        <v>27</v>
      </c>
      <c r="AF154" s="63" t="n">
        <v>10</v>
      </c>
      <c r="AG154" s="62" t="s">
        <v>390</v>
      </c>
      <c r="AH154" s="62"/>
      <c r="AI154" s="63" t="n">
        <v>0</v>
      </c>
      <c r="AJ154" s="62" t="s">
        <v>152</v>
      </c>
      <c r="AK154" s="62" t="s">
        <v>391</v>
      </c>
      <c r="AL154" s="62" t="s">
        <v>392</v>
      </c>
      <c r="AM154" s="62" t="s">
        <v>396</v>
      </c>
      <c r="AN154" s="65" t="n">
        <v>69</v>
      </c>
      <c r="AO154" s="62" t="s">
        <v>389</v>
      </c>
      <c r="AP154" s="62" t="s">
        <v>390</v>
      </c>
      <c r="AQ154" s="62" t="s">
        <v>390</v>
      </c>
      <c r="AR154" s="66"/>
      <c r="AS154" s="62"/>
      <c r="AT154" s="65"/>
      <c r="AU154" s="62" t="s">
        <v>397</v>
      </c>
    </row>
    <row r="155" customFormat="false" ht="15" hidden="false" customHeight="false" outlineLevel="0" collapsed="false">
      <c r="A155" s="62" t="s">
        <v>388</v>
      </c>
      <c r="B155" s="63" t="n">
        <v>882</v>
      </c>
      <c r="C155" s="64" t="n">
        <v>46303.6338213773</v>
      </c>
      <c r="D155" s="62" t="s">
        <v>72</v>
      </c>
      <c r="E155" s="63" t="n">
        <v>15</v>
      </c>
      <c r="F155" s="62" t="s">
        <v>389</v>
      </c>
      <c r="G155" s="62" t="s">
        <v>389</v>
      </c>
      <c r="H155" s="62" t="s">
        <v>389</v>
      </c>
      <c r="I155" s="62" t="s">
        <v>389</v>
      </c>
      <c r="J155" s="65" t="n">
        <v>1.3</v>
      </c>
      <c r="K155" s="62" t="s">
        <v>277</v>
      </c>
      <c r="L155" s="62" t="s">
        <v>389</v>
      </c>
      <c r="M155" s="62" t="s">
        <v>389</v>
      </c>
      <c r="N155" s="62" t="s">
        <v>307</v>
      </c>
      <c r="O155" s="62" t="s">
        <v>389</v>
      </c>
      <c r="P155" s="62" t="s">
        <v>389</v>
      </c>
      <c r="Q155" s="62" t="s">
        <v>390</v>
      </c>
      <c r="R155" s="62" t="s">
        <v>277</v>
      </c>
      <c r="S155" s="62" t="s">
        <v>389</v>
      </c>
      <c r="T155" s="65" t="n">
        <v>9.3</v>
      </c>
      <c r="U155" s="62" t="s">
        <v>277</v>
      </c>
      <c r="V155" s="65" t="n">
        <v>1.5</v>
      </c>
      <c r="W155" s="65" t="n">
        <v>3.7</v>
      </c>
      <c r="X155" s="63" t="n">
        <v>0</v>
      </c>
      <c r="Y155" s="62" t="s">
        <v>389</v>
      </c>
      <c r="Z155" s="62" t="s">
        <v>389</v>
      </c>
      <c r="AA155" s="62" t="s">
        <v>395</v>
      </c>
      <c r="AB155" s="62" t="s">
        <v>275</v>
      </c>
      <c r="AC155" s="65" t="n">
        <v>45.8</v>
      </c>
      <c r="AD155" s="63" t="n">
        <v>5</v>
      </c>
      <c r="AE155" s="63" t="n">
        <v>20</v>
      </c>
      <c r="AF155" s="63" t="n">
        <v>7</v>
      </c>
      <c r="AG155" s="62" t="s">
        <v>390</v>
      </c>
      <c r="AH155" s="62"/>
      <c r="AI155" s="63" t="n">
        <v>0</v>
      </c>
      <c r="AJ155" s="62" t="s">
        <v>151</v>
      </c>
      <c r="AK155" s="62" t="s">
        <v>391</v>
      </c>
      <c r="AL155" s="62" t="s">
        <v>392</v>
      </c>
      <c r="AM155" s="62" t="s">
        <v>396</v>
      </c>
      <c r="AN155" s="65" t="n">
        <v>90.3</v>
      </c>
      <c r="AO155" s="62" t="s">
        <v>389</v>
      </c>
      <c r="AP155" s="62" t="s">
        <v>390</v>
      </c>
      <c r="AQ155" s="62" t="s">
        <v>390</v>
      </c>
      <c r="AR155" s="66"/>
      <c r="AS155" s="62"/>
      <c r="AT155" s="65"/>
      <c r="AU155" s="62" t="s">
        <v>397</v>
      </c>
    </row>
    <row r="156" customFormat="false" ht="15" hidden="false" customHeight="false" outlineLevel="0" collapsed="false">
      <c r="A156" s="62" t="s">
        <v>388</v>
      </c>
      <c r="B156" s="63" t="n">
        <v>887</v>
      </c>
      <c r="C156" s="64" t="n">
        <v>46303.652886088</v>
      </c>
      <c r="D156" s="62" t="s">
        <v>72</v>
      </c>
      <c r="E156" s="63" t="n">
        <v>15</v>
      </c>
      <c r="F156" s="62" t="s">
        <v>389</v>
      </c>
      <c r="G156" s="62" t="s">
        <v>390</v>
      </c>
      <c r="H156" s="62" t="s">
        <v>390</v>
      </c>
      <c r="I156" s="62" t="s">
        <v>389</v>
      </c>
      <c r="J156" s="65"/>
      <c r="K156" s="62" t="s">
        <v>275</v>
      </c>
      <c r="L156" s="62" t="s">
        <v>389</v>
      </c>
      <c r="M156" s="62" t="s">
        <v>390</v>
      </c>
      <c r="N156" s="62"/>
      <c r="O156" s="62" t="s">
        <v>389</v>
      </c>
      <c r="P156" s="62" t="s">
        <v>390</v>
      </c>
      <c r="Q156" s="62" t="s">
        <v>390</v>
      </c>
      <c r="R156" s="62" t="s">
        <v>277</v>
      </c>
      <c r="S156" s="62" t="s">
        <v>390</v>
      </c>
      <c r="T156" s="65" t="n">
        <v>5450.9</v>
      </c>
      <c r="U156" s="62" t="s">
        <v>277</v>
      </c>
      <c r="V156" s="65" t="n">
        <v>5450.9</v>
      </c>
      <c r="W156" s="65"/>
      <c r="X156" s="63" t="n">
        <v>0</v>
      </c>
      <c r="Y156" s="62" t="s">
        <v>390</v>
      </c>
      <c r="Z156" s="62" t="s">
        <v>389</v>
      </c>
      <c r="AA156" s="62" t="s">
        <v>395</v>
      </c>
      <c r="AB156" s="62" t="s">
        <v>275</v>
      </c>
      <c r="AC156" s="65" t="n">
        <v>26.6</v>
      </c>
      <c r="AD156" s="63" t="n">
        <v>1</v>
      </c>
      <c r="AE156" s="63" t="n">
        <v>22</v>
      </c>
      <c r="AF156" s="63" t="n">
        <v>1</v>
      </c>
      <c r="AG156" s="62" t="s">
        <v>390</v>
      </c>
      <c r="AH156" s="62"/>
      <c r="AI156" s="63" t="n">
        <v>0</v>
      </c>
      <c r="AJ156" s="62" t="s">
        <v>147</v>
      </c>
      <c r="AK156" s="62" t="s">
        <v>391</v>
      </c>
      <c r="AL156" s="62" t="s">
        <v>392</v>
      </c>
      <c r="AM156" s="62" t="s">
        <v>396</v>
      </c>
      <c r="AN156" s="65" t="n">
        <v>90.8</v>
      </c>
      <c r="AO156" s="62" t="s">
        <v>389</v>
      </c>
      <c r="AP156" s="62" t="s">
        <v>390</v>
      </c>
      <c r="AQ156" s="62" t="s">
        <v>390</v>
      </c>
      <c r="AR156" s="66"/>
      <c r="AS156" s="62"/>
      <c r="AT156" s="65"/>
      <c r="AU156" s="62" t="s">
        <v>397</v>
      </c>
    </row>
    <row r="157" customFormat="false" ht="15" hidden="false" customHeight="false" outlineLevel="0" collapsed="false">
      <c r="A157" s="62" t="s">
        <v>388</v>
      </c>
      <c r="B157" s="63" t="n">
        <v>891</v>
      </c>
      <c r="C157" s="64" t="n">
        <v>46303.6691336227</v>
      </c>
      <c r="D157" s="62" t="s">
        <v>72</v>
      </c>
      <c r="E157" s="63" t="n">
        <v>16</v>
      </c>
      <c r="F157" s="62" t="s">
        <v>389</v>
      </c>
      <c r="G157" s="62" t="s">
        <v>390</v>
      </c>
      <c r="H157" s="62" t="s">
        <v>390</v>
      </c>
      <c r="I157" s="62" t="s">
        <v>389</v>
      </c>
      <c r="J157" s="65"/>
      <c r="K157" s="62" t="s">
        <v>275</v>
      </c>
      <c r="L157" s="62" t="s">
        <v>389</v>
      </c>
      <c r="M157" s="62" t="s">
        <v>389</v>
      </c>
      <c r="N157" s="62" t="s">
        <v>304</v>
      </c>
      <c r="O157" s="62" t="s">
        <v>389</v>
      </c>
      <c r="P157" s="62" t="s">
        <v>390</v>
      </c>
      <c r="Q157" s="62" t="s">
        <v>390</v>
      </c>
      <c r="R157" s="62" t="s">
        <v>278</v>
      </c>
      <c r="S157" s="62" t="s">
        <v>389</v>
      </c>
      <c r="T157" s="65" t="n">
        <v>32.4</v>
      </c>
      <c r="U157" s="62" t="s">
        <v>278</v>
      </c>
      <c r="V157" s="65" t="n">
        <v>32.4</v>
      </c>
      <c r="W157" s="65" t="n">
        <v>0.6</v>
      </c>
      <c r="X157" s="63" t="n">
        <v>0</v>
      </c>
      <c r="Y157" s="62" t="s">
        <v>390</v>
      </c>
      <c r="Z157" s="62" t="s">
        <v>389</v>
      </c>
      <c r="AA157" s="62" t="s">
        <v>395</v>
      </c>
      <c r="AB157" s="62" t="s">
        <v>275</v>
      </c>
      <c r="AC157" s="65" t="n">
        <v>26.6</v>
      </c>
      <c r="AD157" s="63" t="n">
        <v>6</v>
      </c>
      <c r="AE157" s="63" t="n">
        <v>22</v>
      </c>
      <c r="AF157" s="63" t="n">
        <v>6</v>
      </c>
      <c r="AG157" s="62" t="s">
        <v>389</v>
      </c>
      <c r="AH157" s="62" t="s">
        <v>398</v>
      </c>
      <c r="AI157" s="63" t="n">
        <v>0</v>
      </c>
      <c r="AJ157" s="62" t="s">
        <v>149</v>
      </c>
      <c r="AK157" s="62" t="s">
        <v>391</v>
      </c>
      <c r="AL157" s="62" t="s">
        <v>392</v>
      </c>
      <c r="AM157" s="62" t="s">
        <v>396</v>
      </c>
      <c r="AN157" s="65" t="n">
        <v>92.1</v>
      </c>
      <c r="AO157" s="62" t="s">
        <v>389</v>
      </c>
      <c r="AP157" s="62" t="s">
        <v>390</v>
      </c>
      <c r="AQ157" s="62" t="s">
        <v>390</v>
      </c>
      <c r="AR157" s="66"/>
      <c r="AS157" s="62"/>
      <c r="AT157" s="65"/>
      <c r="AU157" s="62" t="s">
        <v>397</v>
      </c>
    </row>
    <row r="158" customFormat="false" ht="15" hidden="false" customHeight="false" outlineLevel="0" collapsed="false">
      <c r="A158" s="62" t="s">
        <v>388</v>
      </c>
      <c r="B158" s="63" t="n">
        <v>892</v>
      </c>
      <c r="C158" s="64" t="n">
        <v>46303.6732327083</v>
      </c>
      <c r="D158" s="62" t="s">
        <v>72</v>
      </c>
      <c r="E158" s="63" t="n">
        <v>16</v>
      </c>
      <c r="F158" s="62" t="s">
        <v>389</v>
      </c>
      <c r="G158" s="62" t="s">
        <v>390</v>
      </c>
      <c r="H158" s="62" t="s">
        <v>390</v>
      </c>
      <c r="I158" s="62" t="s">
        <v>389</v>
      </c>
      <c r="J158" s="65"/>
      <c r="K158" s="62" t="s">
        <v>275</v>
      </c>
      <c r="L158" s="62" t="s">
        <v>389</v>
      </c>
      <c r="M158" s="62" t="s">
        <v>390</v>
      </c>
      <c r="N158" s="62"/>
      <c r="O158" s="62" t="s">
        <v>389</v>
      </c>
      <c r="P158" s="62" t="s">
        <v>390</v>
      </c>
      <c r="Q158" s="62" t="s">
        <v>390</v>
      </c>
      <c r="R158" s="62" t="s">
        <v>277</v>
      </c>
      <c r="S158" s="62" t="s">
        <v>389</v>
      </c>
      <c r="T158" s="65" t="n">
        <v>188.1</v>
      </c>
      <c r="U158" s="62" t="s">
        <v>277</v>
      </c>
      <c r="V158" s="65" t="n">
        <v>188.1</v>
      </c>
      <c r="W158" s="65" t="n">
        <v>0.7</v>
      </c>
      <c r="X158" s="63" t="n">
        <v>0</v>
      </c>
      <c r="Y158" s="62" t="s">
        <v>390</v>
      </c>
      <c r="Z158" s="62" t="s">
        <v>389</v>
      </c>
      <c r="AA158" s="62" t="s">
        <v>395</v>
      </c>
      <c r="AB158" s="62" t="s">
        <v>275</v>
      </c>
      <c r="AC158" s="65" t="n">
        <v>26.6</v>
      </c>
      <c r="AD158" s="63" t="n">
        <v>2</v>
      </c>
      <c r="AE158" s="63" t="n">
        <v>22</v>
      </c>
      <c r="AF158" s="63" t="n">
        <v>3</v>
      </c>
      <c r="AG158" s="62" t="s">
        <v>390</v>
      </c>
      <c r="AH158" s="62"/>
      <c r="AI158" s="63" t="n">
        <v>0</v>
      </c>
      <c r="AJ158" s="62" t="s">
        <v>150</v>
      </c>
      <c r="AK158" s="62" t="s">
        <v>391</v>
      </c>
      <c r="AL158" s="62" t="s">
        <v>392</v>
      </c>
      <c r="AM158" s="62" t="s">
        <v>396</v>
      </c>
      <c r="AN158" s="65" t="n">
        <v>92.1</v>
      </c>
      <c r="AO158" s="62" t="s">
        <v>389</v>
      </c>
      <c r="AP158" s="62" t="s">
        <v>390</v>
      </c>
      <c r="AQ158" s="62" t="s">
        <v>390</v>
      </c>
      <c r="AR158" s="66"/>
      <c r="AS158" s="62"/>
      <c r="AT158" s="65"/>
      <c r="AU158" s="62" t="s">
        <v>397</v>
      </c>
    </row>
    <row r="159" customFormat="false" ht="15" hidden="false" customHeight="false" outlineLevel="0" collapsed="false">
      <c r="A159" s="62" t="s">
        <v>388</v>
      </c>
      <c r="B159" s="63" t="n">
        <v>894</v>
      </c>
      <c r="C159" s="64" t="n">
        <v>46303.6913655903</v>
      </c>
      <c r="D159" s="62" t="s">
        <v>72</v>
      </c>
      <c r="E159" s="63" t="n">
        <v>16</v>
      </c>
      <c r="F159" s="62" t="s">
        <v>389</v>
      </c>
      <c r="G159" s="62" t="s">
        <v>390</v>
      </c>
      <c r="H159" s="62" t="s">
        <v>390</v>
      </c>
      <c r="I159" s="62" t="s">
        <v>389</v>
      </c>
      <c r="J159" s="65"/>
      <c r="K159" s="62" t="s">
        <v>275</v>
      </c>
      <c r="L159" s="62" t="s">
        <v>389</v>
      </c>
      <c r="M159" s="62" t="s">
        <v>390</v>
      </c>
      <c r="N159" s="62"/>
      <c r="O159" s="62" t="s">
        <v>389</v>
      </c>
      <c r="P159" s="62" t="s">
        <v>390</v>
      </c>
      <c r="Q159" s="62" t="s">
        <v>390</v>
      </c>
      <c r="R159" s="62" t="s">
        <v>277</v>
      </c>
      <c r="S159" s="62" t="s">
        <v>389</v>
      </c>
      <c r="T159" s="65" t="n">
        <v>4061.3</v>
      </c>
      <c r="U159" s="62" t="s">
        <v>277</v>
      </c>
      <c r="V159" s="65" t="n">
        <v>4061.3</v>
      </c>
      <c r="W159" s="65"/>
      <c r="X159" s="63" t="n">
        <v>0</v>
      </c>
      <c r="Y159" s="62" t="s">
        <v>390</v>
      </c>
      <c r="Z159" s="62" t="s">
        <v>389</v>
      </c>
      <c r="AA159" s="62" t="s">
        <v>395</v>
      </c>
      <c r="AB159" s="62" t="s">
        <v>275</v>
      </c>
      <c r="AC159" s="65" t="n">
        <v>44.4</v>
      </c>
      <c r="AD159" s="63" t="n">
        <v>1</v>
      </c>
      <c r="AE159" s="63" t="n">
        <v>19</v>
      </c>
      <c r="AF159" s="63" t="n">
        <v>2</v>
      </c>
      <c r="AG159" s="62" t="s">
        <v>390</v>
      </c>
      <c r="AH159" s="62"/>
      <c r="AI159" s="63" t="n">
        <v>0</v>
      </c>
      <c r="AJ159" s="62" t="s">
        <v>147</v>
      </c>
      <c r="AK159" s="62" t="s">
        <v>391</v>
      </c>
      <c r="AL159" s="62" t="s">
        <v>392</v>
      </c>
      <c r="AM159" s="62" t="s">
        <v>396</v>
      </c>
      <c r="AN159" s="65" t="n">
        <v>89.4</v>
      </c>
      <c r="AO159" s="62" t="s">
        <v>389</v>
      </c>
      <c r="AP159" s="62" t="s">
        <v>390</v>
      </c>
      <c r="AQ159" s="62" t="s">
        <v>390</v>
      </c>
      <c r="AR159" s="66"/>
      <c r="AS159" s="62"/>
      <c r="AT159" s="65"/>
      <c r="AU159" s="62" t="s">
        <v>397</v>
      </c>
    </row>
    <row r="160" customFormat="false" ht="15" hidden="false" customHeight="false" outlineLevel="0" collapsed="false">
      <c r="A160" s="62" t="s">
        <v>388</v>
      </c>
      <c r="B160" s="63" t="n">
        <v>896</v>
      </c>
      <c r="C160" s="64" t="n">
        <v>46303.6958738889</v>
      </c>
      <c r="D160" s="62" t="s">
        <v>72</v>
      </c>
      <c r="E160" s="63" t="n">
        <v>16</v>
      </c>
      <c r="F160" s="62" t="s">
        <v>389</v>
      </c>
      <c r="G160" s="62" t="s">
        <v>389</v>
      </c>
      <c r="H160" s="62" t="s">
        <v>389</v>
      </c>
      <c r="I160" s="62" t="s">
        <v>389</v>
      </c>
      <c r="J160" s="65" t="n">
        <v>2</v>
      </c>
      <c r="K160" s="62" t="s">
        <v>278</v>
      </c>
      <c r="L160" s="62" t="s">
        <v>389</v>
      </c>
      <c r="M160" s="62" t="s">
        <v>390</v>
      </c>
      <c r="N160" s="62"/>
      <c r="O160" s="62" t="s">
        <v>389</v>
      </c>
      <c r="P160" s="62" t="s">
        <v>390</v>
      </c>
      <c r="Q160" s="62" t="s">
        <v>390</v>
      </c>
      <c r="R160" s="62" t="s">
        <v>278</v>
      </c>
      <c r="S160" s="62" t="s">
        <v>389</v>
      </c>
      <c r="T160" s="65" t="n">
        <v>5485.3</v>
      </c>
      <c r="U160" s="62" t="s">
        <v>276</v>
      </c>
      <c r="V160" s="65" t="n">
        <v>2.4</v>
      </c>
      <c r="W160" s="65" t="n">
        <v>5484.9</v>
      </c>
      <c r="X160" s="63" t="n">
        <v>0</v>
      </c>
      <c r="Y160" s="62" t="s">
        <v>390</v>
      </c>
      <c r="Z160" s="62" t="s">
        <v>389</v>
      </c>
      <c r="AA160" s="62" t="s">
        <v>395</v>
      </c>
      <c r="AB160" s="62" t="s">
        <v>275</v>
      </c>
      <c r="AC160" s="65" t="n">
        <v>26.1</v>
      </c>
      <c r="AD160" s="63" t="n">
        <v>2</v>
      </c>
      <c r="AE160" s="63" t="n">
        <v>21</v>
      </c>
      <c r="AF160" s="63" t="n">
        <v>1</v>
      </c>
      <c r="AG160" s="62" t="s">
        <v>390</v>
      </c>
      <c r="AH160" s="62"/>
      <c r="AI160" s="63" t="n">
        <v>0</v>
      </c>
      <c r="AJ160" s="62" t="s">
        <v>148</v>
      </c>
      <c r="AK160" s="62" t="s">
        <v>391</v>
      </c>
      <c r="AL160" s="62" t="s">
        <v>392</v>
      </c>
      <c r="AM160" s="62" t="s">
        <v>396</v>
      </c>
      <c r="AN160" s="65" t="n">
        <v>91.4</v>
      </c>
      <c r="AO160" s="62" t="s">
        <v>389</v>
      </c>
      <c r="AP160" s="62" t="s">
        <v>390</v>
      </c>
      <c r="AQ160" s="62" t="s">
        <v>390</v>
      </c>
      <c r="AR160" s="66"/>
      <c r="AS160" s="62"/>
      <c r="AT160" s="65"/>
      <c r="AU160" s="62" t="s">
        <v>397</v>
      </c>
    </row>
    <row r="161" customFormat="false" ht="15" hidden="false" customHeight="false" outlineLevel="0" collapsed="false">
      <c r="A161" s="62" t="s">
        <v>388</v>
      </c>
      <c r="B161" s="63" t="n">
        <v>899</v>
      </c>
      <c r="C161" s="64" t="n">
        <v>46303.7034416204</v>
      </c>
      <c r="D161" s="62" t="s">
        <v>72</v>
      </c>
      <c r="E161" s="63" t="n">
        <v>16</v>
      </c>
      <c r="F161" s="62" t="s">
        <v>389</v>
      </c>
      <c r="G161" s="62" t="s">
        <v>390</v>
      </c>
      <c r="H161" s="62" t="s">
        <v>390</v>
      </c>
      <c r="I161" s="62" t="s">
        <v>389</v>
      </c>
      <c r="J161" s="65"/>
      <c r="K161" s="62" t="s">
        <v>275</v>
      </c>
      <c r="L161" s="62" t="s">
        <v>389</v>
      </c>
      <c r="M161" s="62" t="s">
        <v>390</v>
      </c>
      <c r="N161" s="62"/>
      <c r="O161" s="62" t="s">
        <v>389</v>
      </c>
      <c r="P161" s="62" t="s">
        <v>390</v>
      </c>
      <c r="Q161" s="62" t="s">
        <v>390</v>
      </c>
      <c r="R161" s="62" t="s">
        <v>277</v>
      </c>
      <c r="S161" s="62" t="s">
        <v>389</v>
      </c>
      <c r="T161" s="65" t="n">
        <v>4043.2</v>
      </c>
      <c r="U161" s="62" t="s">
        <v>277</v>
      </c>
      <c r="V161" s="65" t="n">
        <v>4043.2</v>
      </c>
      <c r="W161" s="65"/>
      <c r="X161" s="63" t="n">
        <v>0</v>
      </c>
      <c r="Y161" s="62" t="s">
        <v>390</v>
      </c>
      <c r="Z161" s="62" t="s">
        <v>389</v>
      </c>
      <c r="AA161" s="62" t="s">
        <v>395</v>
      </c>
      <c r="AB161" s="62" t="s">
        <v>275</v>
      </c>
      <c r="AC161" s="65" t="n">
        <v>44.2</v>
      </c>
      <c r="AD161" s="63" t="n">
        <v>1</v>
      </c>
      <c r="AE161" s="63" t="n">
        <v>19</v>
      </c>
      <c r="AF161" s="63" t="n">
        <v>2</v>
      </c>
      <c r="AG161" s="62" t="s">
        <v>390</v>
      </c>
      <c r="AH161" s="62"/>
      <c r="AI161" s="63" t="n">
        <v>0</v>
      </c>
      <c r="AJ161" s="62" t="s">
        <v>147</v>
      </c>
      <c r="AK161" s="62" t="s">
        <v>391</v>
      </c>
      <c r="AL161" s="62" t="s">
        <v>392</v>
      </c>
      <c r="AM161" s="62" t="s">
        <v>396</v>
      </c>
      <c r="AN161" s="65" t="n">
        <v>89.1</v>
      </c>
      <c r="AO161" s="62" t="s">
        <v>389</v>
      </c>
      <c r="AP161" s="62" t="s">
        <v>390</v>
      </c>
      <c r="AQ161" s="62" t="s">
        <v>390</v>
      </c>
      <c r="AR161" s="66"/>
      <c r="AS161" s="62"/>
      <c r="AT161" s="65"/>
      <c r="AU161" s="62" t="s">
        <v>397</v>
      </c>
    </row>
    <row r="162" customFormat="false" ht="15" hidden="false" customHeight="false" outlineLevel="0" collapsed="false">
      <c r="A162" s="62" t="s">
        <v>388</v>
      </c>
      <c r="B162" s="63" t="n">
        <v>901</v>
      </c>
      <c r="C162" s="64" t="n">
        <v>46303.7061478009</v>
      </c>
      <c r="D162" s="62" t="s">
        <v>72</v>
      </c>
      <c r="E162" s="63" t="n">
        <v>16</v>
      </c>
      <c r="F162" s="62" t="s">
        <v>389</v>
      </c>
      <c r="G162" s="62" t="s">
        <v>389</v>
      </c>
      <c r="H162" s="62" t="s">
        <v>389</v>
      </c>
      <c r="I162" s="62" t="s">
        <v>389</v>
      </c>
      <c r="J162" s="65" t="n">
        <v>0.3</v>
      </c>
      <c r="K162" s="62" t="s">
        <v>278</v>
      </c>
      <c r="L162" s="62" t="s">
        <v>389</v>
      </c>
      <c r="M162" s="62" t="s">
        <v>390</v>
      </c>
      <c r="N162" s="62"/>
      <c r="O162" s="62" t="s">
        <v>389</v>
      </c>
      <c r="P162" s="62" t="s">
        <v>390</v>
      </c>
      <c r="Q162" s="62" t="s">
        <v>390</v>
      </c>
      <c r="R162" s="62" t="s">
        <v>278</v>
      </c>
      <c r="S162" s="62" t="s">
        <v>389</v>
      </c>
      <c r="T162" s="65" t="n">
        <v>2997.5</v>
      </c>
      <c r="U162" s="62" t="s">
        <v>278</v>
      </c>
      <c r="V162" s="65" t="n">
        <v>0.5</v>
      </c>
      <c r="W162" s="65" t="n">
        <v>2997.2</v>
      </c>
      <c r="X162" s="63" t="n">
        <v>0</v>
      </c>
      <c r="Y162" s="62" t="s">
        <v>390</v>
      </c>
      <c r="Z162" s="62" t="s">
        <v>389</v>
      </c>
      <c r="AA162" s="62" t="s">
        <v>395</v>
      </c>
      <c r="AB162" s="62" t="s">
        <v>275</v>
      </c>
      <c r="AC162" s="65" t="n">
        <v>44.1</v>
      </c>
      <c r="AD162" s="63" t="n">
        <v>2</v>
      </c>
      <c r="AE162" s="63" t="n">
        <v>21</v>
      </c>
      <c r="AF162" s="63" t="n">
        <v>2</v>
      </c>
      <c r="AG162" s="62" t="s">
        <v>389</v>
      </c>
      <c r="AH162" s="62" t="s">
        <v>330</v>
      </c>
      <c r="AI162" s="63" t="n">
        <v>0</v>
      </c>
      <c r="AJ162" s="62" t="s">
        <v>148</v>
      </c>
      <c r="AK162" s="62" t="s">
        <v>391</v>
      </c>
      <c r="AL162" s="62" t="s">
        <v>392</v>
      </c>
      <c r="AM162" s="62" t="s">
        <v>396</v>
      </c>
      <c r="AN162" s="65" t="n">
        <v>112.5</v>
      </c>
      <c r="AO162" s="62" t="s">
        <v>389</v>
      </c>
      <c r="AP162" s="62" t="s">
        <v>390</v>
      </c>
      <c r="AQ162" s="62" t="s">
        <v>390</v>
      </c>
      <c r="AR162" s="66"/>
      <c r="AS162" s="62"/>
      <c r="AT162" s="65"/>
      <c r="AU162" s="62" t="s">
        <v>397</v>
      </c>
    </row>
    <row r="163" customFormat="false" ht="15" hidden="false" customHeight="false" outlineLevel="0" collapsed="false">
      <c r="A163" s="62" t="s">
        <v>388</v>
      </c>
      <c r="B163" s="63" t="n">
        <v>905</v>
      </c>
      <c r="C163" s="64" t="n">
        <v>46303.7306899074</v>
      </c>
      <c r="D163" s="62" t="s">
        <v>72</v>
      </c>
      <c r="E163" s="63" t="n">
        <v>17</v>
      </c>
      <c r="F163" s="62" t="s">
        <v>389</v>
      </c>
      <c r="G163" s="62" t="s">
        <v>390</v>
      </c>
      <c r="H163" s="62" t="s">
        <v>390</v>
      </c>
      <c r="I163" s="62" t="s">
        <v>389</v>
      </c>
      <c r="J163" s="65"/>
      <c r="K163" s="62" t="s">
        <v>275</v>
      </c>
      <c r="L163" s="62" t="s">
        <v>389</v>
      </c>
      <c r="M163" s="62" t="s">
        <v>390</v>
      </c>
      <c r="N163" s="62"/>
      <c r="O163" s="62" t="s">
        <v>389</v>
      </c>
      <c r="P163" s="62" t="s">
        <v>390</v>
      </c>
      <c r="Q163" s="62" t="s">
        <v>390</v>
      </c>
      <c r="R163" s="62" t="s">
        <v>277</v>
      </c>
      <c r="S163" s="62" t="s">
        <v>390</v>
      </c>
      <c r="T163" s="65" t="n">
        <v>4108</v>
      </c>
      <c r="U163" s="62" t="s">
        <v>277</v>
      </c>
      <c r="V163" s="65" t="n">
        <v>4108</v>
      </c>
      <c r="W163" s="65"/>
      <c r="X163" s="63" t="n">
        <v>0</v>
      </c>
      <c r="Y163" s="62" t="s">
        <v>390</v>
      </c>
      <c r="Z163" s="62" t="s">
        <v>389</v>
      </c>
      <c r="AA163" s="62" t="s">
        <v>395</v>
      </c>
      <c r="AB163" s="62" t="s">
        <v>275</v>
      </c>
      <c r="AC163" s="65" t="n">
        <v>43.5</v>
      </c>
      <c r="AD163" s="63" t="n">
        <v>1</v>
      </c>
      <c r="AE163" s="63" t="n">
        <v>19</v>
      </c>
      <c r="AF163" s="63" t="n">
        <v>2</v>
      </c>
      <c r="AG163" s="62" t="s">
        <v>390</v>
      </c>
      <c r="AH163" s="62"/>
      <c r="AI163" s="63" t="n">
        <v>0</v>
      </c>
      <c r="AJ163" s="62" t="s">
        <v>147</v>
      </c>
      <c r="AK163" s="62" t="s">
        <v>391</v>
      </c>
      <c r="AL163" s="62" t="s">
        <v>392</v>
      </c>
      <c r="AM163" s="62" t="s">
        <v>396</v>
      </c>
      <c r="AN163" s="65" t="n">
        <v>90.7</v>
      </c>
      <c r="AO163" s="62" t="s">
        <v>389</v>
      </c>
      <c r="AP163" s="62" t="s">
        <v>390</v>
      </c>
      <c r="AQ163" s="62" t="s">
        <v>390</v>
      </c>
      <c r="AR163" s="66"/>
      <c r="AS163" s="62"/>
      <c r="AT163" s="65"/>
      <c r="AU163" s="62" t="s">
        <v>397</v>
      </c>
    </row>
    <row r="164" customFormat="false" ht="15" hidden="false" customHeight="false" outlineLevel="0" collapsed="false">
      <c r="A164" s="62" t="s">
        <v>388</v>
      </c>
      <c r="B164" s="63" t="n">
        <v>906</v>
      </c>
      <c r="C164" s="64" t="n">
        <v>46303.7325826968</v>
      </c>
      <c r="D164" s="62" t="s">
        <v>72</v>
      </c>
      <c r="E164" s="63" t="n">
        <v>17</v>
      </c>
      <c r="F164" s="62" t="s">
        <v>389</v>
      </c>
      <c r="G164" s="62" t="s">
        <v>389</v>
      </c>
      <c r="H164" s="62" t="s">
        <v>389</v>
      </c>
      <c r="I164" s="62" t="s">
        <v>389</v>
      </c>
      <c r="J164" s="65" t="n">
        <v>1.2</v>
      </c>
      <c r="K164" s="62" t="s">
        <v>278</v>
      </c>
      <c r="L164" s="62" t="s">
        <v>389</v>
      </c>
      <c r="M164" s="62" t="s">
        <v>389</v>
      </c>
      <c r="N164" s="62" t="s">
        <v>303</v>
      </c>
      <c r="O164" s="62" t="s">
        <v>389</v>
      </c>
      <c r="P164" s="62" t="s">
        <v>389</v>
      </c>
      <c r="Q164" s="62" t="s">
        <v>390</v>
      </c>
      <c r="R164" s="62" t="s">
        <v>278</v>
      </c>
      <c r="S164" s="62" t="s">
        <v>390</v>
      </c>
      <c r="T164" s="65" t="n">
        <v>13.9</v>
      </c>
      <c r="U164" s="62" t="s">
        <v>278</v>
      </c>
      <c r="V164" s="65" t="n">
        <v>9.8</v>
      </c>
      <c r="W164" s="65" t="n">
        <v>2.9</v>
      </c>
      <c r="X164" s="63" t="n">
        <v>0</v>
      </c>
      <c r="Y164" s="62" t="s">
        <v>389</v>
      </c>
      <c r="Z164" s="62" t="s">
        <v>389</v>
      </c>
      <c r="AA164" s="62" t="s">
        <v>395</v>
      </c>
      <c r="AB164" s="62" t="s">
        <v>275</v>
      </c>
      <c r="AC164" s="65" t="n">
        <v>43.4</v>
      </c>
      <c r="AD164" s="63" t="n">
        <v>3</v>
      </c>
      <c r="AE164" s="63" t="n">
        <v>23</v>
      </c>
      <c r="AF164" s="63" t="n">
        <v>6</v>
      </c>
      <c r="AG164" s="62" t="s">
        <v>390</v>
      </c>
      <c r="AH164" s="62"/>
      <c r="AI164" s="63" t="n">
        <v>0</v>
      </c>
      <c r="AJ164" s="62" t="s">
        <v>149</v>
      </c>
      <c r="AK164" s="62" t="s">
        <v>391</v>
      </c>
      <c r="AL164" s="62" t="s">
        <v>392</v>
      </c>
      <c r="AM164" s="62" t="s">
        <v>396</v>
      </c>
      <c r="AN164" s="65" t="n">
        <v>97.3</v>
      </c>
      <c r="AO164" s="62" t="s">
        <v>389</v>
      </c>
      <c r="AP164" s="62" t="s">
        <v>390</v>
      </c>
      <c r="AQ164" s="62" t="s">
        <v>390</v>
      </c>
      <c r="AR164" s="66"/>
      <c r="AS164" s="62"/>
      <c r="AT164" s="65"/>
      <c r="AU164" s="62" t="s">
        <v>397</v>
      </c>
    </row>
    <row r="165" customFormat="false" ht="15" hidden="false" customHeight="false" outlineLevel="0" collapsed="false">
      <c r="A165" s="62" t="s">
        <v>388</v>
      </c>
      <c r="B165" s="63" t="n">
        <v>910</v>
      </c>
      <c r="C165" s="64" t="n">
        <v>46303.7504596528</v>
      </c>
      <c r="D165" s="62" t="s">
        <v>72</v>
      </c>
      <c r="E165" s="63" t="n">
        <v>18</v>
      </c>
      <c r="F165" s="62" t="s">
        <v>389</v>
      </c>
      <c r="G165" s="62" t="s">
        <v>389</v>
      </c>
      <c r="H165" s="62" t="s">
        <v>389</v>
      </c>
      <c r="I165" s="62" t="s">
        <v>389</v>
      </c>
      <c r="J165" s="65" t="n">
        <v>3.1</v>
      </c>
      <c r="K165" s="62" t="s">
        <v>278</v>
      </c>
      <c r="L165" s="62" t="s">
        <v>389</v>
      </c>
      <c r="M165" s="62" t="s">
        <v>389</v>
      </c>
      <c r="N165" s="62" t="s">
        <v>304</v>
      </c>
      <c r="O165" s="62" t="s">
        <v>390</v>
      </c>
      <c r="P165" s="62" t="s">
        <v>389</v>
      </c>
      <c r="Q165" s="62" t="s">
        <v>390</v>
      </c>
      <c r="R165" s="62" t="s">
        <v>278</v>
      </c>
      <c r="S165" s="62" t="s">
        <v>389</v>
      </c>
      <c r="T165" s="65" t="n">
        <v>12</v>
      </c>
      <c r="U165" s="62" t="s">
        <v>278</v>
      </c>
      <c r="V165" s="65" t="n">
        <v>5.3</v>
      </c>
      <c r="W165" s="65" t="n">
        <v>4.9</v>
      </c>
      <c r="X165" s="63" t="n">
        <v>0</v>
      </c>
      <c r="Y165" s="62" t="s">
        <v>389</v>
      </c>
      <c r="Z165" s="62" t="s">
        <v>389</v>
      </c>
      <c r="AA165" s="62" t="s">
        <v>267</v>
      </c>
      <c r="AB165" s="62" t="s">
        <v>278</v>
      </c>
      <c r="AC165" s="65" t="n">
        <v>45</v>
      </c>
      <c r="AD165" s="63" t="n">
        <v>5</v>
      </c>
      <c r="AE165" s="63" t="n">
        <v>10</v>
      </c>
      <c r="AF165" s="63" t="n">
        <v>11</v>
      </c>
      <c r="AG165" s="62" t="s">
        <v>390</v>
      </c>
      <c r="AH165" s="62"/>
      <c r="AI165" s="63" t="n">
        <v>0</v>
      </c>
      <c r="AJ165" s="62" t="s">
        <v>151</v>
      </c>
      <c r="AK165" s="62" t="s">
        <v>391</v>
      </c>
      <c r="AL165" s="62" t="s">
        <v>392</v>
      </c>
      <c r="AM165" s="62" t="s">
        <v>396</v>
      </c>
      <c r="AN165" s="65" t="n">
        <v>48.6</v>
      </c>
      <c r="AO165" s="62" t="s">
        <v>389</v>
      </c>
      <c r="AP165" s="62" t="s">
        <v>390</v>
      </c>
      <c r="AQ165" s="62" t="s">
        <v>390</v>
      </c>
      <c r="AR165" s="66"/>
      <c r="AS165" s="62"/>
      <c r="AT165" s="65"/>
      <c r="AU165" s="62" t="s">
        <v>397</v>
      </c>
    </row>
    <row r="166" customFormat="false" ht="15" hidden="false" customHeight="false" outlineLevel="0" collapsed="false">
      <c r="A166" s="62" t="s">
        <v>388</v>
      </c>
      <c r="B166" s="63" t="n">
        <v>915</v>
      </c>
      <c r="C166" s="64" t="n">
        <v>46303.7657136227</v>
      </c>
      <c r="D166" s="62" t="s">
        <v>72</v>
      </c>
      <c r="E166" s="63" t="n">
        <v>18</v>
      </c>
      <c r="F166" s="62" t="s">
        <v>389</v>
      </c>
      <c r="G166" s="62" t="s">
        <v>389</v>
      </c>
      <c r="H166" s="62" t="s">
        <v>389</v>
      </c>
      <c r="I166" s="62" t="s">
        <v>389</v>
      </c>
      <c r="J166" s="65" t="n">
        <v>0.3</v>
      </c>
      <c r="K166" s="62" t="s">
        <v>278</v>
      </c>
      <c r="L166" s="62" t="s">
        <v>389</v>
      </c>
      <c r="M166" s="62" t="s">
        <v>389</v>
      </c>
      <c r="N166" s="62" t="s">
        <v>303</v>
      </c>
      <c r="O166" s="62" t="s">
        <v>389</v>
      </c>
      <c r="P166" s="62" t="s">
        <v>389</v>
      </c>
      <c r="Q166" s="62" t="s">
        <v>390</v>
      </c>
      <c r="R166" s="62" t="s">
        <v>278</v>
      </c>
      <c r="S166" s="62" t="s">
        <v>390</v>
      </c>
      <c r="T166" s="65" t="n">
        <v>10.3</v>
      </c>
      <c r="U166" s="62" t="s">
        <v>278</v>
      </c>
      <c r="V166" s="65" t="n">
        <v>0.6</v>
      </c>
      <c r="W166" s="65" t="n">
        <v>5.4</v>
      </c>
      <c r="X166" s="63" t="n">
        <v>0</v>
      </c>
      <c r="Y166" s="62" t="s">
        <v>389</v>
      </c>
      <c r="Z166" s="62" t="s">
        <v>389</v>
      </c>
      <c r="AA166" s="62" t="s">
        <v>395</v>
      </c>
      <c r="AB166" s="62" t="s">
        <v>275</v>
      </c>
      <c r="AC166" s="65" t="n">
        <v>42.7</v>
      </c>
      <c r="AD166" s="63" t="n">
        <v>11</v>
      </c>
      <c r="AE166" s="63" t="n">
        <v>23</v>
      </c>
      <c r="AF166" s="63" t="n">
        <v>9</v>
      </c>
      <c r="AG166" s="62" t="s">
        <v>390</v>
      </c>
      <c r="AH166" s="62"/>
      <c r="AI166" s="63" t="n">
        <v>0</v>
      </c>
      <c r="AJ166" s="62" t="s">
        <v>151</v>
      </c>
      <c r="AK166" s="62" t="s">
        <v>391</v>
      </c>
      <c r="AL166" s="62" t="s">
        <v>392</v>
      </c>
      <c r="AM166" s="62" t="s">
        <v>396</v>
      </c>
      <c r="AN166" s="65" t="n">
        <v>96.5</v>
      </c>
      <c r="AO166" s="62" t="s">
        <v>389</v>
      </c>
      <c r="AP166" s="62" t="s">
        <v>390</v>
      </c>
      <c r="AQ166" s="62" t="s">
        <v>390</v>
      </c>
      <c r="AR166" s="66"/>
      <c r="AS166" s="62"/>
      <c r="AT166" s="65"/>
      <c r="AU166" s="62" t="s">
        <v>399</v>
      </c>
    </row>
    <row r="167" customFormat="false" ht="15" hidden="false" customHeight="false" outlineLevel="0" collapsed="false">
      <c r="A167" s="62" t="s">
        <v>388</v>
      </c>
      <c r="B167" s="63" t="n">
        <v>919</v>
      </c>
      <c r="C167" s="64" t="n">
        <v>46303.7795202431</v>
      </c>
      <c r="D167" s="62" t="s">
        <v>72</v>
      </c>
      <c r="E167" s="63" t="n">
        <v>18</v>
      </c>
      <c r="F167" s="62" t="s">
        <v>389</v>
      </c>
      <c r="G167" s="62" t="s">
        <v>390</v>
      </c>
      <c r="H167" s="62" t="s">
        <v>390</v>
      </c>
      <c r="I167" s="62" t="s">
        <v>389</v>
      </c>
      <c r="J167" s="65"/>
      <c r="K167" s="62" t="s">
        <v>275</v>
      </c>
      <c r="L167" s="62" t="s">
        <v>389</v>
      </c>
      <c r="M167" s="62" t="s">
        <v>390</v>
      </c>
      <c r="N167" s="62"/>
      <c r="O167" s="62" t="s">
        <v>389</v>
      </c>
      <c r="P167" s="62" t="s">
        <v>390</v>
      </c>
      <c r="Q167" s="62" t="s">
        <v>390</v>
      </c>
      <c r="R167" s="62" t="s">
        <v>277</v>
      </c>
      <c r="S167" s="62" t="s">
        <v>389</v>
      </c>
      <c r="T167" s="65" t="n">
        <v>3933.9</v>
      </c>
      <c r="U167" s="62" t="s">
        <v>277</v>
      </c>
      <c r="V167" s="65" t="n">
        <v>3933.9</v>
      </c>
      <c r="W167" s="65"/>
      <c r="X167" s="63" t="n">
        <v>0</v>
      </c>
      <c r="Y167" s="62" t="s">
        <v>390</v>
      </c>
      <c r="Z167" s="62" t="s">
        <v>389</v>
      </c>
      <c r="AA167" s="62" t="s">
        <v>395</v>
      </c>
      <c r="AB167" s="62" t="s">
        <v>275</v>
      </c>
      <c r="AC167" s="65" t="n">
        <v>42.3</v>
      </c>
      <c r="AD167" s="63" t="n">
        <v>1</v>
      </c>
      <c r="AE167" s="63" t="n">
        <v>19</v>
      </c>
      <c r="AF167" s="63" t="n">
        <v>2</v>
      </c>
      <c r="AG167" s="62" t="s">
        <v>390</v>
      </c>
      <c r="AH167" s="62"/>
      <c r="AI167" s="63" t="n">
        <v>0</v>
      </c>
      <c r="AJ167" s="62" t="s">
        <v>147</v>
      </c>
      <c r="AK167" s="62" t="s">
        <v>391</v>
      </c>
      <c r="AL167" s="62" t="s">
        <v>392</v>
      </c>
      <c r="AM167" s="62" t="s">
        <v>396</v>
      </c>
      <c r="AN167" s="65" t="n">
        <v>87.3</v>
      </c>
      <c r="AO167" s="62" t="s">
        <v>389</v>
      </c>
      <c r="AP167" s="62" t="s">
        <v>390</v>
      </c>
      <c r="AQ167" s="62" t="s">
        <v>390</v>
      </c>
      <c r="AR167" s="66"/>
      <c r="AS167" s="62"/>
      <c r="AT167" s="65"/>
      <c r="AU167" s="62" t="s">
        <v>397</v>
      </c>
    </row>
    <row r="168" customFormat="false" ht="15" hidden="false" customHeight="false" outlineLevel="0" collapsed="false">
      <c r="A168" s="62" t="s">
        <v>388</v>
      </c>
      <c r="B168" s="63" t="n">
        <v>930</v>
      </c>
      <c r="C168" s="64" t="n">
        <v>46303.8459074537</v>
      </c>
      <c r="D168" s="62" t="s">
        <v>72</v>
      </c>
      <c r="E168" s="63" t="n">
        <v>20</v>
      </c>
      <c r="F168" s="62" t="s">
        <v>389</v>
      </c>
      <c r="G168" s="62" t="s">
        <v>390</v>
      </c>
      <c r="H168" s="62" t="s">
        <v>390</v>
      </c>
      <c r="I168" s="62" t="s">
        <v>389</v>
      </c>
      <c r="J168" s="65"/>
      <c r="K168" s="62" t="s">
        <v>275</v>
      </c>
      <c r="L168" s="62" t="s">
        <v>389</v>
      </c>
      <c r="M168" s="62" t="s">
        <v>390</v>
      </c>
      <c r="N168" s="62"/>
      <c r="O168" s="62" t="s">
        <v>389</v>
      </c>
      <c r="P168" s="62" t="s">
        <v>390</v>
      </c>
      <c r="Q168" s="62" t="s">
        <v>390</v>
      </c>
      <c r="R168" s="62" t="s">
        <v>277</v>
      </c>
      <c r="S168" s="62" t="s">
        <v>390</v>
      </c>
      <c r="T168" s="65" t="n">
        <v>3941.1</v>
      </c>
      <c r="U168" s="62" t="s">
        <v>277</v>
      </c>
      <c r="V168" s="65" t="n">
        <v>3941.1</v>
      </c>
      <c r="W168" s="65"/>
      <c r="X168" s="63" t="n">
        <v>0</v>
      </c>
      <c r="Y168" s="62" t="s">
        <v>390</v>
      </c>
      <c r="Z168" s="62" t="s">
        <v>389</v>
      </c>
      <c r="AA168" s="62" t="s">
        <v>395</v>
      </c>
      <c r="AB168" s="62" t="s">
        <v>275</v>
      </c>
      <c r="AC168" s="65" t="n">
        <v>40.7</v>
      </c>
      <c r="AD168" s="63" t="n">
        <v>1</v>
      </c>
      <c r="AE168" s="63" t="n">
        <v>19</v>
      </c>
      <c r="AF168" s="63" t="n">
        <v>2</v>
      </c>
      <c r="AG168" s="62" t="s">
        <v>390</v>
      </c>
      <c r="AH168" s="62"/>
      <c r="AI168" s="63" t="n">
        <v>0</v>
      </c>
      <c r="AJ168" s="62" t="s">
        <v>147</v>
      </c>
      <c r="AK168" s="62" t="s">
        <v>391</v>
      </c>
      <c r="AL168" s="62" t="s">
        <v>392</v>
      </c>
      <c r="AM168" s="62" t="s">
        <v>396</v>
      </c>
      <c r="AN168" s="65" t="n">
        <v>87.9</v>
      </c>
      <c r="AO168" s="62" t="s">
        <v>389</v>
      </c>
      <c r="AP168" s="62" t="s">
        <v>390</v>
      </c>
      <c r="AQ168" s="62" t="s">
        <v>390</v>
      </c>
      <c r="AR168" s="66"/>
      <c r="AS168" s="62"/>
      <c r="AT168" s="65"/>
      <c r="AU168" s="62" t="s">
        <v>399</v>
      </c>
    </row>
    <row r="169" customFormat="false" ht="15" hidden="false" customHeight="false" outlineLevel="0" collapsed="false">
      <c r="A169" s="62" t="s">
        <v>388</v>
      </c>
      <c r="B169" s="63" t="n">
        <v>932</v>
      </c>
      <c r="C169" s="64" t="n">
        <v>46303.8540196644</v>
      </c>
      <c r="D169" s="62" t="s">
        <v>72</v>
      </c>
      <c r="E169" s="63" t="n">
        <v>20</v>
      </c>
      <c r="F169" s="62" t="s">
        <v>389</v>
      </c>
      <c r="G169" s="62" t="s">
        <v>390</v>
      </c>
      <c r="H169" s="62" t="s">
        <v>390</v>
      </c>
      <c r="I169" s="62" t="s">
        <v>389</v>
      </c>
      <c r="J169" s="65"/>
      <c r="K169" s="62" t="s">
        <v>275</v>
      </c>
      <c r="L169" s="62" t="s">
        <v>389</v>
      </c>
      <c r="M169" s="62" t="s">
        <v>390</v>
      </c>
      <c r="N169" s="62"/>
      <c r="O169" s="62" t="s">
        <v>389</v>
      </c>
      <c r="P169" s="62" t="s">
        <v>390</v>
      </c>
      <c r="Q169" s="62" t="s">
        <v>390</v>
      </c>
      <c r="R169" s="62" t="s">
        <v>277</v>
      </c>
      <c r="S169" s="62" t="s">
        <v>389</v>
      </c>
      <c r="T169" s="65" t="n">
        <v>3824.2</v>
      </c>
      <c r="U169" s="62" t="s">
        <v>277</v>
      </c>
      <c r="V169" s="65" t="n">
        <v>3824.2</v>
      </c>
      <c r="W169" s="65"/>
      <c r="X169" s="63" t="n">
        <v>0</v>
      </c>
      <c r="Y169" s="62" t="s">
        <v>390</v>
      </c>
      <c r="Z169" s="62" t="s">
        <v>389</v>
      </c>
      <c r="AA169" s="62" t="s">
        <v>395</v>
      </c>
      <c r="AB169" s="62" t="s">
        <v>275</v>
      </c>
      <c r="AC169" s="65" t="n">
        <v>40.5</v>
      </c>
      <c r="AD169" s="63" t="n">
        <v>1</v>
      </c>
      <c r="AE169" s="63" t="n">
        <v>19</v>
      </c>
      <c r="AF169" s="63" t="n">
        <v>2</v>
      </c>
      <c r="AG169" s="62" t="s">
        <v>390</v>
      </c>
      <c r="AH169" s="62"/>
      <c r="AI169" s="63" t="n">
        <v>0</v>
      </c>
      <c r="AJ169" s="62" t="s">
        <v>147</v>
      </c>
      <c r="AK169" s="62" t="s">
        <v>391</v>
      </c>
      <c r="AL169" s="62" t="s">
        <v>392</v>
      </c>
      <c r="AM169" s="62" t="s">
        <v>396</v>
      </c>
      <c r="AN169" s="65" t="n">
        <v>85.4</v>
      </c>
      <c r="AO169" s="62" t="s">
        <v>389</v>
      </c>
      <c r="AP169" s="62" t="s">
        <v>390</v>
      </c>
      <c r="AQ169" s="62" t="s">
        <v>390</v>
      </c>
      <c r="AR169" s="66"/>
      <c r="AS169" s="62"/>
      <c r="AT169" s="65"/>
      <c r="AU169" s="62" t="s">
        <v>397</v>
      </c>
    </row>
    <row r="170" customFormat="false" ht="15" hidden="false" customHeight="false" outlineLevel="0" collapsed="false">
      <c r="A170" s="62" t="s">
        <v>388</v>
      </c>
      <c r="B170" s="63" t="n">
        <v>937</v>
      </c>
      <c r="C170" s="64" t="n">
        <v>46303.8647741782</v>
      </c>
      <c r="D170" s="62" t="s">
        <v>72</v>
      </c>
      <c r="E170" s="63" t="n">
        <v>20</v>
      </c>
      <c r="F170" s="62" t="s">
        <v>389</v>
      </c>
      <c r="G170" s="62" t="s">
        <v>389</v>
      </c>
      <c r="H170" s="62" t="s">
        <v>389</v>
      </c>
      <c r="I170" s="62" t="s">
        <v>389</v>
      </c>
      <c r="J170" s="65" t="n">
        <v>0.2</v>
      </c>
      <c r="K170" s="62" t="s">
        <v>278</v>
      </c>
      <c r="L170" s="62" t="s">
        <v>389</v>
      </c>
      <c r="M170" s="62" t="s">
        <v>390</v>
      </c>
      <c r="N170" s="62"/>
      <c r="O170" s="62" t="s">
        <v>390</v>
      </c>
      <c r="P170" s="62" t="s">
        <v>390</v>
      </c>
      <c r="Q170" s="62" t="s">
        <v>390</v>
      </c>
      <c r="R170" s="62" t="s">
        <v>278</v>
      </c>
      <c r="S170" s="62" t="s">
        <v>390</v>
      </c>
      <c r="T170" s="65" t="n">
        <v>7.2</v>
      </c>
      <c r="U170" s="62" t="s">
        <v>278</v>
      </c>
      <c r="V170" s="65" t="n">
        <v>2.6</v>
      </c>
      <c r="W170" s="65" t="n">
        <v>1.4</v>
      </c>
      <c r="X170" s="63" t="n">
        <v>0</v>
      </c>
      <c r="Y170" s="62" t="s">
        <v>390</v>
      </c>
      <c r="Z170" s="62" t="s">
        <v>389</v>
      </c>
      <c r="AA170" s="62" t="s">
        <v>267</v>
      </c>
      <c r="AB170" s="62" t="s">
        <v>278</v>
      </c>
      <c r="AC170" s="65" t="n">
        <v>140.8</v>
      </c>
      <c r="AD170" s="63" t="n">
        <v>10</v>
      </c>
      <c r="AE170" s="63" t="n">
        <v>8</v>
      </c>
      <c r="AF170" s="63" t="n">
        <v>11</v>
      </c>
      <c r="AG170" s="62" t="s">
        <v>390</v>
      </c>
      <c r="AH170" s="62"/>
      <c r="AI170" s="63" t="n">
        <v>0</v>
      </c>
      <c r="AJ170" s="62" t="s">
        <v>149</v>
      </c>
      <c r="AK170" s="62" t="s">
        <v>391</v>
      </c>
      <c r="AL170" s="62" t="s">
        <v>392</v>
      </c>
      <c r="AM170" s="62" t="s">
        <v>396</v>
      </c>
      <c r="AN170" s="65" t="n">
        <v>140.8</v>
      </c>
      <c r="AO170" s="62" t="s">
        <v>389</v>
      </c>
      <c r="AP170" s="62" t="s">
        <v>390</v>
      </c>
      <c r="AQ170" s="62" t="s">
        <v>390</v>
      </c>
      <c r="AR170" s="66"/>
      <c r="AS170" s="62"/>
      <c r="AT170" s="65"/>
      <c r="AU170" s="62" t="s">
        <v>399</v>
      </c>
    </row>
    <row r="171" customFormat="false" ht="15" hidden="false" customHeight="false" outlineLevel="0" collapsed="false">
      <c r="A171" s="62" t="s">
        <v>388</v>
      </c>
      <c r="B171" s="63" t="n">
        <v>938</v>
      </c>
      <c r="C171" s="64" t="n">
        <v>46303.8670116898</v>
      </c>
      <c r="D171" s="62" t="s">
        <v>72</v>
      </c>
      <c r="E171" s="63" t="n">
        <v>20</v>
      </c>
      <c r="F171" s="62" t="s">
        <v>389</v>
      </c>
      <c r="G171" s="62" t="s">
        <v>390</v>
      </c>
      <c r="H171" s="62" t="s">
        <v>390</v>
      </c>
      <c r="I171" s="62" t="s">
        <v>389</v>
      </c>
      <c r="J171" s="65"/>
      <c r="K171" s="62" t="s">
        <v>275</v>
      </c>
      <c r="L171" s="62" t="s">
        <v>389</v>
      </c>
      <c r="M171" s="62" t="s">
        <v>390</v>
      </c>
      <c r="N171" s="62"/>
      <c r="O171" s="62" t="s">
        <v>389</v>
      </c>
      <c r="P171" s="62" t="s">
        <v>390</v>
      </c>
      <c r="Q171" s="62" t="s">
        <v>390</v>
      </c>
      <c r="R171" s="62" t="s">
        <v>277</v>
      </c>
      <c r="S171" s="62" t="s">
        <v>389</v>
      </c>
      <c r="T171" s="65" t="n">
        <v>3805</v>
      </c>
      <c r="U171" s="62" t="s">
        <v>277</v>
      </c>
      <c r="V171" s="65" t="n">
        <v>3805</v>
      </c>
      <c r="W171" s="65"/>
      <c r="X171" s="63" t="n">
        <v>0</v>
      </c>
      <c r="Y171" s="62" t="s">
        <v>390</v>
      </c>
      <c r="Z171" s="62" t="s">
        <v>389</v>
      </c>
      <c r="AA171" s="62" t="s">
        <v>395</v>
      </c>
      <c r="AB171" s="62" t="s">
        <v>275</v>
      </c>
      <c r="AC171" s="65" t="n">
        <v>40.2</v>
      </c>
      <c r="AD171" s="63" t="n">
        <v>1</v>
      </c>
      <c r="AE171" s="63" t="n">
        <v>19</v>
      </c>
      <c r="AF171" s="63" t="n">
        <v>2</v>
      </c>
      <c r="AG171" s="62" t="s">
        <v>390</v>
      </c>
      <c r="AH171" s="62"/>
      <c r="AI171" s="63" t="n">
        <v>0</v>
      </c>
      <c r="AJ171" s="62" t="s">
        <v>147</v>
      </c>
      <c r="AK171" s="62" t="s">
        <v>391</v>
      </c>
      <c r="AL171" s="62" t="s">
        <v>392</v>
      </c>
      <c r="AM171" s="62" t="s">
        <v>396</v>
      </c>
      <c r="AN171" s="65" t="n">
        <v>85.1</v>
      </c>
      <c r="AO171" s="62" t="s">
        <v>389</v>
      </c>
      <c r="AP171" s="62" t="s">
        <v>390</v>
      </c>
      <c r="AQ171" s="62" t="s">
        <v>390</v>
      </c>
      <c r="AR171" s="66"/>
      <c r="AS171" s="62"/>
      <c r="AT171" s="65"/>
      <c r="AU171" s="62" t="s">
        <v>397</v>
      </c>
    </row>
    <row r="172" customFormat="false" ht="15" hidden="false" customHeight="false" outlineLevel="0" collapsed="false">
      <c r="A172" s="62" t="s">
        <v>388</v>
      </c>
      <c r="B172" s="63" t="n">
        <v>944</v>
      </c>
      <c r="C172" s="64" t="n">
        <v>46303.88707125</v>
      </c>
      <c r="D172" s="62" t="s">
        <v>72</v>
      </c>
      <c r="E172" s="63" t="n">
        <v>21</v>
      </c>
      <c r="F172" s="62" t="s">
        <v>390</v>
      </c>
      <c r="G172" s="62" t="s">
        <v>389</v>
      </c>
      <c r="H172" s="62" t="s">
        <v>389</v>
      </c>
      <c r="I172" s="62" t="s">
        <v>389</v>
      </c>
      <c r="J172" s="65" t="n">
        <v>0.9</v>
      </c>
      <c r="K172" s="62" t="s">
        <v>278</v>
      </c>
      <c r="L172" s="62" t="s">
        <v>389</v>
      </c>
      <c r="M172" s="62" t="s">
        <v>390</v>
      </c>
      <c r="N172" s="62"/>
      <c r="O172" s="62" t="s">
        <v>389</v>
      </c>
      <c r="P172" s="62" t="s">
        <v>390</v>
      </c>
      <c r="Q172" s="62" t="s">
        <v>390</v>
      </c>
      <c r="R172" s="62" t="s">
        <v>277</v>
      </c>
      <c r="S172" s="62" t="s">
        <v>389</v>
      </c>
      <c r="T172" s="65" t="n">
        <v>3776.4</v>
      </c>
      <c r="U172" s="62" t="s">
        <v>277</v>
      </c>
      <c r="V172" s="65" t="n">
        <v>1.3</v>
      </c>
      <c r="W172" s="65" t="n">
        <v>3776</v>
      </c>
      <c r="X172" s="63" t="n">
        <v>0</v>
      </c>
      <c r="Y172" s="62" t="s">
        <v>390</v>
      </c>
      <c r="Z172" s="62" t="s">
        <v>389</v>
      </c>
      <c r="AA172" s="62" t="s">
        <v>395</v>
      </c>
      <c r="AB172" s="62" t="s">
        <v>275</v>
      </c>
      <c r="AC172" s="65" t="n">
        <v>39.7</v>
      </c>
      <c r="AD172" s="63" t="n">
        <v>2</v>
      </c>
      <c r="AE172" s="63" t="n">
        <v>18</v>
      </c>
      <c r="AF172" s="63" t="n">
        <v>2</v>
      </c>
      <c r="AG172" s="62" t="s">
        <v>390</v>
      </c>
      <c r="AH172" s="62"/>
      <c r="AI172" s="63" t="n">
        <v>0</v>
      </c>
      <c r="AJ172" s="62" t="s">
        <v>148</v>
      </c>
      <c r="AK172" s="62" t="s">
        <v>391</v>
      </c>
      <c r="AL172" s="62" t="s">
        <v>392</v>
      </c>
      <c r="AM172" s="62" t="s">
        <v>396</v>
      </c>
      <c r="AN172" s="65" t="n">
        <v>84.6</v>
      </c>
      <c r="AO172" s="62" t="s">
        <v>389</v>
      </c>
      <c r="AP172" s="62" t="s">
        <v>390</v>
      </c>
      <c r="AQ172" s="62" t="s">
        <v>390</v>
      </c>
      <c r="AR172" s="66"/>
      <c r="AS172" s="62"/>
      <c r="AT172" s="65"/>
      <c r="AU172" s="62" t="s">
        <v>399</v>
      </c>
    </row>
    <row r="173" customFormat="false" ht="15" hidden="false" customHeight="false" outlineLevel="0" collapsed="false">
      <c r="A173" s="62" t="s">
        <v>388</v>
      </c>
      <c r="B173" s="63" t="n">
        <v>959</v>
      </c>
      <c r="C173" s="64" t="n">
        <v>46304.0034501273</v>
      </c>
      <c r="D173" s="62" t="s">
        <v>72</v>
      </c>
      <c r="E173" s="63" t="n">
        <v>0</v>
      </c>
      <c r="F173" s="62" t="s">
        <v>390</v>
      </c>
      <c r="G173" s="62" t="s">
        <v>389</v>
      </c>
      <c r="H173" s="62" t="s">
        <v>389</v>
      </c>
      <c r="I173" s="62" t="s">
        <v>389</v>
      </c>
      <c r="J173" s="65" t="n">
        <v>432.5</v>
      </c>
      <c r="K173" s="62" t="s">
        <v>277</v>
      </c>
      <c r="L173" s="62" t="s">
        <v>389</v>
      </c>
      <c r="M173" s="62" t="s">
        <v>390</v>
      </c>
      <c r="N173" s="62"/>
      <c r="O173" s="62" t="s">
        <v>389</v>
      </c>
      <c r="P173" s="62" t="s">
        <v>390</v>
      </c>
      <c r="Q173" s="62" t="s">
        <v>390</v>
      </c>
      <c r="R173" s="62" t="s">
        <v>277</v>
      </c>
      <c r="S173" s="62" t="s">
        <v>389</v>
      </c>
      <c r="T173" s="65" t="n">
        <v>3603.7</v>
      </c>
      <c r="U173" s="62" t="s">
        <v>277</v>
      </c>
      <c r="V173" s="65" t="n">
        <v>432.9</v>
      </c>
      <c r="W173" s="65" t="n">
        <v>3603.3</v>
      </c>
      <c r="X173" s="63" t="n">
        <v>0</v>
      </c>
      <c r="Y173" s="62" t="s">
        <v>390</v>
      </c>
      <c r="Z173" s="62" t="s">
        <v>389</v>
      </c>
      <c r="AA173" s="62" t="s">
        <v>395</v>
      </c>
      <c r="AB173" s="62" t="s">
        <v>275</v>
      </c>
      <c r="AC173" s="65" t="n">
        <v>36.9</v>
      </c>
      <c r="AD173" s="63" t="n">
        <v>2</v>
      </c>
      <c r="AE173" s="63" t="n">
        <v>18</v>
      </c>
      <c r="AF173" s="63" t="n">
        <v>2</v>
      </c>
      <c r="AG173" s="62" t="s">
        <v>390</v>
      </c>
      <c r="AH173" s="62"/>
      <c r="AI173" s="63" t="n">
        <v>0</v>
      </c>
      <c r="AJ173" s="62" t="s">
        <v>148</v>
      </c>
      <c r="AK173" s="62" t="s">
        <v>391</v>
      </c>
      <c r="AL173" s="62" t="s">
        <v>392</v>
      </c>
      <c r="AM173" s="62" t="s">
        <v>396</v>
      </c>
      <c r="AN173" s="65" t="n">
        <v>81.8</v>
      </c>
      <c r="AO173" s="62" t="s">
        <v>389</v>
      </c>
      <c r="AP173" s="62" t="s">
        <v>390</v>
      </c>
      <c r="AQ173" s="62" t="s">
        <v>390</v>
      </c>
      <c r="AR173" s="66"/>
      <c r="AS173" s="62"/>
      <c r="AT173" s="65"/>
      <c r="AU173" s="62" t="s">
        <v>397</v>
      </c>
    </row>
    <row r="174" customFormat="false" ht="15" hidden="false" customHeight="false" outlineLevel="0" collapsed="false">
      <c r="A174" s="62" t="s">
        <v>388</v>
      </c>
      <c r="B174" s="63" t="n">
        <v>961</v>
      </c>
      <c r="C174" s="64" t="n">
        <v>46304.0369163194</v>
      </c>
      <c r="D174" s="62" t="s">
        <v>72</v>
      </c>
      <c r="E174" s="63" t="n">
        <v>0</v>
      </c>
      <c r="F174" s="62" t="s">
        <v>390</v>
      </c>
      <c r="G174" s="62" t="s">
        <v>390</v>
      </c>
      <c r="H174" s="62" t="s">
        <v>390</v>
      </c>
      <c r="I174" s="62" t="s">
        <v>389</v>
      </c>
      <c r="J174" s="65"/>
      <c r="K174" s="62" t="s">
        <v>275</v>
      </c>
      <c r="L174" s="62" t="s">
        <v>389</v>
      </c>
      <c r="M174" s="62" t="s">
        <v>389</v>
      </c>
      <c r="N174" s="62" t="s">
        <v>303</v>
      </c>
      <c r="O174" s="62" t="s">
        <v>389</v>
      </c>
      <c r="P174" s="62" t="s">
        <v>389</v>
      </c>
      <c r="Q174" s="62" t="s">
        <v>390</v>
      </c>
      <c r="R174" s="62" t="s">
        <v>277</v>
      </c>
      <c r="S174" s="62" t="s">
        <v>389</v>
      </c>
      <c r="T174" s="65" t="n">
        <v>385</v>
      </c>
      <c r="U174" s="62" t="s">
        <v>277</v>
      </c>
      <c r="V174" s="65" t="n">
        <v>385</v>
      </c>
      <c r="W174" s="65" t="n">
        <v>311</v>
      </c>
      <c r="X174" s="63" t="n">
        <v>0</v>
      </c>
      <c r="Y174" s="62" t="s">
        <v>389</v>
      </c>
      <c r="Z174" s="62" t="s">
        <v>389</v>
      </c>
      <c r="AA174" s="62" t="s">
        <v>395</v>
      </c>
      <c r="AB174" s="62" t="s">
        <v>275</v>
      </c>
      <c r="AC174" s="65" t="n">
        <v>36.1</v>
      </c>
      <c r="AD174" s="63" t="n">
        <v>2</v>
      </c>
      <c r="AE174" s="63" t="n">
        <v>21</v>
      </c>
      <c r="AF174" s="63" t="n">
        <v>5</v>
      </c>
      <c r="AG174" s="62" t="s">
        <v>390</v>
      </c>
      <c r="AH174" s="62"/>
      <c r="AI174" s="63" t="n">
        <v>0</v>
      </c>
      <c r="AJ174" s="62" t="s">
        <v>149</v>
      </c>
      <c r="AK174" s="62" t="s">
        <v>391</v>
      </c>
      <c r="AL174" s="62" t="s">
        <v>392</v>
      </c>
      <c r="AM174" s="62" t="s">
        <v>396</v>
      </c>
      <c r="AN174" s="65" t="n">
        <v>81</v>
      </c>
      <c r="AO174" s="62" t="s">
        <v>389</v>
      </c>
      <c r="AP174" s="62" t="s">
        <v>390</v>
      </c>
      <c r="AQ174" s="62" t="s">
        <v>390</v>
      </c>
      <c r="AR174" s="66"/>
      <c r="AS174" s="62"/>
      <c r="AT174" s="65"/>
      <c r="AU174" s="62" t="s">
        <v>397</v>
      </c>
    </row>
    <row r="175" customFormat="false" ht="15" hidden="false" customHeight="false" outlineLevel="0" collapsed="false">
      <c r="A175" s="62" t="s">
        <v>388</v>
      </c>
      <c r="B175" s="63" t="n">
        <v>973</v>
      </c>
      <c r="C175" s="64" t="n">
        <v>46304.3037968403</v>
      </c>
      <c r="D175" s="62" t="s">
        <v>72</v>
      </c>
      <c r="E175" s="63" t="n">
        <v>7</v>
      </c>
      <c r="F175" s="62" t="s">
        <v>390</v>
      </c>
      <c r="G175" s="62" t="s">
        <v>389</v>
      </c>
      <c r="H175" s="62" t="s">
        <v>390</v>
      </c>
      <c r="I175" s="62" t="s">
        <v>389</v>
      </c>
      <c r="J175" s="65" t="n">
        <v>2.2</v>
      </c>
      <c r="K175" s="62" t="s">
        <v>277</v>
      </c>
      <c r="L175" s="62" t="s">
        <v>389</v>
      </c>
      <c r="M175" s="62" t="s">
        <v>390</v>
      </c>
      <c r="N175" s="62"/>
      <c r="O175" s="62" t="s">
        <v>389</v>
      </c>
      <c r="P175" s="62" t="s">
        <v>390</v>
      </c>
      <c r="Q175" s="62" t="s">
        <v>390</v>
      </c>
      <c r="R175" s="62" t="s">
        <v>277</v>
      </c>
      <c r="S175" s="62" t="s">
        <v>389</v>
      </c>
      <c r="T175" s="65" t="n">
        <v>14.8</v>
      </c>
      <c r="U175" s="62" t="s">
        <v>277</v>
      </c>
      <c r="V175" s="65" t="n">
        <v>10.5</v>
      </c>
      <c r="W175" s="65" t="n">
        <v>1.8</v>
      </c>
      <c r="X175" s="63" t="n">
        <v>0</v>
      </c>
      <c r="Y175" s="62" t="s">
        <v>389</v>
      </c>
      <c r="Z175" s="62" t="s">
        <v>389</v>
      </c>
      <c r="AA175" s="62" t="s">
        <v>395</v>
      </c>
      <c r="AB175" s="62" t="s">
        <v>276</v>
      </c>
      <c r="AC175" s="65" t="n">
        <v>74.6</v>
      </c>
      <c r="AD175" s="63" t="n">
        <v>8</v>
      </c>
      <c r="AE175" s="63" t="n">
        <v>13</v>
      </c>
      <c r="AF175" s="63" t="n">
        <v>13</v>
      </c>
      <c r="AG175" s="62" t="s">
        <v>389</v>
      </c>
      <c r="AH175" s="62" t="s">
        <v>405</v>
      </c>
      <c r="AI175" s="63" t="n">
        <v>0</v>
      </c>
      <c r="AJ175" s="62" t="s">
        <v>150</v>
      </c>
      <c r="AK175" s="62" t="s">
        <v>391</v>
      </c>
      <c r="AL175" s="62" t="s">
        <v>392</v>
      </c>
      <c r="AM175" s="62" t="s">
        <v>396</v>
      </c>
      <c r="AN175" s="65" t="n">
        <v>121.1</v>
      </c>
      <c r="AO175" s="62" t="s">
        <v>389</v>
      </c>
      <c r="AP175" s="62" t="s">
        <v>390</v>
      </c>
      <c r="AQ175" s="62" t="s">
        <v>390</v>
      </c>
      <c r="AR175" s="66"/>
      <c r="AS175" s="62"/>
      <c r="AT175" s="65"/>
      <c r="AU175" s="62" t="s">
        <v>397</v>
      </c>
    </row>
    <row r="176" customFormat="false" ht="15" hidden="false" customHeight="false" outlineLevel="0" collapsed="false">
      <c r="A176" s="62" t="s">
        <v>388</v>
      </c>
      <c r="B176" s="63" t="n">
        <v>991</v>
      </c>
      <c r="C176" s="64" t="n">
        <v>46304.3440545833</v>
      </c>
      <c r="D176" s="62" t="s">
        <v>72</v>
      </c>
      <c r="E176" s="63" t="n">
        <v>8</v>
      </c>
      <c r="F176" s="62" t="s">
        <v>390</v>
      </c>
      <c r="G176" s="62" t="s">
        <v>389</v>
      </c>
      <c r="H176" s="62" t="s">
        <v>389</v>
      </c>
      <c r="I176" s="62" t="s">
        <v>389</v>
      </c>
      <c r="J176" s="65" t="n">
        <v>2.9</v>
      </c>
      <c r="K176" s="62" t="s">
        <v>276</v>
      </c>
      <c r="L176" s="62" t="s">
        <v>389</v>
      </c>
      <c r="M176" s="62" t="s">
        <v>390</v>
      </c>
      <c r="N176" s="62"/>
      <c r="O176" s="62" t="s">
        <v>389</v>
      </c>
      <c r="P176" s="62" t="s">
        <v>390</v>
      </c>
      <c r="Q176" s="62" t="s">
        <v>390</v>
      </c>
      <c r="R176" s="62" t="s">
        <v>277</v>
      </c>
      <c r="S176" s="62" t="s">
        <v>389</v>
      </c>
      <c r="T176" s="65" t="n">
        <v>3153.5</v>
      </c>
      <c r="U176" s="62" t="s">
        <v>277</v>
      </c>
      <c r="V176" s="65" t="n">
        <v>3.2</v>
      </c>
      <c r="W176" s="65" t="n">
        <v>3153.3</v>
      </c>
      <c r="X176" s="63" t="n">
        <v>0</v>
      </c>
      <c r="Y176" s="62" t="s">
        <v>390</v>
      </c>
      <c r="Z176" s="62" t="s">
        <v>389</v>
      </c>
      <c r="AA176" s="62" t="s">
        <v>395</v>
      </c>
      <c r="AB176" s="62" t="s">
        <v>275</v>
      </c>
      <c r="AC176" s="65" t="n">
        <v>28.8</v>
      </c>
      <c r="AD176" s="63" t="n">
        <v>2</v>
      </c>
      <c r="AE176" s="63" t="n">
        <v>18</v>
      </c>
      <c r="AF176" s="63" t="n">
        <v>2</v>
      </c>
      <c r="AG176" s="62" t="s">
        <v>389</v>
      </c>
      <c r="AH176" s="62" t="s">
        <v>414</v>
      </c>
      <c r="AI176" s="63" t="n">
        <v>0</v>
      </c>
      <c r="AJ176" s="62" t="s">
        <v>148</v>
      </c>
      <c r="AK176" s="62" t="s">
        <v>391</v>
      </c>
      <c r="AL176" s="62" t="s">
        <v>392</v>
      </c>
      <c r="AM176" s="62" t="s">
        <v>396</v>
      </c>
      <c r="AN176" s="65" t="n">
        <v>74.6</v>
      </c>
      <c r="AO176" s="62" t="s">
        <v>389</v>
      </c>
      <c r="AP176" s="62" t="s">
        <v>390</v>
      </c>
      <c r="AQ176" s="62" t="s">
        <v>390</v>
      </c>
      <c r="AR176" s="66"/>
      <c r="AS176" s="62"/>
      <c r="AT176" s="65"/>
      <c r="AU176" s="62" t="s">
        <v>397</v>
      </c>
    </row>
    <row r="177" customFormat="false" ht="15" hidden="false" customHeight="false" outlineLevel="0" collapsed="false">
      <c r="A177" s="62" t="s">
        <v>388</v>
      </c>
      <c r="B177" s="63" t="n">
        <v>995</v>
      </c>
      <c r="C177" s="64" t="n">
        <v>46304.35525875</v>
      </c>
      <c r="D177" s="62" t="s">
        <v>72</v>
      </c>
      <c r="E177" s="63" t="n">
        <v>8</v>
      </c>
      <c r="F177" s="62" t="s">
        <v>390</v>
      </c>
      <c r="G177" s="62" t="s">
        <v>390</v>
      </c>
      <c r="H177" s="62" t="s">
        <v>390</v>
      </c>
      <c r="I177" s="62" t="s">
        <v>389</v>
      </c>
      <c r="J177" s="65"/>
      <c r="K177" s="62" t="s">
        <v>275</v>
      </c>
      <c r="L177" s="62" t="s">
        <v>389</v>
      </c>
      <c r="M177" s="62" t="s">
        <v>390</v>
      </c>
      <c r="N177" s="62"/>
      <c r="O177" s="62" t="s">
        <v>389</v>
      </c>
      <c r="P177" s="62" t="s">
        <v>390</v>
      </c>
      <c r="Q177" s="62" t="s">
        <v>390</v>
      </c>
      <c r="R177" s="62" t="s">
        <v>277</v>
      </c>
      <c r="S177" s="62" t="s">
        <v>390</v>
      </c>
      <c r="T177" s="65" t="n">
        <v>3208.4</v>
      </c>
      <c r="U177" s="62" t="s">
        <v>277</v>
      </c>
      <c r="V177" s="65" t="n">
        <v>3208.4</v>
      </c>
      <c r="W177" s="65"/>
      <c r="X177" s="63" t="n">
        <v>0</v>
      </c>
      <c r="Y177" s="62" t="s">
        <v>390</v>
      </c>
      <c r="Z177" s="62" t="s">
        <v>389</v>
      </c>
      <c r="AA177" s="62" t="s">
        <v>395</v>
      </c>
      <c r="AB177" s="62" t="s">
        <v>275</v>
      </c>
      <c r="AC177" s="65" t="n">
        <v>28.5</v>
      </c>
      <c r="AD177" s="63" t="n">
        <v>1</v>
      </c>
      <c r="AE177" s="63" t="n">
        <v>19</v>
      </c>
      <c r="AF177" s="63" t="n">
        <v>2</v>
      </c>
      <c r="AG177" s="62" t="s">
        <v>390</v>
      </c>
      <c r="AH177" s="62"/>
      <c r="AI177" s="63" t="n">
        <v>0</v>
      </c>
      <c r="AJ177" s="62" t="s">
        <v>147</v>
      </c>
      <c r="AK177" s="62" t="s">
        <v>391</v>
      </c>
      <c r="AL177" s="62" t="s">
        <v>392</v>
      </c>
      <c r="AM177" s="62" t="s">
        <v>396</v>
      </c>
      <c r="AN177" s="65" t="n">
        <v>71.1</v>
      </c>
      <c r="AO177" s="62" t="s">
        <v>389</v>
      </c>
      <c r="AP177" s="62" t="s">
        <v>390</v>
      </c>
      <c r="AQ177" s="62" t="s">
        <v>390</v>
      </c>
      <c r="AR177" s="66"/>
      <c r="AS177" s="62"/>
      <c r="AT177" s="65"/>
      <c r="AU177" s="62" t="s">
        <v>397</v>
      </c>
    </row>
    <row r="178" customFormat="false" ht="15" hidden="false" customHeight="false" outlineLevel="0" collapsed="false">
      <c r="A178" s="62" t="s">
        <v>388</v>
      </c>
      <c r="B178" s="63" t="n">
        <v>1001</v>
      </c>
      <c r="C178" s="64" t="n">
        <v>46304.3993486343</v>
      </c>
      <c r="D178" s="62" t="s">
        <v>72</v>
      </c>
      <c r="E178" s="63" t="n">
        <v>9</v>
      </c>
      <c r="F178" s="62" t="s">
        <v>389</v>
      </c>
      <c r="G178" s="62" t="s">
        <v>390</v>
      </c>
      <c r="H178" s="62" t="s">
        <v>390</v>
      </c>
      <c r="I178" s="62" t="s">
        <v>389</v>
      </c>
      <c r="J178" s="65"/>
      <c r="K178" s="62" t="s">
        <v>277</v>
      </c>
      <c r="L178" s="62" t="s">
        <v>389</v>
      </c>
      <c r="M178" s="62" t="s">
        <v>390</v>
      </c>
      <c r="N178" s="62"/>
      <c r="O178" s="62" t="s">
        <v>390</v>
      </c>
      <c r="P178" s="62" t="s">
        <v>389</v>
      </c>
      <c r="Q178" s="62" t="s">
        <v>389</v>
      </c>
      <c r="R178" s="62" t="s">
        <v>277</v>
      </c>
      <c r="S178" s="62" t="s">
        <v>390</v>
      </c>
      <c r="T178" s="65" t="n">
        <v>3.2</v>
      </c>
      <c r="U178" s="62" t="s">
        <v>277</v>
      </c>
      <c r="V178" s="65" t="n">
        <v>3.2</v>
      </c>
      <c r="W178" s="65" t="n">
        <v>1.1</v>
      </c>
      <c r="X178" s="63" t="n">
        <v>0</v>
      </c>
      <c r="Y178" s="62" t="s">
        <v>390</v>
      </c>
      <c r="Z178" s="62" t="s">
        <v>389</v>
      </c>
      <c r="AA178" s="62" t="s">
        <v>267</v>
      </c>
      <c r="AB178" s="62" t="s">
        <v>277</v>
      </c>
      <c r="AC178" s="65" t="n">
        <v>98.8</v>
      </c>
      <c r="AD178" s="63" t="n">
        <v>41</v>
      </c>
      <c r="AE178" s="63" t="n">
        <v>2</v>
      </c>
      <c r="AF178" s="63" t="n">
        <v>46</v>
      </c>
      <c r="AG178" s="62" t="s">
        <v>390</v>
      </c>
      <c r="AH178" s="62"/>
      <c r="AI178" s="63" t="n">
        <v>0</v>
      </c>
      <c r="AJ178" s="62" t="s">
        <v>154</v>
      </c>
      <c r="AK178" s="62" t="s">
        <v>407</v>
      </c>
      <c r="AL178" s="62"/>
      <c r="AM178" s="62"/>
      <c r="AN178" s="65"/>
      <c r="AO178" s="62" t="s">
        <v>390</v>
      </c>
      <c r="AP178" s="62"/>
      <c r="AQ178" s="62" t="s">
        <v>389</v>
      </c>
      <c r="AR178" s="66" t="n">
        <v>2799</v>
      </c>
      <c r="AS178" s="62" t="s">
        <v>411</v>
      </c>
      <c r="AT178" s="65" t="n">
        <v>98.8</v>
      </c>
      <c r="AU178" s="62"/>
    </row>
    <row r="179" customFormat="false" ht="15" hidden="false" customHeight="false" outlineLevel="0" collapsed="false">
      <c r="A179" s="62" t="s">
        <v>388</v>
      </c>
      <c r="B179" s="63" t="n">
        <v>1007</v>
      </c>
      <c r="C179" s="64" t="n">
        <v>46304.4281476505</v>
      </c>
      <c r="D179" s="62" t="s">
        <v>72</v>
      </c>
      <c r="E179" s="63" t="n">
        <v>10</v>
      </c>
      <c r="F179" s="62" t="s">
        <v>389</v>
      </c>
      <c r="G179" s="62" t="s">
        <v>389</v>
      </c>
      <c r="H179" s="62" t="s">
        <v>389</v>
      </c>
      <c r="I179" s="62" t="s">
        <v>389</v>
      </c>
      <c r="J179" s="65" t="n">
        <v>0.6</v>
      </c>
      <c r="K179" s="62" t="s">
        <v>276</v>
      </c>
      <c r="L179" s="62" t="s">
        <v>389</v>
      </c>
      <c r="M179" s="62" t="s">
        <v>389</v>
      </c>
      <c r="N179" s="62" t="s">
        <v>306</v>
      </c>
      <c r="O179" s="62" t="s">
        <v>389</v>
      </c>
      <c r="P179" s="62" t="s">
        <v>390</v>
      </c>
      <c r="Q179" s="62" t="s">
        <v>390</v>
      </c>
      <c r="R179" s="62" t="s">
        <v>277</v>
      </c>
      <c r="S179" s="62" t="s">
        <v>389</v>
      </c>
      <c r="T179" s="65" t="n">
        <v>7.4</v>
      </c>
      <c r="U179" s="62" t="s">
        <v>276</v>
      </c>
      <c r="V179" s="65" t="n">
        <v>0.7</v>
      </c>
      <c r="W179" s="65" t="n">
        <v>3.6</v>
      </c>
      <c r="X179" s="63" t="n">
        <v>0</v>
      </c>
      <c r="Y179" s="62" t="s">
        <v>389</v>
      </c>
      <c r="Z179" s="62" t="s">
        <v>389</v>
      </c>
      <c r="AA179" s="62" t="s">
        <v>395</v>
      </c>
      <c r="AB179" s="62" t="s">
        <v>275</v>
      </c>
      <c r="AC179" s="65" t="n">
        <v>26.8</v>
      </c>
      <c r="AD179" s="63" t="n">
        <v>10</v>
      </c>
      <c r="AE179" s="63" t="n">
        <v>18</v>
      </c>
      <c r="AF179" s="63" t="n">
        <v>11</v>
      </c>
      <c r="AG179" s="62" t="s">
        <v>389</v>
      </c>
      <c r="AH179" s="62" t="s">
        <v>398</v>
      </c>
      <c r="AI179" s="63" t="n">
        <v>0</v>
      </c>
      <c r="AJ179" s="62" t="s">
        <v>149</v>
      </c>
      <c r="AK179" s="62" t="s">
        <v>391</v>
      </c>
      <c r="AL179" s="62" t="s">
        <v>392</v>
      </c>
      <c r="AM179" s="62" t="s">
        <v>396</v>
      </c>
      <c r="AN179" s="65" t="n">
        <v>71.7</v>
      </c>
      <c r="AO179" s="62" t="s">
        <v>389</v>
      </c>
      <c r="AP179" s="62" t="s">
        <v>390</v>
      </c>
      <c r="AQ179" s="62" t="s">
        <v>390</v>
      </c>
      <c r="AR179" s="66"/>
      <c r="AS179" s="62"/>
      <c r="AT179" s="65"/>
      <c r="AU179" s="62" t="s">
        <v>397</v>
      </c>
    </row>
    <row r="180" customFormat="false" ht="15" hidden="false" customHeight="false" outlineLevel="0" collapsed="false">
      <c r="A180" s="62" t="s">
        <v>388</v>
      </c>
      <c r="B180" s="63" t="n">
        <v>1014</v>
      </c>
      <c r="C180" s="64" t="n">
        <v>46304.4477139699</v>
      </c>
      <c r="D180" s="62" t="s">
        <v>72</v>
      </c>
      <c r="E180" s="63" t="n">
        <v>10</v>
      </c>
      <c r="F180" s="62" t="s">
        <v>389</v>
      </c>
      <c r="G180" s="62" t="s">
        <v>389</v>
      </c>
      <c r="H180" s="62" t="s">
        <v>389</v>
      </c>
      <c r="I180" s="62" t="s">
        <v>389</v>
      </c>
      <c r="J180" s="65" t="n">
        <v>2</v>
      </c>
      <c r="K180" s="62" t="s">
        <v>276</v>
      </c>
      <c r="L180" s="62" t="s">
        <v>389</v>
      </c>
      <c r="M180" s="62" t="s">
        <v>389</v>
      </c>
      <c r="N180" s="62" t="s">
        <v>306</v>
      </c>
      <c r="O180" s="62" t="s">
        <v>389</v>
      </c>
      <c r="P180" s="62" t="s">
        <v>390</v>
      </c>
      <c r="Q180" s="62" t="s">
        <v>390</v>
      </c>
      <c r="R180" s="62" t="s">
        <v>277</v>
      </c>
      <c r="S180" s="62" t="s">
        <v>389</v>
      </c>
      <c r="T180" s="65" t="n">
        <v>10.6</v>
      </c>
      <c r="U180" s="62" t="s">
        <v>276</v>
      </c>
      <c r="V180" s="65" t="n">
        <v>4.2</v>
      </c>
      <c r="W180" s="65" t="n">
        <v>3.2</v>
      </c>
      <c r="X180" s="63" t="n">
        <v>1</v>
      </c>
      <c r="Y180" s="62" t="s">
        <v>389</v>
      </c>
      <c r="Z180" s="62" t="s">
        <v>389</v>
      </c>
      <c r="AA180" s="62" t="s">
        <v>395</v>
      </c>
      <c r="AB180" s="62" t="s">
        <v>275</v>
      </c>
      <c r="AC180" s="65" t="n">
        <v>26.3</v>
      </c>
      <c r="AD180" s="63" t="n">
        <v>5</v>
      </c>
      <c r="AE180" s="63" t="n">
        <v>18</v>
      </c>
      <c r="AF180" s="63" t="n">
        <v>8</v>
      </c>
      <c r="AG180" s="62" t="s">
        <v>389</v>
      </c>
      <c r="AH180" s="62" t="s">
        <v>405</v>
      </c>
      <c r="AI180" s="63" t="n">
        <v>0</v>
      </c>
      <c r="AJ180" s="62" t="s">
        <v>153</v>
      </c>
      <c r="AK180" s="62" t="s">
        <v>391</v>
      </c>
      <c r="AL180" s="62" t="s">
        <v>392</v>
      </c>
      <c r="AM180" s="62" t="s">
        <v>396</v>
      </c>
      <c r="AN180" s="65" t="n">
        <v>72</v>
      </c>
      <c r="AO180" s="62" t="s">
        <v>389</v>
      </c>
      <c r="AP180" s="62" t="s">
        <v>389</v>
      </c>
      <c r="AQ180" s="62" t="s">
        <v>390</v>
      </c>
      <c r="AR180" s="66"/>
      <c r="AS180" s="62"/>
      <c r="AT180" s="65"/>
      <c r="AU180" s="62" t="s">
        <v>397</v>
      </c>
    </row>
    <row r="181" customFormat="false" ht="15" hidden="false" customHeight="false" outlineLevel="0" collapsed="false">
      <c r="A181" s="62" t="s">
        <v>388</v>
      </c>
      <c r="B181" s="63" t="n">
        <v>1019</v>
      </c>
      <c r="C181" s="64" t="n">
        <v>46304.4680464005</v>
      </c>
      <c r="D181" s="62" t="s">
        <v>72</v>
      </c>
      <c r="E181" s="63" t="n">
        <v>11</v>
      </c>
      <c r="F181" s="62" t="s">
        <v>389</v>
      </c>
      <c r="G181" s="62" t="s">
        <v>389</v>
      </c>
      <c r="H181" s="62" t="s">
        <v>389</v>
      </c>
      <c r="I181" s="62" t="s">
        <v>389</v>
      </c>
      <c r="J181" s="65" t="n">
        <v>0.3</v>
      </c>
      <c r="K181" s="62" t="s">
        <v>277</v>
      </c>
      <c r="L181" s="62" t="s">
        <v>389</v>
      </c>
      <c r="M181" s="62" t="s">
        <v>390</v>
      </c>
      <c r="N181" s="62"/>
      <c r="O181" s="62" t="s">
        <v>389</v>
      </c>
      <c r="P181" s="62" t="s">
        <v>390</v>
      </c>
      <c r="Q181" s="62" t="s">
        <v>390</v>
      </c>
      <c r="R181" s="62" t="s">
        <v>277</v>
      </c>
      <c r="S181" s="62" t="s">
        <v>390</v>
      </c>
      <c r="T181" s="65" t="n">
        <v>2976.1</v>
      </c>
      <c r="U181" s="62" t="s">
        <v>277</v>
      </c>
      <c r="V181" s="65" t="n">
        <v>0.5</v>
      </c>
      <c r="W181" s="65" t="n">
        <v>2975.9</v>
      </c>
      <c r="X181" s="63" t="n">
        <v>0</v>
      </c>
      <c r="Y181" s="62" t="s">
        <v>390</v>
      </c>
      <c r="Z181" s="62" t="s">
        <v>389</v>
      </c>
      <c r="AA181" s="62" t="s">
        <v>395</v>
      </c>
      <c r="AB181" s="62" t="s">
        <v>275</v>
      </c>
      <c r="AC181" s="65" t="n">
        <v>26.1</v>
      </c>
      <c r="AD181" s="63" t="n">
        <v>2</v>
      </c>
      <c r="AE181" s="63" t="n">
        <v>18</v>
      </c>
      <c r="AF181" s="63" t="n">
        <v>2</v>
      </c>
      <c r="AG181" s="62" t="s">
        <v>390</v>
      </c>
      <c r="AH181" s="62"/>
      <c r="AI181" s="63" t="n">
        <v>0</v>
      </c>
      <c r="AJ181" s="62" t="s">
        <v>148</v>
      </c>
      <c r="AK181" s="62" t="s">
        <v>391</v>
      </c>
      <c r="AL181" s="62" t="s">
        <v>392</v>
      </c>
      <c r="AM181" s="62" t="s">
        <v>396</v>
      </c>
      <c r="AN181" s="65" t="n">
        <v>71.6</v>
      </c>
      <c r="AO181" s="62" t="s">
        <v>389</v>
      </c>
      <c r="AP181" s="62" t="s">
        <v>390</v>
      </c>
      <c r="AQ181" s="62" t="s">
        <v>390</v>
      </c>
      <c r="AR181" s="66"/>
      <c r="AS181" s="62"/>
      <c r="AT181" s="65"/>
      <c r="AU181" s="62" t="s">
        <v>399</v>
      </c>
    </row>
    <row r="182" customFormat="false" ht="15" hidden="false" customHeight="false" outlineLevel="0" collapsed="false">
      <c r="A182" s="62" t="s">
        <v>388</v>
      </c>
      <c r="B182" s="63" t="n">
        <v>1043</v>
      </c>
      <c r="C182" s="64" t="n">
        <v>46304.5695178935</v>
      </c>
      <c r="D182" s="62" t="s">
        <v>72</v>
      </c>
      <c r="E182" s="63" t="n">
        <v>13</v>
      </c>
      <c r="F182" s="62" t="s">
        <v>389</v>
      </c>
      <c r="G182" s="62" t="s">
        <v>389</v>
      </c>
      <c r="H182" s="62" t="s">
        <v>389</v>
      </c>
      <c r="I182" s="62" t="s">
        <v>389</v>
      </c>
      <c r="J182" s="65" t="n">
        <v>1.2</v>
      </c>
      <c r="K182" s="62" t="s">
        <v>279</v>
      </c>
      <c r="L182" s="62" t="s">
        <v>389</v>
      </c>
      <c r="M182" s="62" t="s">
        <v>389</v>
      </c>
      <c r="N182" s="62" t="s">
        <v>307</v>
      </c>
      <c r="O182" s="62" t="s">
        <v>389</v>
      </c>
      <c r="P182" s="62" t="s">
        <v>389</v>
      </c>
      <c r="Q182" s="62" t="s">
        <v>390</v>
      </c>
      <c r="R182" s="62" t="s">
        <v>279</v>
      </c>
      <c r="S182" s="62" t="s">
        <v>389</v>
      </c>
      <c r="T182" s="65" t="n">
        <v>10</v>
      </c>
      <c r="U182" s="62" t="s">
        <v>279</v>
      </c>
      <c r="V182" s="65" t="n">
        <v>1.4</v>
      </c>
      <c r="W182" s="65" t="n">
        <v>0.8</v>
      </c>
      <c r="X182" s="63" t="n">
        <v>0</v>
      </c>
      <c r="Y182" s="62" t="s">
        <v>389</v>
      </c>
      <c r="Z182" s="62" t="s">
        <v>389</v>
      </c>
      <c r="AA182" s="62" t="s">
        <v>395</v>
      </c>
      <c r="AB182" s="62" t="s">
        <v>275</v>
      </c>
      <c r="AC182" s="65" t="n">
        <v>28.5</v>
      </c>
      <c r="AD182" s="63" t="n">
        <v>5</v>
      </c>
      <c r="AE182" s="63" t="n">
        <v>21</v>
      </c>
      <c r="AF182" s="63" t="n">
        <v>13</v>
      </c>
      <c r="AG182" s="62" t="s">
        <v>390</v>
      </c>
      <c r="AH182" s="62"/>
      <c r="AI182" s="63" t="n">
        <v>0</v>
      </c>
      <c r="AJ182" s="62" t="s">
        <v>151</v>
      </c>
      <c r="AK182" s="62" t="s">
        <v>391</v>
      </c>
      <c r="AL182" s="62" t="s">
        <v>392</v>
      </c>
      <c r="AM182" s="62" t="s">
        <v>396</v>
      </c>
      <c r="AN182" s="65" t="n">
        <v>91.8</v>
      </c>
      <c r="AO182" s="62" t="s">
        <v>389</v>
      </c>
      <c r="AP182" s="62" t="s">
        <v>390</v>
      </c>
      <c r="AQ182" s="62" t="s">
        <v>390</v>
      </c>
      <c r="AR182" s="66"/>
      <c r="AS182" s="62"/>
      <c r="AT182" s="65"/>
      <c r="AU182" s="62" t="s">
        <v>417</v>
      </c>
    </row>
    <row r="183" customFormat="false" ht="15" hidden="false" customHeight="false" outlineLevel="0" collapsed="false">
      <c r="A183" s="62" t="s">
        <v>388</v>
      </c>
      <c r="B183" s="63" t="n">
        <v>1044</v>
      </c>
      <c r="C183" s="64" t="n">
        <v>46304.5730802083</v>
      </c>
      <c r="D183" s="62" t="s">
        <v>72</v>
      </c>
      <c r="E183" s="63" t="n">
        <v>13</v>
      </c>
      <c r="F183" s="62" t="s">
        <v>389</v>
      </c>
      <c r="G183" s="62" t="s">
        <v>390</v>
      </c>
      <c r="H183" s="62" t="s">
        <v>390</v>
      </c>
      <c r="I183" s="62" t="s">
        <v>389</v>
      </c>
      <c r="J183" s="65"/>
      <c r="K183" s="62" t="s">
        <v>275</v>
      </c>
      <c r="L183" s="62" t="s">
        <v>389</v>
      </c>
      <c r="M183" s="62" t="s">
        <v>390</v>
      </c>
      <c r="N183" s="62"/>
      <c r="O183" s="62" t="s">
        <v>389</v>
      </c>
      <c r="P183" s="62" t="s">
        <v>390</v>
      </c>
      <c r="Q183" s="62" t="s">
        <v>390</v>
      </c>
      <c r="R183" s="62" t="s">
        <v>277</v>
      </c>
      <c r="S183" s="62" t="s">
        <v>390</v>
      </c>
      <c r="T183" s="65" t="n">
        <v>2893.4</v>
      </c>
      <c r="U183" s="62" t="s">
        <v>277</v>
      </c>
      <c r="V183" s="65" t="n">
        <v>2893.4</v>
      </c>
      <c r="W183" s="65"/>
      <c r="X183" s="63" t="n">
        <v>0</v>
      </c>
      <c r="Y183" s="62" t="s">
        <v>390</v>
      </c>
      <c r="Z183" s="62" t="s">
        <v>389</v>
      </c>
      <c r="AA183" s="62" t="s">
        <v>395</v>
      </c>
      <c r="AB183" s="62" t="s">
        <v>275</v>
      </c>
      <c r="AC183" s="65" t="n">
        <v>26.6</v>
      </c>
      <c r="AD183" s="63" t="n">
        <v>1</v>
      </c>
      <c r="AE183" s="63" t="n">
        <v>19</v>
      </c>
      <c r="AF183" s="63" t="n">
        <v>2</v>
      </c>
      <c r="AG183" s="62" t="s">
        <v>390</v>
      </c>
      <c r="AH183" s="62"/>
      <c r="AI183" s="63" t="n">
        <v>0</v>
      </c>
      <c r="AJ183" s="62" t="s">
        <v>147</v>
      </c>
      <c r="AK183" s="62" t="s">
        <v>391</v>
      </c>
      <c r="AL183" s="62" t="s">
        <v>392</v>
      </c>
      <c r="AM183" s="62" t="s">
        <v>396</v>
      </c>
      <c r="AN183" s="65" t="n">
        <v>70.5</v>
      </c>
      <c r="AO183" s="62" t="s">
        <v>389</v>
      </c>
      <c r="AP183" s="62" t="s">
        <v>390</v>
      </c>
      <c r="AQ183" s="62" t="s">
        <v>390</v>
      </c>
      <c r="AR183" s="66"/>
      <c r="AS183" s="62"/>
      <c r="AT183" s="65"/>
      <c r="AU183" s="62" t="s">
        <v>417</v>
      </c>
    </row>
    <row r="184" customFormat="false" ht="15" hidden="false" customHeight="false" outlineLevel="0" collapsed="false">
      <c r="A184" s="62" t="s">
        <v>388</v>
      </c>
      <c r="B184" s="63" t="n">
        <v>1072</v>
      </c>
      <c r="C184" s="64" t="n">
        <v>46304.6862104282</v>
      </c>
      <c r="D184" s="62" t="s">
        <v>72</v>
      </c>
      <c r="E184" s="63" t="n">
        <v>16</v>
      </c>
      <c r="F184" s="62" t="s">
        <v>389</v>
      </c>
      <c r="G184" s="62" t="s">
        <v>389</v>
      </c>
      <c r="H184" s="62" t="s">
        <v>389</v>
      </c>
      <c r="I184" s="62" t="s">
        <v>389</v>
      </c>
      <c r="J184" s="65" t="n">
        <v>0.2</v>
      </c>
      <c r="K184" s="62" t="s">
        <v>279</v>
      </c>
      <c r="L184" s="62" t="s">
        <v>389</v>
      </c>
      <c r="M184" s="62" t="s">
        <v>389</v>
      </c>
      <c r="N184" s="62" t="s">
        <v>303</v>
      </c>
      <c r="O184" s="62" t="s">
        <v>389</v>
      </c>
      <c r="P184" s="62" t="s">
        <v>389</v>
      </c>
      <c r="Q184" s="62" t="s">
        <v>390</v>
      </c>
      <c r="R184" s="62" t="s">
        <v>279</v>
      </c>
      <c r="S184" s="62" t="s">
        <v>389</v>
      </c>
      <c r="T184" s="65" t="n">
        <v>14.9</v>
      </c>
      <c r="U184" s="62" t="s">
        <v>279</v>
      </c>
      <c r="V184" s="65" t="n">
        <v>0.5</v>
      </c>
      <c r="W184" s="65" t="n">
        <v>1.6</v>
      </c>
      <c r="X184" s="63" t="n">
        <v>0</v>
      </c>
      <c r="Y184" s="62" t="s">
        <v>389</v>
      </c>
      <c r="Z184" s="62" t="s">
        <v>389</v>
      </c>
      <c r="AA184" s="62" t="s">
        <v>395</v>
      </c>
      <c r="AB184" s="62" t="s">
        <v>275</v>
      </c>
      <c r="AC184" s="65" t="n">
        <v>44.6</v>
      </c>
      <c r="AD184" s="63" t="n">
        <v>6</v>
      </c>
      <c r="AE184" s="63" t="n">
        <v>20</v>
      </c>
      <c r="AF184" s="63" t="n">
        <v>11</v>
      </c>
      <c r="AG184" s="62" t="s">
        <v>390</v>
      </c>
      <c r="AH184" s="62"/>
      <c r="AI184" s="63" t="n">
        <v>0</v>
      </c>
      <c r="AJ184" s="62" t="s">
        <v>151</v>
      </c>
      <c r="AK184" s="62" t="s">
        <v>391</v>
      </c>
      <c r="AL184" s="62" t="s">
        <v>392</v>
      </c>
      <c r="AM184" s="62" t="s">
        <v>396</v>
      </c>
      <c r="AN184" s="65" t="n">
        <v>88.8</v>
      </c>
      <c r="AO184" s="62" t="s">
        <v>389</v>
      </c>
      <c r="AP184" s="62" t="s">
        <v>390</v>
      </c>
      <c r="AQ184" s="62" t="s">
        <v>390</v>
      </c>
      <c r="AR184" s="66"/>
      <c r="AS184" s="62"/>
      <c r="AT184" s="65"/>
      <c r="AU184" s="62" t="s">
        <v>417</v>
      </c>
    </row>
    <row r="185" customFormat="false" ht="15" hidden="false" customHeight="false" outlineLevel="0" collapsed="false">
      <c r="A185" s="62" t="s">
        <v>388</v>
      </c>
      <c r="B185" s="63" t="n">
        <v>1073</v>
      </c>
      <c r="C185" s="64" t="n">
        <v>46304.6896009375</v>
      </c>
      <c r="D185" s="62" t="s">
        <v>72</v>
      </c>
      <c r="E185" s="63" t="n">
        <v>16</v>
      </c>
      <c r="F185" s="62" t="s">
        <v>389</v>
      </c>
      <c r="G185" s="62" t="s">
        <v>389</v>
      </c>
      <c r="H185" s="62" t="s">
        <v>389</v>
      </c>
      <c r="I185" s="62" t="s">
        <v>389</v>
      </c>
      <c r="J185" s="65" t="n">
        <v>2.6</v>
      </c>
      <c r="K185" s="62" t="s">
        <v>279</v>
      </c>
      <c r="L185" s="62" t="s">
        <v>389</v>
      </c>
      <c r="M185" s="62" t="s">
        <v>390</v>
      </c>
      <c r="N185" s="62"/>
      <c r="O185" s="62" t="s">
        <v>389</v>
      </c>
      <c r="P185" s="62" t="s">
        <v>390</v>
      </c>
      <c r="Q185" s="62" t="s">
        <v>390</v>
      </c>
      <c r="R185" s="62" t="s">
        <v>279</v>
      </c>
      <c r="S185" s="62" t="s">
        <v>389</v>
      </c>
      <c r="T185" s="65" t="n">
        <v>1219.5</v>
      </c>
      <c r="U185" s="62" t="s">
        <v>279</v>
      </c>
      <c r="V185" s="65" t="n">
        <v>2.9</v>
      </c>
      <c r="W185" s="65" t="n">
        <v>1219.2</v>
      </c>
      <c r="X185" s="63" t="n">
        <v>0</v>
      </c>
      <c r="Y185" s="62" t="s">
        <v>390</v>
      </c>
      <c r="Z185" s="62" t="s">
        <v>389</v>
      </c>
      <c r="AA185" s="62" t="s">
        <v>395</v>
      </c>
      <c r="AB185" s="62" t="s">
        <v>275</v>
      </c>
      <c r="AC185" s="65" t="n">
        <v>26.1</v>
      </c>
      <c r="AD185" s="63" t="n">
        <v>2</v>
      </c>
      <c r="AE185" s="63" t="n">
        <v>21</v>
      </c>
      <c r="AF185" s="63" t="n">
        <v>2</v>
      </c>
      <c r="AG185" s="62" t="s">
        <v>389</v>
      </c>
      <c r="AH185" s="62" t="s">
        <v>398</v>
      </c>
      <c r="AI185" s="63" t="n">
        <v>0</v>
      </c>
      <c r="AJ185" s="62" t="s">
        <v>148</v>
      </c>
      <c r="AK185" s="62" t="s">
        <v>391</v>
      </c>
      <c r="AL185" s="62" t="s">
        <v>392</v>
      </c>
      <c r="AM185" s="62" t="s">
        <v>396</v>
      </c>
      <c r="AN185" s="65" t="n">
        <v>88.9</v>
      </c>
      <c r="AO185" s="62" t="s">
        <v>389</v>
      </c>
      <c r="AP185" s="62" t="s">
        <v>390</v>
      </c>
      <c r="AQ185" s="62" t="s">
        <v>390</v>
      </c>
      <c r="AR185" s="66"/>
      <c r="AS185" s="62"/>
      <c r="AT185" s="65"/>
      <c r="AU185" s="62" t="s">
        <v>417</v>
      </c>
    </row>
    <row r="186" customFormat="false" ht="15" hidden="false" customHeight="false" outlineLevel="0" collapsed="false">
      <c r="A186" s="62" t="s">
        <v>388</v>
      </c>
      <c r="B186" s="63" t="n">
        <v>1079</v>
      </c>
      <c r="C186" s="64" t="n">
        <v>46304.7141497222</v>
      </c>
      <c r="D186" s="62" t="s">
        <v>72</v>
      </c>
      <c r="E186" s="63" t="n">
        <v>17</v>
      </c>
      <c r="F186" s="62" t="s">
        <v>389</v>
      </c>
      <c r="G186" s="62" t="s">
        <v>390</v>
      </c>
      <c r="H186" s="62" t="s">
        <v>390</v>
      </c>
      <c r="I186" s="62" t="s">
        <v>389</v>
      </c>
      <c r="J186" s="65"/>
      <c r="K186" s="62" t="s">
        <v>275</v>
      </c>
      <c r="L186" s="62" t="s">
        <v>389</v>
      </c>
      <c r="M186" s="62" t="s">
        <v>390</v>
      </c>
      <c r="N186" s="62"/>
      <c r="O186" s="62" t="s">
        <v>389</v>
      </c>
      <c r="P186" s="62" t="s">
        <v>390</v>
      </c>
      <c r="Q186" s="62" t="s">
        <v>390</v>
      </c>
      <c r="R186" s="62" t="s">
        <v>277</v>
      </c>
      <c r="S186" s="62" t="s">
        <v>389</v>
      </c>
      <c r="T186" s="65" t="n">
        <v>3754.4</v>
      </c>
      <c r="U186" s="62" t="s">
        <v>277</v>
      </c>
      <c r="V186" s="65" t="n">
        <v>3754.4</v>
      </c>
      <c r="W186" s="65"/>
      <c r="X186" s="63" t="n">
        <v>0</v>
      </c>
      <c r="Y186" s="62" t="s">
        <v>390</v>
      </c>
      <c r="Z186" s="62" t="s">
        <v>389</v>
      </c>
      <c r="AA186" s="62" t="s">
        <v>395</v>
      </c>
      <c r="AB186" s="62" t="s">
        <v>275</v>
      </c>
      <c r="AC186" s="65" t="n">
        <v>43.9</v>
      </c>
      <c r="AD186" s="63" t="n">
        <v>1</v>
      </c>
      <c r="AE186" s="63" t="n">
        <v>19</v>
      </c>
      <c r="AF186" s="63" t="n">
        <v>2</v>
      </c>
      <c r="AG186" s="62" t="s">
        <v>390</v>
      </c>
      <c r="AH186" s="62"/>
      <c r="AI186" s="63" t="n">
        <v>0</v>
      </c>
      <c r="AJ186" s="62" t="s">
        <v>147</v>
      </c>
      <c r="AK186" s="62" t="s">
        <v>391</v>
      </c>
      <c r="AL186" s="62" t="s">
        <v>392</v>
      </c>
      <c r="AM186" s="62" t="s">
        <v>396</v>
      </c>
      <c r="AN186" s="65" t="n">
        <v>67.4</v>
      </c>
      <c r="AO186" s="62" t="s">
        <v>389</v>
      </c>
      <c r="AP186" s="62" t="s">
        <v>390</v>
      </c>
      <c r="AQ186" s="62" t="s">
        <v>390</v>
      </c>
      <c r="AR186" s="66"/>
      <c r="AS186" s="62"/>
      <c r="AT186" s="65"/>
      <c r="AU186" s="62" t="s">
        <v>417</v>
      </c>
    </row>
    <row r="187" customFormat="false" ht="15" hidden="false" customHeight="false" outlineLevel="0" collapsed="false">
      <c r="A187" s="62" t="s">
        <v>388</v>
      </c>
      <c r="B187" s="63" t="n">
        <v>1082</v>
      </c>
      <c r="C187" s="64" t="n">
        <v>46304.7344230324</v>
      </c>
      <c r="D187" s="62" t="s">
        <v>72</v>
      </c>
      <c r="E187" s="63" t="n">
        <v>17</v>
      </c>
      <c r="F187" s="62" t="s">
        <v>389</v>
      </c>
      <c r="G187" s="62" t="s">
        <v>389</v>
      </c>
      <c r="H187" s="62" t="s">
        <v>389</v>
      </c>
      <c r="I187" s="62" t="s">
        <v>389</v>
      </c>
      <c r="J187" s="65" t="n">
        <v>0.9</v>
      </c>
      <c r="K187" s="62" t="s">
        <v>279</v>
      </c>
      <c r="L187" s="62" t="s">
        <v>389</v>
      </c>
      <c r="M187" s="62" t="s">
        <v>389</v>
      </c>
      <c r="N187" s="62" t="s">
        <v>303</v>
      </c>
      <c r="O187" s="62" t="s">
        <v>389</v>
      </c>
      <c r="P187" s="62" t="s">
        <v>389</v>
      </c>
      <c r="Q187" s="62" t="s">
        <v>390</v>
      </c>
      <c r="R187" s="62" t="s">
        <v>279</v>
      </c>
      <c r="S187" s="62" t="s">
        <v>389</v>
      </c>
      <c r="T187" s="65" t="n">
        <v>79.2</v>
      </c>
      <c r="U187" s="62" t="s">
        <v>279</v>
      </c>
      <c r="V187" s="65" t="n">
        <v>1.4</v>
      </c>
      <c r="W187" s="65" t="n">
        <v>75.7</v>
      </c>
      <c r="X187" s="63" t="n">
        <v>0</v>
      </c>
      <c r="Y187" s="62" t="s">
        <v>389</v>
      </c>
      <c r="Z187" s="62" t="s">
        <v>389</v>
      </c>
      <c r="AA187" s="62" t="s">
        <v>395</v>
      </c>
      <c r="AB187" s="62" t="s">
        <v>275</v>
      </c>
      <c r="AC187" s="65" t="n">
        <v>43.4</v>
      </c>
      <c r="AD187" s="63" t="n">
        <v>4</v>
      </c>
      <c r="AE187" s="63" t="n">
        <v>20</v>
      </c>
      <c r="AF187" s="63" t="n">
        <v>9</v>
      </c>
      <c r="AG187" s="62" t="s">
        <v>390</v>
      </c>
      <c r="AH187" s="62"/>
      <c r="AI187" s="63" t="n">
        <v>0</v>
      </c>
      <c r="AJ187" s="62" t="s">
        <v>149</v>
      </c>
      <c r="AK187" s="62" t="s">
        <v>391</v>
      </c>
      <c r="AL187" s="62" t="s">
        <v>392</v>
      </c>
      <c r="AM187" s="62" t="s">
        <v>396</v>
      </c>
      <c r="AN187" s="65" t="n">
        <v>87.7</v>
      </c>
      <c r="AO187" s="62" t="s">
        <v>389</v>
      </c>
      <c r="AP187" s="62" t="s">
        <v>390</v>
      </c>
      <c r="AQ187" s="62" t="s">
        <v>390</v>
      </c>
      <c r="AR187" s="66"/>
      <c r="AS187" s="62"/>
      <c r="AT187" s="65"/>
      <c r="AU187" s="62" t="s">
        <v>417</v>
      </c>
    </row>
    <row r="188" customFormat="false" ht="15" hidden="false" customHeight="false" outlineLevel="0" collapsed="false">
      <c r="A188" s="62" t="s">
        <v>388</v>
      </c>
      <c r="B188" s="63" t="n">
        <v>1100</v>
      </c>
      <c r="C188" s="64" t="n">
        <v>46304.776983125</v>
      </c>
      <c r="D188" s="62" t="s">
        <v>72</v>
      </c>
      <c r="E188" s="63" t="n">
        <v>18</v>
      </c>
      <c r="F188" s="62" t="s">
        <v>389</v>
      </c>
      <c r="G188" s="62" t="s">
        <v>389</v>
      </c>
      <c r="H188" s="62" t="s">
        <v>389</v>
      </c>
      <c r="I188" s="62" t="s">
        <v>389</v>
      </c>
      <c r="J188" s="65" t="n">
        <v>0.3</v>
      </c>
      <c r="K188" s="62" t="s">
        <v>278</v>
      </c>
      <c r="L188" s="62" t="s">
        <v>389</v>
      </c>
      <c r="M188" s="62" t="s">
        <v>390</v>
      </c>
      <c r="N188" s="62"/>
      <c r="O188" s="62" t="s">
        <v>389</v>
      </c>
      <c r="P188" s="62" t="s">
        <v>390</v>
      </c>
      <c r="Q188" s="62" t="s">
        <v>390</v>
      </c>
      <c r="R188" s="62" t="s">
        <v>278</v>
      </c>
      <c r="S188" s="62" t="s">
        <v>389</v>
      </c>
      <c r="T188" s="65" t="n">
        <v>7.3</v>
      </c>
      <c r="U188" s="62" t="s">
        <v>278</v>
      </c>
      <c r="V188" s="65" t="n">
        <v>2.2</v>
      </c>
      <c r="W188" s="65" t="n">
        <v>3.8</v>
      </c>
      <c r="X188" s="63" t="n">
        <v>0</v>
      </c>
      <c r="Y188" s="62" t="s">
        <v>390</v>
      </c>
      <c r="Z188" s="62" t="s">
        <v>389</v>
      </c>
      <c r="AA188" s="62" t="s">
        <v>395</v>
      </c>
      <c r="AB188" s="62" t="s">
        <v>275</v>
      </c>
      <c r="AC188" s="65" t="n">
        <v>42.4</v>
      </c>
      <c r="AD188" s="63" t="n">
        <v>3</v>
      </c>
      <c r="AE188" s="63" t="n">
        <v>18</v>
      </c>
      <c r="AF188" s="63" t="n">
        <v>3</v>
      </c>
      <c r="AG188" s="62" t="s">
        <v>390</v>
      </c>
      <c r="AH188" s="62"/>
      <c r="AI188" s="63" t="n">
        <v>0</v>
      </c>
      <c r="AJ188" s="62" t="s">
        <v>149</v>
      </c>
      <c r="AK188" s="62" t="s">
        <v>391</v>
      </c>
      <c r="AL188" s="62" t="s">
        <v>392</v>
      </c>
      <c r="AM188" s="62" t="s">
        <v>396</v>
      </c>
      <c r="AN188" s="65" t="n">
        <v>86.7</v>
      </c>
      <c r="AO188" s="62" t="s">
        <v>389</v>
      </c>
      <c r="AP188" s="62" t="s">
        <v>390</v>
      </c>
      <c r="AQ188" s="62" t="s">
        <v>390</v>
      </c>
      <c r="AR188" s="66"/>
      <c r="AS188" s="62"/>
      <c r="AT188" s="65"/>
      <c r="AU188" s="62" t="s">
        <v>397</v>
      </c>
    </row>
    <row r="189" customFormat="false" ht="15" hidden="false" customHeight="false" outlineLevel="0" collapsed="false">
      <c r="A189" s="62" t="s">
        <v>388</v>
      </c>
      <c r="B189" s="63" t="n">
        <v>1106</v>
      </c>
      <c r="C189" s="64" t="n">
        <v>46304.8116812616</v>
      </c>
      <c r="D189" s="62" t="s">
        <v>72</v>
      </c>
      <c r="E189" s="63" t="n">
        <v>19</v>
      </c>
      <c r="F189" s="62" t="s">
        <v>389</v>
      </c>
      <c r="G189" s="62" t="s">
        <v>390</v>
      </c>
      <c r="H189" s="62" t="s">
        <v>390</v>
      </c>
      <c r="I189" s="62" t="s">
        <v>389</v>
      </c>
      <c r="J189" s="65"/>
      <c r="K189" s="62" t="s">
        <v>275</v>
      </c>
      <c r="L189" s="62" t="s">
        <v>389</v>
      </c>
      <c r="M189" s="62" t="s">
        <v>389</v>
      </c>
      <c r="N189" s="62" t="s">
        <v>306</v>
      </c>
      <c r="O189" s="62" t="s">
        <v>389</v>
      </c>
      <c r="P189" s="62" t="s">
        <v>389</v>
      </c>
      <c r="Q189" s="62" t="s">
        <v>390</v>
      </c>
      <c r="R189" s="62" t="s">
        <v>279</v>
      </c>
      <c r="S189" s="62" t="s">
        <v>389</v>
      </c>
      <c r="T189" s="65" t="n">
        <v>47.6</v>
      </c>
      <c r="U189" s="62" t="s">
        <v>279</v>
      </c>
      <c r="V189" s="65" t="n">
        <v>47.6</v>
      </c>
      <c r="W189" s="65" t="n">
        <v>2.2</v>
      </c>
      <c r="X189" s="63" t="n">
        <v>0</v>
      </c>
      <c r="Y189" s="62" t="s">
        <v>389</v>
      </c>
      <c r="Z189" s="62" t="s">
        <v>389</v>
      </c>
      <c r="AA189" s="62" t="s">
        <v>395</v>
      </c>
      <c r="AB189" s="62" t="s">
        <v>275</v>
      </c>
      <c r="AC189" s="65" t="n">
        <v>41.6</v>
      </c>
      <c r="AD189" s="63" t="n">
        <v>5</v>
      </c>
      <c r="AE189" s="63" t="n">
        <v>21</v>
      </c>
      <c r="AF189" s="63" t="n">
        <v>11</v>
      </c>
      <c r="AG189" s="62" t="s">
        <v>390</v>
      </c>
      <c r="AH189" s="62"/>
      <c r="AI189" s="63" t="n">
        <v>0</v>
      </c>
      <c r="AJ189" s="62" t="s">
        <v>149</v>
      </c>
      <c r="AK189" s="62" t="s">
        <v>391</v>
      </c>
      <c r="AL189" s="62" t="s">
        <v>392</v>
      </c>
      <c r="AM189" s="62" t="s">
        <v>396</v>
      </c>
      <c r="AN189" s="65" t="n">
        <v>85.9</v>
      </c>
      <c r="AO189" s="62" t="s">
        <v>389</v>
      </c>
      <c r="AP189" s="62" t="s">
        <v>390</v>
      </c>
      <c r="AQ189" s="62" t="s">
        <v>390</v>
      </c>
      <c r="AR189" s="66"/>
      <c r="AS189" s="62"/>
      <c r="AT189" s="65"/>
      <c r="AU189" s="62" t="s">
        <v>397</v>
      </c>
    </row>
    <row r="190" customFormat="false" ht="15" hidden="false" customHeight="false" outlineLevel="0" collapsed="false">
      <c r="A190" s="62" t="s">
        <v>388</v>
      </c>
      <c r="B190" s="63" t="n">
        <v>1109</v>
      </c>
      <c r="C190" s="64" t="n">
        <v>46304.8423774421</v>
      </c>
      <c r="D190" s="62" t="s">
        <v>72</v>
      </c>
      <c r="E190" s="63" t="n">
        <v>20</v>
      </c>
      <c r="F190" s="62" t="s">
        <v>389</v>
      </c>
      <c r="G190" s="62" t="s">
        <v>389</v>
      </c>
      <c r="H190" s="62" t="s">
        <v>389</v>
      </c>
      <c r="I190" s="62" t="s">
        <v>389</v>
      </c>
      <c r="J190" s="65" t="n">
        <v>0.4</v>
      </c>
      <c r="K190" s="62" t="s">
        <v>279</v>
      </c>
      <c r="L190" s="62" t="s">
        <v>389</v>
      </c>
      <c r="M190" s="62" t="s">
        <v>390</v>
      </c>
      <c r="N190" s="62"/>
      <c r="O190" s="62" t="s">
        <v>389</v>
      </c>
      <c r="P190" s="62" t="s">
        <v>390</v>
      </c>
      <c r="Q190" s="62" t="s">
        <v>390</v>
      </c>
      <c r="R190" s="62" t="s">
        <v>277</v>
      </c>
      <c r="S190" s="62" t="s">
        <v>389</v>
      </c>
      <c r="T190" s="65" t="n">
        <v>3845.5</v>
      </c>
      <c r="U190" s="62" t="s">
        <v>276</v>
      </c>
      <c r="V190" s="65" t="n">
        <v>0.8</v>
      </c>
      <c r="W190" s="65" t="n">
        <v>3845.1</v>
      </c>
      <c r="X190" s="63" t="n">
        <v>0</v>
      </c>
      <c r="Y190" s="62" t="s">
        <v>390</v>
      </c>
      <c r="Z190" s="62" t="s">
        <v>389</v>
      </c>
      <c r="AA190" s="62" t="s">
        <v>395</v>
      </c>
      <c r="AB190" s="62" t="s">
        <v>275</v>
      </c>
      <c r="AC190" s="65" t="n">
        <v>40.8</v>
      </c>
      <c r="AD190" s="63" t="n">
        <v>2</v>
      </c>
      <c r="AE190" s="63" t="n">
        <v>18</v>
      </c>
      <c r="AF190" s="63" t="n">
        <v>2</v>
      </c>
      <c r="AG190" s="62" t="s">
        <v>389</v>
      </c>
      <c r="AH190" s="62" t="s">
        <v>398</v>
      </c>
      <c r="AI190" s="63" t="n">
        <v>0</v>
      </c>
      <c r="AJ190" s="62" t="s">
        <v>148</v>
      </c>
      <c r="AK190" s="62" t="s">
        <v>391</v>
      </c>
      <c r="AL190" s="62" t="s">
        <v>392</v>
      </c>
      <c r="AM190" s="62" t="s">
        <v>396</v>
      </c>
      <c r="AN190" s="65" t="n">
        <v>85.1</v>
      </c>
      <c r="AO190" s="62" t="s">
        <v>389</v>
      </c>
      <c r="AP190" s="62" t="s">
        <v>390</v>
      </c>
      <c r="AQ190" s="62" t="s">
        <v>390</v>
      </c>
      <c r="AR190" s="66"/>
      <c r="AS190" s="62"/>
      <c r="AT190" s="65"/>
      <c r="AU190" s="62" t="s">
        <v>397</v>
      </c>
    </row>
    <row r="191" customFormat="false" ht="15" hidden="false" customHeight="false" outlineLevel="0" collapsed="false">
      <c r="A191" s="62" t="s">
        <v>388</v>
      </c>
      <c r="B191" s="63" t="n">
        <v>1112</v>
      </c>
      <c r="C191" s="64" t="n">
        <v>46304.8736468519</v>
      </c>
      <c r="D191" s="62" t="s">
        <v>72</v>
      </c>
      <c r="E191" s="63" t="n">
        <v>20</v>
      </c>
      <c r="F191" s="62" t="s">
        <v>389</v>
      </c>
      <c r="G191" s="62" t="s">
        <v>389</v>
      </c>
      <c r="H191" s="62" t="s">
        <v>389</v>
      </c>
      <c r="I191" s="62" t="s">
        <v>389</v>
      </c>
      <c r="J191" s="65" t="n">
        <v>1.5</v>
      </c>
      <c r="K191" s="62" t="s">
        <v>278</v>
      </c>
      <c r="L191" s="62" t="s">
        <v>389</v>
      </c>
      <c r="M191" s="62" t="s">
        <v>390</v>
      </c>
      <c r="N191" s="62"/>
      <c r="O191" s="62" t="s">
        <v>389</v>
      </c>
      <c r="P191" s="62" t="s">
        <v>390</v>
      </c>
      <c r="Q191" s="62" t="s">
        <v>390</v>
      </c>
      <c r="R191" s="62" t="s">
        <v>279</v>
      </c>
      <c r="S191" s="62" t="s">
        <v>389</v>
      </c>
      <c r="T191" s="65" t="n">
        <v>10.3</v>
      </c>
      <c r="U191" s="62" t="s">
        <v>279</v>
      </c>
      <c r="V191" s="65" t="n">
        <v>2.9</v>
      </c>
      <c r="W191" s="65" t="n">
        <v>4.9</v>
      </c>
      <c r="X191" s="63" t="n">
        <v>0</v>
      </c>
      <c r="Y191" s="62" t="s">
        <v>390</v>
      </c>
      <c r="Z191" s="62" t="s">
        <v>389</v>
      </c>
      <c r="AA191" s="62" t="s">
        <v>395</v>
      </c>
      <c r="AB191" s="62" t="s">
        <v>275</v>
      </c>
      <c r="AC191" s="65" t="n">
        <v>40.1</v>
      </c>
      <c r="AD191" s="63" t="n">
        <v>5</v>
      </c>
      <c r="AE191" s="63" t="n">
        <v>21</v>
      </c>
      <c r="AF191" s="63" t="n">
        <v>5</v>
      </c>
      <c r="AG191" s="62" t="s">
        <v>390</v>
      </c>
      <c r="AH191" s="62"/>
      <c r="AI191" s="63" t="n">
        <v>0</v>
      </c>
      <c r="AJ191" s="62" t="s">
        <v>150</v>
      </c>
      <c r="AK191" s="62" t="s">
        <v>391</v>
      </c>
      <c r="AL191" s="62" t="s">
        <v>392</v>
      </c>
      <c r="AM191" s="62" t="s">
        <v>396</v>
      </c>
      <c r="AN191" s="65" t="n">
        <v>107.9</v>
      </c>
      <c r="AO191" s="62" t="s">
        <v>389</v>
      </c>
      <c r="AP191" s="62" t="s">
        <v>390</v>
      </c>
      <c r="AQ191" s="62" t="s">
        <v>390</v>
      </c>
      <c r="AR191" s="66"/>
      <c r="AS191" s="62"/>
      <c r="AT191" s="65"/>
      <c r="AU191" s="62" t="s">
        <v>397</v>
      </c>
    </row>
    <row r="192" customFormat="false" ht="15" hidden="false" customHeight="false" outlineLevel="0" collapsed="false">
      <c r="A192" s="62" t="s">
        <v>388</v>
      </c>
      <c r="B192" s="63" t="n">
        <v>1122</v>
      </c>
      <c r="C192" s="64" t="n">
        <v>46304.9240558681</v>
      </c>
      <c r="D192" s="62" t="s">
        <v>72</v>
      </c>
      <c r="E192" s="63" t="n">
        <v>22</v>
      </c>
      <c r="F192" s="62" t="s">
        <v>390</v>
      </c>
      <c r="G192" s="62" t="s">
        <v>389</v>
      </c>
      <c r="H192" s="62" t="s">
        <v>389</v>
      </c>
      <c r="I192" s="62" t="s">
        <v>389</v>
      </c>
      <c r="J192" s="65" t="n">
        <v>0.5</v>
      </c>
      <c r="K192" s="62" t="s">
        <v>279</v>
      </c>
      <c r="L192" s="62" t="s">
        <v>389</v>
      </c>
      <c r="M192" s="62" t="s">
        <v>389</v>
      </c>
      <c r="N192" s="62" t="s">
        <v>304</v>
      </c>
      <c r="O192" s="62" t="s">
        <v>389</v>
      </c>
      <c r="P192" s="62" t="s">
        <v>390</v>
      </c>
      <c r="Q192" s="62" t="s">
        <v>390</v>
      </c>
      <c r="R192" s="62" t="s">
        <v>277</v>
      </c>
      <c r="S192" s="62" t="s">
        <v>389</v>
      </c>
      <c r="T192" s="65" t="n">
        <v>576.6</v>
      </c>
      <c r="U192" s="62" t="s">
        <v>276</v>
      </c>
      <c r="V192" s="65" t="n">
        <v>0.8</v>
      </c>
      <c r="W192" s="65" t="n">
        <v>2.4</v>
      </c>
      <c r="X192" s="63" t="n">
        <v>0</v>
      </c>
      <c r="Y192" s="62" t="s">
        <v>390</v>
      </c>
      <c r="Z192" s="62" t="s">
        <v>389</v>
      </c>
      <c r="AA192" s="62" t="s">
        <v>395</v>
      </c>
      <c r="AB192" s="62" t="s">
        <v>276</v>
      </c>
      <c r="AC192" s="65" t="n">
        <v>59</v>
      </c>
      <c r="AD192" s="63" t="n">
        <v>8</v>
      </c>
      <c r="AE192" s="63" t="n">
        <v>8</v>
      </c>
      <c r="AF192" s="63" t="n">
        <v>14</v>
      </c>
      <c r="AG192" s="62" t="s">
        <v>389</v>
      </c>
      <c r="AH192" s="62" t="s">
        <v>414</v>
      </c>
      <c r="AI192" s="63" t="n">
        <v>0</v>
      </c>
      <c r="AJ192" s="62" t="s">
        <v>150</v>
      </c>
      <c r="AK192" s="62" t="s">
        <v>391</v>
      </c>
      <c r="AL192" s="62" t="s">
        <v>392</v>
      </c>
      <c r="AM192" s="62" t="s">
        <v>404</v>
      </c>
      <c r="AN192" s="65" t="n">
        <v>132.2</v>
      </c>
      <c r="AO192" s="62" t="s">
        <v>389</v>
      </c>
      <c r="AP192" s="62" t="s">
        <v>390</v>
      </c>
      <c r="AQ192" s="62" t="s">
        <v>390</v>
      </c>
      <c r="AR192" s="66"/>
      <c r="AS192" s="62"/>
      <c r="AT192" s="65"/>
      <c r="AU192" s="62" t="s">
        <v>417</v>
      </c>
    </row>
    <row r="193" customFormat="false" ht="15" hidden="false" customHeight="false" outlineLevel="0" collapsed="false">
      <c r="A193" s="62" t="s">
        <v>388</v>
      </c>
      <c r="B193" s="63" t="n">
        <v>1131</v>
      </c>
      <c r="C193" s="64" t="n">
        <v>46304.9927238657</v>
      </c>
      <c r="D193" s="62" t="s">
        <v>72</v>
      </c>
      <c r="E193" s="63" t="n">
        <v>23</v>
      </c>
      <c r="F193" s="62" t="s">
        <v>390</v>
      </c>
      <c r="G193" s="62" t="s">
        <v>389</v>
      </c>
      <c r="H193" s="62" t="s">
        <v>389</v>
      </c>
      <c r="I193" s="62" t="s">
        <v>389</v>
      </c>
      <c r="J193" s="65" t="n">
        <v>481.9</v>
      </c>
      <c r="K193" s="62" t="s">
        <v>276</v>
      </c>
      <c r="L193" s="62" t="s">
        <v>389</v>
      </c>
      <c r="M193" s="62" t="s">
        <v>389</v>
      </c>
      <c r="N193" s="62" t="s">
        <v>303</v>
      </c>
      <c r="O193" s="62" t="s">
        <v>389</v>
      </c>
      <c r="P193" s="62" t="s">
        <v>389</v>
      </c>
      <c r="Q193" s="62" t="s">
        <v>390</v>
      </c>
      <c r="R193" s="62" t="s">
        <v>278</v>
      </c>
      <c r="S193" s="62" t="s">
        <v>389</v>
      </c>
      <c r="T193" s="65" t="n">
        <v>507</v>
      </c>
      <c r="U193" s="62" t="s">
        <v>276</v>
      </c>
      <c r="V193" s="65" t="n">
        <v>482.2</v>
      </c>
      <c r="W193" s="65" t="n">
        <v>11.5</v>
      </c>
      <c r="X193" s="63" t="n">
        <v>0</v>
      </c>
      <c r="Y193" s="62" t="s">
        <v>389</v>
      </c>
      <c r="Z193" s="62" t="s">
        <v>389</v>
      </c>
      <c r="AA193" s="62" t="s">
        <v>395</v>
      </c>
      <c r="AB193" s="62" t="s">
        <v>275</v>
      </c>
      <c r="AC193" s="65" t="n">
        <v>61.2</v>
      </c>
      <c r="AD193" s="63" t="n">
        <v>11</v>
      </c>
      <c r="AE193" s="63" t="n">
        <v>17</v>
      </c>
      <c r="AF193" s="63" t="n">
        <v>14</v>
      </c>
      <c r="AG193" s="62" t="s">
        <v>390</v>
      </c>
      <c r="AH193" s="62"/>
      <c r="AI193" s="63" t="n">
        <v>5</v>
      </c>
      <c r="AJ193" s="62" t="s">
        <v>149</v>
      </c>
      <c r="AK193" s="62" t="s">
        <v>391</v>
      </c>
      <c r="AL193" s="62" t="s">
        <v>392</v>
      </c>
      <c r="AM193" s="62" t="s">
        <v>396</v>
      </c>
      <c r="AN193" s="65" t="n">
        <v>86.1</v>
      </c>
      <c r="AO193" s="62" t="s">
        <v>389</v>
      </c>
      <c r="AP193" s="62" t="s">
        <v>390</v>
      </c>
      <c r="AQ193" s="62" t="s">
        <v>390</v>
      </c>
      <c r="AR193" s="66"/>
      <c r="AS193" s="62"/>
      <c r="AT193" s="65"/>
      <c r="AU193" s="62" t="s">
        <v>417</v>
      </c>
    </row>
    <row r="194" customFormat="false" ht="15" hidden="false" customHeight="false" outlineLevel="0" collapsed="false">
      <c r="A194" s="62" t="s">
        <v>388</v>
      </c>
      <c r="B194" s="63" t="n">
        <v>1137</v>
      </c>
      <c r="C194" s="64" t="n">
        <v>46305.1956864583</v>
      </c>
      <c r="D194" s="62" t="s">
        <v>72</v>
      </c>
      <c r="E194" s="63" t="n">
        <v>4</v>
      </c>
      <c r="F194" s="62" t="s">
        <v>390</v>
      </c>
      <c r="G194" s="62" t="s">
        <v>389</v>
      </c>
      <c r="H194" s="62" t="s">
        <v>389</v>
      </c>
      <c r="I194" s="62" t="s">
        <v>389</v>
      </c>
      <c r="J194" s="65" t="n">
        <v>191.4</v>
      </c>
      <c r="K194" s="62" t="s">
        <v>276</v>
      </c>
      <c r="L194" s="62" t="s">
        <v>389</v>
      </c>
      <c r="M194" s="62" t="s">
        <v>389</v>
      </c>
      <c r="N194" s="62" t="s">
        <v>303</v>
      </c>
      <c r="O194" s="62" t="s">
        <v>389</v>
      </c>
      <c r="P194" s="62" t="s">
        <v>389</v>
      </c>
      <c r="Q194" s="62" t="s">
        <v>389</v>
      </c>
      <c r="R194" s="62" t="s">
        <v>278</v>
      </c>
      <c r="S194" s="62" t="s">
        <v>389</v>
      </c>
      <c r="T194" s="65" t="n">
        <v>230.4</v>
      </c>
      <c r="U194" s="62" t="s">
        <v>276</v>
      </c>
      <c r="V194" s="65" t="n">
        <v>191.5</v>
      </c>
      <c r="W194" s="65" t="n">
        <v>3.4</v>
      </c>
      <c r="X194" s="63" t="n">
        <v>0</v>
      </c>
      <c r="Y194" s="62" t="s">
        <v>389</v>
      </c>
      <c r="Z194" s="62" t="s">
        <v>389</v>
      </c>
      <c r="AA194" s="62" t="s">
        <v>395</v>
      </c>
      <c r="AB194" s="62" t="s">
        <v>275</v>
      </c>
      <c r="AC194" s="65" t="n">
        <v>56.3</v>
      </c>
      <c r="AD194" s="63" t="n">
        <v>19</v>
      </c>
      <c r="AE194" s="63" t="n">
        <v>26</v>
      </c>
      <c r="AF194" s="63" t="n">
        <v>26</v>
      </c>
      <c r="AG194" s="62" t="s">
        <v>390</v>
      </c>
      <c r="AH194" s="62"/>
      <c r="AI194" s="63" t="n">
        <v>0</v>
      </c>
      <c r="AJ194" s="62" t="s">
        <v>150</v>
      </c>
      <c r="AK194" s="62" t="s">
        <v>391</v>
      </c>
      <c r="AL194" s="62" t="s">
        <v>392</v>
      </c>
      <c r="AM194" s="62" t="s">
        <v>396</v>
      </c>
      <c r="AN194" s="65" t="n">
        <v>89.1</v>
      </c>
      <c r="AO194" s="62" t="s">
        <v>389</v>
      </c>
      <c r="AP194" s="62" t="s">
        <v>390</v>
      </c>
      <c r="AQ194" s="62" t="s">
        <v>390</v>
      </c>
      <c r="AR194" s="66"/>
      <c r="AS194" s="62"/>
      <c r="AT194" s="65"/>
      <c r="AU194" s="62" t="s">
        <v>397</v>
      </c>
    </row>
    <row r="195" customFormat="false" ht="15" hidden="false" customHeight="false" outlineLevel="0" collapsed="false">
      <c r="A195" s="62" t="s">
        <v>388</v>
      </c>
      <c r="B195" s="63" t="n">
        <v>1142</v>
      </c>
      <c r="C195" s="64" t="n">
        <v>46305.253437338</v>
      </c>
      <c r="D195" s="62" t="s">
        <v>72</v>
      </c>
      <c r="E195" s="63" t="n">
        <v>6</v>
      </c>
      <c r="F195" s="62" t="s">
        <v>390</v>
      </c>
      <c r="G195" s="62" t="s">
        <v>389</v>
      </c>
      <c r="H195" s="62" t="s">
        <v>389</v>
      </c>
      <c r="I195" s="62" t="s">
        <v>389</v>
      </c>
      <c r="J195" s="65" t="n">
        <v>98.8</v>
      </c>
      <c r="K195" s="62" t="s">
        <v>276</v>
      </c>
      <c r="L195" s="62" t="s">
        <v>389</v>
      </c>
      <c r="M195" s="62" t="s">
        <v>390</v>
      </c>
      <c r="N195" s="62"/>
      <c r="O195" s="62" t="s">
        <v>389</v>
      </c>
      <c r="P195" s="62" t="s">
        <v>390</v>
      </c>
      <c r="Q195" s="62" t="s">
        <v>390</v>
      </c>
      <c r="R195" s="62" t="s">
        <v>338</v>
      </c>
      <c r="S195" s="62" t="s">
        <v>389</v>
      </c>
      <c r="T195" s="65" t="n">
        <v>3255.6</v>
      </c>
      <c r="U195" s="62" t="s">
        <v>276</v>
      </c>
      <c r="V195" s="65" t="n">
        <v>111.1</v>
      </c>
      <c r="W195" s="65" t="n">
        <v>3243.3</v>
      </c>
      <c r="X195" s="63" t="n">
        <v>0</v>
      </c>
      <c r="Y195" s="62" t="s">
        <v>390</v>
      </c>
      <c r="Z195" s="62" t="s">
        <v>389</v>
      </c>
      <c r="AA195" s="62" t="s">
        <v>395</v>
      </c>
      <c r="AB195" s="62" t="s">
        <v>275</v>
      </c>
      <c r="AC195" s="65" t="n">
        <v>31</v>
      </c>
      <c r="AD195" s="63" t="n">
        <v>2</v>
      </c>
      <c r="AE195" s="63" t="n">
        <v>18</v>
      </c>
      <c r="AF195" s="63" t="n">
        <v>2</v>
      </c>
      <c r="AG195" s="62" t="s">
        <v>390</v>
      </c>
      <c r="AH195" s="62"/>
      <c r="AI195" s="63" t="n">
        <v>0</v>
      </c>
      <c r="AJ195" s="62" t="s">
        <v>148</v>
      </c>
      <c r="AK195" s="62" t="s">
        <v>391</v>
      </c>
      <c r="AL195" s="62" t="s">
        <v>392</v>
      </c>
      <c r="AM195" s="62" t="s">
        <v>396</v>
      </c>
      <c r="AN195" s="65" t="n">
        <v>75.2</v>
      </c>
      <c r="AO195" s="62" t="s">
        <v>389</v>
      </c>
      <c r="AP195" s="62" t="s">
        <v>390</v>
      </c>
      <c r="AQ195" s="62" t="s">
        <v>390</v>
      </c>
      <c r="AR195" s="66"/>
      <c r="AS195" s="62"/>
      <c r="AT195" s="65"/>
      <c r="AU195" s="62" t="s">
        <v>397</v>
      </c>
    </row>
    <row r="196" customFormat="false" ht="15" hidden="false" customHeight="false" outlineLevel="0" collapsed="false">
      <c r="A196" s="62" t="s">
        <v>388</v>
      </c>
      <c r="B196" s="63" t="n">
        <v>1143</v>
      </c>
      <c r="C196" s="64" t="n">
        <v>46305.2656608333</v>
      </c>
      <c r="D196" s="62" t="s">
        <v>72</v>
      </c>
      <c r="E196" s="63" t="n">
        <v>6</v>
      </c>
      <c r="F196" s="62" t="s">
        <v>390</v>
      </c>
      <c r="G196" s="62" t="s">
        <v>389</v>
      </c>
      <c r="H196" s="62" t="s">
        <v>389</v>
      </c>
      <c r="I196" s="62" t="s">
        <v>389</v>
      </c>
      <c r="J196" s="65" t="n">
        <v>92.1</v>
      </c>
      <c r="K196" s="62" t="s">
        <v>276</v>
      </c>
      <c r="L196" s="62" t="s">
        <v>389</v>
      </c>
      <c r="M196" s="62" t="s">
        <v>389</v>
      </c>
      <c r="N196" s="62" t="s">
        <v>303</v>
      </c>
      <c r="O196" s="62" t="s">
        <v>390</v>
      </c>
      <c r="P196" s="62" t="s">
        <v>390</v>
      </c>
      <c r="Q196" s="62" t="s">
        <v>390</v>
      </c>
      <c r="R196" s="62" t="s">
        <v>278</v>
      </c>
      <c r="S196" s="62" t="s">
        <v>389</v>
      </c>
      <c r="T196" s="65" t="n">
        <v>163.3</v>
      </c>
      <c r="U196" s="62" t="s">
        <v>276</v>
      </c>
      <c r="V196" s="65" t="n">
        <v>93.7</v>
      </c>
      <c r="W196" s="65" t="n">
        <v>24.4</v>
      </c>
      <c r="X196" s="63" t="n">
        <v>0</v>
      </c>
      <c r="Y196" s="62" t="s">
        <v>389</v>
      </c>
      <c r="Z196" s="62" t="s">
        <v>389</v>
      </c>
      <c r="AA196" s="62" t="s">
        <v>395</v>
      </c>
      <c r="AB196" s="62" t="s">
        <v>278</v>
      </c>
      <c r="AC196" s="65" t="n">
        <v>56.1</v>
      </c>
      <c r="AD196" s="63" t="n">
        <v>5</v>
      </c>
      <c r="AE196" s="63" t="n">
        <v>8</v>
      </c>
      <c r="AF196" s="63" t="n">
        <v>10</v>
      </c>
      <c r="AG196" s="62" t="s">
        <v>389</v>
      </c>
      <c r="AH196" s="62" t="s">
        <v>398</v>
      </c>
      <c r="AI196" s="63" t="n">
        <v>0</v>
      </c>
      <c r="AJ196" s="62" t="s">
        <v>149</v>
      </c>
      <c r="AK196" s="62" t="s">
        <v>391</v>
      </c>
      <c r="AL196" s="62" t="s">
        <v>392</v>
      </c>
      <c r="AM196" s="62" t="s">
        <v>396</v>
      </c>
      <c r="AN196" s="65" t="n">
        <v>83.6</v>
      </c>
      <c r="AO196" s="62" t="s">
        <v>389</v>
      </c>
      <c r="AP196" s="62" t="s">
        <v>390</v>
      </c>
      <c r="AQ196" s="62" t="s">
        <v>390</v>
      </c>
      <c r="AR196" s="66"/>
      <c r="AS196" s="62"/>
      <c r="AT196" s="65"/>
      <c r="AU196" s="62" t="s">
        <v>397</v>
      </c>
    </row>
    <row r="197" customFormat="false" ht="15" hidden="false" customHeight="false" outlineLevel="0" collapsed="false">
      <c r="A197" s="62" t="s">
        <v>388</v>
      </c>
      <c r="B197" s="63" t="n">
        <v>1145</v>
      </c>
      <c r="C197" s="64" t="n">
        <v>46305.2750719097</v>
      </c>
      <c r="D197" s="62" t="s">
        <v>72</v>
      </c>
      <c r="E197" s="63" t="n">
        <v>6</v>
      </c>
      <c r="F197" s="62" t="s">
        <v>390</v>
      </c>
      <c r="G197" s="62" t="s">
        <v>390</v>
      </c>
      <c r="H197" s="62" t="s">
        <v>390</v>
      </c>
      <c r="I197" s="62" t="s">
        <v>389</v>
      </c>
      <c r="J197" s="65"/>
      <c r="K197" s="62" t="s">
        <v>275</v>
      </c>
      <c r="L197" s="62" t="s">
        <v>389</v>
      </c>
      <c r="M197" s="62" t="s">
        <v>389</v>
      </c>
      <c r="N197" s="62" t="s">
        <v>305</v>
      </c>
      <c r="O197" s="62" t="s">
        <v>390</v>
      </c>
      <c r="P197" s="62" t="s">
        <v>390</v>
      </c>
      <c r="Q197" s="62" t="s">
        <v>390</v>
      </c>
      <c r="R197" s="62" t="s">
        <v>278</v>
      </c>
      <c r="S197" s="62" t="s">
        <v>389</v>
      </c>
      <c r="T197" s="65" t="n">
        <v>83.6</v>
      </c>
      <c r="U197" s="62" t="s">
        <v>276</v>
      </c>
      <c r="V197" s="65" t="n">
        <v>83.6</v>
      </c>
      <c r="W197" s="65" t="n">
        <v>46</v>
      </c>
      <c r="X197" s="63" t="n">
        <v>0</v>
      </c>
      <c r="Y197" s="62" t="s">
        <v>389</v>
      </c>
      <c r="Z197" s="62" t="s">
        <v>389</v>
      </c>
      <c r="AA197" s="62" t="s">
        <v>395</v>
      </c>
      <c r="AB197" s="62" t="s">
        <v>278</v>
      </c>
      <c r="AC197" s="65" t="n">
        <v>55.9</v>
      </c>
      <c r="AD197" s="63" t="n">
        <v>3</v>
      </c>
      <c r="AE197" s="63" t="n">
        <v>9</v>
      </c>
      <c r="AF197" s="63" t="n">
        <v>10</v>
      </c>
      <c r="AG197" s="62" t="s">
        <v>390</v>
      </c>
      <c r="AH197" s="62"/>
      <c r="AI197" s="63" t="n">
        <v>0</v>
      </c>
      <c r="AJ197" s="62" t="s">
        <v>149</v>
      </c>
      <c r="AK197" s="62" t="s">
        <v>391</v>
      </c>
      <c r="AL197" s="62" t="s">
        <v>392</v>
      </c>
      <c r="AM197" s="62" t="s">
        <v>396</v>
      </c>
      <c r="AN197" s="65" t="n">
        <v>83.4</v>
      </c>
      <c r="AO197" s="62" t="s">
        <v>389</v>
      </c>
      <c r="AP197" s="62" t="s">
        <v>390</v>
      </c>
      <c r="AQ197" s="62" t="s">
        <v>390</v>
      </c>
      <c r="AR197" s="66"/>
      <c r="AS197" s="62"/>
      <c r="AT197" s="65"/>
      <c r="AU197" s="62" t="s">
        <v>417</v>
      </c>
    </row>
    <row r="198" customFormat="false" ht="15" hidden="false" customHeight="false" outlineLevel="0" collapsed="false">
      <c r="A198" s="62" t="s">
        <v>388</v>
      </c>
      <c r="B198" s="63" t="n">
        <v>1150</v>
      </c>
      <c r="C198" s="64" t="n">
        <v>46305.314210625</v>
      </c>
      <c r="D198" s="62" t="s">
        <v>72</v>
      </c>
      <c r="E198" s="63" t="n">
        <v>7</v>
      </c>
      <c r="F198" s="62" t="s">
        <v>390</v>
      </c>
      <c r="G198" s="62" t="s">
        <v>389</v>
      </c>
      <c r="H198" s="62" t="s">
        <v>389</v>
      </c>
      <c r="I198" s="62" t="s">
        <v>389</v>
      </c>
      <c r="J198" s="65" t="n">
        <v>25.5</v>
      </c>
      <c r="K198" s="62" t="s">
        <v>276</v>
      </c>
      <c r="L198" s="62" t="s">
        <v>389</v>
      </c>
      <c r="M198" s="62" t="s">
        <v>389</v>
      </c>
      <c r="N198" s="62" t="s">
        <v>303</v>
      </c>
      <c r="O198" s="62" t="s">
        <v>390</v>
      </c>
      <c r="P198" s="62" t="s">
        <v>390</v>
      </c>
      <c r="Q198" s="62" t="s">
        <v>390</v>
      </c>
      <c r="R198" s="62" t="s">
        <v>278</v>
      </c>
      <c r="S198" s="62" t="s">
        <v>389</v>
      </c>
      <c r="T198" s="65" t="n">
        <v>70</v>
      </c>
      <c r="U198" s="62" t="s">
        <v>276</v>
      </c>
      <c r="V198" s="65" t="n">
        <v>25.8</v>
      </c>
      <c r="W198" s="65" t="n">
        <v>6.5</v>
      </c>
      <c r="X198" s="63" t="n">
        <v>0</v>
      </c>
      <c r="Y198" s="62" t="s">
        <v>389</v>
      </c>
      <c r="Z198" s="62" t="s">
        <v>389</v>
      </c>
      <c r="AA198" s="62" t="s">
        <v>395</v>
      </c>
      <c r="AB198" s="62" t="s">
        <v>278</v>
      </c>
      <c r="AC198" s="65" t="n">
        <v>78.3</v>
      </c>
      <c r="AD198" s="63" t="n">
        <v>11</v>
      </c>
      <c r="AE198" s="63" t="n">
        <v>8</v>
      </c>
      <c r="AF198" s="63" t="n">
        <v>21</v>
      </c>
      <c r="AG198" s="62" t="s">
        <v>390</v>
      </c>
      <c r="AH198" s="62"/>
      <c r="AI198" s="63" t="n">
        <v>0</v>
      </c>
      <c r="AJ198" s="62" t="s">
        <v>149</v>
      </c>
      <c r="AK198" s="62" t="s">
        <v>391</v>
      </c>
      <c r="AL198" s="62" t="s">
        <v>392</v>
      </c>
      <c r="AM198" s="62" t="s">
        <v>396</v>
      </c>
      <c r="AN198" s="65" t="n">
        <v>107.1</v>
      </c>
      <c r="AO198" s="62" t="s">
        <v>389</v>
      </c>
      <c r="AP198" s="62" t="s">
        <v>390</v>
      </c>
      <c r="AQ198" s="62" t="s">
        <v>390</v>
      </c>
      <c r="AR198" s="66"/>
      <c r="AS198" s="62"/>
      <c r="AT198" s="65"/>
      <c r="AU198" s="62" t="s">
        <v>417</v>
      </c>
    </row>
    <row r="199" customFormat="false" ht="15" hidden="false" customHeight="false" outlineLevel="0" collapsed="false">
      <c r="A199" s="62" t="s">
        <v>388</v>
      </c>
      <c r="B199" s="63" t="n">
        <v>1151</v>
      </c>
      <c r="C199" s="64" t="n">
        <v>46305.3301463542</v>
      </c>
      <c r="D199" s="62" t="s">
        <v>72</v>
      </c>
      <c r="E199" s="63" t="n">
        <v>7</v>
      </c>
      <c r="F199" s="62" t="s">
        <v>390</v>
      </c>
      <c r="G199" s="62" t="s">
        <v>389</v>
      </c>
      <c r="H199" s="62" t="s">
        <v>389</v>
      </c>
      <c r="I199" s="62" t="s">
        <v>389</v>
      </c>
      <c r="J199" s="65" t="n">
        <v>2.9</v>
      </c>
      <c r="K199" s="62" t="s">
        <v>276</v>
      </c>
      <c r="L199" s="62" t="s">
        <v>389</v>
      </c>
      <c r="M199" s="62" t="s">
        <v>389</v>
      </c>
      <c r="N199" s="62" t="s">
        <v>303</v>
      </c>
      <c r="O199" s="62" t="s">
        <v>389</v>
      </c>
      <c r="P199" s="62" t="s">
        <v>389</v>
      </c>
      <c r="Q199" s="62" t="s">
        <v>390</v>
      </c>
      <c r="R199" s="62" t="s">
        <v>278</v>
      </c>
      <c r="S199" s="62" t="s">
        <v>389</v>
      </c>
      <c r="T199" s="65" t="n">
        <v>44</v>
      </c>
      <c r="U199" s="62" t="s">
        <v>276</v>
      </c>
      <c r="V199" s="65" t="n">
        <v>3.2</v>
      </c>
      <c r="W199" s="65" t="n">
        <v>37.9</v>
      </c>
      <c r="X199" s="63" t="n">
        <v>0</v>
      </c>
      <c r="Y199" s="62" t="s">
        <v>389</v>
      </c>
      <c r="Z199" s="62" t="s">
        <v>389</v>
      </c>
      <c r="AA199" s="62" t="s">
        <v>395</v>
      </c>
      <c r="AB199" s="62" t="s">
        <v>278</v>
      </c>
      <c r="AC199" s="65" t="n">
        <v>28.8</v>
      </c>
      <c r="AD199" s="63" t="n">
        <v>4</v>
      </c>
      <c r="AE199" s="63" t="n">
        <v>10</v>
      </c>
      <c r="AF199" s="63" t="n">
        <v>11</v>
      </c>
      <c r="AG199" s="62" t="s">
        <v>389</v>
      </c>
      <c r="AH199" s="62" t="s">
        <v>398</v>
      </c>
      <c r="AI199" s="63" t="n">
        <v>5</v>
      </c>
      <c r="AJ199" s="62" t="s">
        <v>150</v>
      </c>
      <c r="AK199" s="62" t="s">
        <v>391</v>
      </c>
      <c r="AL199" s="62" t="s">
        <v>392</v>
      </c>
      <c r="AM199" s="62" t="s">
        <v>396</v>
      </c>
      <c r="AN199" s="65" t="n">
        <v>73.7</v>
      </c>
      <c r="AO199" s="62" t="s">
        <v>389</v>
      </c>
      <c r="AP199" s="62" t="s">
        <v>390</v>
      </c>
      <c r="AQ199" s="62" t="s">
        <v>390</v>
      </c>
      <c r="AR199" s="66"/>
      <c r="AS199" s="62"/>
      <c r="AT199" s="65"/>
      <c r="AU199" s="62" t="s">
        <v>417</v>
      </c>
    </row>
    <row r="200" customFormat="false" ht="15" hidden="false" customHeight="false" outlineLevel="0" collapsed="false">
      <c r="A200" s="62" t="s">
        <v>388</v>
      </c>
      <c r="B200" s="63" t="n">
        <v>1175</v>
      </c>
      <c r="C200" s="64" t="n">
        <v>46305.4646661921</v>
      </c>
      <c r="D200" s="62" t="s">
        <v>72</v>
      </c>
      <c r="E200" s="63" t="n">
        <v>11</v>
      </c>
      <c r="F200" s="62" t="s">
        <v>389</v>
      </c>
      <c r="G200" s="62" t="s">
        <v>389</v>
      </c>
      <c r="H200" s="62" t="s">
        <v>389</v>
      </c>
      <c r="I200" s="62" t="s">
        <v>389</v>
      </c>
      <c r="J200" s="65" t="n">
        <v>0.2</v>
      </c>
      <c r="K200" s="62" t="s">
        <v>276</v>
      </c>
      <c r="L200" s="62" t="s">
        <v>389</v>
      </c>
      <c r="M200" s="62" t="s">
        <v>390</v>
      </c>
      <c r="N200" s="62"/>
      <c r="O200" s="62" t="s">
        <v>389</v>
      </c>
      <c r="P200" s="62" t="s">
        <v>390</v>
      </c>
      <c r="Q200" s="62" t="s">
        <v>390</v>
      </c>
      <c r="R200" s="62" t="s">
        <v>277</v>
      </c>
      <c r="S200" s="62" t="s">
        <v>389</v>
      </c>
      <c r="T200" s="65" t="n">
        <v>2944.3</v>
      </c>
      <c r="U200" s="62" t="s">
        <v>277</v>
      </c>
      <c r="V200" s="65" t="n">
        <v>4</v>
      </c>
      <c r="W200" s="65" t="n">
        <v>2940.5</v>
      </c>
      <c r="X200" s="63" t="n">
        <v>0</v>
      </c>
      <c r="Y200" s="62" t="s">
        <v>390</v>
      </c>
      <c r="Z200" s="62" t="s">
        <v>389</v>
      </c>
      <c r="AA200" s="62" t="s">
        <v>395</v>
      </c>
      <c r="AB200" s="62" t="s">
        <v>275</v>
      </c>
      <c r="AC200" s="65" t="n">
        <v>26.1</v>
      </c>
      <c r="AD200" s="63" t="n">
        <v>2</v>
      </c>
      <c r="AE200" s="63" t="n">
        <v>18</v>
      </c>
      <c r="AF200" s="63" t="n">
        <v>2</v>
      </c>
      <c r="AG200" s="62" t="s">
        <v>389</v>
      </c>
      <c r="AH200" s="62" t="s">
        <v>330</v>
      </c>
      <c r="AI200" s="63" t="n">
        <v>0</v>
      </c>
      <c r="AJ200" s="62" t="s">
        <v>148</v>
      </c>
      <c r="AK200" s="62" t="s">
        <v>391</v>
      </c>
      <c r="AL200" s="62" t="s">
        <v>392</v>
      </c>
      <c r="AM200" s="62" t="s">
        <v>396</v>
      </c>
      <c r="AN200" s="65" t="n">
        <v>70.1</v>
      </c>
      <c r="AO200" s="62" t="s">
        <v>389</v>
      </c>
      <c r="AP200" s="62" t="s">
        <v>390</v>
      </c>
      <c r="AQ200" s="62" t="s">
        <v>390</v>
      </c>
      <c r="AR200" s="66"/>
      <c r="AS200" s="62"/>
      <c r="AT200" s="65"/>
      <c r="AU200" s="62" t="s">
        <v>397</v>
      </c>
    </row>
    <row r="201" customFormat="false" ht="15" hidden="false" customHeight="false" outlineLevel="0" collapsed="false">
      <c r="A201" s="62" t="s">
        <v>388</v>
      </c>
      <c r="B201" s="63" t="n">
        <v>1176</v>
      </c>
      <c r="C201" s="64" t="n">
        <v>46305.4654577431</v>
      </c>
      <c r="D201" s="62" t="s">
        <v>72</v>
      </c>
      <c r="E201" s="63" t="n">
        <v>11</v>
      </c>
      <c r="F201" s="62" t="s">
        <v>389</v>
      </c>
      <c r="G201" s="62" t="s">
        <v>389</v>
      </c>
      <c r="H201" s="62" t="s">
        <v>389</v>
      </c>
      <c r="I201" s="62" t="s">
        <v>389</v>
      </c>
      <c r="J201" s="65" t="n">
        <v>0.2</v>
      </c>
      <c r="K201" s="62" t="s">
        <v>276</v>
      </c>
      <c r="L201" s="62" t="s">
        <v>389</v>
      </c>
      <c r="M201" s="62" t="s">
        <v>389</v>
      </c>
      <c r="N201" s="62" t="s">
        <v>306</v>
      </c>
      <c r="O201" s="62" t="s">
        <v>389</v>
      </c>
      <c r="P201" s="62" t="s">
        <v>390</v>
      </c>
      <c r="Q201" s="62" t="s">
        <v>390</v>
      </c>
      <c r="R201" s="62" t="s">
        <v>277</v>
      </c>
      <c r="S201" s="62" t="s">
        <v>389</v>
      </c>
      <c r="T201" s="65" t="n">
        <v>3.7</v>
      </c>
      <c r="U201" s="62" t="s">
        <v>276</v>
      </c>
      <c r="V201" s="65" t="n">
        <v>0.5</v>
      </c>
      <c r="W201" s="65" t="n">
        <v>0.6</v>
      </c>
      <c r="X201" s="63" t="n">
        <v>0</v>
      </c>
      <c r="Y201" s="62" t="s">
        <v>389</v>
      </c>
      <c r="Z201" s="62" t="s">
        <v>389</v>
      </c>
      <c r="AA201" s="62" t="s">
        <v>395</v>
      </c>
      <c r="AB201" s="62" t="s">
        <v>275</v>
      </c>
      <c r="AC201" s="65" t="n">
        <v>26.1</v>
      </c>
      <c r="AD201" s="63" t="n">
        <v>5</v>
      </c>
      <c r="AE201" s="63" t="n">
        <v>18</v>
      </c>
      <c r="AF201" s="63" t="n">
        <v>10</v>
      </c>
      <c r="AG201" s="62" t="s">
        <v>389</v>
      </c>
      <c r="AH201" s="62" t="s">
        <v>398</v>
      </c>
      <c r="AI201" s="63" t="n">
        <v>0</v>
      </c>
      <c r="AJ201" s="62" t="s">
        <v>150</v>
      </c>
      <c r="AK201" s="62" t="s">
        <v>391</v>
      </c>
      <c r="AL201" s="62" t="s">
        <v>392</v>
      </c>
      <c r="AM201" s="62" t="s">
        <v>396</v>
      </c>
      <c r="AN201" s="65" t="n">
        <v>93.3</v>
      </c>
      <c r="AO201" s="62" t="s">
        <v>389</v>
      </c>
      <c r="AP201" s="62" t="s">
        <v>390</v>
      </c>
      <c r="AQ201" s="62" t="s">
        <v>390</v>
      </c>
      <c r="AR201" s="66"/>
      <c r="AS201" s="62"/>
      <c r="AT201" s="65"/>
      <c r="AU201" s="62" t="s">
        <v>397</v>
      </c>
    </row>
    <row r="202" customFormat="false" ht="15" hidden="false" customHeight="false" outlineLevel="0" collapsed="false">
      <c r="A202" s="62" t="s">
        <v>388</v>
      </c>
      <c r="B202" s="63" t="n">
        <v>1177</v>
      </c>
      <c r="C202" s="64" t="n">
        <v>46305.4660739352</v>
      </c>
      <c r="D202" s="62" t="s">
        <v>72</v>
      </c>
      <c r="E202" s="63" t="n">
        <v>11</v>
      </c>
      <c r="F202" s="62" t="s">
        <v>389</v>
      </c>
      <c r="G202" s="62" t="s">
        <v>389</v>
      </c>
      <c r="H202" s="62" t="s">
        <v>390</v>
      </c>
      <c r="I202" s="62" t="s">
        <v>389</v>
      </c>
      <c r="J202" s="65" t="n">
        <v>0.8</v>
      </c>
      <c r="K202" s="62" t="s">
        <v>276</v>
      </c>
      <c r="L202" s="62" t="s">
        <v>389</v>
      </c>
      <c r="M202" s="62" t="s">
        <v>389</v>
      </c>
      <c r="N202" s="62" t="s">
        <v>303</v>
      </c>
      <c r="O202" s="62" t="s">
        <v>389</v>
      </c>
      <c r="P202" s="62" t="s">
        <v>390</v>
      </c>
      <c r="Q202" s="62" t="s">
        <v>390</v>
      </c>
      <c r="R202" s="62" t="s">
        <v>338</v>
      </c>
      <c r="S202" s="62" t="s">
        <v>389</v>
      </c>
      <c r="T202" s="65" t="n">
        <v>16.9</v>
      </c>
      <c r="U202" s="62" t="s">
        <v>276</v>
      </c>
      <c r="V202" s="65" t="n">
        <v>1.1</v>
      </c>
      <c r="W202" s="65" t="n">
        <v>10.6</v>
      </c>
      <c r="X202" s="63" t="n">
        <v>0</v>
      </c>
      <c r="Y202" s="62" t="s">
        <v>389</v>
      </c>
      <c r="Z202" s="62" t="s">
        <v>389</v>
      </c>
      <c r="AA202" s="62" t="s">
        <v>395</v>
      </c>
      <c r="AB202" s="62" t="s">
        <v>275</v>
      </c>
      <c r="AC202" s="65" t="n">
        <v>26.1</v>
      </c>
      <c r="AD202" s="63" t="n">
        <v>3</v>
      </c>
      <c r="AE202" s="63" t="n">
        <v>18</v>
      </c>
      <c r="AF202" s="63" t="n">
        <v>8</v>
      </c>
      <c r="AG202" s="62" t="s">
        <v>390</v>
      </c>
      <c r="AH202" s="62"/>
      <c r="AI202" s="63" t="n">
        <v>0</v>
      </c>
      <c r="AJ202" s="62" t="s">
        <v>149</v>
      </c>
      <c r="AK202" s="62" t="s">
        <v>391</v>
      </c>
      <c r="AL202" s="62" t="s">
        <v>392</v>
      </c>
      <c r="AM202" s="62" t="s">
        <v>396</v>
      </c>
      <c r="AN202" s="65" t="n">
        <v>70.2</v>
      </c>
      <c r="AO202" s="62" t="s">
        <v>389</v>
      </c>
      <c r="AP202" s="62" t="s">
        <v>390</v>
      </c>
      <c r="AQ202" s="62" t="s">
        <v>390</v>
      </c>
      <c r="AR202" s="66"/>
      <c r="AS202" s="62"/>
      <c r="AT202" s="65"/>
      <c r="AU202" s="62" t="s">
        <v>417</v>
      </c>
    </row>
    <row r="203" customFormat="false" ht="15" hidden="false" customHeight="false" outlineLevel="0" collapsed="false">
      <c r="A203" s="62" t="s">
        <v>388</v>
      </c>
      <c r="B203" s="63" t="n">
        <v>1178</v>
      </c>
      <c r="C203" s="64" t="n">
        <v>46305.4689217824</v>
      </c>
      <c r="D203" s="62" t="s">
        <v>72</v>
      </c>
      <c r="E203" s="63" t="n">
        <v>11</v>
      </c>
      <c r="F203" s="62" t="s">
        <v>389</v>
      </c>
      <c r="G203" s="62" t="s">
        <v>389</v>
      </c>
      <c r="H203" s="62" t="s">
        <v>389</v>
      </c>
      <c r="I203" s="62" t="s">
        <v>389</v>
      </c>
      <c r="J203" s="65" t="n">
        <v>0.5</v>
      </c>
      <c r="K203" s="62" t="s">
        <v>276</v>
      </c>
      <c r="L203" s="62" t="s">
        <v>389</v>
      </c>
      <c r="M203" s="62" t="s">
        <v>389</v>
      </c>
      <c r="N203" s="62" t="s">
        <v>309</v>
      </c>
      <c r="O203" s="62" t="s">
        <v>390</v>
      </c>
      <c r="P203" s="62" t="s">
        <v>390</v>
      </c>
      <c r="Q203" s="62" t="s">
        <v>390</v>
      </c>
      <c r="R203" s="62" t="s">
        <v>278</v>
      </c>
      <c r="S203" s="62" t="s">
        <v>389</v>
      </c>
      <c r="T203" s="65" t="n">
        <v>8.2</v>
      </c>
      <c r="U203" s="62" t="s">
        <v>276</v>
      </c>
      <c r="V203" s="65" t="n">
        <v>5.8</v>
      </c>
      <c r="W203" s="65" t="n">
        <v>2.7</v>
      </c>
      <c r="X203" s="63" t="n">
        <v>0</v>
      </c>
      <c r="Y203" s="62" t="s">
        <v>389</v>
      </c>
      <c r="Z203" s="62" t="s">
        <v>389</v>
      </c>
      <c r="AA203" s="62" t="s">
        <v>395</v>
      </c>
      <c r="AB203" s="62" t="s">
        <v>278</v>
      </c>
      <c r="AC203" s="65" t="n">
        <v>51.1</v>
      </c>
      <c r="AD203" s="63" t="n">
        <v>6</v>
      </c>
      <c r="AE203" s="63" t="n">
        <v>8</v>
      </c>
      <c r="AF203" s="63" t="n">
        <v>13</v>
      </c>
      <c r="AG203" s="62" t="s">
        <v>390</v>
      </c>
      <c r="AH203" s="62"/>
      <c r="AI203" s="63" t="n">
        <v>0</v>
      </c>
      <c r="AJ203" s="62" t="s">
        <v>149</v>
      </c>
      <c r="AK203" s="62" t="s">
        <v>391</v>
      </c>
      <c r="AL203" s="62" t="s">
        <v>392</v>
      </c>
      <c r="AM203" s="62" t="s">
        <v>396</v>
      </c>
      <c r="AN203" s="65" t="n">
        <v>78.7</v>
      </c>
      <c r="AO203" s="62" t="s">
        <v>389</v>
      </c>
      <c r="AP203" s="62" t="s">
        <v>390</v>
      </c>
      <c r="AQ203" s="62" t="s">
        <v>390</v>
      </c>
      <c r="AR203" s="66"/>
      <c r="AS203" s="62"/>
      <c r="AT203" s="65"/>
      <c r="AU203" s="62" t="s">
        <v>397</v>
      </c>
    </row>
    <row r="204" customFormat="false" ht="15" hidden="false" customHeight="false" outlineLevel="0" collapsed="false">
      <c r="A204" s="62" t="s">
        <v>388</v>
      </c>
      <c r="B204" s="63" t="n">
        <v>1179</v>
      </c>
      <c r="C204" s="64" t="n">
        <v>46305.4726115509</v>
      </c>
      <c r="D204" s="62" t="s">
        <v>72</v>
      </c>
      <c r="E204" s="63" t="n">
        <v>11</v>
      </c>
      <c r="F204" s="62" t="s">
        <v>389</v>
      </c>
      <c r="G204" s="62" t="s">
        <v>390</v>
      </c>
      <c r="H204" s="62" t="s">
        <v>390</v>
      </c>
      <c r="I204" s="62" t="s">
        <v>389</v>
      </c>
      <c r="J204" s="65"/>
      <c r="K204" s="62" t="s">
        <v>276</v>
      </c>
      <c r="L204" s="62" t="s">
        <v>389</v>
      </c>
      <c r="M204" s="62" t="s">
        <v>390</v>
      </c>
      <c r="N204" s="62"/>
      <c r="O204" s="62" t="s">
        <v>390</v>
      </c>
      <c r="P204" s="62" t="s">
        <v>390</v>
      </c>
      <c r="Q204" s="62" t="s">
        <v>390</v>
      </c>
      <c r="R204" s="62" t="s">
        <v>277</v>
      </c>
      <c r="S204" s="62" t="s">
        <v>389</v>
      </c>
      <c r="T204" s="65" t="n">
        <v>1.5</v>
      </c>
      <c r="U204" s="62" t="s">
        <v>276</v>
      </c>
      <c r="V204" s="65" t="n">
        <v>1.5</v>
      </c>
      <c r="W204" s="65" t="n">
        <v>5.7</v>
      </c>
      <c r="X204" s="63" t="n">
        <v>0</v>
      </c>
      <c r="Y204" s="62" t="s">
        <v>390</v>
      </c>
      <c r="Z204" s="62" t="s">
        <v>390</v>
      </c>
      <c r="AA204" s="62"/>
      <c r="AB204" s="62"/>
      <c r="AC204" s="65"/>
      <c r="AD204" s="63" t="n">
        <v>13</v>
      </c>
      <c r="AE204" s="63" t="n">
        <v>6</v>
      </c>
      <c r="AF204" s="63" t="n">
        <v>8</v>
      </c>
      <c r="AG204" s="62" t="s">
        <v>390</v>
      </c>
      <c r="AH204" s="62"/>
      <c r="AI204" s="63" t="n">
        <v>0</v>
      </c>
      <c r="AJ204" s="62" t="s">
        <v>149</v>
      </c>
      <c r="AK204" s="62" t="s">
        <v>391</v>
      </c>
      <c r="AL204" s="62" t="s">
        <v>392</v>
      </c>
      <c r="AM204" s="62" t="s">
        <v>418</v>
      </c>
      <c r="AN204" s="65" t="n">
        <v>104.4</v>
      </c>
      <c r="AO204" s="62" t="s">
        <v>389</v>
      </c>
      <c r="AP204" s="62" t="s">
        <v>390</v>
      </c>
      <c r="AQ204" s="62" t="s">
        <v>390</v>
      </c>
      <c r="AR204" s="66"/>
      <c r="AS204" s="62"/>
      <c r="AT204" s="65"/>
      <c r="AU204" s="62"/>
    </row>
    <row r="205" customFormat="false" ht="15" hidden="false" customHeight="false" outlineLevel="0" collapsed="false">
      <c r="A205" s="62" t="s">
        <v>388</v>
      </c>
      <c r="B205" s="63" t="n">
        <v>1180</v>
      </c>
      <c r="C205" s="64" t="n">
        <v>46305.4833180093</v>
      </c>
      <c r="D205" s="62" t="s">
        <v>72</v>
      </c>
      <c r="E205" s="63" t="n">
        <v>11</v>
      </c>
      <c r="F205" s="62" t="s">
        <v>389</v>
      </c>
      <c r="G205" s="62" t="s">
        <v>390</v>
      </c>
      <c r="H205" s="62" t="s">
        <v>390</v>
      </c>
      <c r="I205" s="62" t="s">
        <v>389</v>
      </c>
      <c r="J205" s="65"/>
      <c r="K205" s="62" t="s">
        <v>275</v>
      </c>
      <c r="L205" s="62" t="s">
        <v>389</v>
      </c>
      <c r="M205" s="62" t="s">
        <v>389</v>
      </c>
      <c r="N205" s="62" t="s">
        <v>307</v>
      </c>
      <c r="O205" s="62" t="s">
        <v>389</v>
      </c>
      <c r="P205" s="62" t="s">
        <v>390</v>
      </c>
      <c r="Q205" s="62" t="s">
        <v>390</v>
      </c>
      <c r="R205" s="62" t="s">
        <v>277</v>
      </c>
      <c r="S205" s="62" t="s">
        <v>389</v>
      </c>
      <c r="T205" s="65" t="n">
        <v>67.4</v>
      </c>
      <c r="U205" s="62" t="s">
        <v>276</v>
      </c>
      <c r="V205" s="65" t="n">
        <v>67.4</v>
      </c>
      <c r="W205" s="65" t="n">
        <v>6.4</v>
      </c>
      <c r="X205" s="63" t="n">
        <v>0</v>
      </c>
      <c r="Y205" s="62" t="s">
        <v>389</v>
      </c>
      <c r="Z205" s="62" t="s">
        <v>389</v>
      </c>
      <c r="AA205" s="62" t="s">
        <v>395</v>
      </c>
      <c r="AB205" s="62" t="s">
        <v>275</v>
      </c>
      <c r="AC205" s="65" t="n">
        <v>26.6</v>
      </c>
      <c r="AD205" s="63" t="n">
        <v>4</v>
      </c>
      <c r="AE205" s="63" t="n">
        <v>19</v>
      </c>
      <c r="AF205" s="63" t="n">
        <v>8</v>
      </c>
      <c r="AG205" s="62" t="s">
        <v>390</v>
      </c>
      <c r="AH205" s="62"/>
      <c r="AI205" s="63" t="n">
        <v>0</v>
      </c>
      <c r="AJ205" s="62" t="s">
        <v>153</v>
      </c>
      <c r="AK205" s="62" t="s">
        <v>391</v>
      </c>
      <c r="AL205" s="62" t="s">
        <v>392</v>
      </c>
      <c r="AM205" s="62" t="s">
        <v>396</v>
      </c>
      <c r="AN205" s="65" t="n">
        <v>69.8</v>
      </c>
      <c r="AO205" s="62" t="s">
        <v>389</v>
      </c>
      <c r="AP205" s="62" t="s">
        <v>389</v>
      </c>
      <c r="AQ205" s="62" t="s">
        <v>390</v>
      </c>
      <c r="AR205" s="66"/>
      <c r="AS205" s="62"/>
      <c r="AT205" s="65"/>
      <c r="AU205" s="62" t="s">
        <v>399</v>
      </c>
    </row>
    <row r="206" customFormat="false" ht="15" hidden="false" customHeight="false" outlineLevel="0" collapsed="false">
      <c r="A206" s="62" t="s">
        <v>388</v>
      </c>
      <c r="B206" s="63" t="n">
        <v>1181</v>
      </c>
      <c r="C206" s="64" t="n">
        <v>46305.4846731019</v>
      </c>
      <c r="D206" s="62" t="s">
        <v>72</v>
      </c>
      <c r="E206" s="63" t="n">
        <v>11</v>
      </c>
      <c r="F206" s="62" t="s">
        <v>389</v>
      </c>
      <c r="G206" s="62" t="s">
        <v>389</v>
      </c>
      <c r="H206" s="62" t="s">
        <v>389</v>
      </c>
      <c r="I206" s="62" t="s">
        <v>389</v>
      </c>
      <c r="J206" s="65" t="n">
        <v>0.2</v>
      </c>
      <c r="K206" s="62" t="s">
        <v>276</v>
      </c>
      <c r="L206" s="62" t="s">
        <v>389</v>
      </c>
      <c r="M206" s="62" t="s">
        <v>389</v>
      </c>
      <c r="N206" s="62" t="s">
        <v>303</v>
      </c>
      <c r="O206" s="62" t="s">
        <v>390</v>
      </c>
      <c r="P206" s="62" t="s">
        <v>389</v>
      </c>
      <c r="Q206" s="62" t="s">
        <v>389</v>
      </c>
      <c r="R206" s="62" t="s">
        <v>278</v>
      </c>
      <c r="S206" s="62" t="s">
        <v>389</v>
      </c>
      <c r="T206" s="65" t="n">
        <v>7.9</v>
      </c>
      <c r="U206" s="62" t="s">
        <v>276</v>
      </c>
      <c r="V206" s="65" t="n">
        <v>1.3</v>
      </c>
      <c r="W206" s="65" t="n">
        <v>2.6</v>
      </c>
      <c r="X206" s="63" t="n">
        <v>0</v>
      </c>
      <c r="Y206" s="62" t="s">
        <v>389</v>
      </c>
      <c r="Z206" s="62" t="s">
        <v>390</v>
      </c>
      <c r="AA206" s="62"/>
      <c r="AB206" s="62"/>
      <c r="AC206" s="65"/>
      <c r="AD206" s="63" t="n">
        <v>29</v>
      </c>
      <c r="AE206" s="63" t="n">
        <v>16</v>
      </c>
      <c r="AF206" s="63" t="n">
        <v>35</v>
      </c>
      <c r="AG206" s="62" t="s">
        <v>389</v>
      </c>
      <c r="AH206" s="62" t="s">
        <v>398</v>
      </c>
      <c r="AI206" s="63" t="n">
        <v>0</v>
      </c>
      <c r="AJ206" s="62" t="s">
        <v>154</v>
      </c>
      <c r="AK206" s="62" t="s">
        <v>407</v>
      </c>
      <c r="AL206" s="62"/>
      <c r="AM206" s="62"/>
      <c r="AN206" s="65"/>
      <c r="AO206" s="62" t="s">
        <v>390</v>
      </c>
      <c r="AP206" s="62"/>
      <c r="AQ206" s="62" t="s">
        <v>389</v>
      </c>
      <c r="AR206" s="66" t="n">
        <v>3999</v>
      </c>
      <c r="AS206" s="62" t="s">
        <v>411</v>
      </c>
      <c r="AT206" s="65" t="n">
        <v>101.6</v>
      </c>
      <c r="AU206" s="62" t="s">
        <v>417</v>
      </c>
    </row>
    <row r="207" customFormat="false" ht="15" hidden="false" customHeight="false" outlineLevel="0" collapsed="false">
      <c r="A207" s="62" t="s">
        <v>388</v>
      </c>
      <c r="B207" s="63" t="n">
        <v>1185</v>
      </c>
      <c r="C207" s="64" t="n">
        <v>46305.5296596991</v>
      </c>
      <c r="D207" s="62" t="s">
        <v>72</v>
      </c>
      <c r="E207" s="63" t="n">
        <v>12</v>
      </c>
      <c r="F207" s="62" t="s">
        <v>389</v>
      </c>
      <c r="G207" s="62" t="s">
        <v>389</v>
      </c>
      <c r="H207" s="62" t="s">
        <v>389</v>
      </c>
      <c r="I207" s="62" t="s">
        <v>389</v>
      </c>
      <c r="J207" s="65" t="n">
        <v>1.7</v>
      </c>
      <c r="K207" s="62" t="s">
        <v>276</v>
      </c>
      <c r="L207" s="62" t="s">
        <v>389</v>
      </c>
      <c r="M207" s="62" t="s">
        <v>389</v>
      </c>
      <c r="N207" s="62" t="s">
        <v>306</v>
      </c>
      <c r="O207" s="62" t="s">
        <v>389</v>
      </c>
      <c r="P207" s="62" t="s">
        <v>389</v>
      </c>
      <c r="Q207" s="62" t="s">
        <v>390</v>
      </c>
      <c r="R207" s="62" t="s">
        <v>279</v>
      </c>
      <c r="S207" s="62" t="s">
        <v>389</v>
      </c>
      <c r="T207" s="65" t="n">
        <v>16.1</v>
      </c>
      <c r="U207" s="62" t="s">
        <v>279</v>
      </c>
      <c r="V207" s="65" t="n">
        <v>7</v>
      </c>
      <c r="W207" s="65" t="n">
        <v>2.7</v>
      </c>
      <c r="X207" s="63" t="n">
        <v>0</v>
      </c>
      <c r="Y207" s="62" t="s">
        <v>389</v>
      </c>
      <c r="Z207" s="62" t="s">
        <v>389</v>
      </c>
      <c r="AA207" s="62" t="s">
        <v>395</v>
      </c>
      <c r="AB207" s="62" t="s">
        <v>279</v>
      </c>
      <c r="AC207" s="65" t="n">
        <v>24.1</v>
      </c>
      <c r="AD207" s="63" t="n">
        <v>5</v>
      </c>
      <c r="AE207" s="63" t="n">
        <v>20</v>
      </c>
      <c r="AF207" s="63" t="n">
        <v>12</v>
      </c>
      <c r="AG207" s="62" t="s">
        <v>389</v>
      </c>
      <c r="AH207" s="62" t="s">
        <v>398</v>
      </c>
      <c r="AI207" s="63" t="n">
        <v>0</v>
      </c>
      <c r="AJ207" s="62" t="s">
        <v>151</v>
      </c>
      <c r="AK207" s="62" t="s">
        <v>391</v>
      </c>
      <c r="AL207" s="62" t="s">
        <v>392</v>
      </c>
      <c r="AM207" s="62" t="s">
        <v>396</v>
      </c>
      <c r="AN207" s="65" t="n">
        <v>68.7</v>
      </c>
      <c r="AO207" s="62" t="s">
        <v>389</v>
      </c>
      <c r="AP207" s="62" t="s">
        <v>390</v>
      </c>
      <c r="AQ207" s="62" t="s">
        <v>390</v>
      </c>
      <c r="AR207" s="66"/>
      <c r="AS207" s="62"/>
      <c r="AT207" s="65"/>
      <c r="AU207" s="62" t="s">
        <v>397</v>
      </c>
    </row>
    <row r="208" customFormat="false" ht="15" hidden="false" customHeight="false" outlineLevel="0" collapsed="false">
      <c r="A208" s="62" t="s">
        <v>388</v>
      </c>
      <c r="B208" s="63" t="n">
        <v>1189</v>
      </c>
      <c r="C208" s="64" t="n">
        <v>46305.5498759607</v>
      </c>
      <c r="D208" s="62" t="s">
        <v>72</v>
      </c>
      <c r="E208" s="63" t="n">
        <v>13</v>
      </c>
      <c r="F208" s="62" t="s">
        <v>389</v>
      </c>
      <c r="G208" s="62" t="s">
        <v>390</v>
      </c>
      <c r="H208" s="62" t="s">
        <v>390</v>
      </c>
      <c r="I208" s="62" t="s">
        <v>389</v>
      </c>
      <c r="J208" s="65"/>
      <c r="K208" s="62" t="s">
        <v>278</v>
      </c>
      <c r="L208" s="62" t="s">
        <v>389</v>
      </c>
      <c r="M208" s="62" t="s">
        <v>390</v>
      </c>
      <c r="N208" s="62"/>
      <c r="O208" s="62" t="s">
        <v>389</v>
      </c>
      <c r="P208" s="62" t="s">
        <v>390</v>
      </c>
      <c r="Q208" s="62" t="s">
        <v>390</v>
      </c>
      <c r="R208" s="62" t="s">
        <v>278</v>
      </c>
      <c r="S208" s="62" t="s">
        <v>389</v>
      </c>
      <c r="T208" s="65" t="n">
        <v>0.5</v>
      </c>
      <c r="U208" s="62" t="s">
        <v>278</v>
      </c>
      <c r="V208" s="65" t="n">
        <v>0.5</v>
      </c>
      <c r="W208" s="65" t="n">
        <v>0.5</v>
      </c>
      <c r="X208" s="63" t="n">
        <v>0</v>
      </c>
      <c r="Y208" s="62" t="s">
        <v>390</v>
      </c>
      <c r="Z208" s="62" t="s">
        <v>389</v>
      </c>
      <c r="AA208" s="62" t="s">
        <v>395</v>
      </c>
      <c r="AB208" s="62" t="s">
        <v>275</v>
      </c>
      <c r="AC208" s="65" t="n">
        <v>26.1</v>
      </c>
      <c r="AD208" s="63" t="n">
        <v>4</v>
      </c>
      <c r="AE208" s="63" t="n">
        <v>16</v>
      </c>
      <c r="AF208" s="63" t="n">
        <v>6</v>
      </c>
      <c r="AG208" s="62" t="s">
        <v>389</v>
      </c>
      <c r="AH208" s="62" t="s">
        <v>398</v>
      </c>
      <c r="AI208" s="63" t="n">
        <v>0</v>
      </c>
      <c r="AJ208" s="62" t="s">
        <v>148</v>
      </c>
      <c r="AK208" s="62" t="s">
        <v>391</v>
      </c>
      <c r="AL208" s="62" t="s">
        <v>392</v>
      </c>
      <c r="AM208" s="62" t="s">
        <v>396</v>
      </c>
      <c r="AN208" s="65" t="n">
        <v>54</v>
      </c>
      <c r="AO208" s="62" t="s">
        <v>389</v>
      </c>
      <c r="AP208" s="62" t="s">
        <v>390</v>
      </c>
      <c r="AQ208" s="62" t="s">
        <v>390</v>
      </c>
      <c r="AR208" s="66"/>
      <c r="AS208" s="62"/>
      <c r="AT208" s="65"/>
      <c r="AU208" s="62"/>
    </row>
    <row r="209" customFormat="false" ht="15" hidden="false" customHeight="false" outlineLevel="0" collapsed="false">
      <c r="A209" s="62" t="s">
        <v>388</v>
      </c>
      <c r="B209" s="63" t="n">
        <v>1191</v>
      </c>
      <c r="C209" s="64" t="n">
        <v>46305.5593083102</v>
      </c>
      <c r="D209" s="62" t="s">
        <v>72</v>
      </c>
      <c r="E209" s="63" t="n">
        <v>13</v>
      </c>
      <c r="F209" s="62" t="s">
        <v>389</v>
      </c>
      <c r="G209" s="62" t="s">
        <v>389</v>
      </c>
      <c r="H209" s="62" t="s">
        <v>389</v>
      </c>
      <c r="I209" s="62" t="s">
        <v>389</v>
      </c>
      <c r="J209" s="65" t="n">
        <v>0.2</v>
      </c>
      <c r="K209" s="62" t="s">
        <v>278</v>
      </c>
      <c r="L209" s="62" t="s">
        <v>389</v>
      </c>
      <c r="M209" s="62" t="s">
        <v>389</v>
      </c>
      <c r="N209" s="62" t="s">
        <v>307</v>
      </c>
      <c r="O209" s="62" t="s">
        <v>389</v>
      </c>
      <c r="P209" s="62" t="s">
        <v>389</v>
      </c>
      <c r="Q209" s="62" t="s">
        <v>390</v>
      </c>
      <c r="R209" s="62" t="s">
        <v>278</v>
      </c>
      <c r="S209" s="62" t="s">
        <v>389</v>
      </c>
      <c r="T209" s="65" t="n">
        <v>53.3</v>
      </c>
      <c r="U209" s="62" t="s">
        <v>278</v>
      </c>
      <c r="V209" s="65" t="n">
        <v>0.5</v>
      </c>
      <c r="W209" s="65" t="n">
        <v>5.1</v>
      </c>
      <c r="X209" s="63" t="n">
        <v>0</v>
      </c>
      <c r="Y209" s="62" t="s">
        <v>389</v>
      </c>
      <c r="Z209" s="62" t="s">
        <v>389</v>
      </c>
      <c r="AA209" s="62" t="s">
        <v>395</v>
      </c>
      <c r="AB209" s="62" t="s">
        <v>275</v>
      </c>
      <c r="AC209" s="65" t="n">
        <v>29.2</v>
      </c>
      <c r="AD209" s="63" t="n">
        <v>7</v>
      </c>
      <c r="AE209" s="63" t="n">
        <v>20</v>
      </c>
      <c r="AF209" s="63" t="n">
        <v>8</v>
      </c>
      <c r="AG209" s="62" t="s">
        <v>390</v>
      </c>
      <c r="AH209" s="62"/>
      <c r="AI209" s="63" t="n">
        <v>0</v>
      </c>
      <c r="AJ209" s="62" t="s">
        <v>150</v>
      </c>
      <c r="AK209" s="62" t="s">
        <v>391</v>
      </c>
      <c r="AL209" s="62" t="s">
        <v>392</v>
      </c>
      <c r="AM209" s="62" t="s">
        <v>396</v>
      </c>
      <c r="AN209" s="65" t="n">
        <v>53.7</v>
      </c>
      <c r="AO209" s="62" t="s">
        <v>389</v>
      </c>
      <c r="AP209" s="62" t="s">
        <v>390</v>
      </c>
      <c r="AQ209" s="62" t="s">
        <v>390</v>
      </c>
      <c r="AR209" s="66"/>
      <c r="AS209" s="62"/>
      <c r="AT209" s="65"/>
      <c r="AU209" s="62" t="s">
        <v>397</v>
      </c>
    </row>
    <row r="210" customFormat="false" ht="15" hidden="false" customHeight="false" outlineLevel="0" collapsed="false">
      <c r="A210" s="62" t="s">
        <v>388</v>
      </c>
      <c r="B210" s="63" t="n">
        <v>1192</v>
      </c>
      <c r="C210" s="64" t="n">
        <v>46305.559521956</v>
      </c>
      <c r="D210" s="62" t="s">
        <v>72</v>
      </c>
      <c r="E210" s="63" t="n">
        <v>13</v>
      </c>
      <c r="F210" s="62" t="s">
        <v>389</v>
      </c>
      <c r="G210" s="62" t="s">
        <v>389</v>
      </c>
      <c r="H210" s="62" t="s">
        <v>389</v>
      </c>
      <c r="I210" s="62" t="s">
        <v>389</v>
      </c>
      <c r="J210" s="65" t="n">
        <v>1.6</v>
      </c>
      <c r="K210" s="62" t="s">
        <v>279</v>
      </c>
      <c r="L210" s="62" t="s">
        <v>389</v>
      </c>
      <c r="M210" s="62" t="s">
        <v>389</v>
      </c>
      <c r="N210" s="62" t="s">
        <v>304</v>
      </c>
      <c r="O210" s="62" t="s">
        <v>389</v>
      </c>
      <c r="P210" s="62" t="s">
        <v>389</v>
      </c>
      <c r="Q210" s="62" t="s">
        <v>390</v>
      </c>
      <c r="R210" s="62" t="s">
        <v>278</v>
      </c>
      <c r="S210" s="62" t="s">
        <v>389</v>
      </c>
      <c r="T210" s="65" t="n">
        <v>7.3</v>
      </c>
      <c r="U210" s="62" t="s">
        <v>278</v>
      </c>
      <c r="V210" s="65" t="n">
        <v>1.8</v>
      </c>
      <c r="W210" s="65" t="n">
        <v>4.9</v>
      </c>
      <c r="X210" s="63" t="n">
        <v>0</v>
      </c>
      <c r="Y210" s="62" t="s">
        <v>389</v>
      </c>
      <c r="Z210" s="62" t="s">
        <v>389</v>
      </c>
      <c r="AA210" s="62" t="s">
        <v>395</v>
      </c>
      <c r="AB210" s="62" t="s">
        <v>275</v>
      </c>
      <c r="AC210" s="65" t="n">
        <v>28.5</v>
      </c>
      <c r="AD210" s="63" t="n">
        <v>3</v>
      </c>
      <c r="AE210" s="63" t="n">
        <v>20</v>
      </c>
      <c r="AF210" s="63" t="n">
        <v>6</v>
      </c>
      <c r="AG210" s="62" t="s">
        <v>390</v>
      </c>
      <c r="AH210" s="62"/>
      <c r="AI210" s="63" t="n">
        <v>0</v>
      </c>
      <c r="AJ210" s="62" t="s">
        <v>149</v>
      </c>
      <c r="AK210" s="62" t="s">
        <v>391</v>
      </c>
      <c r="AL210" s="62" t="s">
        <v>392</v>
      </c>
      <c r="AM210" s="62" t="s">
        <v>396</v>
      </c>
      <c r="AN210" s="65" t="n">
        <v>53.7</v>
      </c>
      <c r="AO210" s="62" t="s">
        <v>389</v>
      </c>
      <c r="AP210" s="62" t="s">
        <v>390</v>
      </c>
      <c r="AQ210" s="62" t="s">
        <v>390</v>
      </c>
      <c r="AR210" s="66"/>
      <c r="AS210" s="62"/>
      <c r="AT210" s="65"/>
      <c r="AU210" s="62" t="s">
        <v>397</v>
      </c>
    </row>
    <row r="211" customFormat="false" ht="15" hidden="false" customHeight="false" outlineLevel="0" collapsed="false">
      <c r="A211" s="62" t="s">
        <v>388</v>
      </c>
      <c r="B211" s="63" t="n">
        <v>1194</v>
      </c>
      <c r="C211" s="64" t="n">
        <v>46305.5640479051</v>
      </c>
      <c r="D211" s="62" t="s">
        <v>72</v>
      </c>
      <c r="E211" s="63" t="n">
        <v>13</v>
      </c>
      <c r="F211" s="62" t="s">
        <v>389</v>
      </c>
      <c r="G211" s="62" t="s">
        <v>389</v>
      </c>
      <c r="H211" s="62" t="s">
        <v>389</v>
      </c>
      <c r="I211" s="62" t="s">
        <v>389</v>
      </c>
      <c r="J211" s="65" t="n">
        <v>0.5</v>
      </c>
      <c r="K211" s="62" t="s">
        <v>279</v>
      </c>
      <c r="L211" s="62" t="s">
        <v>389</v>
      </c>
      <c r="M211" s="62" t="s">
        <v>389</v>
      </c>
      <c r="N211" s="62" t="s">
        <v>303</v>
      </c>
      <c r="O211" s="62" t="s">
        <v>389</v>
      </c>
      <c r="P211" s="62" t="s">
        <v>389</v>
      </c>
      <c r="Q211" s="62" t="s">
        <v>389</v>
      </c>
      <c r="R211" s="62" t="s">
        <v>278</v>
      </c>
      <c r="S211" s="62" t="s">
        <v>389</v>
      </c>
      <c r="T211" s="65" t="n">
        <v>24.5</v>
      </c>
      <c r="U211" s="62" t="s">
        <v>278</v>
      </c>
      <c r="V211" s="65" t="n">
        <v>0.8</v>
      </c>
      <c r="W211" s="65" t="n">
        <v>2.3</v>
      </c>
      <c r="X211" s="63" t="n">
        <v>0</v>
      </c>
      <c r="Y211" s="62" t="s">
        <v>389</v>
      </c>
      <c r="Z211" s="62" t="s">
        <v>389</v>
      </c>
      <c r="AA211" s="62" t="s">
        <v>395</v>
      </c>
      <c r="AB211" s="62" t="s">
        <v>275</v>
      </c>
      <c r="AC211" s="65" t="n">
        <v>28.8</v>
      </c>
      <c r="AD211" s="63" t="n">
        <v>26</v>
      </c>
      <c r="AE211" s="63" t="n">
        <v>24</v>
      </c>
      <c r="AF211" s="63" t="n">
        <v>31</v>
      </c>
      <c r="AG211" s="62" t="s">
        <v>389</v>
      </c>
      <c r="AH211" s="62" t="s">
        <v>414</v>
      </c>
      <c r="AI211" s="63" t="n">
        <v>0</v>
      </c>
      <c r="AJ211" s="62" t="s">
        <v>154</v>
      </c>
      <c r="AK211" s="62" t="s">
        <v>407</v>
      </c>
      <c r="AL211" s="62"/>
      <c r="AM211" s="62"/>
      <c r="AN211" s="65"/>
      <c r="AO211" s="62" t="s">
        <v>390</v>
      </c>
      <c r="AP211" s="62"/>
      <c r="AQ211" s="62" t="s">
        <v>389</v>
      </c>
      <c r="AR211" s="66" t="n">
        <v>2799</v>
      </c>
      <c r="AS211" s="62" t="s">
        <v>408</v>
      </c>
      <c r="AT211" s="65" t="n">
        <v>54.2</v>
      </c>
      <c r="AU211" s="62" t="s">
        <v>397</v>
      </c>
    </row>
    <row r="212" customFormat="false" ht="15" hidden="false" customHeight="false" outlineLevel="0" collapsed="false">
      <c r="A212" s="62" t="s">
        <v>388</v>
      </c>
      <c r="B212" s="63" t="n">
        <v>1197</v>
      </c>
      <c r="C212" s="64" t="n">
        <v>46305.6008681597</v>
      </c>
      <c r="D212" s="62" t="s">
        <v>72</v>
      </c>
      <c r="E212" s="63" t="n">
        <v>14</v>
      </c>
      <c r="F212" s="62" t="s">
        <v>389</v>
      </c>
      <c r="G212" s="62" t="s">
        <v>389</v>
      </c>
      <c r="H212" s="62" t="s">
        <v>389</v>
      </c>
      <c r="I212" s="62" t="s">
        <v>389</v>
      </c>
      <c r="J212" s="65" t="n">
        <v>1</v>
      </c>
      <c r="K212" s="62" t="s">
        <v>278</v>
      </c>
      <c r="L212" s="62" t="s">
        <v>389</v>
      </c>
      <c r="M212" s="62" t="s">
        <v>390</v>
      </c>
      <c r="N212" s="62"/>
      <c r="O212" s="62" t="s">
        <v>389</v>
      </c>
      <c r="P212" s="62" t="s">
        <v>390</v>
      </c>
      <c r="Q212" s="62" t="s">
        <v>390</v>
      </c>
      <c r="R212" s="62" t="s">
        <v>277</v>
      </c>
      <c r="S212" s="62" t="s">
        <v>389</v>
      </c>
      <c r="T212" s="65" t="n">
        <v>2747.6</v>
      </c>
      <c r="U212" s="62" t="s">
        <v>277</v>
      </c>
      <c r="V212" s="65" t="n">
        <v>6.9</v>
      </c>
      <c r="W212" s="65" t="n">
        <v>2741.8</v>
      </c>
      <c r="X212" s="63" t="n">
        <v>0</v>
      </c>
      <c r="Y212" s="62" t="s">
        <v>390</v>
      </c>
      <c r="Z212" s="62" t="s">
        <v>389</v>
      </c>
      <c r="AA212" s="62" t="s">
        <v>395</v>
      </c>
      <c r="AB212" s="62" t="s">
        <v>275</v>
      </c>
      <c r="AC212" s="65" t="n">
        <v>26.2</v>
      </c>
      <c r="AD212" s="63" t="n">
        <v>2</v>
      </c>
      <c r="AE212" s="63" t="n">
        <v>18</v>
      </c>
      <c r="AF212" s="63" t="n">
        <v>2</v>
      </c>
      <c r="AG212" s="62" t="s">
        <v>390</v>
      </c>
      <c r="AH212" s="62"/>
      <c r="AI212" s="63" t="n">
        <v>0</v>
      </c>
      <c r="AJ212" s="62" t="s">
        <v>148</v>
      </c>
      <c r="AK212" s="62" t="s">
        <v>391</v>
      </c>
      <c r="AL212" s="62" t="s">
        <v>392</v>
      </c>
      <c r="AM212" s="62" t="s">
        <v>396</v>
      </c>
      <c r="AN212" s="65" t="n">
        <v>66.9</v>
      </c>
      <c r="AO212" s="62" t="s">
        <v>389</v>
      </c>
      <c r="AP212" s="62" t="s">
        <v>390</v>
      </c>
      <c r="AQ212" s="62" t="s">
        <v>390</v>
      </c>
      <c r="AR212" s="66"/>
      <c r="AS212" s="62"/>
      <c r="AT212" s="65"/>
      <c r="AU212" s="62" t="s">
        <v>417</v>
      </c>
    </row>
    <row r="213" customFormat="false" ht="15" hidden="false" customHeight="false" outlineLevel="0" collapsed="false">
      <c r="A213" s="62" t="s">
        <v>388</v>
      </c>
      <c r="B213" s="63" t="n">
        <v>1199</v>
      </c>
      <c r="C213" s="64" t="n">
        <v>46305.6122590741</v>
      </c>
      <c r="D213" s="62" t="s">
        <v>72</v>
      </c>
      <c r="E213" s="63" t="n">
        <v>14</v>
      </c>
      <c r="F213" s="62" t="s">
        <v>389</v>
      </c>
      <c r="G213" s="62" t="s">
        <v>389</v>
      </c>
      <c r="H213" s="62" t="s">
        <v>389</v>
      </c>
      <c r="I213" s="62" t="s">
        <v>389</v>
      </c>
      <c r="J213" s="65" t="n">
        <v>0.6</v>
      </c>
      <c r="K213" s="62" t="s">
        <v>279</v>
      </c>
      <c r="L213" s="62" t="s">
        <v>389</v>
      </c>
      <c r="M213" s="62" t="s">
        <v>390</v>
      </c>
      <c r="N213" s="62"/>
      <c r="O213" s="62" t="s">
        <v>389</v>
      </c>
      <c r="P213" s="62" t="s">
        <v>390</v>
      </c>
      <c r="Q213" s="62" t="s">
        <v>390</v>
      </c>
      <c r="R213" s="62" t="s">
        <v>277</v>
      </c>
      <c r="S213" s="62" t="s">
        <v>390</v>
      </c>
      <c r="T213" s="65" t="n">
        <v>2729.7</v>
      </c>
      <c r="U213" s="62" t="s">
        <v>277</v>
      </c>
      <c r="V213" s="65" t="n">
        <v>0.8</v>
      </c>
      <c r="W213" s="65" t="n">
        <v>2729.4</v>
      </c>
      <c r="X213" s="63" t="n">
        <v>0</v>
      </c>
      <c r="Y213" s="62" t="s">
        <v>390</v>
      </c>
      <c r="Z213" s="62" t="s">
        <v>389</v>
      </c>
      <c r="AA213" s="62" t="s">
        <v>395</v>
      </c>
      <c r="AB213" s="62" t="s">
        <v>275</v>
      </c>
      <c r="AC213" s="65" t="n">
        <v>26.1</v>
      </c>
      <c r="AD213" s="63" t="n">
        <v>2</v>
      </c>
      <c r="AE213" s="63" t="n">
        <v>18</v>
      </c>
      <c r="AF213" s="63" t="n">
        <v>2</v>
      </c>
      <c r="AG213" s="62" t="s">
        <v>390</v>
      </c>
      <c r="AH213" s="62"/>
      <c r="AI213" s="63" t="n">
        <v>0</v>
      </c>
      <c r="AJ213" s="62" t="s">
        <v>148</v>
      </c>
      <c r="AK213" s="62" t="s">
        <v>391</v>
      </c>
      <c r="AL213" s="62" t="s">
        <v>392</v>
      </c>
      <c r="AM213" s="62" t="s">
        <v>396</v>
      </c>
      <c r="AN213" s="65" t="n">
        <v>66.6</v>
      </c>
      <c r="AO213" s="62" t="s">
        <v>389</v>
      </c>
      <c r="AP213" s="62" t="s">
        <v>390</v>
      </c>
      <c r="AQ213" s="62" t="s">
        <v>390</v>
      </c>
      <c r="AR213" s="66"/>
      <c r="AS213" s="62"/>
      <c r="AT213" s="65"/>
      <c r="AU213" s="62" t="s">
        <v>397</v>
      </c>
    </row>
    <row r="214" customFormat="false" ht="15" hidden="false" customHeight="false" outlineLevel="0" collapsed="false">
      <c r="A214" s="62" t="s">
        <v>388</v>
      </c>
      <c r="B214" s="63" t="n">
        <v>1202</v>
      </c>
      <c r="C214" s="64" t="n">
        <v>46305.6633469907</v>
      </c>
      <c r="D214" s="62" t="s">
        <v>72</v>
      </c>
      <c r="E214" s="63" t="n">
        <v>15</v>
      </c>
      <c r="F214" s="62" t="s">
        <v>389</v>
      </c>
      <c r="G214" s="62" t="s">
        <v>390</v>
      </c>
      <c r="H214" s="62" t="s">
        <v>390</v>
      </c>
      <c r="I214" s="62" t="s">
        <v>389</v>
      </c>
      <c r="J214" s="65"/>
      <c r="K214" s="62" t="s">
        <v>275</v>
      </c>
      <c r="L214" s="62" t="s">
        <v>389</v>
      </c>
      <c r="M214" s="62" t="s">
        <v>390</v>
      </c>
      <c r="N214" s="62"/>
      <c r="O214" s="62" t="s">
        <v>389</v>
      </c>
      <c r="P214" s="62" t="s">
        <v>390</v>
      </c>
      <c r="Q214" s="62" t="s">
        <v>390</v>
      </c>
      <c r="R214" s="62" t="s">
        <v>277</v>
      </c>
      <c r="S214" s="62" t="s">
        <v>390</v>
      </c>
      <c r="T214" s="65" t="n">
        <v>1322.4</v>
      </c>
      <c r="U214" s="62" t="s">
        <v>277</v>
      </c>
      <c r="V214" s="65" t="n">
        <v>1322.4</v>
      </c>
      <c r="W214" s="65" t="n">
        <v>2.9</v>
      </c>
      <c r="X214" s="63" t="n">
        <v>0</v>
      </c>
      <c r="Y214" s="62" t="s">
        <v>390</v>
      </c>
      <c r="Z214" s="62" t="s">
        <v>389</v>
      </c>
      <c r="AA214" s="62" t="s">
        <v>395</v>
      </c>
      <c r="AB214" s="62" t="s">
        <v>275</v>
      </c>
      <c r="AC214" s="65" t="n">
        <v>26.6</v>
      </c>
      <c r="AD214" s="63" t="n">
        <v>3</v>
      </c>
      <c r="AE214" s="63" t="n">
        <v>19</v>
      </c>
      <c r="AF214" s="63" t="n">
        <v>4</v>
      </c>
      <c r="AG214" s="62" t="s">
        <v>390</v>
      </c>
      <c r="AH214" s="62"/>
      <c r="AI214" s="63" t="n">
        <v>0</v>
      </c>
      <c r="AJ214" s="62" t="s">
        <v>153</v>
      </c>
      <c r="AK214" s="62" t="s">
        <v>391</v>
      </c>
      <c r="AL214" s="62" t="s">
        <v>392</v>
      </c>
      <c r="AM214" s="62" t="s">
        <v>396</v>
      </c>
      <c r="AN214" s="65" t="n">
        <v>65.3</v>
      </c>
      <c r="AO214" s="62" t="s">
        <v>389</v>
      </c>
      <c r="AP214" s="62" t="s">
        <v>389</v>
      </c>
      <c r="AQ214" s="62" t="s">
        <v>390</v>
      </c>
      <c r="AR214" s="66"/>
      <c r="AS214" s="62"/>
      <c r="AT214" s="65"/>
      <c r="AU214" s="62" t="s">
        <v>397</v>
      </c>
    </row>
    <row r="215" customFormat="false" ht="15" hidden="false" customHeight="false" outlineLevel="0" collapsed="false">
      <c r="A215" s="62" t="s">
        <v>388</v>
      </c>
      <c r="B215" s="63" t="n">
        <v>1204</v>
      </c>
      <c r="C215" s="64" t="n">
        <v>46305.6676633333</v>
      </c>
      <c r="D215" s="62" t="s">
        <v>72</v>
      </c>
      <c r="E215" s="63" t="n">
        <v>16</v>
      </c>
      <c r="F215" s="62" t="s">
        <v>389</v>
      </c>
      <c r="G215" s="62" t="s">
        <v>389</v>
      </c>
      <c r="H215" s="62" t="s">
        <v>389</v>
      </c>
      <c r="I215" s="62" t="s">
        <v>389</v>
      </c>
      <c r="J215" s="65" t="n">
        <v>0.2</v>
      </c>
      <c r="K215" s="62" t="s">
        <v>279</v>
      </c>
      <c r="L215" s="62" t="s">
        <v>389</v>
      </c>
      <c r="M215" s="62" t="s">
        <v>390</v>
      </c>
      <c r="N215" s="62"/>
      <c r="O215" s="62" t="s">
        <v>389</v>
      </c>
      <c r="P215" s="62" t="s">
        <v>390</v>
      </c>
      <c r="Q215" s="62" t="s">
        <v>390</v>
      </c>
      <c r="R215" s="62" t="s">
        <v>277</v>
      </c>
      <c r="S215" s="62" t="s">
        <v>390</v>
      </c>
      <c r="T215" s="65" t="n">
        <v>1316.4</v>
      </c>
      <c r="U215" s="62" t="s">
        <v>277</v>
      </c>
      <c r="V215" s="65" t="n">
        <v>0.6</v>
      </c>
      <c r="W215" s="65" t="n">
        <v>1316</v>
      </c>
      <c r="X215" s="63" t="n">
        <v>0</v>
      </c>
      <c r="Y215" s="62" t="s">
        <v>390</v>
      </c>
      <c r="Z215" s="62" t="s">
        <v>389</v>
      </c>
      <c r="AA215" s="62" t="s">
        <v>395</v>
      </c>
      <c r="AB215" s="62" t="s">
        <v>275</v>
      </c>
      <c r="AC215" s="65" t="n">
        <v>26.1</v>
      </c>
      <c r="AD215" s="63" t="n">
        <v>2</v>
      </c>
      <c r="AE215" s="63" t="n">
        <v>18</v>
      </c>
      <c r="AF215" s="63" t="n">
        <v>3</v>
      </c>
      <c r="AG215" s="62" t="s">
        <v>389</v>
      </c>
      <c r="AH215" s="62" t="s">
        <v>398</v>
      </c>
      <c r="AI215" s="63" t="n">
        <v>0</v>
      </c>
      <c r="AJ215" s="62" t="s">
        <v>148</v>
      </c>
      <c r="AK215" s="62" t="s">
        <v>391</v>
      </c>
      <c r="AL215" s="62" t="s">
        <v>392</v>
      </c>
      <c r="AM215" s="62" t="s">
        <v>396</v>
      </c>
      <c r="AN215" s="65" t="n">
        <v>65.2</v>
      </c>
      <c r="AO215" s="62" t="s">
        <v>389</v>
      </c>
      <c r="AP215" s="62" t="s">
        <v>390</v>
      </c>
      <c r="AQ215" s="62" t="s">
        <v>390</v>
      </c>
      <c r="AR215" s="66"/>
      <c r="AS215" s="62"/>
      <c r="AT215" s="65"/>
      <c r="AU215" s="62" t="s">
        <v>397</v>
      </c>
    </row>
    <row r="216" customFormat="false" ht="15" hidden="false" customHeight="false" outlineLevel="0" collapsed="false">
      <c r="A216" s="62" t="s">
        <v>388</v>
      </c>
      <c r="B216" s="63" t="n">
        <v>1207</v>
      </c>
      <c r="C216" s="64" t="n">
        <v>46305.6954884144</v>
      </c>
      <c r="D216" s="62" t="s">
        <v>72</v>
      </c>
      <c r="E216" s="63" t="n">
        <v>16</v>
      </c>
      <c r="F216" s="62" t="s">
        <v>389</v>
      </c>
      <c r="G216" s="62" t="s">
        <v>390</v>
      </c>
      <c r="H216" s="62" t="s">
        <v>390</v>
      </c>
      <c r="I216" s="62" t="s">
        <v>389</v>
      </c>
      <c r="J216" s="65"/>
      <c r="K216" s="62" t="s">
        <v>275</v>
      </c>
      <c r="L216" s="62" t="s">
        <v>389</v>
      </c>
      <c r="M216" s="62" t="s">
        <v>390</v>
      </c>
      <c r="N216" s="62"/>
      <c r="O216" s="62" t="s">
        <v>389</v>
      </c>
      <c r="P216" s="62" t="s">
        <v>390</v>
      </c>
      <c r="Q216" s="62" t="s">
        <v>390</v>
      </c>
      <c r="R216" s="62" t="s">
        <v>277</v>
      </c>
      <c r="S216" s="62" t="s">
        <v>390</v>
      </c>
      <c r="T216" s="65" t="n">
        <v>3872.8</v>
      </c>
      <c r="U216" s="62" t="s">
        <v>277</v>
      </c>
      <c r="V216" s="65" t="n">
        <v>3872.8</v>
      </c>
      <c r="W216" s="65"/>
      <c r="X216" s="63" t="n">
        <v>0</v>
      </c>
      <c r="Y216" s="62" t="s">
        <v>390</v>
      </c>
      <c r="Z216" s="62" t="s">
        <v>389</v>
      </c>
      <c r="AA216" s="62" t="s">
        <v>395</v>
      </c>
      <c r="AB216" s="62" t="s">
        <v>275</v>
      </c>
      <c r="AC216" s="65" t="n">
        <v>44.3</v>
      </c>
      <c r="AD216" s="63" t="n">
        <v>1</v>
      </c>
      <c r="AE216" s="63" t="n">
        <v>19</v>
      </c>
      <c r="AF216" s="63" t="n">
        <v>1</v>
      </c>
      <c r="AG216" s="62" t="s">
        <v>389</v>
      </c>
      <c r="AH216" s="62" t="s">
        <v>398</v>
      </c>
      <c r="AI216" s="63" t="n">
        <v>0</v>
      </c>
      <c r="AJ216" s="62" t="s">
        <v>147</v>
      </c>
      <c r="AK216" s="62" t="s">
        <v>391</v>
      </c>
      <c r="AL216" s="62" t="s">
        <v>392</v>
      </c>
      <c r="AM216" s="62" t="s">
        <v>396</v>
      </c>
      <c r="AN216" s="65" t="n">
        <v>64.5</v>
      </c>
      <c r="AO216" s="62" t="s">
        <v>389</v>
      </c>
      <c r="AP216" s="62" t="s">
        <v>390</v>
      </c>
      <c r="AQ216" s="62" t="s">
        <v>390</v>
      </c>
      <c r="AR216" s="66"/>
      <c r="AS216" s="62"/>
      <c r="AT216" s="65"/>
      <c r="AU216" s="62" t="s">
        <v>417</v>
      </c>
    </row>
    <row r="217" customFormat="false" ht="15" hidden="false" customHeight="false" outlineLevel="0" collapsed="false">
      <c r="A217" s="62" t="s">
        <v>388</v>
      </c>
      <c r="B217" s="63" t="n">
        <v>1210</v>
      </c>
      <c r="C217" s="64" t="n">
        <v>46305.704944213</v>
      </c>
      <c r="D217" s="62" t="s">
        <v>72</v>
      </c>
      <c r="E217" s="63" t="n">
        <v>16</v>
      </c>
      <c r="F217" s="62" t="s">
        <v>389</v>
      </c>
      <c r="G217" s="62" t="s">
        <v>390</v>
      </c>
      <c r="H217" s="62" t="s">
        <v>390</v>
      </c>
      <c r="I217" s="62" t="s">
        <v>389</v>
      </c>
      <c r="J217" s="65"/>
      <c r="K217" s="62" t="s">
        <v>275</v>
      </c>
      <c r="L217" s="62" t="s">
        <v>389</v>
      </c>
      <c r="M217" s="62" t="s">
        <v>390</v>
      </c>
      <c r="N217" s="62"/>
      <c r="O217" s="62" t="s">
        <v>389</v>
      </c>
      <c r="P217" s="62" t="s">
        <v>390</v>
      </c>
      <c r="Q217" s="62" t="s">
        <v>390</v>
      </c>
      <c r="R217" s="62" t="s">
        <v>277</v>
      </c>
      <c r="S217" s="62" t="s">
        <v>389</v>
      </c>
      <c r="T217" s="65" t="n">
        <v>3859</v>
      </c>
      <c r="U217" s="62" t="s">
        <v>277</v>
      </c>
      <c r="V217" s="65" t="n">
        <v>3859</v>
      </c>
      <c r="W217" s="65"/>
      <c r="X217" s="63" t="n">
        <v>0</v>
      </c>
      <c r="Y217" s="62" t="s">
        <v>390</v>
      </c>
      <c r="Z217" s="62" t="s">
        <v>389</v>
      </c>
      <c r="AA217" s="62" t="s">
        <v>395</v>
      </c>
      <c r="AB217" s="62" t="s">
        <v>275</v>
      </c>
      <c r="AC217" s="65" t="n">
        <v>44.1</v>
      </c>
      <c r="AD217" s="63" t="n">
        <v>1</v>
      </c>
      <c r="AE217" s="63" t="n">
        <v>19</v>
      </c>
      <c r="AF217" s="63" t="n">
        <v>2</v>
      </c>
      <c r="AG217" s="62" t="s">
        <v>390</v>
      </c>
      <c r="AH217" s="62"/>
      <c r="AI217" s="63" t="n">
        <v>0</v>
      </c>
      <c r="AJ217" s="62" t="s">
        <v>147</v>
      </c>
      <c r="AK217" s="62" t="s">
        <v>391</v>
      </c>
      <c r="AL217" s="62" t="s">
        <v>392</v>
      </c>
      <c r="AM217" s="62" t="s">
        <v>396</v>
      </c>
      <c r="AN217" s="65" t="n">
        <v>87.5</v>
      </c>
      <c r="AO217" s="62" t="s">
        <v>389</v>
      </c>
      <c r="AP217" s="62" t="s">
        <v>390</v>
      </c>
      <c r="AQ217" s="62" t="s">
        <v>390</v>
      </c>
      <c r="AR217" s="66"/>
      <c r="AS217" s="62"/>
      <c r="AT217" s="65"/>
      <c r="AU217" s="62" t="s">
        <v>417</v>
      </c>
    </row>
    <row r="218" customFormat="false" ht="15" hidden="false" customHeight="false" outlineLevel="0" collapsed="false">
      <c r="A218" s="62" t="s">
        <v>388</v>
      </c>
      <c r="B218" s="63" t="n">
        <v>1213</v>
      </c>
      <c r="C218" s="64" t="n">
        <v>46305.7277098148</v>
      </c>
      <c r="D218" s="62" t="s">
        <v>72</v>
      </c>
      <c r="E218" s="63" t="n">
        <v>17</v>
      </c>
      <c r="F218" s="62" t="s">
        <v>389</v>
      </c>
      <c r="G218" s="62" t="s">
        <v>389</v>
      </c>
      <c r="H218" s="62" t="s">
        <v>389</v>
      </c>
      <c r="I218" s="62" t="s">
        <v>389</v>
      </c>
      <c r="J218" s="65" t="n">
        <v>0.3</v>
      </c>
      <c r="K218" s="62" t="s">
        <v>278</v>
      </c>
      <c r="L218" s="62" t="s">
        <v>389</v>
      </c>
      <c r="M218" s="62" t="s">
        <v>389</v>
      </c>
      <c r="N218" s="62" t="s">
        <v>305</v>
      </c>
      <c r="O218" s="62" t="s">
        <v>389</v>
      </c>
      <c r="P218" s="62" t="s">
        <v>389</v>
      </c>
      <c r="Q218" s="62" t="s">
        <v>390</v>
      </c>
      <c r="R218" s="62" t="s">
        <v>278</v>
      </c>
      <c r="S218" s="62" t="s">
        <v>389</v>
      </c>
      <c r="T218" s="65" t="n">
        <v>4.7</v>
      </c>
      <c r="U218" s="62" t="s">
        <v>278</v>
      </c>
      <c r="V218" s="65" t="n">
        <v>0.5</v>
      </c>
      <c r="W218" s="65" t="n">
        <v>2.9</v>
      </c>
      <c r="X218" s="63" t="n">
        <v>0</v>
      </c>
      <c r="Y218" s="62" t="s">
        <v>389</v>
      </c>
      <c r="Z218" s="62" t="s">
        <v>389</v>
      </c>
      <c r="AA218" s="62" t="s">
        <v>395</v>
      </c>
      <c r="AB218" s="62" t="s">
        <v>275</v>
      </c>
      <c r="AC218" s="65" t="n">
        <v>43.6</v>
      </c>
      <c r="AD218" s="63" t="n">
        <v>9</v>
      </c>
      <c r="AE218" s="63" t="n">
        <v>22</v>
      </c>
      <c r="AF218" s="63" t="n">
        <v>9</v>
      </c>
      <c r="AG218" s="62" t="s">
        <v>390</v>
      </c>
      <c r="AH218" s="62"/>
      <c r="AI218" s="63" t="n">
        <v>0</v>
      </c>
      <c r="AJ218" s="62" t="s">
        <v>151</v>
      </c>
      <c r="AK218" s="62" t="s">
        <v>391</v>
      </c>
      <c r="AL218" s="62" t="s">
        <v>392</v>
      </c>
      <c r="AM218" s="62" t="s">
        <v>396</v>
      </c>
      <c r="AN218" s="65" t="n">
        <v>68.1</v>
      </c>
      <c r="AO218" s="62" t="s">
        <v>389</v>
      </c>
      <c r="AP218" s="62" t="s">
        <v>390</v>
      </c>
      <c r="AQ218" s="62" t="s">
        <v>390</v>
      </c>
      <c r="AR218" s="66"/>
      <c r="AS218" s="62"/>
      <c r="AT218" s="65"/>
      <c r="AU218" s="62" t="s">
        <v>397</v>
      </c>
    </row>
    <row r="219" customFormat="false" ht="15" hidden="false" customHeight="false" outlineLevel="0" collapsed="false">
      <c r="A219" s="62" t="s">
        <v>388</v>
      </c>
      <c r="B219" s="63" t="n">
        <v>1221</v>
      </c>
      <c r="C219" s="64" t="n">
        <v>46305.7559914699</v>
      </c>
      <c r="D219" s="62" t="s">
        <v>72</v>
      </c>
      <c r="E219" s="63" t="n">
        <v>18</v>
      </c>
      <c r="F219" s="62" t="s">
        <v>389</v>
      </c>
      <c r="G219" s="62" t="s">
        <v>390</v>
      </c>
      <c r="H219" s="62" t="s">
        <v>390</v>
      </c>
      <c r="I219" s="62" t="s">
        <v>389</v>
      </c>
      <c r="J219" s="65"/>
      <c r="K219" s="62" t="s">
        <v>275</v>
      </c>
      <c r="L219" s="62" t="s">
        <v>389</v>
      </c>
      <c r="M219" s="62" t="s">
        <v>390</v>
      </c>
      <c r="N219" s="62"/>
      <c r="O219" s="62" t="s">
        <v>389</v>
      </c>
      <c r="P219" s="62" t="s">
        <v>390</v>
      </c>
      <c r="Q219" s="62" t="s">
        <v>390</v>
      </c>
      <c r="R219" s="62" t="s">
        <v>277</v>
      </c>
      <c r="S219" s="62" t="s">
        <v>389</v>
      </c>
      <c r="T219" s="65" t="n">
        <v>3783.8</v>
      </c>
      <c r="U219" s="62" t="s">
        <v>277</v>
      </c>
      <c r="V219" s="65" t="n">
        <v>3783.8</v>
      </c>
      <c r="W219" s="65"/>
      <c r="X219" s="63" t="n">
        <v>0</v>
      </c>
      <c r="Y219" s="62" t="s">
        <v>390</v>
      </c>
      <c r="Z219" s="62" t="s">
        <v>389</v>
      </c>
      <c r="AA219" s="62" t="s">
        <v>395</v>
      </c>
      <c r="AB219" s="62" t="s">
        <v>275</v>
      </c>
      <c r="AC219" s="65" t="n">
        <v>42.9</v>
      </c>
      <c r="AD219" s="63" t="n">
        <v>1</v>
      </c>
      <c r="AE219" s="63" t="n">
        <v>19</v>
      </c>
      <c r="AF219" s="63" t="n">
        <v>2</v>
      </c>
      <c r="AG219" s="62" t="s">
        <v>390</v>
      </c>
      <c r="AH219" s="62"/>
      <c r="AI219" s="63" t="n">
        <v>0</v>
      </c>
      <c r="AJ219" s="62" t="s">
        <v>147</v>
      </c>
      <c r="AK219" s="62" t="s">
        <v>391</v>
      </c>
      <c r="AL219" s="62" t="s">
        <v>392</v>
      </c>
      <c r="AM219" s="62" t="s">
        <v>396</v>
      </c>
      <c r="AN219" s="65" t="n">
        <v>86.3</v>
      </c>
      <c r="AO219" s="62" t="s">
        <v>389</v>
      </c>
      <c r="AP219" s="62" t="s">
        <v>390</v>
      </c>
      <c r="AQ219" s="62" t="s">
        <v>390</v>
      </c>
      <c r="AR219" s="66"/>
      <c r="AS219" s="62"/>
      <c r="AT219" s="65"/>
      <c r="AU219" s="62" t="s">
        <v>399</v>
      </c>
    </row>
    <row r="220" customFormat="false" ht="15" hidden="false" customHeight="false" outlineLevel="0" collapsed="false">
      <c r="A220" s="62" t="s">
        <v>388</v>
      </c>
      <c r="B220" s="63" t="n">
        <v>1233</v>
      </c>
      <c r="C220" s="64" t="n">
        <v>46305.8128475347</v>
      </c>
      <c r="D220" s="62" t="s">
        <v>72</v>
      </c>
      <c r="E220" s="63" t="n">
        <v>19</v>
      </c>
      <c r="F220" s="62" t="s">
        <v>389</v>
      </c>
      <c r="G220" s="62" t="s">
        <v>389</v>
      </c>
      <c r="H220" s="62" t="s">
        <v>389</v>
      </c>
      <c r="I220" s="62" t="s">
        <v>389</v>
      </c>
      <c r="J220" s="65" t="n">
        <v>0.2</v>
      </c>
      <c r="K220" s="62" t="s">
        <v>278</v>
      </c>
      <c r="L220" s="62" t="s">
        <v>389</v>
      </c>
      <c r="M220" s="62" t="s">
        <v>389</v>
      </c>
      <c r="N220" s="62" t="s">
        <v>309</v>
      </c>
      <c r="O220" s="62" t="s">
        <v>390</v>
      </c>
      <c r="P220" s="62" t="s">
        <v>389</v>
      </c>
      <c r="Q220" s="62" t="s">
        <v>390</v>
      </c>
      <c r="R220" s="62" t="s">
        <v>278</v>
      </c>
      <c r="S220" s="62" t="s">
        <v>389</v>
      </c>
      <c r="T220" s="65" t="n">
        <v>15.3</v>
      </c>
      <c r="U220" s="62" t="s">
        <v>278</v>
      </c>
      <c r="V220" s="65" t="n">
        <v>10.2</v>
      </c>
      <c r="W220" s="65" t="n">
        <v>1.7</v>
      </c>
      <c r="X220" s="63" t="n">
        <v>0</v>
      </c>
      <c r="Y220" s="62" t="s">
        <v>389</v>
      </c>
      <c r="Z220" s="62" t="s">
        <v>389</v>
      </c>
      <c r="AA220" s="62" t="s">
        <v>395</v>
      </c>
      <c r="AB220" s="62" t="s">
        <v>276</v>
      </c>
      <c r="AC220" s="65" t="n">
        <v>37.6</v>
      </c>
      <c r="AD220" s="63" t="n">
        <v>4</v>
      </c>
      <c r="AE220" s="63" t="n">
        <v>9</v>
      </c>
      <c r="AF220" s="63" t="n">
        <v>8</v>
      </c>
      <c r="AG220" s="62" t="s">
        <v>390</v>
      </c>
      <c r="AH220" s="62"/>
      <c r="AI220" s="63" t="n">
        <v>0</v>
      </c>
      <c r="AJ220" s="62" t="s">
        <v>151</v>
      </c>
      <c r="AK220" s="62" t="s">
        <v>391</v>
      </c>
      <c r="AL220" s="62" t="s">
        <v>392</v>
      </c>
      <c r="AM220" s="62" t="s">
        <v>396</v>
      </c>
      <c r="AN220" s="65" t="n">
        <v>66.4</v>
      </c>
      <c r="AO220" s="62" t="s">
        <v>389</v>
      </c>
      <c r="AP220" s="62" t="s">
        <v>390</v>
      </c>
      <c r="AQ220" s="62" t="s">
        <v>390</v>
      </c>
      <c r="AR220" s="66"/>
      <c r="AS220" s="62"/>
      <c r="AT220" s="65"/>
      <c r="AU220" s="62" t="s">
        <v>397</v>
      </c>
    </row>
    <row r="221" customFormat="false" ht="15" hidden="false" customHeight="false" outlineLevel="0" collapsed="false">
      <c r="A221" s="62" t="s">
        <v>388</v>
      </c>
      <c r="B221" s="63" t="n">
        <v>1234</v>
      </c>
      <c r="C221" s="64" t="n">
        <v>46305.8174898032</v>
      </c>
      <c r="D221" s="62" t="s">
        <v>72</v>
      </c>
      <c r="E221" s="63" t="n">
        <v>19</v>
      </c>
      <c r="F221" s="62" t="s">
        <v>389</v>
      </c>
      <c r="G221" s="62" t="s">
        <v>389</v>
      </c>
      <c r="H221" s="62" t="s">
        <v>389</v>
      </c>
      <c r="I221" s="62" t="s">
        <v>389</v>
      </c>
      <c r="J221" s="65" t="n">
        <v>0.2</v>
      </c>
      <c r="K221" s="62" t="s">
        <v>278</v>
      </c>
      <c r="L221" s="62" t="s">
        <v>389</v>
      </c>
      <c r="M221" s="62" t="s">
        <v>389</v>
      </c>
      <c r="N221" s="62" t="s">
        <v>307</v>
      </c>
      <c r="O221" s="62" t="s">
        <v>390</v>
      </c>
      <c r="P221" s="62" t="s">
        <v>389</v>
      </c>
      <c r="Q221" s="62" t="s">
        <v>390</v>
      </c>
      <c r="R221" s="62" t="s">
        <v>278</v>
      </c>
      <c r="S221" s="62" t="s">
        <v>389</v>
      </c>
      <c r="T221" s="65" t="n">
        <v>4.1</v>
      </c>
      <c r="U221" s="62" t="s">
        <v>278</v>
      </c>
      <c r="V221" s="65" t="n">
        <v>0.8</v>
      </c>
      <c r="W221" s="65" t="n">
        <v>1.9</v>
      </c>
      <c r="X221" s="63" t="n">
        <v>0</v>
      </c>
      <c r="Y221" s="62" t="s">
        <v>389</v>
      </c>
      <c r="Z221" s="62" t="s">
        <v>389</v>
      </c>
      <c r="AA221" s="62" t="s">
        <v>395</v>
      </c>
      <c r="AB221" s="62" t="s">
        <v>276</v>
      </c>
      <c r="AC221" s="65" t="n">
        <v>37.5</v>
      </c>
      <c r="AD221" s="63" t="n">
        <v>10</v>
      </c>
      <c r="AE221" s="63" t="n">
        <v>9</v>
      </c>
      <c r="AF221" s="63" t="n">
        <v>10</v>
      </c>
      <c r="AG221" s="62" t="s">
        <v>389</v>
      </c>
      <c r="AH221" s="62" t="s">
        <v>398</v>
      </c>
      <c r="AI221" s="63" t="n">
        <v>0</v>
      </c>
      <c r="AJ221" s="62" t="s">
        <v>151</v>
      </c>
      <c r="AK221" s="62" t="s">
        <v>402</v>
      </c>
      <c r="AL221" s="62"/>
      <c r="AM221" s="62"/>
      <c r="AN221" s="65"/>
      <c r="AO221" s="62" t="s">
        <v>390</v>
      </c>
      <c r="AP221" s="62"/>
      <c r="AQ221" s="62" t="s">
        <v>390</v>
      </c>
      <c r="AR221" s="66"/>
      <c r="AS221" s="62"/>
      <c r="AT221" s="65"/>
      <c r="AU221" s="62" t="s">
        <v>397</v>
      </c>
    </row>
    <row r="222" customFormat="false" ht="15" hidden="false" customHeight="false" outlineLevel="0" collapsed="false">
      <c r="A222" s="62" t="s">
        <v>388</v>
      </c>
      <c r="B222" s="63" t="n">
        <v>1237</v>
      </c>
      <c r="C222" s="64" t="n">
        <v>46305.8325354398</v>
      </c>
      <c r="D222" s="62" t="s">
        <v>72</v>
      </c>
      <c r="E222" s="63" t="n">
        <v>19</v>
      </c>
      <c r="F222" s="62" t="s">
        <v>389</v>
      </c>
      <c r="G222" s="62" t="s">
        <v>389</v>
      </c>
      <c r="H222" s="62" t="s">
        <v>389</v>
      </c>
      <c r="I222" s="62" t="s">
        <v>389</v>
      </c>
      <c r="J222" s="65" t="n">
        <v>1.8</v>
      </c>
      <c r="K222" s="62" t="s">
        <v>278</v>
      </c>
      <c r="L222" s="62" t="s">
        <v>389</v>
      </c>
      <c r="M222" s="62" t="s">
        <v>390</v>
      </c>
      <c r="N222" s="62"/>
      <c r="O222" s="62" t="s">
        <v>389</v>
      </c>
      <c r="P222" s="62" t="s">
        <v>389</v>
      </c>
      <c r="Q222" s="62" t="s">
        <v>389</v>
      </c>
      <c r="R222" s="62" t="s">
        <v>279</v>
      </c>
      <c r="S222" s="62" t="s">
        <v>389</v>
      </c>
      <c r="T222" s="65" t="n">
        <v>14.7</v>
      </c>
      <c r="U222" s="62" t="s">
        <v>279</v>
      </c>
      <c r="V222" s="65" t="n">
        <v>2.3</v>
      </c>
      <c r="W222" s="65" t="n">
        <v>0.9</v>
      </c>
      <c r="X222" s="63" t="n">
        <v>0</v>
      </c>
      <c r="Y222" s="62" t="s">
        <v>390</v>
      </c>
      <c r="Z222" s="62" t="s">
        <v>389</v>
      </c>
      <c r="AA222" s="62" t="s">
        <v>395</v>
      </c>
      <c r="AB222" s="62" t="s">
        <v>279</v>
      </c>
      <c r="AC222" s="65" t="n">
        <v>16.9</v>
      </c>
      <c r="AD222" s="63" t="n">
        <v>10</v>
      </c>
      <c r="AE222" s="63" t="n">
        <v>20</v>
      </c>
      <c r="AF222" s="63" t="n">
        <v>17</v>
      </c>
      <c r="AG222" s="62" t="s">
        <v>389</v>
      </c>
      <c r="AH222" s="62" t="s">
        <v>330</v>
      </c>
      <c r="AI222" s="63" t="n">
        <v>0</v>
      </c>
      <c r="AJ222" s="62" t="s">
        <v>154</v>
      </c>
      <c r="AK222" s="62" t="s">
        <v>407</v>
      </c>
      <c r="AL222" s="62"/>
      <c r="AM222" s="62"/>
      <c r="AN222" s="65"/>
      <c r="AO222" s="62" t="s">
        <v>389</v>
      </c>
      <c r="AP222" s="62" t="s">
        <v>389</v>
      </c>
      <c r="AQ222" s="62" t="s">
        <v>389</v>
      </c>
      <c r="AR222" s="66" t="n">
        <v>2799</v>
      </c>
      <c r="AS222" s="62" t="s">
        <v>408</v>
      </c>
      <c r="AT222" s="65" t="n">
        <v>89.9</v>
      </c>
      <c r="AU222" s="62" t="s">
        <v>417</v>
      </c>
    </row>
    <row r="223" customFormat="false" ht="15" hidden="false" customHeight="false" outlineLevel="0" collapsed="false">
      <c r="A223" s="62" t="s">
        <v>388</v>
      </c>
      <c r="B223" s="63" t="n">
        <v>1240</v>
      </c>
      <c r="C223" s="64" t="n">
        <v>46305.8465018519</v>
      </c>
      <c r="D223" s="62" t="s">
        <v>72</v>
      </c>
      <c r="E223" s="63" t="n">
        <v>20</v>
      </c>
      <c r="F223" s="62" t="s">
        <v>389</v>
      </c>
      <c r="G223" s="62" t="s">
        <v>390</v>
      </c>
      <c r="H223" s="62" t="s">
        <v>390</v>
      </c>
      <c r="I223" s="62" t="s">
        <v>389</v>
      </c>
      <c r="J223" s="65"/>
      <c r="K223" s="62" t="s">
        <v>275</v>
      </c>
      <c r="L223" s="62" t="s">
        <v>389</v>
      </c>
      <c r="M223" s="62" t="s">
        <v>390</v>
      </c>
      <c r="N223" s="62"/>
      <c r="O223" s="62" t="s">
        <v>389</v>
      </c>
      <c r="P223" s="62" t="s">
        <v>390</v>
      </c>
      <c r="Q223" s="62" t="s">
        <v>390</v>
      </c>
      <c r="R223" s="62" t="s">
        <v>277</v>
      </c>
      <c r="S223" s="62" t="s">
        <v>389</v>
      </c>
      <c r="T223" s="65" t="n">
        <v>3653.3</v>
      </c>
      <c r="U223" s="62" t="s">
        <v>277</v>
      </c>
      <c r="V223" s="65" t="n">
        <v>3653.3</v>
      </c>
      <c r="W223" s="65"/>
      <c r="X223" s="63" t="n">
        <v>0</v>
      </c>
      <c r="Y223" s="62" t="s">
        <v>390</v>
      </c>
      <c r="Z223" s="62" t="s">
        <v>389</v>
      </c>
      <c r="AA223" s="62" t="s">
        <v>395</v>
      </c>
      <c r="AB223" s="62" t="s">
        <v>275</v>
      </c>
      <c r="AC223" s="65" t="n">
        <v>40.7</v>
      </c>
      <c r="AD223" s="63" t="n">
        <v>1</v>
      </c>
      <c r="AE223" s="63" t="n">
        <v>19</v>
      </c>
      <c r="AF223" s="63" t="n">
        <v>2</v>
      </c>
      <c r="AG223" s="62" t="s">
        <v>389</v>
      </c>
      <c r="AH223" s="62" t="s">
        <v>330</v>
      </c>
      <c r="AI223" s="63" t="n">
        <v>0</v>
      </c>
      <c r="AJ223" s="62" t="s">
        <v>147</v>
      </c>
      <c r="AK223" s="62" t="s">
        <v>391</v>
      </c>
      <c r="AL223" s="62" t="s">
        <v>392</v>
      </c>
      <c r="AM223" s="62" t="s">
        <v>396</v>
      </c>
      <c r="AN223" s="65" t="n">
        <v>84.1</v>
      </c>
      <c r="AO223" s="62" t="s">
        <v>389</v>
      </c>
      <c r="AP223" s="62" t="s">
        <v>390</v>
      </c>
      <c r="AQ223" s="62" t="s">
        <v>390</v>
      </c>
      <c r="AR223" s="66"/>
      <c r="AS223" s="62"/>
      <c r="AT223" s="65"/>
      <c r="AU223" s="62" t="s">
        <v>397</v>
      </c>
    </row>
    <row r="224" customFormat="false" ht="15" hidden="false" customHeight="false" outlineLevel="0" collapsed="false">
      <c r="A224" s="62" t="s">
        <v>388</v>
      </c>
      <c r="B224" s="63" t="n">
        <v>1242</v>
      </c>
      <c r="C224" s="64" t="n">
        <v>46305.8502079051</v>
      </c>
      <c r="D224" s="62" t="s">
        <v>72</v>
      </c>
      <c r="E224" s="63" t="n">
        <v>20</v>
      </c>
      <c r="F224" s="62" t="s">
        <v>389</v>
      </c>
      <c r="G224" s="62" t="s">
        <v>390</v>
      </c>
      <c r="H224" s="62" t="s">
        <v>390</v>
      </c>
      <c r="I224" s="62" t="s">
        <v>389</v>
      </c>
      <c r="J224" s="65"/>
      <c r="K224" s="62" t="s">
        <v>275</v>
      </c>
      <c r="L224" s="62" t="s">
        <v>389</v>
      </c>
      <c r="M224" s="62" t="s">
        <v>390</v>
      </c>
      <c r="N224" s="62"/>
      <c r="O224" s="62" t="s">
        <v>389</v>
      </c>
      <c r="P224" s="62" t="s">
        <v>390</v>
      </c>
      <c r="Q224" s="62" t="s">
        <v>390</v>
      </c>
      <c r="R224" s="62" t="s">
        <v>277</v>
      </c>
      <c r="S224" s="62" t="s">
        <v>389</v>
      </c>
      <c r="T224" s="65" t="n">
        <v>3647.8</v>
      </c>
      <c r="U224" s="62" t="s">
        <v>277</v>
      </c>
      <c r="V224" s="65" t="n">
        <v>3647.8</v>
      </c>
      <c r="W224" s="65"/>
      <c r="X224" s="63" t="n">
        <v>0</v>
      </c>
      <c r="Y224" s="62" t="s">
        <v>390</v>
      </c>
      <c r="Z224" s="62" t="s">
        <v>389</v>
      </c>
      <c r="AA224" s="62" t="s">
        <v>395</v>
      </c>
      <c r="AB224" s="62" t="s">
        <v>275</v>
      </c>
      <c r="AC224" s="65" t="n">
        <v>40.6</v>
      </c>
      <c r="AD224" s="63" t="n">
        <v>1</v>
      </c>
      <c r="AE224" s="63" t="n">
        <v>19</v>
      </c>
      <c r="AF224" s="63" t="n">
        <v>2</v>
      </c>
      <c r="AG224" s="62" t="s">
        <v>390</v>
      </c>
      <c r="AH224" s="62"/>
      <c r="AI224" s="63" t="n">
        <v>0</v>
      </c>
      <c r="AJ224" s="62" t="s">
        <v>147</v>
      </c>
      <c r="AK224" s="62" t="s">
        <v>391</v>
      </c>
      <c r="AL224" s="62" t="s">
        <v>392</v>
      </c>
      <c r="AM224" s="62" t="s">
        <v>396</v>
      </c>
      <c r="AN224" s="65" t="n">
        <v>84</v>
      </c>
      <c r="AO224" s="62" t="s">
        <v>389</v>
      </c>
      <c r="AP224" s="62" t="s">
        <v>390</v>
      </c>
      <c r="AQ224" s="62" t="s">
        <v>390</v>
      </c>
      <c r="AR224" s="66"/>
      <c r="AS224" s="62"/>
      <c r="AT224" s="65"/>
      <c r="AU224" s="62" t="s">
        <v>397</v>
      </c>
    </row>
    <row r="225" customFormat="false" ht="15" hidden="false" customHeight="false" outlineLevel="0" collapsed="false">
      <c r="A225" s="62" t="s">
        <v>388</v>
      </c>
      <c r="B225" s="63" t="n">
        <v>1243</v>
      </c>
      <c r="C225" s="64" t="n">
        <v>46305.8515752199</v>
      </c>
      <c r="D225" s="62" t="s">
        <v>72</v>
      </c>
      <c r="E225" s="63" t="n">
        <v>20</v>
      </c>
      <c r="F225" s="62" t="s">
        <v>389</v>
      </c>
      <c r="G225" s="62" t="s">
        <v>389</v>
      </c>
      <c r="H225" s="62" t="s">
        <v>389</v>
      </c>
      <c r="I225" s="62" t="s">
        <v>389</v>
      </c>
      <c r="J225" s="65" t="n">
        <v>0.3</v>
      </c>
      <c r="K225" s="62" t="s">
        <v>279</v>
      </c>
      <c r="L225" s="62" t="s">
        <v>389</v>
      </c>
      <c r="M225" s="62" t="s">
        <v>390</v>
      </c>
      <c r="N225" s="62"/>
      <c r="O225" s="62" t="s">
        <v>389</v>
      </c>
      <c r="P225" s="62" t="s">
        <v>390</v>
      </c>
      <c r="Q225" s="62" t="s">
        <v>390</v>
      </c>
      <c r="R225" s="62" t="s">
        <v>277</v>
      </c>
      <c r="S225" s="62" t="s">
        <v>389</v>
      </c>
      <c r="T225" s="65" t="n">
        <v>3647</v>
      </c>
      <c r="U225" s="62" t="s">
        <v>277</v>
      </c>
      <c r="V225" s="65" t="n">
        <v>1.1</v>
      </c>
      <c r="W225" s="65" t="n">
        <v>3646.2</v>
      </c>
      <c r="X225" s="63" t="n">
        <v>0</v>
      </c>
      <c r="Y225" s="62" t="s">
        <v>390</v>
      </c>
      <c r="Z225" s="62" t="s">
        <v>389</v>
      </c>
      <c r="AA225" s="62" t="s">
        <v>395</v>
      </c>
      <c r="AB225" s="62" t="s">
        <v>275</v>
      </c>
      <c r="AC225" s="65" t="n">
        <v>40.6</v>
      </c>
      <c r="AD225" s="63" t="n">
        <v>2</v>
      </c>
      <c r="AE225" s="63" t="n">
        <v>18</v>
      </c>
      <c r="AF225" s="63" t="n">
        <v>2</v>
      </c>
      <c r="AG225" s="62" t="s">
        <v>389</v>
      </c>
      <c r="AH225" s="62" t="s">
        <v>398</v>
      </c>
      <c r="AI225" s="63" t="n">
        <v>0</v>
      </c>
      <c r="AJ225" s="62" t="s">
        <v>148</v>
      </c>
      <c r="AK225" s="62" t="s">
        <v>391</v>
      </c>
      <c r="AL225" s="62" t="s">
        <v>392</v>
      </c>
      <c r="AM225" s="62" t="s">
        <v>396</v>
      </c>
      <c r="AN225" s="65" t="n">
        <v>84</v>
      </c>
      <c r="AO225" s="62" t="s">
        <v>389</v>
      </c>
      <c r="AP225" s="62" t="s">
        <v>390</v>
      </c>
      <c r="AQ225" s="62" t="s">
        <v>390</v>
      </c>
      <c r="AR225" s="66"/>
      <c r="AS225" s="62"/>
      <c r="AT225" s="65"/>
      <c r="AU225" s="62" t="s">
        <v>397</v>
      </c>
    </row>
    <row r="226" customFormat="false" ht="15" hidden="false" customHeight="false" outlineLevel="0" collapsed="false">
      <c r="A226" s="62" t="s">
        <v>388</v>
      </c>
      <c r="B226" s="63" t="n">
        <v>1249</v>
      </c>
      <c r="C226" s="64" t="n">
        <v>46305.9328741667</v>
      </c>
      <c r="D226" s="62" t="s">
        <v>72</v>
      </c>
      <c r="E226" s="63" t="n">
        <v>22</v>
      </c>
      <c r="F226" s="62" t="s">
        <v>390</v>
      </c>
      <c r="G226" s="62" t="s">
        <v>390</v>
      </c>
      <c r="H226" s="62" t="s">
        <v>390</v>
      </c>
      <c r="I226" s="62" t="s">
        <v>389</v>
      </c>
      <c r="J226" s="65"/>
      <c r="K226" s="62" t="s">
        <v>275</v>
      </c>
      <c r="L226" s="62" t="s">
        <v>389</v>
      </c>
      <c r="M226" s="62" t="s">
        <v>390</v>
      </c>
      <c r="N226" s="62"/>
      <c r="O226" s="62" t="s">
        <v>389</v>
      </c>
      <c r="P226" s="62" t="s">
        <v>390</v>
      </c>
      <c r="Q226" s="62" t="s">
        <v>390</v>
      </c>
      <c r="R226" s="62" t="s">
        <v>277</v>
      </c>
      <c r="S226" s="62" t="s">
        <v>389</v>
      </c>
      <c r="T226" s="65" t="n">
        <v>3526.7</v>
      </c>
      <c r="U226" s="62" t="s">
        <v>277</v>
      </c>
      <c r="V226" s="65" t="n">
        <v>3526.7</v>
      </c>
      <c r="W226" s="65"/>
      <c r="X226" s="63" t="n">
        <v>0</v>
      </c>
      <c r="Y226" s="62" t="s">
        <v>390</v>
      </c>
      <c r="Z226" s="62" t="s">
        <v>389</v>
      </c>
      <c r="AA226" s="62" t="s">
        <v>395</v>
      </c>
      <c r="AB226" s="62" t="s">
        <v>275</v>
      </c>
      <c r="AC226" s="65" t="n">
        <v>38.6</v>
      </c>
      <c r="AD226" s="63" t="n">
        <v>1</v>
      </c>
      <c r="AE226" s="63" t="n">
        <v>19</v>
      </c>
      <c r="AF226" s="63" t="n">
        <v>2</v>
      </c>
      <c r="AG226" s="62" t="s">
        <v>390</v>
      </c>
      <c r="AH226" s="62"/>
      <c r="AI226" s="63" t="n">
        <v>0</v>
      </c>
      <c r="AJ226" s="62" t="s">
        <v>147</v>
      </c>
      <c r="AK226" s="62" t="s">
        <v>391</v>
      </c>
      <c r="AL226" s="62" t="s">
        <v>392</v>
      </c>
      <c r="AM226" s="62" t="s">
        <v>396</v>
      </c>
      <c r="AN226" s="65" t="n">
        <v>82</v>
      </c>
      <c r="AO226" s="62" t="s">
        <v>389</v>
      </c>
      <c r="AP226" s="62" t="s">
        <v>390</v>
      </c>
      <c r="AQ226" s="62" t="s">
        <v>390</v>
      </c>
      <c r="AR226" s="66"/>
      <c r="AS226" s="62"/>
      <c r="AT226" s="65"/>
      <c r="AU226" s="62" t="s">
        <v>417</v>
      </c>
    </row>
    <row r="227" customFormat="false" ht="15" hidden="false" customHeight="false" outlineLevel="0" collapsed="false">
      <c r="A227" s="62" t="s">
        <v>388</v>
      </c>
      <c r="B227" s="63" t="n">
        <v>1257</v>
      </c>
      <c r="C227" s="64" t="n">
        <v>46306.0719735764</v>
      </c>
      <c r="D227" s="62" t="s">
        <v>72</v>
      </c>
      <c r="E227" s="63" t="n">
        <v>1</v>
      </c>
      <c r="F227" s="62" t="s">
        <v>390</v>
      </c>
      <c r="G227" s="62" t="s">
        <v>389</v>
      </c>
      <c r="H227" s="62" t="s">
        <v>389</v>
      </c>
      <c r="I227" s="62" t="s">
        <v>389</v>
      </c>
      <c r="J227" s="65" t="n">
        <v>320.1</v>
      </c>
      <c r="K227" s="62" t="s">
        <v>277</v>
      </c>
      <c r="L227" s="62" t="s">
        <v>389</v>
      </c>
      <c r="M227" s="62" t="s">
        <v>390</v>
      </c>
      <c r="N227" s="62"/>
      <c r="O227" s="62" t="s">
        <v>389</v>
      </c>
      <c r="P227" s="62" t="s">
        <v>390</v>
      </c>
      <c r="Q227" s="62" t="s">
        <v>390</v>
      </c>
      <c r="R227" s="62" t="s">
        <v>277</v>
      </c>
      <c r="S227" s="62" t="s">
        <v>389</v>
      </c>
      <c r="T227" s="65" t="n">
        <v>3325.4</v>
      </c>
      <c r="U227" s="62" t="s">
        <v>277</v>
      </c>
      <c r="V227" s="65" t="n">
        <v>321.1</v>
      </c>
      <c r="W227" s="65" t="n">
        <v>3324.4</v>
      </c>
      <c r="X227" s="63" t="n">
        <v>0</v>
      </c>
      <c r="Y227" s="62" t="s">
        <v>390</v>
      </c>
      <c r="Z227" s="62" t="s">
        <v>389</v>
      </c>
      <c r="AA227" s="62" t="s">
        <v>395</v>
      </c>
      <c r="AB227" s="62" t="s">
        <v>275</v>
      </c>
      <c r="AC227" s="65" t="n">
        <v>35.3</v>
      </c>
      <c r="AD227" s="63" t="n">
        <v>2</v>
      </c>
      <c r="AE227" s="63" t="n">
        <v>18</v>
      </c>
      <c r="AF227" s="63" t="n">
        <v>2</v>
      </c>
      <c r="AG227" s="62" t="s">
        <v>390</v>
      </c>
      <c r="AH227" s="62"/>
      <c r="AI227" s="63" t="n">
        <v>0</v>
      </c>
      <c r="AJ227" s="62" t="s">
        <v>148</v>
      </c>
      <c r="AK227" s="62" t="s">
        <v>391</v>
      </c>
      <c r="AL227" s="62" t="s">
        <v>392</v>
      </c>
      <c r="AM227" s="62" t="s">
        <v>396</v>
      </c>
      <c r="AN227" s="65" t="n">
        <v>78.7</v>
      </c>
      <c r="AO227" s="62" t="s">
        <v>389</v>
      </c>
      <c r="AP227" s="62" t="s">
        <v>390</v>
      </c>
      <c r="AQ227" s="62" t="s">
        <v>390</v>
      </c>
      <c r="AR227" s="66"/>
      <c r="AS227" s="62"/>
      <c r="AT227" s="65"/>
      <c r="AU227" s="62" t="s">
        <v>417</v>
      </c>
    </row>
    <row r="228" customFormat="false" ht="15" hidden="false" customHeight="false" outlineLevel="0" collapsed="false">
      <c r="A228" s="62" t="s">
        <v>388</v>
      </c>
      <c r="B228" s="63" t="n">
        <v>1260</v>
      </c>
      <c r="C228" s="64" t="n">
        <v>46306.2914131713</v>
      </c>
      <c r="D228" s="62" t="s">
        <v>72</v>
      </c>
      <c r="E228" s="63" t="n">
        <v>6</v>
      </c>
      <c r="F228" s="62" t="s">
        <v>390</v>
      </c>
      <c r="G228" s="62" t="s">
        <v>389</v>
      </c>
      <c r="H228" s="62" t="s">
        <v>389</v>
      </c>
      <c r="I228" s="62" t="s">
        <v>389</v>
      </c>
      <c r="J228" s="65" t="n">
        <v>15.6</v>
      </c>
      <c r="K228" s="62" t="s">
        <v>277</v>
      </c>
      <c r="L228" s="62" t="s">
        <v>389</v>
      </c>
      <c r="M228" s="62" t="s">
        <v>390</v>
      </c>
      <c r="N228" s="62"/>
      <c r="O228" s="62" t="s">
        <v>389</v>
      </c>
      <c r="P228" s="62" t="s">
        <v>390</v>
      </c>
      <c r="Q228" s="62" t="s">
        <v>390</v>
      </c>
      <c r="R228" s="62" t="s">
        <v>277</v>
      </c>
      <c r="S228" s="62" t="s">
        <v>390</v>
      </c>
      <c r="T228" s="65" t="n">
        <v>1564.6</v>
      </c>
      <c r="U228" s="62" t="s">
        <v>277</v>
      </c>
      <c r="V228" s="65" t="n">
        <v>16</v>
      </c>
      <c r="W228" s="65" t="n">
        <v>782.4</v>
      </c>
      <c r="X228" s="63" t="n">
        <v>0</v>
      </c>
      <c r="Y228" s="62" t="s">
        <v>390</v>
      </c>
      <c r="Z228" s="62" t="s">
        <v>390</v>
      </c>
      <c r="AA228" s="62"/>
      <c r="AB228" s="62"/>
      <c r="AC228" s="65"/>
      <c r="AD228" s="63" t="n">
        <v>4</v>
      </c>
      <c r="AE228" s="63" t="n">
        <v>17</v>
      </c>
      <c r="AF228" s="63" t="n">
        <v>1</v>
      </c>
      <c r="AG228" s="62" t="s">
        <v>390</v>
      </c>
      <c r="AH228" s="62"/>
      <c r="AI228" s="63" t="n">
        <v>0</v>
      </c>
      <c r="AJ228" s="62" t="s">
        <v>150</v>
      </c>
      <c r="AK228" s="62" t="s">
        <v>391</v>
      </c>
      <c r="AL228" s="62" t="s">
        <v>392</v>
      </c>
      <c r="AM228" s="62" t="s">
        <v>396</v>
      </c>
      <c r="AN228" s="65" t="n">
        <v>26.1</v>
      </c>
      <c r="AO228" s="62" t="s">
        <v>389</v>
      </c>
      <c r="AP228" s="62" t="s">
        <v>390</v>
      </c>
      <c r="AQ228" s="62" t="s">
        <v>390</v>
      </c>
      <c r="AR228" s="66"/>
      <c r="AS228" s="62"/>
      <c r="AT228" s="65"/>
      <c r="AU228" s="62" t="s">
        <v>417</v>
      </c>
    </row>
    <row r="229" customFormat="false" ht="15" hidden="false" customHeight="false" outlineLevel="0" collapsed="false">
      <c r="A229" s="62" t="s">
        <v>388</v>
      </c>
      <c r="B229" s="63" t="n">
        <v>1263</v>
      </c>
      <c r="C229" s="64" t="n">
        <v>46306.3211469444</v>
      </c>
      <c r="D229" s="62" t="s">
        <v>72</v>
      </c>
      <c r="E229" s="63" t="n">
        <v>7</v>
      </c>
      <c r="F229" s="62" t="s">
        <v>390</v>
      </c>
      <c r="G229" s="62" t="s">
        <v>389</v>
      </c>
      <c r="H229" s="62" t="s">
        <v>389</v>
      </c>
      <c r="I229" s="62" t="s">
        <v>389</v>
      </c>
      <c r="J229" s="65" t="n">
        <v>0.4</v>
      </c>
      <c r="K229" s="62" t="s">
        <v>277</v>
      </c>
      <c r="L229" s="62" t="s">
        <v>389</v>
      </c>
      <c r="M229" s="62" t="s">
        <v>390</v>
      </c>
      <c r="N229" s="62"/>
      <c r="O229" s="62" t="s">
        <v>389</v>
      </c>
      <c r="P229" s="62" t="s">
        <v>390</v>
      </c>
      <c r="Q229" s="62" t="s">
        <v>390</v>
      </c>
      <c r="R229" s="62" t="s">
        <v>277</v>
      </c>
      <c r="S229" s="62" t="s">
        <v>389</v>
      </c>
      <c r="T229" s="65" t="n">
        <v>164.6</v>
      </c>
      <c r="U229" s="62" t="s">
        <v>277</v>
      </c>
      <c r="V229" s="65" t="n">
        <v>0.7</v>
      </c>
      <c r="W229" s="65" t="n">
        <v>82.3</v>
      </c>
      <c r="X229" s="63" t="n">
        <v>0</v>
      </c>
      <c r="Y229" s="62" t="s">
        <v>390</v>
      </c>
      <c r="Z229" s="62" t="s">
        <v>389</v>
      </c>
      <c r="AA229" s="62" t="s">
        <v>395</v>
      </c>
      <c r="AB229" s="62" t="s">
        <v>275</v>
      </c>
      <c r="AC229" s="65" t="n">
        <v>29.3</v>
      </c>
      <c r="AD229" s="63" t="n">
        <v>3</v>
      </c>
      <c r="AE229" s="63" t="n">
        <v>18</v>
      </c>
      <c r="AF229" s="63" t="n">
        <v>3</v>
      </c>
      <c r="AG229" s="62" t="s">
        <v>390</v>
      </c>
      <c r="AH229" s="62"/>
      <c r="AI229" s="63" t="n">
        <v>0</v>
      </c>
      <c r="AJ229" s="62" t="s">
        <v>150</v>
      </c>
      <c r="AK229" s="62" t="s">
        <v>391</v>
      </c>
      <c r="AL229" s="62" t="s">
        <v>392</v>
      </c>
      <c r="AM229" s="62" t="s">
        <v>396</v>
      </c>
      <c r="AN229" s="65" t="n">
        <v>72.8</v>
      </c>
      <c r="AO229" s="62" t="s">
        <v>389</v>
      </c>
      <c r="AP229" s="62" t="s">
        <v>390</v>
      </c>
      <c r="AQ229" s="62" t="s">
        <v>390</v>
      </c>
      <c r="AR229" s="66"/>
      <c r="AS229" s="62"/>
      <c r="AT229" s="65"/>
      <c r="AU229" s="62" t="s">
        <v>397</v>
      </c>
    </row>
    <row r="230" customFormat="false" ht="15" hidden="false" customHeight="false" outlineLevel="0" collapsed="false">
      <c r="A230" s="62" t="s">
        <v>388</v>
      </c>
      <c r="B230" s="63" t="n">
        <v>1270</v>
      </c>
      <c r="C230" s="64" t="n">
        <v>46306.3646005787</v>
      </c>
      <c r="D230" s="62" t="s">
        <v>72</v>
      </c>
      <c r="E230" s="63" t="n">
        <v>8</v>
      </c>
      <c r="F230" s="62" t="s">
        <v>390</v>
      </c>
      <c r="G230" s="62" t="s">
        <v>389</v>
      </c>
      <c r="H230" s="62" t="s">
        <v>389</v>
      </c>
      <c r="I230" s="62" t="s">
        <v>389</v>
      </c>
      <c r="J230" s="65" t="n">
        <v>4.3</v>
      </c>
      <c r="K230" s="62" t="s">
        <v>277</v>
      </c>
      <c r="L230" s="62" t="s">
        <v>389</v>
      </c>
      <c r="M230" s="62" t="s">
        <v>390</v>
      </c>
      <c r="N230" s="62"/>
      <c r="O230" s="62" t="s">
        <v>389</v>
      </c>
      <c r="P230" s="62" t="s">
        <v>390</v>
      </c>
      <c r="Q230" s="62" t="s">
        <v>390</v>
      </c>
      <c r="R230" s="62" t="s">
        <v>277</v>
      </c>
      <c r="S230" s="62" t="s">
        <v>389</v>
      </c>
      <c r="T230" s="65" t="n">
        <v>575.8</v>
      </c>
      <c r="U230" s="62" t="s">
        <v>279</v>
      </c>
      <c r="V230" s="65" t="n">
        <v>4.4</v>
      </c>
      <c r="W230" s="65" t="n">
        <v>4.1</v>
      </c>
      <c r="X230" s="63" t="n">
        <v>0</v>
      </c>
      <c r="Y230" s="62" t="s">
        <v>390</v>
      </c>
      <c r="Z230" s="62" t="s">
        <v>389</v>
      </c>
      <c r="AA230" s="62" t="s">
        <v>395</v>
      </c>
      <c r="AB230" s="62" t="s">
        <v>276</v>
      </c>
      <c r="AC230" s="65" t="n">
        <v>48.5</v>
      </c>
      <c r="AD230" s="63" t="n">
        <v>5</v>
      </c>
      <c r="AE230" s="63" t="n">
        <v>17</v>
      </c>
      <c r="AF230" s="63" t="n">
        <v>5</v>
      </c>
      <c r="AG230" s="62" t="s">
        <v>390</v>
      </c>
      <c r="AH230" s="62"/>
      <c r="AI230" s="63" t="n">
        <v>0</v>
      </c>
      <c r="AJ230" s="62" t="s">
        <v>150</v>
      </c>
      <c r="AK230" s="62" t="s">
        <v>391</v>
      </c>
      <c r="AL230" s="62" t="s">
        <v>392</v>
      </c>
      <c r="AM230" s="62" t="s">
        <v>396</v>
      </c>
      <c r="AN230" s="65" t="n">
        <v>95.8</v>
      </c>
      <c r="AO230" s="62" t="s">
        <v>389</v>
      </c>
      <c r="AP230" s="62" t="s">
        <v>390</v>
      </c>
      <c r="AQ230" s="62" t="s">
        <v>390</v>
      </c>
      <c r="AR230" s="66"/>
      <c r="AS230" s="62"/>
      <c r="AT230" s="65"/>
      <c r="AU230" s="62" t="s">
        <v>397</v>
      </c>
    </row>
    <row r="231" customFormat="false" ht="15" hidden="false" customHeight="false" outlineLevel="0" collapsed="false">
      <c r="A231" s="62" t="s">
        <v>388</v>
      </c>
      <c r="B231" s="63" t="n">
        <v>1272</v>
      </c>
      <c r="C231" s="64" t="n">
        <v>46306.3802789699</v>
      </c>
      <c r="D231" s="62" t="s">
        <v>72</v>
      </c>
      <c r="E231" s="63" t="n">
        <v>9</v>
      </c>
      <c r="F231" s="62" t="s">
        <v>389</v>
      </c>
      <c r="G231" s="62" t="s">
        <v>390</v>
      </c>
      <c r="H231" s="62" t="s">
        <v>390</v>
      </c>
      <c r="I231" s="62" t="s">
        <v>389</v>
      </c>
      <c r="J231" s="65"/>
      <c r="K231" s="62" t="s">
        <v>275</v>
      </c>
      <c r="L231" s="62" t="s">
        <v>389</v>
      </c>
      <c r="M231" s="62" t="s">
        <v>390</v>
      </c>
      <c r="N231" s="62"/>
      <c r="O231" s="62" t="s">
        <v>389</v>
      </c>
      <c r="P231" s="62" t="s">
        <v>390</v>
      </c>
      <c r="Q231" s="62" t="s">
        <v>390</v>
      </c>
      <c r="R231" s="62" t="s">
        <v>277</v>
      </c>
      <c r="S231" s="62" t="s">
        <v>389</v>
      </c>
      <c r="T231" s="65" t="n">
        <v>2902.6</v>
      </c>
      <c r="U231" s="62" t="s">
        <v>276</v>
      </c>
      <c r="V231" s="65" t="n">
        <v>2902.6</v>
      </c>
      <c r="W231" s="65"/>
      <c r="X231" s="63" t="n">
        <v>0</v>
      </c>
      <c r="Y231" s="62" t="s">
        <v>390</v>
      </c>
      <c r="Z231" s="62" t="s">
        <v>389</v>
      </c>
      <c r="AA231" s="62" t="s">
        <v>395</v>
      </c>
      <c r="AB231" s="62" t="s">
        <v>275</v>
      </c>
      <c r="AC231" s="65" t="n">
        <v>27.9</v>
      </c>
      <c r="AD231" s="63" t="n">
        <v>1</v>
      </c>
      <c r="AE231" s="63" t="n">
        <v>19</v>
      </c>
      <c r="AF231" s="63" t="n">
        <v>2</v>
      </c>
      <c r="AG231" s="62" t="s">
        <v>390</v>
      </c>
      <c r="AH231" s="62"/>
      <c r="AI231" s="63" t="n">
        <v>0</v>
      </c>
      <c r="AJ231" s="62" t="s">
        <v>147</v>
      </c>
      <c r="AK231" s="62" t="s">
        <v>391</v>
      </c>
      <c r="AL231" s="62" t="s">
        <v>392</v>
      </c>
      <c r="AM231" s="62" t="s">
        <v>396</v>
      </c>
      <c r="AN231" s="65" t="n">
        <v>71.6</v>
      </c>
      <c r="AO231" s="62" t="s">
        <v>389</v>
      </c>
      <c r="AP231" s="62" t="s">
        <v>390</v>
      </c>
      <c r="AQ231" s="62" t="s">
        <v>390</v>
      </c>
      <c r="AR231" s="66"/>
      <c r="AS231" s="62"/>
      <c r="AT231" s="65"/>
      <c r="AU231" s="62" t="s">
        <v>399</v>
      </c>
    </row>
    <row r="232" customFormat="false" ht="15" hidden="false" customHeight="false" outlineLevel="0" collapsed="false">
      <c r="A232" s="62" t="s">
        <v>388</v>
      </c>
      <c r="B232" s="63" t="n">
        <v>1279</v>
      </c>
      <c r="C232" s="64" t="n">
        <v>46306.4192167708</v>
      </c>
      <c r="D232" s="62" t="s">
        <v>72</v>
      </c>
      <c r="E232" s="63" t="n">
        <v>10</v>
      </c>
      <c r="F232" s="62" t="s">
        <v>389</v>
      </c>
      <c r="G232" s="62" t="s">
        <v>390</v>
      </c>
      <c r="H232" s="62" t="s">
        <v>390</v>
      </c>
      <c r="I232" s="62" t="s">
        <v>389</v>
      </c>
      <c r="J232" s="65"/>
      <c r="K232" s="62" t="s">
        <v>275</v>
      </c>
      <c r="L232" s="62" t="s">
        <v>389</v>
      </c>
      <c r="M232" s="62" t="s">
        <v>390</v>
      </c>
      <c r="N232" s="62"/>
      <c r="O232" s="62" t="s">
        <v>389</v>
      </c>
      <c r="P232" s="62" t="s">
        <v>390</v>
      </c>
      <c r="Q232" s="62" t="s">
        <v>390</v>
      </c>
      <c r="R232" s="62" t="s">
        <v>277</v>
      </c>
      <c r="S232" s="62" t="s">
        <v>389</v>
      </c>
      <c r="T232" s="65" t="n">
        <v>2845.9</v>
      </c>
      <c r="U232" s="62" t="s">
        <v>276</v>
      </c>
      <c r="V232" s="65" t="n">
        <v>2845.9</v>
      </c>
      <c r="W232" s="65"/>
      <c r="X232" s="63" t="n">
        <v>0</v>
      </c>
      <c r="Y232" s="62" t="s">
        <v>390</v>
      </c>
      <c r="Z232" s="62" t="s">
        <v>389</v>
      </c>
      <c r="AA232" s="62" t="s">
        <v>395</v>
      </c>
      <c r="AB232" s="62" t="s">
        <v>275</v>
      </c>
      <c r="AC232" s="65" t="n">
        <v>27</v>
      </c>
      <c r="AD232" s="63" t="n">
        <v>1</v>
      </c>
      <c r="AE232" s="63" t="n">
        <v>19</v>
      </c>
      <c r="AF232" s="63" t="n">
        <v>2</v>
      </c>
      <c r="AG232" s="62" t="s">
        <v>390</v>
      </c>
      <c r="AH232" s="62"/>
      <c r="AI232" s="63" t="n">
        <v>0</v>
      </c>
      <c r="AJ232" s="62" t="s">
        <v>147</v>
      </c>
      <c r="AK232" s="62" t="s">
        <v>391</v>
      </c>
      <c r="AL232" s="62" t="s">
        <v>392</v>
      </c>
      <c r="AM232" s="62" t="s">
        <v>396</v>
      </c>
      <c r="AN232" s="65" t="n">
        <v>70.6</v>
      </c>
      <c r="AO232" s="62" t="s">
        <v>389</v>
      </c>
      <c r="AP232" s="62" t="s">
        <v>390</v>
      </c>
      <c r="AQ232" s="62" t="s">
        <v>390</v>
      </c>
      <c r="AR232" s="66"/>
      <c r="AS232" s="62"/>
      <c r="AT232" s="65"/>
      <c r="AU232" s="62" t="s">
        <v>397</v>
      </c>
    </row>
    <row r="233" customFormat="false" ht="15" hidden="false" customHeight="false" outlineLevel="0" collapsed="false">
      <c r="A233" s="62" t="s">
        <v>388</v>
      </c>
      <c r="B233" s="63" t="n">
        <v>1280</v>
      </c>
      <c r="C233" s="64" t="n">
        <v>46306.4236756019</v>
      </c>
      <c r="D233" s="62" t="s">
        <v>72</v>
      </c>
      <c r="E233" s="63" t="n">
        <v>10</v>
      </c>
      <c r="F233" s="62" t="s">
        <v>389</v>
      </c>
      <c r="G233" s="62" t="s">
        <v>390</v>
      </c>
      <c r="H233" s="62" t="s">
        <v>390</v>
      </c>
      <c r="I233" s="62" t="s">
        <v>389</v>
      </c>
      <c r="J233" s="65"/>
      <c r="K233" s="62" t="s">
        <v>275</v>
      </c>
      <c r="L233" s="62" t="s">
        <v>389</v>
      </c>
      <c r="M233" s="62" t="s">
        <v>390</v>
      </c>
      <c r="N233" s="62"/>
      <c r="O233" s="62" t="s">
        <v>389</v>
      </c>
      <c r="P233" s="62" t="s">
        <v>390</v>
      </c>
      <c r="Q233" s="62" t="s">
        <v>390</v>
      </c>
      <c r="R233" s="62" t="s">
        <v>277</v>
      </c>
      <c r="S233" s="62" t="s">
        <v>389</v>
      </c>
      <c r="T233" s="65" t="n">
        <v>174.7</v>
      </c>
      <c r="U233" s="62" t="s">
        <v>277</v>
      </c>
      <c r="V233" s="65" t="n">
        <v>174.7</v>
      </c>
      <c r="W233" s="65" t="n">
        <v>0.3</v>
      </c>
      <c r="X233" s="63" t="n">
        <v>0</v>
      </c>
      <c r="Y233" s="62" t="s">
        <v>390</v>
      </c>
      <c r="Z233" s="62" t="s">
        <v>389</v>
      </c>
      <c r="AA233" s="62" t="s">
        <v>395</v>
      </c>
      <c r="AB233" s="62" t="s">
        <v>275</v>
      </c>
      <c r="AC233" s="65" t="n">
        <v>26.9</v>
      </c>
      <c r="AD233" s="63" t="n">
        <v>4</v>
      </c>
      <c r="AE233" s="63" t="n">
        <v>19</v>
      </c>
      <c r="AF233" s="63" t="n">
        <v>4</v>
      </c>
      <c r="AG233" s="62" t="s">
        <v>389</v>
      </c>
      <c r="AH233" s="62" t="s">
        <v>398</v>
      </c>
      <c r="AI233" s="63" t="n">
        <v>0</v>
      </c>
      <c r="AJ233" s="62" t="s">
        <v>153</v>
      </c>
      <c r="AK233" s="62" t="s">
        <v>391</v>
      </c>
      <c r="AL233" s="62" t="s">
        <v>392</v>
      </c>
      <c r="AM233" s="62" t="s">
        <v>396</v>
      </c>
      <c r="AN233" s="65" t="n">
        <v>70.5</v>
      </c>
      <c r="AO233" s="62" t="s">
        <v>389</v>
      </c>
      <c r="AP233" s="62" t="s">
        <v>389</v>
      </c>
      <c r="AQ233" s="62" t="s">
        <v>390</v>
      </c>
      <c r="AR233" s="66"/>
      <c r="AS233" s="62"/>
      <c r="AT233" s="65"/>
      <c r="AU233" s="62" t="s">
        <v>397</v>
      </c>
    </row>
    <row r="234" customFormat="false" ht="15" hidden="false" customHeight="false" outlineLevel="0" collapsed="false">
      <c r="A234" s="62" t="s">
        <v>388</v>
      </c>
      <c r="B234" s="63" t="n">
        <v>1282</v>
      </c>
      <c r="C234" s="64" t="n">
        <v>46306.4405172338</v>
      </c>
      <c r="D234" s="62" t="s">
        <v>72</v>
      </c>
      <c r="E234" s="63" t="n">
        <v>10</v>
      </c>
      <c r="F234" s="62" t="s">
        <v>389</v>
      </c>
      <c r="G234" s="62" t="s">
        <v>389</v>
      </c>
      <c r="H234" s="62" t="s">
        <v>389</v>
      </c>
      <c r="I234" s="62" t="s">
        <v>389</v>
      </c>
      <c r="J234" s="65" t="n">
        <v>7.8</v>
      </c>
      <c r="K234" s="62" t="s">
        <v>277</v>
      </c>
      <c r="L234" s="62" t="s">
        <v>389</v>
      </c>
      <c r="M234" s="62" t="s">
        <v>389</v>
      </c>
      <c r="N234" s="62" t="s">
        <v>305</v>
      </c>
      <c r="O234" s="62" t="s">
        <v>389</v>
      </c>
      <c r="P234" s="62" t="s">
        <v>389</v>
      </c>
      <c r="Q234" s="62" t="s">
        <v>390</v>
      </c>
      <c r="R234" s="62" t="s">
        <v>277</v>
      </c>
      <c r="S234" s="62" t="s">
        <v>389</v>
      </c>
      <c r="T234" s="65" t="n">
        <v>26.7</v>
      </c>
      <c r="U234" s="62" t="s">
        <v>277</v>
      </c>
      <c r="V234" s="65" t="n">
        <v>8</v>
      </c>
      <c r="W234" s="65" t="n">
        <v>1.1</v>
      </c>
      <c r="X234" s="63" t="n">
        <v>0</v>
      </c>
      <c r="Y234" s="62" t="s">
        <v>389</v>
      </c>
      <c r="Z234" s="62" t="s">
        <v>389</v>
      </c>
      <c r="AA234" s="62" t="s">
        <v>395</v>
      </c>
      <c r="AB234" s="62" t="s">
        <v>276</v>
      </c>
      <c r="AC234" s="65" t="n">
        <v>46.7</v>
      </c>
      <c r="AD234" s="63" t="n">
        <v>8</v>
      </c>
      <c r="AE234" s="63" t="n">
        <v>19</v>
      </c>
      <c r="AF234" s="63" t="n">
        <v>15</v>
      </c>
      <c r="AG234" s="62" t="s">
        <v>390</v>
      </c>
      <c r="AH234" s="62"/>
      <c r="AI234" s="63" t="n">
        <v>0</v>
      </c>
      <c r="AJ234" s="62" t="s">
        <v>151</v>
      </c>
      <c r="AK234" s="62" t="s">
        <v>391</v>
      </c>
      <c r="AL234" s="62" t="s">
        <v>392</v>
      </c>
      <c r="AM234" s="62" t="s">
        <v>396</v>
      </c>
      <c r="AN234" s="65" t="n">
        <v>94.2</v>
      </c>
      <c r="AO234" s="62" t="s">
        <v>389</v>
      </c>
      <c r="AP234" s="62" t="s">
        <v>390</v>
      </c>
      <c r="AQ234" s="62" t="s">
        <v>390</v>
      </c>
      <c r="AR234" s="66"/>
      <c r="AS234" s="62"/>
      <c r="AT234" s="65"/>
      <c r="AU234" s="62" t="s">
        <v>417</v>
      </c>
    </row>
    <row r="235" customFormat="false" ht="15" hidden="false" customHeight="false" outlineLevel="0" collapsed="false">
      <c r="A235" s="62" t="s">
        <v>388</v>
      </c>
      <c r="B235" s="63" t="n">
        <v>1288</v>
      </c>
      <c r="C235" s="64" t="n">
        <v>46306.4747198958</v>
      </c>
      <c r="D235" s="62" t="s">
        <v>72</v>
      </c>
      <c r="E235" s="63" t="n">
        <v>11</v>
      </c>
      <c r="F235" s="62" t="s">
        <v>389</v>
      </c>
      <c r="G235" s="62" t="s">
        <v>389</v>
      </c>
      <c r="H235" s="62" t="s">
        <v>389</v>
      </c>
      <c r="I235" s="62" t="s">
        <v>389</v>
      </c>
      <c r="J235" s="65" t="n">
        <v>0.3</v>
      </c>
      <c r="K235" s="62" t="s">
        <v>277</v>
      </c>
      <c r="L235" s="62" t="s">
        <v>389</v>
      </c>
      <c r="M235" s="62" t="s">
        <v>389</v>
      </c>
      <c r="N235" s="62" t="s">
        <v>307</v>
      </c>
      <c r="O235" s="62" t="s">
        <v>389</v>
      </c>
      <c r="P235" s="62" t="s">
        <v>389</v>
      </c>
      <c r="Q235" s="62" t="s">
        <v>390</v>
      </c>
      <c r="R235" s="62" t="s">
        <v>277</v>
      </c>
      <c r="S235" s="62" t="s">
        <v>389</v>
      </c>
      <c r="T235" s="65" t="n">
        <v>32.9</v>
      </c>
      <c r="U235" s="62" t="s">
        <v>277</v>
      </c>
      <c r="V235" s="65" t="n">
        <v>0.2</v>
      </c>
      <c r="W235" s="65" t="n">
        <v>1.8</v>
      </c>
      <c r="X235" s="63" t="n">
        <v>0</v>
      </c>
      <c r="Y235" s="62" t="s">
        <v>389</v>
      </c>
      <c r="Z235" s="62" t="s">
        <v>389</v>
      </c>
      <c r="AA235" s="62" t="s">
        <v>419</v>
      </c>
      <c r="AB235" s="62" t="s">
        <v>277</v>
      </c>
      <c r="AC235" s="65" t="n">
        <v>1.2</v>
      </c>
      <c r="AD235" s="63" t="n">
        <v>7</v>
      </c>
      <c r="AE235" s="63" t="n">
        <v>20</v>
      </c>
      <c r="AF235" s="63" t="n">
        <v>12</v>
      </c>
      <c r="AG235" s="62" t="s">
        <v>390</v>
      </c>
      <c r="AH235" s="62"/>
      <c r="AI235" s="63" t="n">
        <v>0</v>
      </c>
      <c r="AJ235" s="62" t="s">
        <v>151</v>
      </c>
      <c r="AK235" s="62" t="s">
        <v>391</v>
      </c>
      <c r="AL235" s="62" t="s">
        <v>392</v>
      </c>
      <c r="AM235" s="62" t="s">
        <v>396</v>
      </c>
      <c r="AN235" s="65" t="n">
        <v>69.4</v>
      </c>
      <c r="AO235" s="62" t="s">
        <v>389</v>
      </c>
      <c r="AP235" s="62" t="s">
        <v>390</v>
      </c>
      <c r="AQ235" s="62" t="s">
        <v>390</v>
      </c>
      <c r="AR235" s="66"/>
      <c r="AS235" s="62"/>
      <c r="AT235" s="65"/>
      <c r="AU235" s="62"/>
    </row>
    <row r="236" customFormat="false" ht="15" hidden="false" customHeight="false" outlineLevel="0" collapsed="false">
      <c r="A236" s="62" t="s">
        <v>388</v>
      </c>
      <c r="B236" s="63" t="n">
        <v>1296</v>
      </c>
      <c r="C236" s="64" t="n">
        <v>46306.5081902431</v>
      </c>
      <c r="D236" s="62" t="s">
        <v>72</v>
      </c>
      <c r="E236" s="63" t="n">
        <v>12</v>
      </c>
      <c r="F236" s="62" t="s">
        <v>389</v>
      </c>
      <c r="G236" s="62" t="s">
        <v>390</v>
      </c>
      <c r="H236" s="62" t="s">
        <v>390</v>
      </c>
      <c r="I236" s="62" t="s">
        <v>389</v>
      </c>
      <c r="J236" s="65"/>
      <c r="K236" s="62" t="s">
        <v>275</v>
      </c>
      <c r="L236" s="62" t="s">
        <v>389</v>
      </c>
      <c r="M236" s="62" t="s">
        <v>390</v>
      </c>
      <c r="N236" s="62"/>
      <c r="O236" s="62" t="s">
        <v>389</v>
      </c>
      <c r="P236" s="62" t="s">
        <v>390</v>
      </c>
      <c r="Q236" s="62" t="s">
        <v>390</v>
      </c>
      <c r="R236" s="62" t="s">
        <v>277</v>
      </c>
      <c r="S236" s="62" t="s">
        <v>389</v>
      </c>
      <c r="T236" s="65" t="n">
        <v>2725.3</v>
      </c>
      <c r="U236" s="62" t="s">
        <v>276</v>
      </c>
      <c r="V236" s="65" t="n">
        <v>2725.3</v>
      </c>
      <c r="W236" s="65" t="n">
        <v>1371.6</v>
      </c>
      <c r="X236" s="63" t="n">
        <v>0</v>
      </c>
      <c r="Y236" s="62" t="s">
        <v>390</v>
      </c>
      <c r="Z236" s="62" t="s">
        <v>389</v>
      </c>
      <c r="AA236" s="62" t="s">
        <v>395</v>
      </c>
      <c r="AB236" s="62" t="s">
        <v>275</v>
      </c>
      <c r="AC236" s="65" t="n">
        <v>26.6</v>
      </c>
      <c r="AD236" s="63" t="n">
        <v>2</v>
      </c>
      <c r="AE236" s="63" t="n">
        <v>19</v>
      </c>
      <c r="AF236" s="63" t="n">
        <v>3</v>
      </c>
      <c r="AG236" s="62" t="s">
        <v>390</v>
      </c>
      <c r="AH236" s="62"/>
      <c r="AI236" s="63" t="n">
        <v>0</v>
      </c>
      <c r="AJ236" s="62" t="s">
        <v>150</v>
      </c>
      <c r="AK236" s="62" t="s">
        <v>391</v>
      </c>
      <c r="AL236" s="62" t="s">
        <v>392</v>
      </c>
      <c r="AM236" s="62" t="s">
        <v>396</v>
      </c>
      <c r="AN236" s="65" t="n">
        <v>68.5</v>
      </c>
      <c r="AO236" s="62" t="s">
        <v>389</v>
      </c>
      <c r="AP236" s="62" t="s">
        <v>390</v>
      </c>
      <c r="AQ236" s="62" t="s">
        <v>390</v>
      </c>
      <c r="AR236" s="66"/>
      <c r="AS236" s="62"/>
      <c r="AT236" s="65"/>
      <c r="AU236" s="62" t="s">
        <v>399</v>
      </c>
    </row>
    <row r="237" customFormat="false" ht="15" hidden="false" customHeight="false" outlineLevel="0" collapsed="false">
      <c r="A237" s="62" t="s">
        <v>388</v>
      </c>
      <c r="B237" s="63" t="n">
        <v>1298</v>
      </c>
      <c r="C237" s="64" t="n">
        <v>46306.5196215741</v>
      </c>
      <c r="D237" s="62" t="s">
        <v>72</v>
      </c>
      <c r="E237" s="63" t="n">
        <v>12</v>
      </c>
      <c r="F237" s="62" t="s">
        <v>389</v>
      </c>
      <c r="G237" s="62" t="s">
        <v>389</v>
      </c>
      <c r="H237" s="62" t="s">
        <v>389</v>
      </c>
      <c r="I237" s="62" t="s">
        <v>389</v>
      </c>
      <c r="J237" s="65" t="n">
        <v>1.1</v>
      </c>
      <c r="K237" s="62" t="s">
        <v>277</v>
      </c>
      <c r="L237" s="62" t="s">
        <v>389</v>
      </c>
      <c r="M237" s="62" t="s">
        <v>389</v>
      </c>
      <c r="N237" s="62" t="s">
        <v>307</v>
      </c>
      <c r="O237" s="62" t="s">
        <v>389</v>
      </c>
      <c r="P237" s="62" t="s">
        <v>389</v>
      </c>
      <c r="Q237" s="62" t="s">
        <v>390</v>
      </c>
      <c r="R237" s="62" t="s">
        <v>277</v>
      </c>
      <c r="S237" s="62" t="s">
        <v>389</v>
      </c>
      <c r="T237" s="65" t="n">
        <v>5.3</v>
      </c>
      <c r="U237" s="62" t="s">
        <v>277</v>
      </c>
      <c r="V237" s="65" t="n">
        <v>1.3</v>
      </c>
      <c r="W237" s="65" t="n">
        <v>0.5</v>
      </c>
      <c r="X237" s="63" t="n">
        <v>0</v>
      </c>
      <c r="Y237" s="62" t="s">
        <v>389</v>
      </c>
      <c r="Z237" s="62" t="s">
        <v>389</v>
      </c>
      <c r="AA237" s="62" t="s">
        <v>420</v>
      </c>
      <c r="AB237" s="62" t="s">
        <v>277</v>
      </c>
      <c r="AC237" s="65" t="n">
        <v>1.4</v>
      </c>
      <c r="AD237" s="63" t="n">
        <v>10</v>
      </c>
      <c r="AE237" s="63" t="n">
        <v>17</v>
      </c>
      <c r="AF237" s="63" t="n">
        <v>16</v>
      </c>
      <c r="AG237" s="62" t="s">
        <v>389</v>
      </c>
      <c r="AH237" s="62" t="s">
        <v>398</v>
      </c>
      <c r="AI237" s="63" t="n">
        <v>0</v>
      </c>
      <c r="AJ237" s="62" t="s">
        <v>151</v>
      </c>
      <c r="AK237" s="62" t="s">
        <v>391</v>
      </c>
      <c r="AL237" s="62" t="s">
        <v>392</v>
      </c>
      <c r="AM237" s="62" t="s">
        <v>396</v>
      </c>
      <c r="AN237" s="65" t="n">
        <v>68.2</v>
      </c>
      <c r="AO237" s="62" t="s">
        <v>389</v>
      </c>
      <c r="AP237" s="62" t="s">
        <v>390</v>
      </c>
      <c r="AQ237" s="62" t="s">
        <v>390</v>
      </c>
      <c r="AR237" s="66"/>
      <c r="AS237" s="62"/>
      <c r="AT237" s="65"/>
      <c r="AU237" s="62" t="s">
        <v>397</v>
      </c>
    </row>
    <row r="238" customFormat="false" ht="15" hidden="false" customHeight="false" outlineLevel="0" collapsed="false">
      <c r="A238" s="62" t="s">
        <v>388</v>
      </c>
      <c r="B238" s="63" t="n">
        <v>1299</v>
      </c>
      <c r="C238" s="64" t="n">
        <v>46306.5204844445</v>
      </c>
      <c r="D238" s="62" t="s">
        <v>72</v>
      </c>
      <c r="E238" s="63" t="n">
        <v>12</v>
      </c>
      <c r="F238" s="62" t="s">
        <v>389</v>
      </c>
      <c r="G238" s="62" t="s">
        <v>389</v>
      </c>
      <c r="H238" s="62" t="s">
        <v>389</v>
      </c>
      <c r="I238" s="62" t="s">
        <v>389</v>
      </c>
      <c r="J238" s="65" t="n">
        <v>0.3</v>
      </c>
      <c r="K238" s="62" t="s">
        <v>277</v>
      </c>
      <c r="L238" s="62" t="s">
        <v>389</v>
      </c>
      <c r="M238" s="62" t="s">
        <v>389</v>
      </c>
      <c r="N238" s="62" t="s">
        <v>305</v>
      </c>
      <c r="O238" s="62" t="s">
        <v>389</v>
      </c>
      <c r="P238" s="62" t="s">
        <v>389</v>
      </c>
      <c r="Q238" s="62" t="s">
        <v>390</v>
      </c>
      <c r="R238" s="62" t="s">
        <v>277</v>
      </c>
      <c r="S238" s="62" t="s">
        <v>389</v>
      </c>
      <c r="T238" s="65" t="n">
        <v>196.7</v>
      </c>
      <c r="U238" s="62" t="s">
        <v>277</v>
      </c>
      <c r="V238" s="65" t="n">
        <v>0.3</v>
      </c>
      <c r="W238" s="65" t="n">
        <v>98</v>
      </c>
      <c r="X238" s="63" t="n">
        <v>0</v>
      </c>
      <c r="Y238" s="62" t="s">
        <v>389</v>
      </c>
      <c r="Z238" s="62" t="s">
        <v>389</v>
      </c>
      <c r="AA238" s="62" t="s">
        <v>395</v>
      </c>
      <c r="AB238" s="62" t="s">
        <v>276</v>
      </c>
      <c r="AC238" s="65" t="n">
        <v>24</v>
      </c>
      <c r="AD238" s="63" t="n">
        <v>3</v>
      </c>
      <c r="AE238" s="63" t="n">
        <v>15</v>
      </c>
      <c r="AF238" s="63" t="n">
        <v>7</v>
      </c>
      <c r="AG238" s="62" t="s">
        <v>390</v>
      </c>
      <c r="AH238" s="62"/>
      <c r="AI238" s="63" t="n">
        <v>0</v>
      </c>
      <c r="AJ238" s="62" t="s">
        <v>150</v>
      </c>
      <c r="AK238" s="62" t="s">
        <v>391</v>
      </c>
      <c r="AL238" s="62" t="s">
        <v>392</v>
      </c>
      <c r="AM238" s="62" t="s">
        <v>396</v>
      </c>
      <c r="AN238" s="65" t="n">
        <v>68.2</v>
      </c>
      <c r="AO238" s="62" t="s">
        <v>389</v>
      </c>
      <c r="AP238" s="62" t="s">
        <v>390</v>
      </c>
      <c r="AQ238" s="62" t="s">
        <v>390</v>
      </c>
      <c r="AR238" s="66"/>
      <c r="AS238" s="62"/>
      <c r="AT238" s="65"/>
      <c r="AU238" s="62"/>
    </row>
    <row r="239" customFormat="false" ht="15" hidden="false" customHeight="false" outlineLevel="0" collapsed="false">
      <c r="A239" s="62" t="s">
        <v>388</v>
      </c>
      <c r="B239" s="63" t="n">
        <v>1301</v>
      </c>
      <c r="C239" s="64" t="n">
        <v>46306.5375734259</v>
      </c>
      <c r="D239" s="62" t="s">
        <v>72</v>
      </c>
      <c r="E239" s="63" t="n">
        <v>12</v>
      </c>
      <c r="F239" s="62" t="s">
        <v>389</v>
      </c>
      <c r="G239" s="62" t="s">
        <v>390</v>
      </c>
      <c r="H239" s="62" t="s">
        <v>390</v>
      </c>
      <c r="I239" s="62" t="s">
        <v>389</v>
      </c>
      <c r="J239" s="65"/>
      <c r="K239" s="62" t="s">
        <v>275</v>
      </c>
      <c r="L239" s="62" t="s">
        <v>389</v>
      </c>
      <c r="M239" s="62" t="s">
        <v>390</v>
      </c>
      <c r="N239" s="62"/>
      <c r="O239" s="62" t="s">
        <v>389</v>
      </c>
      <c r="P239" s="62" t="s">
        <v>389</v>
      </c>
      <c r="Q239" s="62" t="s">
        <v>390</v>
      </c>
      <c r="R239" s="62" t="s">
        <v>277</v>
      </c>
      <c r="S239" s="62" t="s">
        <v>389</v>
      </c>
      <c r="T239" s="65" t="n">
        <v>35.3</v>
      </c>
      <c r="U239" s="62" t="s">
        <v>279</v>
      </c>
      <c r="V239" s="65" t="n">
        <v>31.6</v>
      </c>
      <c r="W239" s="65" t="n">
        <v>2.3</v>
      </c>
      <c r="X239" s="63" t="n">
        <v>0</v>
      </c>
      <c r="Y239" s="62" t="s">
        <v>389</v>
      </c>
      <c r="Z239" s="62" t="s">
        <v>389</v>
      </c>
      <c r="AA239" s="62" t="s">
        <v>395</v>
      </c>
      <c r="AB239" s="62" t="s">
        <v>276</v>
      </c>
      <c r="AC239" s="65" t="n">
        <v>23.5</v>
      </c>
      <c r="AD239" s="63" t="n">
        <v>5</v>
      </c>
      <c r="AE239" s="63" t="n">
        <v>15</v>
      </c>
      <c r="AF239" s="63" t="n">
        <v>8</v>
      </c>
      <c r="AG239" s="62" t="s">
        <v>389</v>
      </c>
      <c r="AH239" s="62" t="s">
        <v>398</v>
      </c>
      <c r="AI239" s="63" t="n">
        <v>0</v>
      </c>
      <c r="AJ239" s="62" t="s">
        <v>150</v>
      </c>
      <c r="AK239" s="62" t="s">
        <v>391</v>
      </c>
      <c r="AL239" s="62" t="s">
        <v>392</v>
      </c>
      <c r="AM239" s="62" t="s">
        <v>396</v>
      </c>
      <c r="AN239" s="65" t="n">
        <v>67.6</v>
      </c>
      <c r="AO239" s="62" t="s">
        <v>389</v>
      </c>
      <c r="AP239" s="62" t="s">
        <v>390</v>
      </c>
      <c r="AQ239" s="62" t="s">
        <v>390</v>
      </c>
      <c r="AR239" s="66"/>
      <c r="AS239" s="62"/>
      <c r="AT239" s="65"/>
      <c r="AU239" s="62" t="s">
        <v>397</v>
      </c>
    </row>
    <row r="240" customFormat="false" ht="15" hidden="false" customHeight="false" outlineLevel="0" collapsed="false">
      <c r="A240" s="62" t="s">
        <v>388</v>
      </c>
      <c r="B240" s="63" t="n">
        <v>1305</v>
      </c>
      <c r="C240" s="64" t="n">
        <v>46306.5550971875</v>
      </c>
      <c r="D240" s="62" t="s">
        <v>72</v>
      </c>
      <c r="E240" s="63" t="n">
        <v>13</v>
      </c>
      <c r="F240" s="62" t="s">
        <v>389</v>
      </c>
      <c r="G240" s="62" t="s">
        <v>390</v>
      </c>
      <c r="H240" s="62" t="s">
        <v>390</v>
      </c>
      <c r="I240" s="62" t="s">
        <v>389</v>
      </c>
      <c r="J240" s="65"/>
      <c r="K240" s="62" t="s">
        <v>275</v>
      </c>
      <c r="L240" s="62" t="s">
        <v>389</v>
      </c>
      <c r="M240" s="62" t="s">
        <v>390</v>
      </c>
      <c r="N240" s="62"/>
      <c r="O240" s="62" t="s">
        <v>389</v>
      </c>
      <c r="P240" s="62" t="s">
        <v>390</v>
      </c>
      <c r="Q240" s="62" t="s">
        <v>390</v>
      </c>
      <c r="R240" s="62" t="s">
        <v>277</v>
      </c>
      <c r="S240" s="62" t="s">
        <v>389</v>
      </c>
      <c r="T240" s="65" t="n">
        <v>1098.7</v>
      </c>
      <c r="U240" s="62" t="s">
        <v>277</v>
      </c>
      <c r="V240" s="65" t="n">
        <v>1098.7</v>
      </c>
      <c r="W240" s="65"/>
      <c r="X240" s="63" t="n">
        <v>0</v>
      </c>
      <c r="Y240" s="62" t="s">
        <v>390</v>
      </c>
      <c r="Z240" s="62" t="s">
        <v>389</v>
      </c>
      <c r="AA240" s="62" t="s">
        <v>395</v>
      </c>
      <c r="AB240" s="62" t="s">
        <v>275</v>
      </c>
      <c r="AC240" s="65" t="n">
        <v>26.6</v>
      </c>
      <c r="AD240" s="63" t="n">
        <v>1</v>
      </c>
      <c r="AE240" s="63" t="n">
        <v>19</v>
      </c>
      <c r="AF240" s="63" t="n">
        <v>3</v>
      </c>
      <c r="AG240" s="62" t="s">
        <v>389</v>
      </c>
      <c r="AH240" s="62" t="s">
        <v>398</v>
      </c>
      <c r="AI240" s="63" t="n">
        <v>0</v>
      </c>
      <c r="AJ240" s="62" t="s">
        <v>147</v>
      </c>
      <c r="AK240" s="62" t="s">
        <v>391</v>
      </c>
      <c r="AL240" s="62" t="s">
        <v>392</v>
      </c>
      <c r="AM240" s="62" t="s">
        <v>396</v>
      </c>
      <c r="AN240" s="65" t="n">
        <v>67.5</v>
      </c>
      <c r="AO240" s="62" t="s">
        <v>389</v>
      </c>
      <c r="AP240" s="62" t="s">
        <v>390</v>
      </c>
      <c r="AQ240" s="62" t="s">
        <v>390</v>
      </c>
      <c r="AR240" s="66"/>
      <c r="AS240" s="62"/>
      <c r="AT240" s="65"/>
      <c r="AU240" s="62" t="s">
        <v>417</v>
      </c>
    </row>
    <row r="241" customFormat="false" ht="15" hidden="false" customHeight="false" outlineLevel="0" collapsed="false">
      <c r="A241" s="62" t="s">
        <v>388</v>
      </c>
      <c r="B241" s="63" t="n">
        <v>1312</v>
      </c>
      <c r="C241" s="64" t="n">
        <v>46306.6206543634</v>
      </c>
      <c r="D241" s="62" t="s">
        <v>72</v>
      </c>
      <c r="E241" s="63" t="n">
        <v>14</v>
      </c>
      <c r="F241" s="62" t="s">
        <v>389</v>
      </c>
      <c r="G241" s="62" t="s">
        <v>390</v>
      </c>
      <c r="H241" s="62" t="s">
        <v>390</v>
      </c>
      <c r="I241" s="62" t="s">
        <v>389</v>
      </c>
      <c r="J241" s="65"/>
      <c r="K241" s="62" t="s">
        <v>275</v>
      </c>
      <c r="L241" s="62" t="s">
        <v>389</v>
      </c>
      <c r="M241" s="62" t="s">
        <v>390</v>
      </c>
      <c r="N241" s="62"/>
      <c r="O241" s="62" t="s">
        <v>389</v>
      </c>
      <c r="P241" s="62" t="s">
        <v>390</v>
      </c>
      <c r="Q241" s="62" t="s">
        <v>390</v>
      </c>
      <c r="R241" s="62" t="s">
        <v>277</v>
      </c>
      <c r="S241" s="62" t="s">
        <v>389</v>
      </c>
      <c r="T241" s="65" t="n">
        <v>1292.6</v>
      </c>
      <c r="U241" s="62" t="s">
        <v>276</v>
      </c>
      <c r="V241" s="65" t="n">
        <v>1292.6</v>
      </c>
      <c r="W241" s="65"/>
      <c r="X241" s="63" t="n">
        <v>0</v>
      </c>
      <c r="Y241" s="62" t="s">
        <v>390</v>
      </c>
      <c r="Z241" s="62" t="s">
        <v>389</v>
      </c>
      <c r="AA241" s="62" t="s">
        <v>395</v>
      </c>
      <c r="AB241" s="62" t="s">
        <v>276</v>
      </c>
      <c r="AC241" s="65" t="n">
        <v>21.5</v>
      </c>
      <c r="AD241" s="63" t="n">
        <v>1</v>
      </c>
      <c r="AE241" s="63" t="n">
        <v>14</v>
      </c>
      <c r="AF241" s="63" t="n">
        <v>4</v>
      </c>
      <c r="AG241" s="62" t="s">
        <v>390</v>
      </c>
      <c r="AH241" s="62"/>
      <c r="AI241" s="63" t="n">
        <v>0</v>
      </c>
      <c r="AJ241" s="62" t="s">
        <v>147</v>
      </c>
      <c r="AK241" s="62" t="s">
        <v>391</v>
      </c>
      <c r="AL241" s="62" t="s">
        <v>392</v>
      </c>
      <c r="AM241" s="62" t="s">
        <v>396</v>
      </c>
      <c r="AN241" s="65" t="n">
        <v>65.7</v>
      </c>
      <c r="AO241" s="62" t="s">
        <v>389</v>
      </c>
      <c r="AP241" s="62" t="s">
        <v>390</v>
      </c>
      <c r="AQ241" s="62" t="s">
        <v>390</v>
      </c>
      <c r="AR241" s="66"/>
      <c r="AS241" s="62"/>
      <c r="AT241" s="65"/>
      <c r="AU241" s="62" t="s">
        <v>397</v>
      </c>
    </row>
    <row r="242" customFormat="false" ht="15" hidden="false" customHeight="false" outlineLevel="0" collapsed="false">
      <c r="A242" s="62" t="s">
        <v>388</v>
      </c>
      <c r="B242" s="63" t="n">
        <v>1320</v>
      </c>
      <c r="C242" s="64" t="n">
        <v>46306.6668726736</v>
      </c>
      <c r="D242" s="62" t="s">
        <v>72</v>
      </c>
      <c r="E242" s="63" t="n">
        <v>16</v>
      </c>
      <c r="F242" s="62" t="s">
        <v>389</v>
      </c>
      <c r="G242" s="62" t="s">
        <v>390</v>
      </c>
      <c r="H242" s="62" t="s">
        <v>390</v>
      </c>
      <c r="I242" s="62" t="s">
        <v>389</v>
      </c>
      <c r="J242" s="65"/>
      <c r="K242" s="62" t="s">
        <v>275</v>
      </c>
      <c r="L242" s="62" t="s">
        <v>389</v>
      </c>
      <c r="M242" s="62" t="s">
        <v>390</v>
      </c>
      <c r="N242" s="62"/>
      <c r="O242" s="62" t="s">
        <v>389</v>
      </c>
      <c r="P242" s="62" t="s">
        <v>390</v>
      </c>
      <c r="Q242" s="62" t="s">
        <v>390</v>
      </c>
      <c r="R242" s="62" t="s">
        <v>277</v>
      </c>
      <c r="S242" s="62" t="s">
        <v>389</v>
      </c>
      <c r="T242" s="65" t="n">
        <v>1228.6</v>
      </c>
      <c r="U242" s="62" t="s">
        <v>276</v>
      </c>
      <c r="V242" s="65" t="n">
        <v>1228.6</v>
      </c>
      <c r="W242" s="65"/>
      <c r="X242" s="63" t="n">
        <v>0</v>
      </c>
      <c r="Y242" s="62" t="s">
        <v>390</v>
      </c>
      <c r="Z242" s="62" t="s">
        <v>389</v>
      </c>
      <c r="AA242" s="62" t="s">
        <v>395</v>
      </c>
      <c r="AB242" s="62" t="s">
        <v>276</v>
      </c>
      <c r="AC242" s="65" t="n">
        <v>20.5</v>
      </c>
      <c r="AD242" s="63" t="n">
        <v>1</v>
      </c>
      <c r="AE242" s="63" t="n">
        <v>14</v>
      </c>
      <c r="AF242" s="63" t="n">
        <v>4</v>
      </c>
      <c r="AG242" s="62" t="s">
        <v>390</v>
      </c>
      <c r="AH242" s="62"/>
      <c r="AI242" s="63" t="n">
        <v>0</v>
      </c>
      <c r="AJ242" s="62" t="s">
        <v>147</v>
      </c>
      <c r="AK242" s="62" t="s">
        <v>391</v>
      </c>
      <c r="AL242" s="62" t="s">
        <v>392</v>
      </c>
      <c r="AM242" s="62" t="s">
        <v>396</v>
      </c>
      <c r="AN242" s="65" t="n">
        <v>64.7</v>
      </c>
      <c r="AO242" s="62" t="s">
        <v>389</v>
      </c>
      <c r="AP242" s="62" t="s">
        <v>390</v>
      </c>
      <c r="AQ242" s="62" t="s">
        <v>390</v>
      </c>
      <c r="AR242" s="66"/>
      <c r="AS242" s="62"/>
      <c r="AT242" s="65"/>
      <c r="AU242" s="62" t="s">
        <v>397</v>
      </c>
    </row>
    <row r="243" customFormat="false" ht="15" hidden="false" customHeight="false" outlineLevel="0" collapsed="false">
      <c r="A243" s="62" t="s">
        <v>388</v>
      </c>
      <c r="B243" s="63" t="n">
        <v>1324</v>
      </c>
      <c r="C243" s="64" t="n">
        <v>46306.6823936806</v>
      </c>
      <c r="D243" s="62" t="s">
        <v>72</v>
      </c>
      <c r="E243" s="63" t="n">
        <v>16</v>
      </c>
      <c r="F243" s="62" t="s">
        <v>389</v>
      </c>
      <c r="G243" s="62" t="s">
        <v>390</v>
      </c>
      <c r="H243" s="62" t="s">
        <v>390</v>
      </c>
      <c r="I243" s="62" t="s">
        <v>389</v>
      </c>
      <c r="J243" s="65"/>
      <c r="K243" s="62" t="s">
        <v>275</v>
      </c>
      <c r="L243" s="62" t="s">
        <v>389</v>
      </c>
      <c r="M243" s="62" t="s">
        <v>389</v>
      </c>
      <c r="N243" s="62" t="s">
        <v>304</v>
      </c>
      <c r="O243" s="62" t="s">
        <v>389</v>
      </c>
      <c r="P243" s="62" t="s">
        <v>389</v>
      </c>
      <c r="Q243" s="62" t="s">
        <v>390</v>
      </c>
      <c r="R243" s="62" t="s">
        <v>279</v>
      </c>
      <c r="S243" s="62" t="s">
        <v>389</v>
      </c>
      <c r="T243" s="65" t="n">
        <v>315.5</v>
      </c>
      <c r="U243" s="62" t="s">
        <v>279</v>
      </c>
      <c r="V243" s="65" t="n">
        <v>315.5</v>
      </c>
      <c r="W243" s="65" t="n">
        <v>2.7</v>
      </c>
      <c r="X243" s="63" t="n">
        <v>0</v>
      </c>
      <c r="Y243" s="62" t="s">
        <v>389</v>
      </c>
      <c r="Z243" s="62" t="s">
        <v>389</v>
      </c>
      <c r="AA243" s="62" t="s">
        <v>395</v>
      </c>
      <c r="AB243" s="62" t="s">
        <v>275</v>
      </c>
      <c r="AC243" s="65" t="n">
        <v>20.7</v>
      </c>
      <c r="AD243" s="63" t="n">
        <v>8</v>
      </c>
      <c r="AE243" s="63" t="n">
        <v>21</v>
      </c>
      <c r="AF243" s="63" t="n">
        <v>10</v>
      </c>
      <c r="AG243" s="62" t="s">
        <v>390</v>
      </c>
      <c r="AH243" s="62"/>
      <c r="AI243" s="63" t="n">
        <v>0</v>
      </c>
      <c r="AJ243" s="62" t="s">
        <v>151</v>
      </c>
      <c r="AK243" s="62" t="s">
        <v>391</v>
      </c>
      <c r="AL243" s="62" t="s">
        <v>392</v>
      </c>
      <c r="AM243" s="62" t="s">
        <v>396</v>
      </c>
      <c r="AN243" s="65" t="n">
        <v>64.3</v>
      </c>
      <c r="AO243" s="62" t="s">
        <v>389</v>
      </c>
      <c r="AP243" s="62" t="s">
        <v>390</v>
      </c>
      <c r="AQ243" s="62" t="s">
        <v>390</v>
      </c>
      <c r="AR243" s="66"/>
      <c r="AS243" s="62"/>
      <c r="AT243" s="65"/>
      <c r="AU243" s="62" t="s">
        <v>399</v>
      </c>
    </row>
    <row r="244" customFormat="false" ht="15" hidden="false" customHeight="false" outlineLevel="0" collapsed="false">
      <c r="A244" s="62" t="s">
        <v>388</v>
      </c>
      <c r="B244" s="63" t="n">
        <v>1330</v>
      </c>
      <c r="C244" s="64" t="n">
        <v>46306.7018189583</v>
      </c>
      <c r="D244" s="62" t="s">
        <v>72</v>
      </c>
      <c r="E244" s="63" t="n">
        <v>16</v>
      </c>
      <c r="F244" s="62" t="s">
        <v>389</v>
      </c>
      <c r="G244" s="62" t="s">
        <v>389</v>
      </c>
      <c r="H244" s="62" t="s">
        <v>389</v>
      </c>
      <c r="I244" s="62" t="s">
        <v>389</v>
      </c>
      <c r="J244" s="65" t="n">
        <v>2.6</v>
      </c>
      <c r="K244" s="62" t="s">
        <v>277</v>
      </c>
      <c r="L244" s="62" t="s">
        <v>389</v>
      </c>
      <c r="M244" s="62" t="s">
        <v>390</v>
      </c>
      <c r="N244" s="62"/>
      <c r="O244" s="62" t="s">
        <v>389</v>
      </c>
      <c r="P244" s="62" t="s">
        <v>390</v>
      </c>
      <c r="Q244" s="62" t="s">
        <v>390</v>
      </c>
      <c r="R244" s="62" t="s">
        <v>277</v>
      </c>
      <c r="S244" s="62" t="s">
        <v>389</v>
      </c>
      <c r="T244" s="65" t="n">
        <v>1178.7</v>
      </c>
      <c r="U244" s="62" t="s">
        <v>276</v>
      </c>
      <c r="V244" s="65" t="n">
        <v>3.3</v>
      </c>
      <c r="W244" s="65" t="n">
        <v>1178.1</v>
      </c>
      <c r="X244" s="63" t="n">
        <v>0</v>
      </c>
      <c r="Y244" s="62" t="s">
        <v>390</v>
      </c>
      <c r="Z244" s="62" t="s">
        <v>389</v>
      </c>
      <c r="AA244" s="62" t="s">
        <v>395</v>
      </c>
      <c r="AB244" s="62" t="s">
        <v>276</v>
      </c>
      <c r="AC244" s="65" t="n">
        <v>19.6</v>
      </c>
      <c r="AD244" s="63" t="n">
        <v>2</v>
      </c>
      <c r="AE244" s="63" t="n">
        <v>13</v>
      </c>
      <c r="AF244" s="63" t="n">
        <v>4</v>
      </c>
      <c r="AG244" s="62" t="s">
        <v>390</v>
      </c>
      <c r="AH244" s="62"/>
      <c r="AI244" s="63" t="n">
        <v>0</v>
      </c>
      <c r="AJ244" s="62" t="s">
        <v>148</v>
      </c>
      <c r="AK244" s="62" t="s">
        <v>391</v>
      </c>
      <c r="AL244" s="62" t="s">
        <v>392</v>
      </c>
      <c r="AM244" s="62" t="s">
        <v>396</v>
      </c>
      <c r="AN244" s="65" t="n">
        <v>63.8</v>
      </c>
      <c r="AO244" s="62" t="s">
        <v>389</v>
      </c>
      <c r="AP244" s="62" t="s">
        <v>390</v>
      </c>
      <c r="AQ244" s="62" t="s">
        <v>390</v>
      </c>
      <c r="AR244" s="66"/>
      <c r="AS244" s="62"/>
      <c r="AT244" s="65"/>
      <c r="AU244" s="62" t="s">
        <v>397</v>
      </c>
    </row>
    <row r="245" customFormat="false" ht="15" hidden="false" customHeight="false" outlineLevel="0" collapsed="false">
      <c r="A245" s="62" t="s">
        <v>388</v>
      </c>
      <c r="B245" s="63" t="n">
        <v>1334</v>
      </c>
      <c r="C245" s="64" t="n">
        <v>46306.7209381829</v>
      </c>
      <c r="D245" s="62" t="s">
        <v>72</v>
      </c>
      <c r="E245" s="63" t="n">
        <v>17</v>
      </c>
      <c r="F245" s="62" t="s">
        <v>389</v>
      </c>
      <c r="G245" s="62" t="s">
        <v>389</v>
      </c>
      <c r="H245" s="62" t="s">
        <v>389</v>
      </c>
      <c r="I245" s="62" t="s">
        <v>389</v>
      </c>
      <c r="J245" s="65" t="n">
        <v>0.4</v>
      </c>
      <c r="K245" s="62" t="s">
        <v>279</v>
      </c>
      <c r="L245" s="62" t="s">
        <v>389</v>
      </c>
      <c r="M245" s="62" t="s">
        <v>389</v>
      </c>
      <c r="N245" s="62" t="s">
        <v>304</v>
      </c>
      <c r="O245" s="62" t="s">
        <v>389</v>
      </c>
      <c r="P245" s="62" t="s">
        <v>389</v>
      </c>
      <c r="Q245" s="62" t="s">
        <v>390</v>
      </c>
      <c r="R245" s="62" t="s">
        <v>279</v>
      </c>
      <c r="S245" s="62" t="s">
        <v>389</v>
      </c>
      <c r="T245" s="65" t="n">
        <v>7.9</v>
      </c>
      <c r="U245" s="62" t="s">
        <v>279</v>
      </c>
      <c r="V245" s="65" t="n">
        <v>0.7</v>
      </c>
      <c r="W245" s="65" t="n">
        <v>6.1</v>
      </c>
      <c r="X245" s="63" t="n">
        <v>0</v>
      </c>
      <c r="Y245" s="62" t="s">
        <v>389</v>
      </c>
      <c r="Z245" s="62" t="s">
        <v>389</v>
      </c>
      <c r="AA245" s="62" t="s">
        <v>395</v>
      </c>
      <c r="AB245" s="62" t="s">
        <v>275</v>
      </c>
      <c r="AC245" s="65" t="n">
        <v>43.7</v>
      </c>
      <c r="AD245" s="63" t="n">
        <v>3</v>
      </c>
      <c r="AE245" s="63" t="n">
        <v>20</v>
      </c>
      <c r="AF245" s="63" t="n">
        <v>10</v>
      </c>
      <c r="AG245" s="62" t="s">
        <v>390</v>
      </c>
      <c r="AH245" s="62"/>
      <c r="AI245" s="63" t="n">
        <v>0</v>
      </c>
      <c r="AJ245" s="62" t="s">
        <v>149</v>
      </c>
      <c r="AK245" s="62" t="s">
        <v>391</v>
      </c>
      <c r="AL245" s="62" t="s">
        <v>392</v>
      </c>
      <c r="AM245" s="62" t="s">
        <v>396</v>
      </c>
      <c r="AN245" s="65" t="n">
        <v>88.4</v>
      </c>
      <c r="AO245" s="62" t="s">
        <v>389</v>
      </c>
      <c r="AP245" s="62" t="s">
        <v>390</v>
      </c>
      <c r="AQ245" s="62" t="s">
        <v>390</v>
      </c>
      <c r="AR245" s="66"/>
      <c r="AS245" s="62"/>
      <c r="AT245" s="65"/>
      <c r="AU245" s="62" t="s">
        <v>417</v>
      </c>
    </row>
    <row r="246" customFormat="false" ht="15" hidden="false" customHeight="false" outlineLevel="0" collapsed="false">
      <c r="A246" s="62" t="s">
        <v>388</v>
      </c>
      <c r="B246" s="63" t="n">
        <v>1338</v>
      </c>
      <c r="C246" s="64" t="n">
        <v>46306.743327257</v>
      </c>
      <c r="D246" s="62" t="s">
        <v>72</v>
      </c>
      <c r="E246" s="63" t="n">
        <v>17</v>
      </c>
      <c r="F246" s="62" t="s">
        <v>389</v>
      </c>
      <c r="G246" s="62" t="s">
        <v>389</v>
      </c>
      <c r="H246" s="62" t="s">
        <v>389</v>
      </c>
      <c r="I246" s="62" t="s">
        <v>389</v>
      </c>
      <c r="J246" s="65" t="n">
        <v>1.4</v>
      </c>
      <c r="K246" s="62" t="s">
        <v>279</v>
      </c>
      <c r="L246" s="62" t="s">
        <v>389</v>
      </c>
      <c r="M246" s="62" t="s">
        <v>390</v>
      </c>
      <c r="N246" s="62"/>
      <c r="O246" s="62" t="s">
        <v>389</v>
      </c>
      <c r="P246" s="62" t="s">
        <v>389</v>
      </c>
      <c r="Q246" s="62" t="s">
        <v>389</v>
      </c>
      <c r="R246" s="62" t="s">
        <v>277</v>
      </c>
      <c r="S246" s="62" t="s">
        <v>390</v>
      </c>
      <c r="T246" s="65" t="n">
        <v>2649.4</v>
      </c>
      <c r="U246" s="62" t="s">
        <v>277</v>
      </c>
      <c r="V246" s="65" t="n">
        <v>1.7</v>
      </c>
      <c r="W246" s="65" t="n">
        <v>0.6</v>
      </c>
      <c r="X246" s="63" t="n">
        <v>0</v>
      </c>
      <c r="Y246" s="62" t="s">
        <v>390</v>
      </c>
      <c r="Z246" s="62" t="s">
        <v>389</v>
      </c>
      <c r="AA246" s="62" t="s">
        <v>265</v>
      </c>
      <c r="AB246" s="62" t="s">
        <v>275</v>
      </c>
      <c r="AC246" s="65" t="n">
        <v>43.2</v>
      </c>
      <c r="AD246" s="63" t="n">
        <v>15</v>
      </c>
      <c r="AE246" s="63" t="n">
        <v>23</v>
      </c>
      <c r="AF246" s="63" t="n">
        <v>15</v>
      </c>
      <c r="AG246" s="62" t="s">
        <v>389</v>
      </c>
      <c r="AH246" s="62" t="s">
        <v>398</v>
      </c>
      <c r="AI246" s="63" t="n">
        <v>0</v>
      </c>
      <c r="AJ246" s="62" t="s">
        <v>154</v>
      </c>
      <c r="AK246" s="62" t="s">
        <v>407</v>
      </c>
      <c r="AL246" s="62"/>
      <c r="AM246" s="62"/>
      <c r="AN246" s="65"/>
      <c r="AO246" s="62" t="s">
        <v>390</v>
      </c>
      <c r="AP246" s="62"/>
      <c r="AQ246" s="62" t="s">
        <v>389</v>
      </c>
      <c r="AR246" s="66" t="n">
        <v>3799</v>
      </c>
      <c r="AS246" s="62" t="s">
        <v>408</v>
      </c>
      <c r="AT246" s="65" t="n">
        <v>44.4</v>
      </c>
      <c r="AU246" s="62" t="s">
        <v>399</v>
      </c>
    </row>
    <row r="247" customFormat="false" ht="15" hidden="false" customHeight="false" outlineLevel="0" collapsed="false">
      <c r="A247" s="62" t="s">
        <v>388</v>
      </c>
      <c r="B247" s="63" t="n">
        <v>1340</v>
      </c>
      <c r="C247" s="64" t="n">
        <v>46306.7625783102</v>
      </c>
      <c r="D247" s="62" t="s">
        <v>72</v>
      </c>
      <c r="E247" s="63" t="n">
        <v>18</v>
      </c>
      <c r="F247" s="62" t="s">
        <v>389</v>
      </c>
      <c r="G247" s="62" t="s">
        <v>389</v>
      </c>
      <c r="H247" s="62" t="s">
        <v>389</v>
      </c>
      <c r="I247" s="62" t="s">
        <v>389</v>
      </c>
      <c r="J247" s="65" t="n">
        <v>2.1</v>
      </c>
      <c r="K247" s="62" t="s">
        <v>279</v>
      </c>
      <c r="L247" s="62" t="s">
        <v>389</v>
      </c>
      <c r="M247" s="62" t="s">
        <v>390</v>
      </c>
      <c r="N247" s="62"/>
      <c r="O247" s="62" t="s">
        <v>389</v>
      </c>
      <c r="P247" s="62" t="s">
        <v>389</v>
      </c>
      <c r="Q247" s="62" t="s">
        <v>389</v>
      </c>
      <c r="R247" s="62" t="s">
        <v>277</v>
      </c>
      <c r="S247" s="62" t="s">
        <v>389</v>
      </c>
      <c r="T247" s="65" t="n">
        <v>2905.8</v>
      </c>
      <c r="U247" s="62" t="s">
        <v>278</v>
      </c>
      <c r="V247" s="65" t="n">
        <v>2.9</v>
      </c>
      <c r="W247" s="65" t="n">
        <v>5.3</v>
      </c>
      <c r="X247" s="63" t="n">
        <v>0</v>
      </c>
      <c r="Y247" s="62" t="s">
        <v>390</v>
      </c>
      <c r="Z247" s="62" t="s">
        <v>389</v>
      </c>
      <c r="AA247" s="62" t="s">
        <v>395</v>
      </c>
      <c r="AB247" s="62" t="s">
        <v>275</v>
      </c>
      <c r="AC247" s="65" t="n">
        <v>42.7</v>
      </c>
      <c r="AD247" s="63" t="n">
        <v>4</v>
      </c>
      <c r="AE247" s="63" t="n">
        <v>24</v>
      </c>
      <c r="AF247" s="63" t="n">
        <v>4</v>
      </c>
      <c r="AG247" s="62" t="s">
        <v>390</v>
      </c>
      <c r="AH247" s="62"/>
      <c r="AI247" s="63" t="n">
        <v>0</v>
      </c>
      <c r="AJ247" s="62" t="s">
        <v>151</v>
      </c>
      <c r="AK247" s="62" t="s">
        <v>402</v>
      </c>
      <c r="AL247" s="62"/>
      <c r="AM247" s="62"/>
      <c r="AN247" s="65"/>
      <c r="AO247" s="62" t="s">
        <v>390</v>
      </c>
      <c r="AP247" s="62"/>
      <c r="AQ247" s="62" t="s">
        <v>390</v>
      </c>
      <c r="AR247" s="66"/>
      <c r="AS247" s="62"/>
      <c r="AT247" s="65"/>
      <c r="AU247" s="62" t="s">
        <v>397</v>
      </c>
    </row>
    <row r="248" customFormat="false" ht="15" hidden="false" customHeight="false" outlineLevel="0" collapsed="false">
      <c r="A248" s="62" t="s">
        <v>388</v>
      </c>
      <c r="B248" s="63" t="n">
        <v>1343</v>
      </c>
      <c r="C248" s="64" t="n">
        <v>46306.7912580903</v>
      </c>
      <c r="D248" s="62" t="s">
        <v>72</v>
      </c>
      <c r="E248" s="63" t="n">
        <v>18</v>
      </c>
      <c r="F248" s="62" t="s">
        <v>389</v>
      </c>
      <c r="G248" s="62" t="s">
        <v>389</v>
      </c>
      <c r="H248" s="62" t="s">
        <v>389</v>
      </c>
      <c r="I248" s="62" t="s">
        <v>389</v>
      </c>
      <c r="J248" s="65" t="n">
        <v>0.2</v>
      </c>
      <c r="K248" s="62" t="s">
        <v>279</v>
      </c>
      <c r="L248" s="62" t="s">
        <v>389</v>
      </c>
      <c r="M248" s="62" t="s">
        <v>389</v>
      </c>
      <c r="N248" s="62" t="s">
        <v>305</v>
      </c>
      <c r="O248" s="62" t="s">
        <v>389</v>
      </c>
      <c r="P248" s="62" t="s">
        <v>389</v>
      </c>
      <c r="Q248" s="62" t="s">
        <v>390</v>
      </c>
      <c r="R248" s="62" t="s">
        <v>279</v>
      </c>
      <c r="S248" s="62" t="s">
        <v>389</v>
      </c>
      <c r="T248" s="65" t="n">
        <v>13.8</v>
      </c>
      <c r="U248" s="62" t="s">
        <v>279</v>
      </c>
      <c r="V248" s="65" t="n">
        <v>0.5</v>
      </c>
      <c r="W248" s="65" t="n">
        <v>11.6</v>
      </c>
      <c r="X248" s="63" t="n">
        <v>0</v>
      </c>
      <c r="Y248" s="62" t="s">
        <v>389</v>
      </c>
      <c r="Z248" s="62" t="s">
        <v>389</v>
      </c>
      <c r="AA248" s="62" t="s">
        <v>395</v>
      </c>
      <c r="AB248" s="62" t="s">
        <v>275</v>
      </c>
      <c r="AC248" s="65" t="n">
        <v>42</v>
      </c>
      <c r="AD248" s="63" t="n">
        <v>3</v>
      </c>
      <c r="AE248" s="63" t="n">
        <v>20</v>
      </c>
      <c r="AF248" s="63" t="n">
        <v>9</v>
      </c>
      <c r="AG248" s="62" t="s">
        <v>389</v>
      </c>
      <c r="AH248" s="62" t="s">
        <v>330</v>
      </c>
      <c r="AI248" s="63" t="n">
        <v>0</v>
      </c>
      <c r="AJ248" s="62" t="s">
        <v>149</v>
      </c>
      <c r="AK248" s="62" t="s">
        <v>391</v>
      </c>
      <c r="AL248" s="62" t="s">
        <v>392</v>
      </c>
      <c r="AM248" s="62" t="s">
        <v>396</v>
      </c>
      <c r="AN248" s="65" t="n">
        <v>86.7</v>
      </c>
      <c r="AO248" s="62" t="s">
        <v>389</v>
      </c>
      <c r="AP248" s="62" t="s">
        <v>390</v>
      </c>
      <c r="AQ248" s="62" t="s">
        <v>390</v>
      </c>
      <c r="AR248" s="66"/>
      <c r="AS248" s="62"/>
      <c r="AT248" s="65"/>
      <c r="AU248" s="62" t="s">
        <v>397</v>
      </c>
    </row>
    <row r="249" customFormat="false" ht="15" hidden="false" customHeight="false" outlineLevel="0" collapsed="false">
      <c r="A249" s="62" t="s">
        <v>388</v>
      </c>
      <c r="B249" s="63" t="n">
        <v>1347</v>
      </c>
      <c r="C249" s="64" t="n">
        <v>46306.8071229514</v>
      </c>
      <c r="D249" s="62" t="s">
        <v>72</v>
      </c>
      <c r="E249" s="63" t="n">
        <v>19</v>
      </c>
      <c r="F249" s="62" t="s">
        <v>389</v>
      </c>
      <c r="G249" s="62" t="s">
        <v>390</v>
      </c>
      <c r="H249" s="62" t="s">
        <v>390</v>
      </c>
      <c r="I249" s="62" t="s">
        <v>389</v>
      </c>
      <c r="J249" s="65"/>
      <c r="K249" s="62" t="s">
        <v>275</v>
      </c>
      <c r="L249" s="62" t="s">
        <v>389</v>
      </c>
      <c r="M249" s="62" t="s">
        <v>390</v>
      </c>
      <c r="N249" s="62"/>
      <c r="O249" s="62" t="s">
        <v>389</v>
      </c>
      <c r="P249" s="62" t="s">
        <v>390</v>
      </c>
      <c r="Q249" s="62" t="s">
        <v>390</v>
      </c>
      <c r="R249" s="62" t="s">
        <v>277</v>
      </c>
      <c r="S249" s="62" t="s">
        <v>389</v>
      </c>
      <c r="T249" s="65" t="n">
        <v>3690.2</v>
      </c>
      <c r="U249" s="62" t="s">
        <v>276</v>
      </c>
      <c r="V249" s="65" t="n">
        <v>3690.2</v>
      </c>
      <c r="W249" s="65"/>
      <c r="X249" s="63" t="n">
        <v>0</v>
      </c>
      <c r="Y249" s="62" t="s">
        <v>390</v>
      </c>
      <c r="Z249" s="62" t="s">
        <v>389</v>
      </c>
      <c r="AA249" s="62" t="s">
        <v>395</v>
      </c>
      <c r="AB249" s="62" t="s">
        <v>275</v>
      </c>
      <c r="AC249" s="65" t="n">
        <v>41.7</v>
      </c>
      <c r="AD249" s="63" t="n">
        <v>1</v>
      </c>
      <c r="AE249" s="63" t="n">
        <v>19</v>
      </c>
      <c r="AF249" s="63" t="n">
        <v>2</v>
      </c>
      <c r="AG249" s="62" t="s">
        <v>390</v>
      </c>
      <c r="AH249" s="62"/>
      <c r="AI249" s="63" t="n">
        <v>0</v>
      </c>
      <c r="AJ249" s="62" t="s">
        <v>147</v>
      </c>
      <c r="AK249" s="62" t="s">
        <v>391</v>
      </c>
      <c r="AL249" s="62" t="s">
        <v>392</v>
      </c>
      <c r="AM249" s="62" t="s">
        <v>396</v>
      </c>
      <c r="AN249" s="65" t="n">
        <v>65.5</v>
      </c>
      <c r="AO249" s="62" t="s">
        <v>389</v>
      </c>
      <c r="AP249" s="62" t="s">
        <v>390</v>
      </c>
      <c r="AQ249" s="62" t="s">
        <v>390</v>
      </c>
      <c r="AR249" s="66"/>
      <c r="AS249" s="62"/>
      <c r="AT249" s="65"/>
      <c r="AU249" s="62" t="s">
        <v>417</v>
      </c>
    </row>
    <row r="250" customFormat="false" ht="15" hidden="false" customHeight="false" outlineLevel="0" collapsed="false">
      <c r="A250" s="62" t="s">
        <v>388</v>
      </c>
      <c r="B250" s="63" t="n">
        <v>1368</v>
      </c>
      <c r="C250" s="64" t="n">
        <v>46306.8932153125</v>
      </c>
      <c r="D250" s="62" t="s">
        <v>72</v>
      </c>
      <c r="E250" s="63" t="n">
        <v>21</v>
      </c>
      <c r="F250" s="62" t="s">
        <v>390</v>
      </c>
      <c r="G250" s="62" t="s">
        <v>389</v>
      </c>
      <c r="H250" s="62" t="s">
        <v>389</v>
      </c>
      <c r="I250" s="62" t="s">
        <v>389</v>
      </c>
      <c r="J250" s="65" t="n">
        <v>0.5</v>
      </c>
      <c r="K250" s="62" t="s">
        <v>279</v>
      </c>
      <c r="L250" s="62" t="s">
        <v>389</v>
      </c>
      <c r="M250" s="62" t="s">
        <v>389</v>
      </c>
      <c r="N250" s="62" t="s">
        <v>304</v>
      </c>
      <c r="O250" s="62" t="s">
        <v>389</v>
      </c>
      <c r="P250" s="62" t="s">
        <v>389</v>
      </c>
      <c r="Q250" s="62" t="s">
        <v>390</v>
      </c>
      <c r="R250" s="62" t="s">
        <v>279</v>
      </c>
      <c r="S250" s="62" t="s">
        <v>389</v>
      </c>
      <c r="T250" s="65" t="n">
        <v>4.6</v>
      </c>
      <c r="U250" s="62" t="s">
        <v>279</v>
      </c>
      <c r="V250" s="65" t="n">
        <v>0.8</v>
      </c>
      <c r="W250" s="65" t="n">
        <v>3.4</v>
      </c>
      <c r="X250" s="63" t="n">
        <v>0</v>
      </c>
      <c r="Y250" s="62" t="s">
        <v>389</v>
      </c>
      <c r="Z250" s="62" t="s">
        <v>390</v>
      </c>
      <c r="AA250" s="62"/>
      <c r="AB250" s="62"/>
      <c r="AC250" s="65"/>
      <c r="AD250" s="63" t="n">
        <v>5</v>
      </c>
      <c r="AE250" s="63" t="n">
        <v>15</v>
      </c>
      <c r="AF250" s="63" t="n">
        <v>9</v>
      </c>
      <c r="AG250" s="62" t="s">
        <v>390</v>
      </c>
      <c r="AH250" s="62"/>
      <c r="AI250" s="63" t="n">
        <v>0</v>
      </c>
      <c r="AJ250" s="62" t="s">
        <v>150</v>
      </c>
      <c r="AK250" s="62" t="s">
        <v>391</v>
      </c>
      <c r="AL250" s="62" t="s">
        <v>392</v>
      </c>
      <c r="AM250" s="62" t="s">
        <v>406</v>
      </c>
      <c r="AN250" s="65" t="n">
        <v>15.7</v>
      </c>
      <c r="AO250" s="62" t="s">
        <v>389</v>
      </c>
      <c r="AP250" s="62" t="s">
        <v>390</v>
      </c>
      <c r="AQ250" s="62" t="s">
        <v>390</v>
      </c>
      <c r="AR250" s="66"/>
      <c r="AS250" s="62"/>
      <c r="AT250" s="65"/>
      <c r="AU250" s="62" t="s">
        <v>417</v>
      </c>
    </row>
    <row r="251" customFormat="false" ht="15" hidden="false" customHeight="false" outlineLevel="0" collapsed="false">
      <c r="A251" s="62" t="s">
        <v>388</v>
      </c>
      <c r="B251" s="63" t="n">
        <v>1377</v>
      </c>
      <c r="C251" s="64" t="n">
        <v>46306.9301541088</v>
      </c>
      <c r="D251" s="62" t="s">
        <v>72</v>
      </c>
      <c r="E251" s="63" t="n">
        <v>22</v>
      </c>
      <c r="F251" s="62" t="s">
        <v>390</v>
      </c>
      <c r="G251" s="62" t="s">
        <v>389</v>
      </c>
      <c r="H251" s="62" t="s">
        <v>389</v>
      </c>
      <c r="I251" s="62" t="s">
        <v>389</v>
      </c>
      <c r="J251" s="65" t="n">
        <v>520.1</v>
      </c>
      <c r="K251" s="62" t="s">
        <v>277</v>
      </c>
      <c r="L251" s="62" t="s">
        <v>389</v>
      </c>
      <c r="M251" s="62" t="s">
        <v>390</v>
      </c>
      <c r="N251" s="62"/>
      <c r="O251" s="62" t="s">
        <v>389</v>
      </c>
      <c r="P251" s="62" t="s">
        <v>390</v>
      </c>
      <c r="Q251" s="62" t="s">
        <v>390</v>
      </c>
      <c r="R251" s="62" t="s">
        <v>277</v>
      </c>
      <c r="S251" s="62" t="s">
        <v>389</v>
      </c>
      <c r="T251" s="65" t="n">
        <v>3514.5</v>
      </c>
      <c r="U251" s="62" t="s">
        <v>276</v>
      </c>
      <c r="V251" s="65" t="n">
        <v>524.3</v>
      </c>
      <c r="W251" s="65" t="n">
        <v>3510.3</v>
      </c>
      <c r="X251" s="63" t="n">
        <v>0</v>
      </c>
      <c r="Y251" s="62" t="s">
        <v>390</v>
      </c>
      <c r="Z251" s="62" t="s">
        <v>389</v>
      </c>
      <c r="AA251" s="62" t="s">
        <v>395</v>
      </c>
      <c r="AB251" s="62" t="s">
        <v>275</v>
      </c>
      <c r="AC251" s="65" t="n">
        <v>38.7</v>
      </c>
      <c r="AD251" s="63" t="n">
        <v>2</v>
      </c>
      <c r="AE251" s="63" t="n">
        <v>18</v>
      </c>
      <c r="AF251" s="63" t="n">
        <v>2</v>
      </c>
      <c r="AG251" s="62" t="s">
        <v>390</v>
      </c>
      <c r="AH251" s="62"/>
      <c r="AI251" s="63" t="n">
        <v>0</v>
      </c>
      <c r="AJ251" s="62" t="s">
        <v>148</v>
      </c>
      <c r="AK251" s="62" t="s">
        <v>391</v>
      </c>
      <c r="AL251" s="62" t="s">
        <v>392</v>
      </c>
      <c r="AM251" s="62" t="s">
        <v>396</v>
      </c>
      <c r="AN251" s="65" t="n">
        <v>82.9</v>
      </c>
      <c r="AO251" s="62" t="s">
        <v>389</v>
      </c>
      <c r="AP251" s="62" t="s">
        <v>390</v>
      </c>
      <c r="AQ251" s="62" t="s">
        <v>390</v>
      </c>
      <c r="AR251" s="66"/>
      <c r="AS251" s="62"/>
      <c r="AT251" s="65"/>
      <c r="AU251" s="62" t="s">
        <v>417</v>
      </c>
    </row>
    <row r="252" customFormat="false" ht="15" hidden="false" customHeight="false" outlineLevel="0" collapsed="false">
      <c r="A252" s="62" t="s">
        <v>388</v>
      </c>
      <c r="B252" s="63" t="n">
        <v>1381</v>
      </c>
      <c r="C252" s="64" t="n">
        <v>46306.9559846412</v>
      </c>
      <c r="D252" s="62" t="s">
        <v>72</v>
      </c>
      <c r="E252" s="63" t="n">
        <v>22</v>
      </c>
      <c r="F252" s="62" t="s">
        <v>390</v>
      </c>
      <c r="G252" s="62" t="s">
        <v>390</v>
      </c>
      <c r="H252" s="62" t="s">
        <v>390</v>
      </c>
      <c r="I252" s="62" t="s">
        <v>389</v>
      </c>
      <c r="J252" s="65"/>
      <c r="K252" s="62" t="s">
        <v>275</v>
      </c>
      <c r="L252" s="62" t="s">
        <v>389</v>
      </c>
      <c r="M252" s="62" t="s">
        <v>390</v>
      </c>
      <c r="N252" s="62"/>
      <c r="O252" s="62" t="s">
        <v>389</v>
      </c>
      <c r="P252" s="62" t="s">
        <v>390</v>
      </c>
      <c r="Q252" s="62" t="s">
        <v>390</v>
      </c>
      <c r="R252" s="62" t="s">
        <v>277</v>
      </c>
      <c r="S252" s="62" t="s">
        <v>389</v>
      </c>
      <c r="T252" s="65" t="n">
        <v>3477.9</v>
      </c>
      <c r="U252" s="62" t="s">
        <v>276</v>
      </c>
      <c r="V252" s="65" t="n">
        <v>3477.9</v>
      </c>
      <c r="W252" s="65"/>
      <c r="X252" s="63" t="n">
        <v>0</v>
      </c>
      <c r="Y252" s="62" t="s">
        <v>390</v>
      </c>
      <c r="Z252" s="62" t="s">
        <v>389</v>
      </c>
      <c r="AA252" s="62" t="s">
        <v>395</v>
      </c>
      <c r="AB252" s="62" t="s">
        <v>275</v>
      </c>
      <c r="AC252" s="65" t="n">
        <v>38.1</v>
      </c>
      <c r="AD252" s="63" t="n">
        <v>1</v>
      </c>
      <c r="AE252" s="63" t="n">
        <v>19</v>
      </c>
      <c r="AF252" s="63" t="n">
        <v>2</v>
      </c>
      <c r="AG252" s="62" t="s">
        <v>390</v>
      </c>
      <c r="AH252" s="62"/>
      <c r="AI252" s="63" t="n">
        <v>0</v>
      </c>
      <c r="AJ252" s="62" t="s">
        <v>147</v>
      </c>
      <c r="AK252" s="62" t="s">
        <v>391</v>
      </c>
      <c r="AL252" s="62" t="s">
        <v>392</v>
      </c>
      <c r="AM252" s="62" t="s">
        <v>396</v>
      </c>
      <c r="AN252" s="65" t="n">
        <v>61.9</v>
      </c>
      <c r="AO252" s="62" t="s">
        <v>389</v>
      </c>
      <c r="AP252" s="62" t="s">
        <v>390</v>
      </c>
      <c r="AQ252" s="62" t="s">
        <v>390</v>
      </c>
      <c r="AR252" s="66"/>
      <c r="AS252" s="62"/>
      <c r="AT252" s="65"/>
      <c r="AU252" s="62" t="s">
        <v>397</v>
      </c>
    </row>
    <row r="253" customFormat="false" ht="15" hidden="false" customHeight="false" outlineLevel="0" collapsed="false">
      <c r="A253" s="62" t="s">
        <v>388</v>
      </c>
      <c r="B253" s="63" t="n">
        <v>1385</v>
      </c>
      <c r="C253" s="64" t="n">
        <v>46306.9853394676</v>
      </c>
      <c r="D253" s="62" t="s">
        <v>72</v>
      </c>
      <c r="E253" s="63" t="n">
        <v>23</v>
      </c>
      <c r="F253" s="62" t="s">
        <v>390</v>
      </c>
      <c r="G253" s="62" t="s">
        <v>389</v>
      </c>
      <c r="H253" s="62" t="s">
        <v>389</v>
      </c>
      <c r="I253" s="62" t="s">
        <v>389</v>
      </c>
      <c r="J253" s="65" t="n">
        <v>449.5</v>
      </c>
      <c r="K253" s="62" t="s">
        <v>277</v>
      </c>
      <c r="L253" s="62" t="s">
        <v>389</v>
      </c>
      <c r="M253" s="62" t="s">
        <v>390</v>
      </c>
      <c r="N253" s="62"/>
      <c r="O253" s="62" t="s">
        <v>389</v>
      </c>
      <c r="P253" s="62" t="s">
        <v>390</v>
      </c>
      <c r="Q253" s="62" t="s">
        <v>390</v>
      </c>
      <c r="R253" s="62" t="s">
        <v>277</v>
      </c>
      <c r="S253" s="62" t="s">
        <v>389</v>
      </c>
      <c r="T253" s="65" t="n">
        <v>3434.8</v>
      </c>
      <c r="U253" s="62" t="s">
        <v>276</v>
      </c>
      <c r="V253" s="65" t="n">
        <v>449.7</v>
      </c>
      <c r="W253" s="65" t="n">
        <v>3434.5</v>
      </c>
      <c r="X253" s="63" t="n">
        <v>1</v>
      </c>
      <c r="Y253" s="62" t="s">
        <v>390</v>
      </c>
      <c r="Z253" s="62" t="s">
        <v>389</v>
      </c>
      <c r="AA253" s="62" t="s">
        <v>395</v>
      </c>
      <c r="AB253" s="62" t="s">
        <v>275</v>
      </c>
      <c r="AC253" s="65" t="n">
        <v>37.4</v>
      </c>
      <c r="AD253" s="63" t="n">
        <v>3</v>
      </c>
      <c r="AE253" s="63" t="n">
        <v>18</v>
      </c>
      <c r="AF253" s="63" t="n">
        <v>2</v>
      </c>
      <c r="AG253" s="62" t="s">
        <v>390</v>
      </c>
      <c r="AH253" s="62"/>
      <c r="AI253" s="63" t="n">
        <v>0</v>
      </c>
      <c r="AJ253" s="62" t="s">
        <v>153</v>
      </c>
      <c r="AK253" s="62" t="s">
        <v>391</v>
      </c>
      <c r="AL253" s="62" t="s">
        <v>392</v>
      </c>
      <c r="AM253" s="62" t="s">
        <v>396</v>
      </c>
      <c r="AN253" s="65" t="n">
        <v>81.6</v>
      </c>
      <c r="AO253" s="62" t="s">
        <v>389</v>
      </c>
      <c r="AP253" s="62" t="s">
        <v>389</v>
      </c>
      <c r="AQ253" s="62" t="s">
        <v>390</v>
      </c>
      <c r="AR253" s="66"/>
      <c r="AS253" s="62"/>
      <c r="AT253" s="65"/>
      <c r="AU253" s="62" t="s">
        <v>397</v>
      </c>
    </row>
    <row r="254" customFormat="false" ht="15" hidden="false" customHeight="false" outlineLevel="0" collapsed="false">
      <c r="A254" s="62" t="s">
        <v>388</v>
      </c>
      <c r="B254" s="63" t="n">
        <v>1386</v>
      </c>
      <c r="C254" s="64" t="n">
        <v>46306.9911892593</v>
      </c>
      <c r="D254" s="62" t="s">
        <v>72</v>
      </c>
      <c r="E254" s="63" t="n">
        <v>23</v>
      </c>
      <c r="F254" s="62" t="s">
        <v>390</v>
      </c>
      <c r="G254" s="62" t="s">
        <v>390</v>
      </c>
      <c r="H254" s="62" t="s">
        <v>390</v>
      </c>
      <c r="I254" s="62" t="s">
        <v>389</v>
      </c>
      <c r="J254" s="65"/>
      <c r="K254" s="62" t="s">
        <v>275</v>
      </c>
      <c r="L254" s="62" t="s">
        <v>389</v>
      </c>
      <c r="M254" s="62" t="s">
        <v>390</v>
      </c>
      <c r="N254" s="62"/>
      <c r="O254" s="62" t="s">
        <v>389</v>
      </c>
      <c r="P254" s="62" t="s">
        <v>390</v>
      </c>
      <c r="Q254" s="62" t="s">
        <v>390</v>
      </c>
      <c r="R254" s="62" t="s">
        <v>277</v>
      </c>
      <c r="S254" s="62" t="s">
        <v>389</v>
      </c>
      <c r="T254" s="65" t="n">
        <v>3425.4</v>
      </c>
      <c r="U254" s="62" t="s">
        <v>276</v>
      </c>
      <c r="V254" s="65" t="n">
        <v>3425.4</v>
      </c>
      <c r="W254" s="65"/>
      <c r="X254" s="63" t="n">
        <v>0</v>
      </c>
      <c r="Y254" s="62" t="s">
        <v>390</v>
      </c>
      <c r="Z254" s="62" t="s">
        <v>389</v>
      </c>
      <c r="AA254" s="62" t="s">
        <v>395</v>
      </c>
      <c r="AB254" s="62" t="s">
        <v>275</v>
      </c>
      <c r="AC254" s="65" t="n">
        <v>37.2</v>
      </c>
      <c r="AD254" s="63" t="n">
        <v>1</v>
      </c>
      <c r="AE254" s="63" t="n">
        <v>19</v>
      </c>
      <c r="AF254" s="63" t="n">
        <v>2</v>
      </c>
      <c r="AG254" s="62" t="s">
        <v>390</v>
      </c>
      <c r="AH254" s="62"/>
      <c r="AI254" s="63" t="n">
        <v>0</v>
      </c>
      <c r="AJ254" s="62" t="s">
        <v>147</v>
      </c>
      <c r="AK254" s="62" t="s">
        <v>391</v>
      </c>
      <c r="AL254" s="62" t="s">
        <v>392</v>
      </c>
      <c r="AM254" s="62" t="s">
        <v>396</v>
      </c>
      <c r="AN254" s="65" t="n">
        <v>57.1</v>
      </c>
      <c r="AO254" s="62" t="s">
        <v>389</v>
      </c>
      <c r="AP254" s="62" t="s">
        <v>390</v>
      </c>
      <c r="AQ254" s="62" t="s">
        <v>390</v>
      </c>
      <c r="AR254" s="66"/>
      <c r="AS254" s="62"/>
      <c r="AT254" s="65"/>
      <c r="AU254" s="62" t="s">
        <v>397</v>
      </c>
    </row>
    <row r="255" customFormat="false" ht="15" hidden="false" customHeight="false" outlineLevel="0" collapsed="false">
      <c r="A255" s="62" t="s">
        <v>388</v>
      </c>
      <c r="B255" s="63" t="n">
        <v>1388</v>
      </c>
      <c r="C255" s="64" t="n">
        <v>46307.0098129282</v>
      </c>
      <c r="D255" s="62" t="s">
        <v>73</v>
      </c>
      <c r="E255" s="63" t="n">
        <v>0</v>
      </c>
      <c r="F255" s="62" t="s">
        <v>390</v>
      </c>
      <c r="G255" s="62" t="s">
        <v>390</v>
      </c>
      <c r="H255" s="62" t="s">
        <v>390</v>
      </c>
      <c r="I255" s="62" t="s">
        <v>389</v>
      </c>
      <c r="J255" s="65"/>
      <c r="K255" s="62" t="s">
        <v>275</v>
      </c>
      <c r="L255" s="62" t="s">
        <v>389</v>
      </c>
      <c r="M255" s="62" t="s">
        <v>390</v>
      </c>
      <c r="N255" s="62"/>
      <c r="O255" s="62" t="s">
        <v>389</v>
      </c>
      <c r="P255" s="62" t="s">
        <v>390</v>
      </c>
      <c r="Q255" s="62" t="s">
        <v>390</v>
      </c>
      <c r="R255" s="62" t="s">
        <v>277</v>
      </c>
      <c r="S255" s="62" t="s">
        <v>389</v>
      </c>
      <c r="T255" s="65" t="n">
        <v>3397.4</v>
      </c>
      <c r="U255" s="62" t="s">
        <v>276</v>
      </c>
      <c r="V255" s="65" t="n">
        <v>3397.4</v>
      </c>
      <c r="W255" s="65"/>
      <c r="X255" s="63" t="n">
        <v>0</v>
      </c>
      <c r="Y255" s="62" t="s">
        <v>390</v>
      </c>
      <c r="Z255" s="62" t="s">
        <v>389</v>
      </c>
      <c r="AA255" s="62" t="s">
        <v>395</v>
      </c>
      <c r="AB255" s="62" t="s">
        <v>275</v>
      </c>
      <c r="AC255" s="65" t="n">
        <v>36.8</v>
      </c>
      <c r="AD255" s="63" t="n">
        <v>1</v>
      </c>
      <c r="AE255" s="63" t="n">
        <v>19</v>
      </c>
      <c r="AF255" s="63" t="n">
        <v>2</v>
      </c>
      <c r="AG255" s="62" t="s">
        <v>390</v>
      </c>
      <c r="AH255" s="62"/>
      <c r="AI255" s="63" t="n">
        <v>0</v>
      </c>
      <c r="AJ255" s="62" t="s">
        <v>147</v>
      </c>
      <c r="AK255" s="62" t="s">
        <v>391</v>
      </c>
      <c r="AL255" s="62" t="s">
        <v>392</v>
      </c>
      <c r="AM255" s="62" t="s">
        <v>396</v>
      </c>
      <c r="AN255" s="65" t="n">
        <v>60.6</v>
      </c>
      <c r="AO255" s="62" t="s">
        <v>389</v>
      </c>
      <c r="AP255" s="62" t="s">
        <v>390</v>
      </c>
      <c r="AQ255" s="62" t="s">
        <v>390</v>
      </c>
      <c r="AR255" s="66"/>
      <c r="AS255" s="62"/>
      <c r="AT255" s="65"/>
      <c r="AU255" s="62" t="s">
        <v>397</v>
      </c>
    </row>
    <row r="256" customFormat="false" ht="15" hidden="false" customHeight="false" outlineLevel="0" collapsed="false">
      <c r="A256" s="62" t="s">
        <v>388</v>
      </c>
      <c r="B256" s="63" t="n">
        <v>1390</v>
      </c>
      <c r="C256" s="64" t="n">
        <v>46307.0389818287</v>
      </c>
      <c r="D256" s="62" t="s">
        <v>73</v>
      </c>
      <c r="E256" s="63" t="n">
        <v>0</v>
      </c>
      <c r="F256" s="62" t="s">
        <v>390</v>
      </c>
      <c r="G256" s="62" t="s">
        <v>390</v>
      </c>
      <c r="H256" s="62" t="s">
        <v>390</v>
      </c>
      <c r="I256" s="62" t="s">
        <v>389</v>
      </c>
      <c r="J256" s="65"/>
      <c r="K256" s="62" t="s">
        <v>275</v>
      </c>
      <c r="L256" s="62" t="s">
        <v>389</v>
      </c>
      <c r="M256" s="62" t="s">
        <v>390</v>
      </c>
      <c r="N256" s="62"/>
      <c r="O256" s="62" t="s">
        <v>389</v>
      </c>
      <c r="P256" s="62" t="s">
        <v>390</v>
      </c>
      <c r="Q256" s="62" t="s">
        <v>390</v>
      </c>
      <c r="R256" s="62" t="s">
        <v>277</v>
      </c>
      <c r="S256" s="62" t="s">
        <v>389</v>
      </c>
      <c r="T256" s="65" t="n">
        <v>3355.6</v>
      </c>
      <c r="U256" s="62" t="s">
        <v>276</v>
      </c>
      <c r="V256" s="65" t="n">
        <v>3355.6</v>
      </c>
      <c r="W256" s="65"/>
      <c r="X256" s="63" t="n">
        <v>0</v>
      </c>
      <c r="Y256" s="62" t="s">
        <v>390</v>
      </c>
      <c r="Z256" s="62" t="s">
        <v>389</v>
      </c>
      <c r="AA256" s="62" t="s">
        <v>395</v>
      </c>
      <c r="AB256" s="62" t="s">
        <v>275</v>
      </c>
      <c r="AC256" s="65" t="n">
        <v>36.1</v>
      </c>
      <c r="AD256" s="63" t="n">
        <v>1</v>
      </c>
      <c r="AE256" s="63" t="n">
        <v>19</v>
      </c>
      <c r="AF256" s="63" t="n">
        <v>2</v>
      </c>
      <c r="AG256" s="62" t="s">
        <v>390</v>
      </c>
      <c r="AH256" s="62"/>
      <c r="AI256" s="63" t="n">
        <v>0</v>
      </c>
      <c r="AJ256" s="62" t="s">
        <v>147</v>
      </c>
      <c r="AK256" s="62" t="s">
        <v>391</v>
      </c>
      <c r="AL256" s="62" t="s">
        <v>392</v>
      </c>
      <c r="AM256" s="62" t="s">
        <v>396</v>
      </c>
      <c r="AN256" s="65" t="n">
        <v>59.9</v>
      </c>
      <c r="AO256" s="62" t="s">
        <v>389</v>
      </c>
      <c r="AP256" s="62" t="s">
        <v>390</v>
      </c>
      <c r="AQ256" s="62" t="s">
        <v>390</v>
      </c>
      <c r="AR256" s="66"/>
      <c r="AS256" s="62"/>
      <c r="AT256" s="65"/>
      <c r="AU256" s="62" t="s">
        <v>397</v>
      </c>
    </row>
    <row r="257" customFormat="false" ht="15" hidden="false" customHeight="false" outlineLevel="0" collapsed="false">
      <c r="A257" s="62" t="s">
        <v>388</v>
      </c>
      <c r="B257" s="63" t="n">
        <v>1393</v>
      </c>
      <c r="C257" s="64" t="n">
        <v>46307.1139097685</v>
      </c>
      <c r="D257" s="62" t="s">
        <v>73</v>
      </c>
      <c r="E257" s="63" t="n">
        <v>2</v>
      </c>
      <c r="F257" s="62" t="s">
        <v>390</v>
      </c>
      <c r="G257" s="62" t="s">
        <v>390</v>
      </c>
      <c r="H257" s="62" t="s">
        <v>390</v>
      </c>
      <c r="I257" s="62" t="s">
        <v>389</v>
      </c>
      <c r="J257" s="65"/>
      <c r="K257" s="62" t="s">
        <v>275</v>
      </c>
      <c r="L257" s="62" t="s">
        <v>389</v>
      </c>
      <c r="M257" s="62" t="s">
        <v>390</v>
      </c>
      <c r="N257" s="62"/>
      <c r="O257" s="62" t="s">
        <v>389</v>
      </c>
      <c r="P257" s="62" t="s">
        <v>390</v>
      </c>
      <c r="Q257" s="62" t="s">
        <v>390</v>
      </c>
      <c r="R257" s="62" t="s">
        <v>277</v>
      </c>
      <c r="S257" s="62" t="s">
        <v>389</v>
      </c>
      <c r="T257" s="65" t="n">
        <v>3262.9</v>
      </c>
      <c r="U257" s="62" t="s">
        <v>276</v>
      </c>
      <c r="V257" s="65" t="n">
        <v>3262.9</v>
      </c>
      <c r="W257" s="65"/>
      <c r="X257" s="63" t="n">
        <v>0</v>
      </c>
      <c r="Y257" s="62" t="s">
        <v>390</v>
      </c>
      <c r="Z257" s="62" t="s">
        <v>389</v>
      </c>
      <c r="AA257" s="62" t="s">
        <v>395</v>
      </c>
      <c r="AB257" s="62" t="s">
        <v>275</v>
      </c>
      <c r="AC257" s="65" t="n">
        <v>34.3</v>
      </c>
      <c r="AD257" s="63" t="n">
        <v>1</v>
      </c>
      <c r="AE257" s="63" t="n">
        <v>19</v>
      </c>
      <c r="AF257" s="63" t="n">
        <v>1</v>
      </c>
      <c r="AG257" s="62" t="s">
        <v>389</v>
      </c>
      <c r="AH257" s="62" t="s">
        <v>398</v>
      </c>
      <c r="AI257" s="63" t="n">
        <v>0</v>
      </c>
      <c r="AJ257" s="62" t="s">
        <v>147</v>
      </c>
      <c r="AK257" s="62" t="s">
        <v>391</v>
      </c>
      <c r="AL257" s="62" t="s">
        <v>392</v>
      </c>
      <c r="AM257" s="62" t="s">
        <v>396</v>
      </c>
      <c r="AN257" s="65" t="n">
        <v>54.4</v>
      </c>
      <c r="AO257" s="62" t="s">
        <v>389</v>
      </c>
      <c r="AP257" s="62" t="s">
        <v>390</v>
      </c>
      <c r="AQ257" s="62" t="s">
        <v>390</v>
      </c>
      <c r="AR257" s="66"/>
      <c r="AS257" s="62"/>
      <c r="AT257" s="65"/>
      <c r="AU257" s="62" t="s">
        <v>397</v>
      </c>
    </row>
    <row r="258" customFormat="false" ht="15" hidden="false" customHeight="false" outlineLevel="0" collapsed="false">
      <c r="A258" s="62" t="s">
        <v>388</v>
      </c>
      <c r="B258" s="63" t="n">
        <v>1402</v>
      </c>
      <c r="C258" s="64" t="n">
        <v>46307.293762662</v>
      </c>
      <c r="D258" s="62" t="s">
        <v>73</v>
      </c>
      <c r="E258" s="63" t="n">
        <v>7</v>
      </c>
      <c r="F258" s="62" t="s">
        <v>390</v>
      </c>
      <c r="G258" s="62" t="s">
        <v>389</v>
      </c>
      <c r="H258" s="62" t="s">
        <v>389</v>
      </c>
      <c r="I258" s="62" t="s">
        <v>389</v>
      </c>
      <c r="J258" s="65" t="n">
        <v>12.9</v>
      </c>
      <c r="K258" s="62" t="s">
        <v>277</v>
      </c>
      <c r="L258" s="62" t="s">
        <v>389</v>
      </c>
      <c r="M258" s="62" t="s">
        <v>390</v>
      </c>
      <c r="N258" s="62"/>
      <c r="O258" s="62" t="s">
        <v>389</v>
      </c>
      <c r="P258" s="62" t="s">
        <v>390</v>
      </c>
      <c r="Q258" s="62" t="s">
        <v>390</v>
      </c>
      <c r="R258" s="62" t="s">
        <v>277</v>
      </c>
      <c r="S258" s="62" t="s">
        <v>389</v>
      </c>
      <c r="T258" s="65" t="n">
        <v>2988.2</v>
      </c>
      <c r="U258" s="62" t="s">
        <v>276</v>
      </c>
      <c r="V258" s="65" t="n">
        <v>13.3</v>
      </c>
      <c r="W258" s="65" t="n">
        <v>2987.9</v>
      </c>
      <c r="X258" s="63" t="n">
        <v>0</v>
      </c>
      <c r="Y258" s="62" t="s">
        <v>390</v>
      </c>
      <c r="Z258" s="62" t="s">
        <v>389</v>
      </c>
      <c r="AA258" s="62" t="s">
        <v>395</v>
      </c>
      <c r="AB258" s="62" t="s">
        <v>275</v>
      </c>
      <c r="AC258" s="65" t="n">
        <v>30</v>
      </c>
      <c r="AD258" s="63" t="n">
        <v>2</v>
      </c>
      <c r="AE258" s="63" t="n">
        <v>18</v>
      </c>
      <c r="AF258" s="63" t="n">
        <v>2</v>
      </c>
      <c r="AG258" s="62" t="s">
        <v>390</v>
      </c>
      <c r="AH258" s="62"/>
      <c r="AI258" s="63" t="n">
        <v>0</v>
      </c>
      <c r="AJ258" s="62" t="s">
        <v>148</v>
      </c>
      <c r="AK258" s="62" t="s">
        <v>391</v>
      </c>
      <c r="AL258" s="62" t="s">
        <v>392</v>
      </c>
      <c r="AM258" s="62" t="s">
        <v>396</v>
      </c>
      <c r="AN258" s="65" t="n">
        <v>53.7</v>
      </c>
      <c r="AO258" s="62" t="s">
        <v>389</v>
      </c>
      <c r="AP258" s="62" t="s">
        <v>390</v>
      </c>
      <c r="AQ258" s="62" t="s">
        <v>390</v>
      </c>
      <c r="AR258" s="66"/>
      <c r="AS258" s="62"/>
      <c r="AT258" s="65"/>
      <c r="AU258" s="62" t="s">
        <v>397</v>
      </c>
    </row>
    <row r="259" customFormat="false" ht="15" hidden="false" customHeight="false" outlineLevel="0" collapsed="false">
      <c r="A259" s="62" t="s">
        <v>388</v>
      </c>
      <c r="B259" s="63" t="n">
        <v>1403</v>
      </c>
      <c r="C259" s="64" t="n">
        <v>46307.3015906482</v>
      </c>
      <c r="D259" s="62" t="s">
        <v>73</v>
      </c>
      <c r="E259" s="63" t="n">
        <v>7</v>
      </c>
      <c r="F259" s="62" t="s">
        <v>390</v>
      </c>
      <c r="G259" s="62" t="s">
        <v>389</v>
      </c>
      <c r="H259" s="62" t="s">
        <v>389</v>
      </c>
      <c r="I259" s="62" t="s">
        <v>389</v>
      </c>
      <c r="J259" s="65" t="n">
        <v>0.8</v>
      </c>
      <c r="K259" s="62" t="s">
        <v>277</v>
      </c>
      <c r="L259" s="62" t="s">
        <v>389</v>
      </c>
      <c r="M259" s="62" t="s">
        <v>389</v>
      </c>
      <c r="N259" s="62" t="s">
        <v>307</v>
      </c>
      <c r="O259" s="62" t="s">
        <v>389</v>
      </c>
      <c r="P259" s="62" t="s">
        <v>389</v>
      </c>
      <c r="Q259" s="62" t="s">
        <v>390</v>
      </c>
      <c r="R259" s="62" t="s">
        <v>277</v>
      </c>
      <c r="S259" s="62" t="s">
        <v>390</v>
      </c>
      <c r="T259" s="65" t="n">
        <v>6.9</v>
      </c>
      <c r="U259" s="62" t="s">
        <v>277</v>
      </c>
      <c r="V259" s="65" t="n">
        <v>2.9</v>
      </c>
      <c r="W259" s="65" t="n">
        <v>0.5</v>
      </c>
      <c r="X259" s="63" t="n">
        <v>0</v>
      </c>
      <c r="Y259" s="62" t="s">
        <v>389</v>
      </c>
      <c r="Z259" s="62" t="s">
        <v>389</v>
      </c>
      <c r="AA259" s="62" t="s">
        <v>265</v>
      </c>
      <c r="AB259" s="62" t="s">
        <v>275</v>
      </c>
      <c r="AC259" s="65" t="n">
        <v>29.8</v>
      </c>
      <c r="AD259" s="63" t="n">
        <v>7</v>
      </c>
      <c r="AE259" s="63" t="n">
        <v>20</v>
      </c>
      <c r="AF259" s="63" t="n">
        <v>8</v>
      </c>
      <c r="AG259" s="62" t="s">
        <v>389</v>
      </c>
      <c r="AH259" s="62" t="s">
        <v>330</v>
      </c>
      <c r="AI259" s="63" t="n">
        <v>0</v>
      </c>
      <c r="AJ259" s="62" t="s">
        <v>150</v>
      </c>
      <c r="AK259" s="62" t="s">
        <v>391</v>
      </c>
      <c r="AL259" s="62" t="s">
        <v>392</v>
      </c>
      <c r="AM259" s="62" t="s">
        <v>406</v>
      </c>
      <c r="AN259" s="65" t="n">
        <v>33.8</v>
      </c>
      <c r="AO259" s="62" t="s">
        <v>389</v>
      </c>
      <c r="AP259" s="62" t="s">
        <v>390</v>
      </c>
      <c r="AQ259" s="62" t="s">
        <v>390</v>
      </c>
      <c r="AR259" s="66"/>
      <c r="AS259" s="62"/>
      <c r="AT259" s="65"/>
      <c r="AU259" s="62" t="s">
        <v>397</v>
      </c>
    </row>
    <row r="260" customFormat="false" ht="15" hidden="false" customHeight="false" outlineLevel="0" collapsed="false">
      <c r="A260" s="62" t="s">
        <v>388</v>
      </c>
      <c r="B260" s="63" t="n">
        <v>1405</v>
      </c>
      <c r="C260" s="64" t="n">
        <v>46307.3239010764</v>
      </c>
      <c r="D260" s="62" t="s">
        <v>73</v>
      </c>
      <c r="E260" s="63" t="n">
        <v>7</v>
      </c>
      <c r="F260" s="62" t="s">
        <v>390</v>
      </c>
      <c r="G260" s="62" t="s">
        <v>389</v>
      </c>
      <c r="H260" s="62" t="s">
        <v>389</v>
      </c>
      <c r="I260" s="62" t="s">
        <v>389</v>
      </c>
      <c r="J260" s="65" t="n">
        <v>0.3</v>
      </c>
      <c r="K260" s="62" t="s">
        <v>277</v>
      </c>
      <c r="L260" s="62" t="s">
        <v>389</v>
      </c>
      <c r="M260" s="62" t="s">
        <v>390</v>
      </c>
      <c r="N260" s="62"/>
      <c r="O260" s="62" t="s">
        <v>389</v>
      </c>
      <c r="P260" s="62" t="s">
        <v>390</v>
      </c>
      <c r="Q260" s="62" t="s">
        <v>390</v>
      </c>
      <c r="R260" s="62" t="s">
        <v>277</v>
      </c>
      <c r="S260" s="62" t="s">
        <v>389</v>
      </c>
      <c r="T260" s="65" t="n">
        <v>2.8</v>
      </c>
      <c r="U260" s="62" t="s">
        <v>277</v>
      </c>
      <c r="V260" s="65" t="n">
        <v>0.5</v>
      </c>
      <c r="W260" s="65" t="n">
        <v>1.6</v>
      </c>
      <c r="X260" s="63" t="n">
        <v>0</v>
      </c>
      <c r="Y260" s="62" t="s">
        <v>390</v>
      </c>
      <c r="Z260" s="62" t="s">
        <v>389</v>
      </c>
      <c r="AA260" s="62" t="s">
        <v>395</v>
      </c>
      <c r="AB260" s="62" t="s">
        <v>276</v>
      </c>
      <c r="AC260" s="65" t="n">
        <v>25.8</v>
      </c>
      <c r="AD260" s="63" t="n">
        <v>5</v>
      </c>
      <c r="AE260" s="63" t="n">
        <v>13</v>
      </c>
      <c r="AF260" s="63" t="n">
        <v>11</v>
      </c>
      <c r="AG260" s="62" t="s">
        <v>390</v>
      </c>
      <c r="AH260" s="62"/>
      <c r="AI260" s="63" t="n">
        <v>0</v>
      </c>
      <c r="AJ260" s="62" t="s">
        <v>150</v>
      </c>
      <c r="AK260" s="62" t="s">
        <v>391</v>
      </c>
      <c r="AL260" s="62" t="s">
        <v>392</v>
      </c>
      <c r="AM260" s="62" t="s">
        <v>396</v>
      </c>
      <c r="AN260" s="65" t="n">
        <v>53.1</v>
      </c>
      <c r="AO260" s="62" t="s">
        <v>389</v>
      </c>
      <c r="AP260" s="62" t="s">
        <v>390</v>
      </c>
      <c r="AQ260" s="62" t="s">
        <v>390</v>
      </c>
      <c r="AR260" s="66"/>
      <c r="AS260" s="62"/>
      <c r="AT260" s="65"/>
      <c r="AU260" s="62" t="s">
        <v>417</v>
      </c>
    </row>
    <row r="261" customFormat="false" ht="15" hidden="false" customHeight="false" outlineLevel="0" collapsed="false">
      <c r="A261" s="62" t="s">
        <v>388</v>
      </c>
      <c r="B261" s="63" t="n">
        <v>1407</v>
      </c>
      <c r="C261" s="64" t="n">
        <v>46307.3392055903</v>
      </c>
      <c r="D261" s="62" t="s">
        <v>73</v>
      </c>
      <c r="E261" s="63" t="n">
        <v>8</v>
      </c>
      <c r="F261" s="62" t="s">
        <v>390</v>
      </c>
      <c r="G261" s="62" t="s">
        <v>389</v>
      </c>
      <c r="H261" s="62" t="s">
        <v>389</v>
      </c>
      <c r="I261" s="62" t="s">
        <v>389</v>
      </c>
      <c r="J261" s="65" t="n">
        <v>0.3</v>
      </c>
      <c r="K261" s="62" t="s">
        <v>277</v>
      </c>
      <c r="L261" s="62" t="s">
        <v>389</v>
      </c>
      <c r="M261" s="62" t="s">
        <v>390</v>
      </c>
      <c r="N261" s="62"/>
      <c r="O261" s="62" t="s">
        <v>389</v>
      </c>
      <c r="P261" s="62" t="s">
        <v>390</v>
      </c>
      <c r="Q261" s="62" t="s">
        <v>390</v>
      </c>
      <c r="R261" s="62" t="s">
        <v>277</v>
      </c>
      <c r="S261" s="62" t="s">
        <v>389</v>
      </c>
      <c r="T261" s="65" t="n">
        <v>2937.7</v>
      </c>
      <c r="U261" s="62" t="s">
        <v>276</v>
      </c>
      <c r="V261" s="65" t="n">
        <v>0.5</v>
      </c>
      <c r="W261" s="65" t="n">
        <v>3.6</v>
      </c>
      <c r="X261" s="63" t="n">
        <v>1</v>
      </c>
      <c r="Y261" s="62" t="s">
        <v>390</v>
      </c>
      <c r="Z261" s="62" t="s">
        <v>389</v>
      </c>
      <c r="AA261" s="62" t="s">
        <v>395</v>
      </c>
      <c r="AB261" s="62" t="s">
        <v>275</v>
      </c>
      <c r="AC261" s="65" t="n">
        <v>28.9</v>
      </c>
      <c r="AD261" s="63" t="n">
        <v>6</v>
      </c>
      <c r="AE261" s="63" t="n">
        <v>18</v>
      </c>
      <c r="AF261" s="63" t="n">
        <v>7</v>
      </c>
      <c r="AG261" s="62" t="s">
        <v>389</v>
      </c>
      <c r="AH261" s="62" t="s">
        <v>398</v>
      </c>
      <c r="AI261" s="63" t="n">
        <v>0</v>
      </c>
      <c r="AJ261" s="62" t="s">
        <v>153</v>
      </c>
      <c r="AK261" s="62" t="s">
        <v>391</v>
      </c>
      <c r="AL261" s="62" t="s">
        <v>392</v>
      </c>
      <c r="AM261" s="62" t="s">
        <v>396</v>
      </c>
      <c r="AN261" s="65" t="n">
        <v>73.6</v>
      </c>
      <c r="AO261" s="62" t="s">
        <v>389</v>
      </c>
      <c r="AP261" s="62" t="s">
        <v>389</v>
      </c>
      <c r="AQ261" s="62" t="s">
        <v>390</v>
      </c>
      <c r="AR261" s="66"/>
      <c r="AS261" s="62"/>
      <c r="AT261" s="65"/>
      <c r="AU261" s="62" t="s">
        <v>397</v>
      </c>
    </row>
    <row r="262" customFormat="false" ht="15" hidden="false" customHeight="false" outlineLevel="0" collapsed="false">
      <c r="A262" s="62" t="s">
        <v>388</v>
      </c>
      <c r="B262" s="63" t="n">
        <v>1412</v>
      </c>
      <c r="C262" s="64" t="n">
        <v>46307.3708108912</v>
      </c>
      <c r="D262" s="62" t="s">
        <v>73</v>
      </c>
      <c r="E262" s="63" t="n">
        <v>8</v>
      </c>
      <c r="F262" s="62" t="s">
        <v>390</v>
      </c>
      <c r="G262" s="62" t="s">
        <v>389</v>
      </c>
      <c r="H262" s="62" t="s">
        <v>389</v>
      </c>
      <c r="I262" s="62" t="s">
        <v>389</v>
      </c>
      <c r="J262" s="65" t="n">
        <v>0.2</v>
      </c>
      <c r="K262" s="62" t="s">
        <v>277</v>
      </c>
      <c r="L262" s="62" t="s">
        <v>389</v>
      </c>
      <c r="M262" s="62" t="s">
        <v>389</v>
      </c>
      <c r="N262" s="62" t="s">
        <v>307</v>
      </c>
      <c r="O262" s="62" t="s">
        <v>390</v>
      </c>
      <c r="P262" s="62" t="s">
        <v>389</v>
      </c>
      <c r="Q262" s="62" t="s">
        <v>390</v>
      </c>
      <c r="R262" s="62" t="s">
        <v>277</v>
      </c>
      <c r="S262" s="62" t="s">
        <v>389</v>
      </c>
      <c r="T262" s="65" t="n">
        <v>63.5</v>
      </c>
      <c r="U262" s="62" t="s">
        <v>277</v>
      </c>
      <c r="V262" s="65" t="n">
        <v>0.9</v>
      </c>
      <c r="W262" s="65" t="n">
        <v>6.9</v>
      </c>
      <c r="X262" s="63" t="n">
        <v>0</v>
      </c>
      <c r="Y262" s="62" t="s">
        <v>389</v>
      </c>
      <c r="Z262" s="62" t="s">
        <v>389</v>
      </c>
      <c r="AA262" s="62" t="s">
        <v>395</v>
      </c>
      <c r="AB262" s="62" t="s">
        <v>276</v>
      </c>
      <c r="AC262" s="65" t="n">
        <v>23.4</v>
      </c>
      <c r="AD262" s="63" t="n">
        <v>7</v>
      </c>
      <c r="AE262" s="63" t="n">
        <v>9</v>
      </c>
      <c r="AF262" s="63" t="n">
        <v>11</v>
      </c>
      <c r="AG262" s="62" t="s">
        <v>389</v>
      </c>
      <c r="AH262" s="62" t="s">
        <v>398</v>
      </c>
      <c r="AI262" s="63" t="n">
        <v>0</v>
      </c>
      <c r="AJ262" s="62" t="s">
        <v>151</v>
      </c>
      <c r="AK262" s="62" t="s">
        <v>391</v>
      </c>
      <c r="AL262" s="62" t="s">
        <v>392</v>
      </c>
      <c r="AM262" s="62" t="s">
        <v>396</v>
      </c>
      <c r="AN262" s="65" t="n">
        <v>52.8</v>
      </c>
      <c r="AO262" s="62" t="s">
        <v>389</v>
      </c>
      <c r="AP262" s="62" t="s">
        <v>390</v>
      </c>
      <c r="AQ262" s="62" t="s">
        <v>390</v>
      </c>
      <c r="AR262" s="66"/>
      <c r="AS262" s="62"/>
      <c r="AT262" s="65"/>
      <c r="AU262" s="62" t="s">
        <v>399</v>
      </c>
    </row>
    <row r="263" customFormat="false" ht="15" hidden="false" customHeight="false" outlineLevel="0" collapsed="false">
      <c r="A263" s="62" t="s">
        <v>388</v>
      </c>
      <c r="B263" s="63" t="n">
        <v>1423</v>
      </c>
      <c r="C263" s="64" t="n">
        <v>46307.4066314699</v>
      </c>
      <c r="D263" s="62" t="s">
        <v>73</v>
      </c>
      <c r="E263" s="63" t="n">
        <v>9</v>
      </c>
      <c r="F263" s="62" t="s">
        <v>389</v>
      </c>
      <c r="G263" s="62" t="s">
        <v>390</v>
      </c>
      <c r="H263" s="62" t="s">
        <v>390</v>
      </c>
      <c r="I263" s="62" t="s">
        <v>389</v>
      </c>
      <c r="J263" s="65"/>
      <c r="K263" s="62" t="s">
        <v>275</v>
      </c>
      <c r="L263" s="62" t="s">
        <v>389</v>
      </c>
      <c r="M263" s="62" t="s">
        <v>389</v>
      </c>
      <c r="N263" s="62" t="s">
        <v>304</v>
      </c>
      <c r="O263" s="62" t="s">
        <v>389</v>
      </c>
      <c r="P263" s="62" t="s">
        <v>389</v>
      </c>
      <c r="Q263" s="62" t="s">
        <v>390</v>
      </c>
      <c r="R263" s="62" t="s">
        <v>277</v>
      </c>
      <c r="S263" s="62" t="s">
        <v>389</v>
      </c>
      <c r="T263" s="65" t="n">
        <v>64.5</v>
      </c>
      <c r="U263" s="62" t="s">
        <v>276</v>
      </c>
      <c r="V263" s="65" t="n">
        <v>64.5</v>
      </c>
      <c r="W263" s="65" t="n">
        <v>6.4</v>
      </c>
      <c r="X263" s="63" t="n">
        <v>0</v>
      </c>
      <c r="Y263" s="62" t="s">
        <v>389</v>
      </c>
      <c r="Z263" s="62" t="s">
        <v>389</v>
      </c>
      <c r="AA263" s="62" t="s">
        <v>395</v>
      </c>
      <c r="AB263" s="62" t="s">
        <v>275</v>
      </c>
      <c r="AC263" s="65" t="n">
        <v>29.7</v>
      </c>
      <c r="AD263" s="63" t="n">
        <v>3</v>
      </c>
      <c r="AE263" s="63" t="n">
        <v>21</v>
      </c>
      <c r="AF263" s="63" t="n">
        <v>8</v>
      </c>
      <c r="AG263" s="62" t="s">
        <v>390</v>
      </c>
      <c r="AH263" s="62"/>
      <c r="AI263" s="63" t="n">
        <v>0</v>
      </c>
      <c r="AJ263" s="62" t="s">
        <v>151</v>
      </c>
      <c r="AK263" s="62" t="s">
        <v>391</v>
      </c>
      <c r="AL263" s="62" t="s">
        <v>392</v>
      </c>
      <c r="AM263" s="62" t="s">
        <v>396</v>
      </c>
      <c r="AN263" s="65" t="n">
        <v>52.3</v>
      </c>
      <c r="AO263" s="62" t="s">
        <v>389</v>
      </c>
      <c r="AP263" s="62" t="s">
        <v>390</v>
      </c>
      <c r="AQ263" s="62" t="s">
        <v>390</v>
      </c>
      <c r="AR263" s="66"/>
      <c r="AS263" s="62"/>
      <c r="AT263" s="65"/>
      <c r="AU263" s="62" t="s">
        <v>397</v>
      </c>
    </row>
    <row r="264" customFormat="false" ht="15" hidden="false" customHeight="false" outlineLevel="0" collapsed="false">
      <c r="A264" s="62" t="s">
        <v>388</v>
      </c>
      <c r="B264" s="63" t="n">
        <v>1431</v>
      </c>
      <c r="C264" s="64" t="n">
        <v>46307.4185584259</v>
      </c>
      <c r="D264" s="62" t="s">
        <v>73</v>
      </c>
      <c r="E264" s="63" t="n">
        <v>10</v>
      </c>
      <c r="F264" s="62" t="s">
        <v>389</v>
      </c>
      <c r="G264" s="62" t="s">
        <v>390</v>
      </c>
      <c r="H264" s="62" t="s">
        <v>390</v>
      </c>
      <c r="I264" s="62" t="s">
        <v>389</v>
      </c>
      <c r="J264" s="65"/>
      <c r="K264" s="62" t="s">
        <v>275</v>
      </c>
      <c r="L264" s="62" t="s">
        <v>389</v>
      </c>
      <c r="M264" s="62" t="s">
        <v>390</v>
      </c>
      <c r="N264" s="62"/>
      <c r="O264" s="62" t="s">
        <v>389</v>
      </c>
      <c r="P264" s="62" t="s">
        <v>390</v>
      </c>
      <c r="Q264" s="62" t="s">
        <v>390</v>
      </c>
      <c r="R264" s="62" t="s">
        <v>277</v>
      </c>
      <c r="S264" s="62" t="s">
        <v>389</v>
      </c>
      <c r="T264" s="65" t="n">
        <v>2822.9</v>
      </c>
      <c r="U264" s="62" t="s">
        <v>276</v>
      </c>
      <c r="V264" s="65" t="n">
        <v>2822.9</v>
      </c>
      <c r="W264" s="65"/>
      <c r="X264" s="63" t="n">
        <v>0</v>
      </c>
      <c r="Y264" s="62" t="s">
        <v>390</v>
      </c>
      <c r="Z264" s="62" t="s">
        <v>389</v>
      </c>
      <c r="AA264" s="62" t="s">
        <v>395</v>
      </c>
      <c r="AB264" s="62" t="s">
        <v>275</v>
      </c>
      <c r="AC264" s="65" t="n">
        <v>27</v>
      </c>
      <c r="AD264" s="63" t="n">
        <v>1</v>
      </c>
      <c r="AE264" s="63" t="n">
        <v>19</v>
      </c>
      <c r="AF264" s="63" t="n">
        <v>2</v>
      </c>
      <c r="AG264" s="62" t="s">
        <v>390</v>
      </c>
      <c r="AH264" s="62"/>
      <c r="AI264" s="63" t="n">
        <v>0</v>
      </c>
      <c r="AJ264" s="62" t="s">
        <v>147</v>
      </c>
      <c r="AK264" s="62" t="s">
        <v>391</v>
      </c>
      <c r="AL264" s="62" t="s">
        <v>392</v>
      </c>
      <c r="AM264" s="62" t="s">
        <v>396</v>
      </c>
      <c r="AN264" s="65" t="n">
        <v>71.7</v>
      </c>
      <c r="AO264" s="62" t="s">
        <v>389</v>
      </c>
      <c r="AP264" s="62" t="s">
        <v>390</v>
      </c>
      <c r="AQ264" s="62" t="s">
        <v>390</v>
      </c>
      <c r="AR264" s="66"/>
      <c r="AS264" s="62"/>
      <c r="AT264" s="65"/>
      <c r="AU264" s="62" t="s">
        <v>397</v>
      </c>
    </row>
    <row r="265" customFormat="false" ht="15" hidden="false" customHeight="false" outlineLevel="0" collapsed="false">
      <c r="A265" s="62" t="s">
        <v>388</v>
      </c>
      <c r="B265" s="63" t="n">
        <v>1439</v>
      </c>
      <c r="C265" s="64" t="n">
        <v>46307.427449213</v>
      </c>
      <c r="D265" s="62" t="s">
        <v>73</v>
      </c>
      <c r="E265" s="63" t="n">
        <v>10</v>
      </c>
      <c r="F265" s="62" t="s">
        <v>389</v>
      </c>
      <c r="G265" s="62" t="s">
        <v>389</v>
      </c>
      <c r="H265" s="62" t="s">
        <v>389</v>
      </c>
      <c r="I265" s="62" t="s">
        <v>389</v>
      </c>
      <c r="J265" s="65" t="n">
        <v>0.1</v>
      </c>
      <c r="K265" s="62" t="s">
        <v>276</v>
      </c>
      <c r="L265" s="62" t="s">
        <v>389</v>
      </c>
      <c r="M265" s="62" t="s">
        <v>389</v>
      </c>
      <c r="N265" s="62" t="s">
        <v>307</v>
      </c>
      <c r="O265" s="62" t="s">
        <v>389</v>
      </c>
      <c r="P265" s="62" t="s">
        <v>390</v>
      </c>
      <c r="Q265" s="62" t="s">
        <v>390</v>
      </c>
      <c r="R265" s="62" t="s">
        <v>277</v>
      </c>
      <c r="S265" s="62" t="s">
        <v>389</v>
      </c>
      <c r="T265" s="65" t="n">
        <v>13.2</v>
      </c>
      <c r="U265" s="62" t="s">
        <v>276</v>
      </c>
      <c r="V265" s="65" t="n">
        <v>0.6</v>
      </c>
      <c r="W265" s="65" t="n">
        <v>4</v>
      </c>
      <c r="X265" s="63" t="n">
        <v>0</v>
      </c>
      <c r="Y265" s="62" t="s">
        <v>389</v>
      </c>
      <c r="Z265" s="62" t="s">
        <v>389</v>
      </c>
      <c r="AA265" s="62" t="s">
        <v>395</v>
      </c>
      <c r="AB265" s="62" t="s">
        <v>275</v>
      </c>
      <c r="AC265" s="65" t="n">
        <v>26.8</v>
      </c>
      <c r="AD265" s="63" t="n">
        <v>5</v>
      </c>
      <c r="AE265" s="63" t="n">
        <v>18</v>
      </c>
      <c r="AF265" s="63" t="n">
        <v>9</v>
      </c>
      <c r="AG265" s="62" t="s">
        <v>390</v>
      </c>
      <c r="AH265" s="62"/>
      <c r="AI265" s="63" t="n">
        <v>0</v>
      </c>
      <c r="AJ265" s="62" t="s">
        <v>149</v>
      </c>
      <c r="AK265" s="62" t="s">
        <v>391</v>
      </c>
      <c r="AL265" s="62" t="s">
        <v>392</v>
      </c>
      <c r="AM265" s="62" t="s">
        <v>396</v>
      </c>
      <c r="AN265" s="65" t="n">
        <v>71.5</v>
      </c>
      <c r="AO265" s="62" t="s">
        <v>389</v>
      </c>
      <c r="AP265" s="62" t="s">
        <v>390</v>
      </c>
      <c r="AQ265" s="62" t="s">
        <v>390</v>
      </c>
      <c r="AR265" s="66"/>
      <c r="AS265" s="62"/>
      <c r="AT265" s="65"/>
      <c r="AU265" s="62" t="s">
        <v>397</v>
      </c>
    </row>
    <row r="266" customFormat="false" ht="15" hidden="false" customHeight="false" outlineLevel="0" collapsed="false">
      <c r="A266" s="62" t="s">
        <v>388</v>
      </c>
      <c r="B266" s="63" t="n">
        <v>1443</v>
      </c>
      <c r="C266" s="64" t="n">
        <v>46307.4351801389</v>
      </c>
      <c r="D266" s="62" t="s">
        <v>73</v>
      </c>
      <c r="E266" s="63" t="n">
        <v>10</v>
      </c>
      <c r="F266" s="62" t="s">
        <v>389</v>
      </c>
      <c r="G266" s="62" t="s">
        <v>389</v>
      </c>
      <c r="H266" s="62" t="s">
        <v>389</v>
      </c>
      <c r="I266" s="62" t="s">
        <v>389</v>
      </c>
      <c r="J266" s="65" t="n">
        <v>0.3</v>
      </c>
      <c r="K266" s="62" t="s">
        <v>276</v>
      </c>
      <c r="L266" s="62" t="s">
        <v>389</v>
      </c>
      <c r="M266" s="62" t="s">
        <v>390</v>
      </c>
      <c r="N266" s="62"/>
      <c r="O266" s="62" t="s">
        <v>389</v>
      </c>
      <c r="P266" s="62" t="s">
        <v>390</v>
      </c>
      <c r="Q266" s="62" t="s">
        <v>390</v>
      </c>
      <c r="R266" s="62" t="s">
        <v>277</v>
      </c>
      <c r="S266" s="62" t="s">
        <v>389</v>
      </c>
      <c r="T266" s="65" t="n">
        <v>2785.6</v>
      </c>
      <c r="U266" s="62" t="s">
        <v>276</v>
      </c>
      <c r="V266" s="65" t="n">
        <v>1.7</v>
      </c>
      <c r="W266" s="65" t="n">
        <v>2784.2</v>
      </c>
      <c r="X266" s="63" t="n">
        <v>0</v>
      </c>
      <c r="Y266" s="62" t="s">
        <v>390</v>
      </c>
      <c r="Z266" s="62" t="s">
        <v>389</v>
      </c>
      <c r="AA266" s="62" t="s">
        <v>395</v>
      </c>
      <c r="AB266" s="62" t="s">
        <v>275</v>
      </c>
      <c r="AC266" s="65" t="n">
        <v>26.6</v>
      </c>
      <c r="AD266" s="63" t="n">
        <v>2</v>
      </c>
      <c r="AE266" s="63" t="n">
        <v>18</v>
      </c>
      <c r="AF266" s="63" t="n">
        <v>2</v>
      </c>
      <c r="AG266" s="62" t="s">
        <v>389</v>
      </c>
      <c r="AH266" s="62" t="s">
        <v>412</v>
      </c>
      <c r="AI266" s="63" t="n">
        <v>0</v>
      </c>
      <c r="AJ266" s="62" t="s">
        <v>148</v>
      </c>
      <c r="AK266" s="62" t="s">
        <v>391</v>
      </c>
      <c r="AL266" s="62" t="s">
        <v>392</v>
      </c>
      <c r="AM266" s="62" t="s">
        <v>396</v>
      </c>
      <c r="AN266" s="65" t="n">
        <v>51.7</v>
      </c>
      <c r="AO266" s="62" t="s">
        <v>389</v>
      </c>
      <c r="AP266" s="62" t="s">
        <v>390</v>
      </c>
      <c r="AQ266" s="62" t="s">
        <v>390</v>
      </c>
      <c r="AR266" s="66"/>
      <c r="AS266" s="62"/>
      <c r="AT266" s="65"/>
      <c r="AU266" s="62" t="s">
        <v>417</v>
      </c>
    </row>
    <row r="267" customFormat="false" ht="15" hidden="false" customHeight="false" outlineLevel="0" collapsed="false">
      <c r="A267" s="62" t="s">
        <v>388</v>
      </c>
      <c r="B267" s="63" t="n">
        <v>1451</v>
      </c>
      <c r="C267" s="64" t="n">
        <v>46307.4634633796</v>
      </c>
      <c r="D267" s="62" t="s">
        <v>73</v>
      </c>
      <c r="E267" s="63" t="n">
        <v>11</v>
      </c>
      <c r="F267" s="62" t="s">
        <v>389</v>
      </c>
      <c r="G267" s="62" t="s">
        <v>390</v>
      </c>
      <c r="H267" s="62" t="s">
        <v>390</v>
      </c>
      <c r="I267" s="62" t="s">
        <v>389</v>
      </c>
      <c r="J267" s="65"/>
      <c r="K267" s="62" t="s">
        <v>275</v>
      </c>
      <c r="L267" s="62" t="s">
        <v>389</v>
      </c>
      <c r="M267" s="62" t="s">
        <v>390</v>
      </c>
      <c r="N267" s="62"/>
      <c r="O267" s="62" t="s">
        <v>389</v>
      </c>
      <c r="P267" s="62" t="s">
        <v>390</v>
      </c>
      <c r="Q267" s="62" t="s">
        <v>390</v>
      </c>
      <c r="R267" s="62" t="s">
        <v>277</v>
      </c>
      <c r="S267" s="62" t="s">
        <v>389</v>
      </c>
      <c r="T267" s="65" t="n">
        <v>1351.5</v>
      </c>
      <c r="U267" s="62" t="s">
        <v>276</v>
      </c>
      <c r="V267" s="65" t="n">
        <v>1351.5</v>
      </c>
      <c r="W267" s="65"/>
      <c r="X267" s="63" t="n">
        <v>0</v>
      </c>
      <c r="Y267" s="62" t="s">
        <v>390</v>
      </c>
      <c r="Z267" s="62" t="s">
        <v>389</v>
      </c>
      <c r="AA267" s="62" t="s">
        <v>395</v>
      </c>
      <c r="AB267" s="62" t="s">
        <v>276</v>
      </c>
      <c r="AC267" s="65" t="n">
        <v>22.5</v>
      </c>
      <c r="AD267" s="63" t="n">
        <v>1</v>
      </c>
      <c r="AE267" s="63" t="n">
        <v>14</v>
      </c>
      <c r="AF267" s="63" t="n">
        <v>4</v>
      </c>
      <c r="AG267" s="62" t="s">
        <v>390</v>
      </c>
      <c r="AH267" s="62"/>
      <c r="AI267" s="63" t="n">
        <v>0</v>
      </c>
      <c r="AJ267" s="62" t="s">
        <v>147</v>
      </c>
      <c r="AK267" s="62" t="s">
        <v>391</v>
      </c>
      <c r="AL267" s="62" t="s">
        <v>392</v>
      </c>
      <c r="AM267" s="62" t="s">
        <v>396</v>
      </c>
      <c r="AN267" s="65" t="n">
        <v>51.3</v>
      </c>
      <c r="AO267" s="62" t="s">
        <v>389</v>
      </c>
      <c r="AP267" s="62" t="s">
        <v>390</v>
      </c>
      <c r="AQ267" s="62" t="s">
        <v>390</v>
      </c>
      <c r="AR267" s="66"/>
      <c r="AS267" s="62"/>
      <c r="AT267" s="65"/>
      <c r="AU267" s="62" t="s">
        <v>397</v>
      </c>
    </row>
    <row r="268" customFormat="false" ht="15" hidden="false" customHeight="false" outlineLevel="0" collapsed="false">
      <c r="A268" s="62" t="s">
        <v>388</v>
      </c>
      <c r="B268" s="63" t="n">
        <v>1456</v>
      </c>
      <c r="C268" s="64" t="n">
        <v>46307.4803668056</v>
      </c>
      <c r="D268" s="62" t="s">
        <v>73</v>
      </c>
      <c r="E268" s="63" t="n">
        <v>11</v>
      </c>
      <c r="F268" s="62" t="s">
        <v>389</v>
      </c>
      <c r="G268" s="62" t="s">
        <v>389</v>
      </c>
      <c r="H268" s="62" t="s">
        <v>389</v>
      </c>
      <c r="I268" s="62" t="s">
        <v>389</v>
      </c>
      <c r="J268" s="65" t="n">
        <v>0.2</v>
      </c>
      <c r="K268" s="62" t="s">
        <v>277</v>
      </c>
      <c r="L268" s="62" t="s">
        <v>389</v>
      </c>
      <c r="M268" s="62" t="s">
        <v>389</v>
      </c>
      <c r="N268" s="62" t="s">
        <v>308</v>
      </c>
      <c r="O268" s="62" t="s">
        <v>389</v>
      </c>
      <c r="P268" s="62" t="s">
        <v>389</v>
      </c>
      <c r="Q268" s="62" t="s">
        <v>390</v>
      </c>
      <c r="R268" s="62" t="s">
        <v>277</v>
      </c>
      <c r="S268" s="62" t="s">
        <v>389</v>
      </c>
      <c r="T268" s="65" t="n">
        <v>8.1</v>
      </c>
      <c r="U268" s="62" t="s">
        <v>277</v>
      </c>
      <c r="V268" s="65" t="n">
        <v>0.5</v>
      </c>
      <c r="W268" s="65" t="n">
        <v>0.9</v>
      </c>
      <c r="X268" s="63" t="n">
        <v>0</v>
      </c>
      <c r="Y268" s="62" t="s">
        <v>389</v>
      </c>
      <c r="Z268" s="62" t="s">
        <v>389</v>
      </c>
      <c r="AA268" s="62" t="s">
        <v>395</v>
      </c>
      <c r="AB268" s="62" t="s">
        <v>275</v>
      </c>
      <c r="AC268" s="65" t="n">
        <v>28.5</v>
      </c>
      <c r="AD268" s="63" t="n">
        <v>11</v>
      </c>
      <c r="AE268" s="63" t="n">
        <v>20</v>
      </c>
      <c r="AF268" s="63" t="n">
        <v>18</v>
      </c>
      <c r="AG268" s="62" t="s">
        <v>389</v>
      </c>
      <c r="AH268" s="62" t="s">
        <v>414</v>
      </c>
      <c r="AI268" s="63" t="n">
        <v>0</v>
      </c>
      <c r="AJ268" s="62" t="s">
        <v>150</v>
      </c>
      <c r="AK268" s="62" t="s">
        <v>402</v>
      </c>
      <c r="AL268" s="62"/>
      <c r="AM268" s="62"/>
      <c r="AN268" s="65"/>
      <c r="AO268" s="62" t="s">
        <v>390</v>
      </c>
      <c r="AP268" s="62"/>
      <c r="AQ268" s="62" t="s">
        <v>390</v>
      </c>
      <c r="AR268" s="66"/>
      <c r="AS268" s="62"/>
      <c r="AT268" s="65"/>
      <c r="AU268" s="62" t="s">
        <v>399</v>
      </c>
    </row>
    <row r="269" customFormat="false" ht="15" hidden="false" customHeight="false" outlineLevel="0" collapsed="false">
      <c r="A269" s="62" t="s">
        <v>388</v>
      </c>
      <c r="B269" s="63" t="n">
        <v>1471</v>
      </c>
      <c r="C269" s="64" t="n">
        <v>46307.5383372917</v>
      </c>
      <c r="D269" s="62" t="s">
        <v>73</v>
      </c>
      <c r="E269" s="63" t="n">
        <v>12</v>
      </c>
      <c r="F269" s="62" t="s">
        <v>389</v>
      </c>
      <c r="G269" s="62" t="s">
        <v>389</v>
      </c>
      <c r="H269" s="62" t="s">
        <v>389</v>
      </c>
      <c r="I269" s="62" t="s">
        <v>389</v>
      </c>
      <c r="J269" s="65" t="n">
        <v>0.3</v>
      </c>
      <c r="K269" s="62" t="s">
        <v>276</v>
      </c>
      <c r="L269" s="62" t="s">
        <v>389</v>
      </c>
      <c r="M269" s="62" t="s">
        <v>389</v>
      </c>
      <c r="N269" s="62" t="s">
        <v>307</v>
      </c>
      <c r="O269" s="62" t="s">
        <v>390</v>
      </c>
      <c r="P269" s="62" t="s">
        <v>389</v>
      </c>
      <c r="Q269" s="62" t="s">
        <v>390</v>
      </c>
      <c r="R269" s="62" t="s">
        <v>277</v>
      </c>
      <c r="S269" s="62" t="s">
        <v>389</v>
      </c>
      <c r="T269" s="65" t="n">
        <v>5.3</v>
      </c>
      <c r="U269" s="62" t="s">
        <v>277</v>
      </c>
      <c r="V269" s="65" t="n">
        <v>1.8</v>
      </c>
      <c r="W269" s="65" t="n">
        <v>2.7</v>
      </c>
      <c r="X269" s="63" t="n">
        <v>0</v>
      </c>
      <c r="Y269" s="62" t="s">
        <v>389</v>
      </c>
      <c r="Z269" s="62" t="s">
        <v>389</v>
      </c>
      <c r="AA269" s="62" t="s">
        <v>395</v>
      </c>
      <c r="AB269" s="62" t="s">
        <v>276</v>
      </c>
      <c r="AC269" s="65" t="n">
        <v>19.4</v>
      </c>
      <c r="AD269" s="63" t="n">
        <v>8</v>
      </c>
      <c r="AE269" s="63" t="n">
        <v>8</v>
      </c>
      <c r="AF269" s="63" t="n">
        <v>16</v>
      </c>
      <c r="AG269" s="62" t="s">
        <v>389</v>
      </c>
      <c r="AH269" s="62" t="s">
        <v>398</v>
      </c>
      <c r="AI269" s="63" t="n">
        <v>0</v>
      </c>
      <c r="AJ269" s="62" t="s">
        <v>151</v>
      </c>
      <c r="AK269" s="62" t="s">
        <v>391</v>
      </c>
      <c r="AL269" s="62" t="s">
        <v>392</v>
      </c>
      <c r="AM269" s="62" t="s">
        <v>396</v>
      </c>
      <c r="AN269" s="65" t="n">
        <v>67.4</v>
      </c>
      <c r="AO269" s="62" t="s">
        <v>389</v>
      </c>
      <c r="AP269" s="62" t="s">
        <v>390</v>
      </c>
      <c r="AQ269" s="62" t="s">
        <v>390</v>
      </c>
      <c r="AR269" s="66"/>
      <c r="AS269" s="62"/>
      <c r="AT269" s="65"/>
      <c r="AU269" s="62" t="s">
        <v>397</v>
      </c>
    </row>
    <row r="270" customFormat="false" ht="15" hidden="false" customHeight="false" outlineLevel="0" collapsed="false">
      <c r="A270" s="62" t="s">
        <v>388</v>
      </c>
      <c r="B270" s="63" t="n">
        <v>1473</v>
      </c>
      <c r="C270" s="64" t="n">
        <v>46307.5531993866</v>
      </c>
      <c r="D270" s="62" t="s">
        <v>73</v>
      </c>
      <c r="E270" s="63" t="n">
        <v>13</v>
      </c>
      <c r="F270" s="62" t="s">
        <v>389</v>
      </c>
      <c r="G270" s="62" t="s">
        <v>389</v>
      </c>
      <c r="H270" s="62" t="s">
        <v>389</v>
      </c>
      <c r="I270" s="62" t="s">
        <v>389</v>
      </c>
      <c r="J270" s="65" t="n">
        <v>0.9</v>
      </c>
      <c r="K270" s="62" t="s">
        <v>278</v>
      </c>
      <c r="L270" s="62" t="s">
        <v>389</v>
      </c>
      <c r="M270" s="62" t="s">
        <v>390</v>
      </c>
      <c r="N270" s="62"/>
      <c r="O270" s="62" t="s">
        <v>389</v>
      </c>
      <c r="P270" s="62" t="s">
        <v>390</v>
      </c>
      <c r="Q270" s="62" t="s">
        <v>390</v>
      </c>
      <c r="R270" s="62" t="s">
        <v>278</v>
      </c>
      <c r="S270" s="62" t="s">
        <v>389</v>
      </c>
      <c r="T270" s="65" t="n">
        <v>2632</v>
      </c>
      <c r="U270" s="62" t="s">
        <v>276</v>
      </c>
      <c r="V270" s="65" t="n">
        <v>1.1</v>
      </c>
      <c r="W270" s="65" t="n">
        <v>2631.8</v>
      </c>
      <c r="X270" s="63" t="n">
        <v>0</v>
      </c>
      <c r="Y270" s="62" t="s">
        <v>390</v>
      </c>
      <c r="Z270" s="62" t="s">
        <v>389</v>
      </c>
      <c r="AA270" s="62" t="s">
        <v>395</v>
      </c>
      <c r="AB270" s="62" t="s">
        <v>275</v>
      </c>
      <c r="AC270" s="65" t="n">
        <v>26.1</v>
      </c>
      <c r="AD270" s="63" t="n">
        <v>2</v>
      </c>
      <c r="AE270" s="63" t="n">
        <v>18</v>
      </c>
      <c r="AF270" s="63" t="n">
        <v>2</v>
      </c>
      <c r="AG270" s="62" t="s">
        <v>390</v>
      </c>
      <c r="AH270" s="62"/>
      <c r="AI270" s="63" t="n">
        <v>0</v>
      </c>
      <c r="AJ270" s="62" t="s">
        <v>148</v>
      </c>
      <c r="AK270" s="62" t="s">
        <v>391</v>
      </c>
      <c r="AL270" s="62" t="s">
        <v>392</v>
      </c>
      <c r="AM270" s="62" t="s">
        <v>396</v>
      </c>
      <c r="AN270" s="65" t="n">
        <v>48.1</v>
      </c>
      <c r="AO270" s="62" t="s">
        <v>389</v>
      </c>
      <c r="AP270" s="62" t="s">
        <v>390</v>
      </c>
      <c r="AQ270" s="62" t="s">
        <v>390</v>
      </c>
      <c r="AR270" s="66"/>
      <c r="AS270" s="62"/>
      <c r="AT270" s="65"/>
      <c r="AU270" s="62" t="s">
        <v>417</v>
      </c>
    </row>
    <row r="271" customFormat="false" ht="15" hidden="false" customHeight="false" outlineLevel="0" collapsed="false">
      <c r="A271" s="62" t="s">
        <v>388</v>
      </c>
      <c r="B271" s="63" t="n">
        <v>1480</v>
      </c>
      <c r="C271" s="64" t="n">
        <v>46307.5674113542</v>
      </c>
      <c r="D271" s="62" t="s">
        <v>73</v>
      </c>
      <c r="E271" s="63" t="n">
        <v>13</v>
      </c>
      <c r="F271" s="62" t="s">
        <v>389</v>
      </c>
      <c r="G271" s="62" t="s">
        <v>390</v>
      </c>
      <c r="H271" s="62" t="s">
        <v>390</v>
      </c>
      <c r="I271" s="62" t="s">
        <v>389</v>
      </c>
      <c r="J271" s="65"/>
      <c r="K271" s="62" t="s">
        <v>275</v>
      </c>
      <c r="L271" s="62" t="s">
        <v>389</v>
      </c>
      <c r="M271" s="62" t="s">
        <v>390</v>
      </c>
      <c r="N271" s="62"/>
      <c r="O271" s="62" t="s">
        <v>389</v>
      </c>
      <c r="P271" s="62" t="s">
        <v>390</v>
      </c>
      <c r="Q271" s="62" t="s">
        <v>390</v>
      </c>
      <c r="R271" s="62" t="s">
        <v>277</v>
      </c>
      <c r="S271" s="62" t="s">
        <v>389</v>
      </c>
      <c r="T271" s="65" t="n">
        <v>2626.2</v>
      </c>
      <c r="U271" s="62" t="s">
        <v>276</v>
      </c>
      <c r="V271" s="65" t="n">
        <v>2626.2</v>
      </c>
      <c r="W271" s="65"/>
      <c r="X271" s="63" t="n">
        <v>0</v>
      </c>
      <c r="Y271" s="62" t="s">
        <v>390</v>
      </c>
      <c r="Z271" s="62" t="s">
        <v>389</v>
      </c>
      <c r="AA271" s="62" t="s">
        <v>395</v>
      </c>
      <c r="AB271" s="62" t="s">
        <v>275</v>
      </c>
      <c r="AC271" s="65" t="n">
        <v>26.6</v>
      </c>
      <c r="AD271" s="63" t="n">
        <v>1</v>
      </c>
      <c r="AE271" s="63" t="n">
        <v>19</v>
      </c>
      <c r="AF271" s="63" t="n">
        <v>2</v>
      </c>
      <c r="AG271" s="62" t="s">
        <v>390</v>
      </c>
      <c r="AH271" s="62"/>
      <c r="AI271" s="63" t="n">
        <v>0</v>
      </c>
      <c r="AJ271" s="62" t="s">
        <v>147</v>
      </c>
      <c r="AK271" s="62" t="s">
        <v>391</v>
      </c>
      <c r="AL271" s="62" t="s">
        <v>392</v>
      </c>
      <c r="AM271" s="62" t="s">
        <v>396</v>
      </c>
      <c r="AN271" s="65" t="n">
        <v>49.2</v>
      </c>
      <c r="AO271" s="62" t="s">
        <v>389</v>
      </c>
      <c r="AP271" s="62" t="s">
        <v>390</v>
      </c>
      <c r="AQ271" s="62" t="s">
        <v>390</v>
      </c>
      <c r="AR271" s="66"/>
      <c r="AS271" s="62"/>
      <c r="AT271" s="65"/>
      <c r="AU271" s="62" t="s">
        <v>397</v>
      </c>
    </row>
    <row r="272" customFormat="false" ht="15" hidden="false" customHeight="false" outlineLevel="0" collapsed="false">
      <c r="A272" s="62" t="s">
        <v>388</v>
      </c>
      <c r="B272" s="63" t="n">
        <v>1484</v>
      </c>
      <c r="C272" s="64" t="n">
        <v>46307.5818693982</v>
      </c>
      <c r="D272" s="62" t="s">
        <v>73</v>
      </c>
      <c r="E272" s="63" t="n">
        <v>13</v>
      </c>
      <c r="F272" s="62" t="s">
        <v>389</v>
      </c>
      <c r="G272" s="62" t="s">
        <v>389</v>
      </c>
      <c r="H272" s="62" t="s">
        <v>389</v>
      </c>
      <c r="I272" s="62" t="s">
        <v>389</v>
      </c>
      <c r="J272" s="65" t="n">
        <v>0.2</v>
      </c>
      <c r="K272" s="62" t="s">
        <v>276</v>
      </c>
      <c r="L272" s="62" t="s">
        <v>389</v>
      </c>
      <c r="M272" s="62" t="s">
        <v>389</v>
      </c>
      <c r="N272" s="62" t="s">
        <v>306</v>
      </c>
      <c r="O272" s="62" t="s">
        <v>389</v>
      </c>
      <c r="P272" s="62" t="s">
        <v>390</v>
      </c>
      <c r="Q272" s="62" t="s">
        <v>390</v>
      </c>
      <c r="R272" s="62" t="s">
        <v>278</v>
      </c>
      <c r="S272" s="62" t="s">
        <v>389</v>
      </c>
      <c r="T272" s="65" t="n">
        <v>19</v>
      </c>
      <c r="U272" s="62" t="s">
        <v>278</v>
      </c>
      <c r="V272" s="65" t="n">
        <v>0.4</v>
      </c>
      <c r="W272" s="65" t="n">
        <v>15.5</v>
      </c>
      <c r="X272" s="63" t="n">
        <v>0</v>
      </c>
      <c r="Y272" s="62" t="s">
        <v>390</v>
      </c>
      <c r="Z272" s="62" t="s">
        <v>389</v>
      </c>
      <c r="AA272" s="62" t="s">
        <v>395</v>
      </c>
      <c r="AB272" s="62" t="s">
        <v>275</v>
      </c>
      <c r="AC272" s="65" t="n">
        <v>26.5</v>
      </c>
      <c r="AD272" s="63" t="n">
        <v>6</v>
      </c>
      <c r="AE272" s="63" t="n">
        <v>24</v>
      </c>
      <c r="AF272" s="63" t="n">
        <v>5</v>
      </c>
      <c r="AG272" s="62" t="s">
        <v>389</v>
      </c>
      <c r="AH272" s="62" t="s">
        <v>398</v>
      </c>
      <c r="AI272" s="63" t="n">
        <v>0</v>
      </c>
      <c r="AJ272" s="62" t="s">
        <v>150</v>
      </c>
      <c r="AK272" s="62" t="s">
        <v>402</v>
      </c>
      <c r="AL272" s="62"/>
      <c r="AM272" s="62"/>
      <c r="AN272" s="65"/>
      <c r="AO272" s="62" t="s">
        <v>390</v>
      </c>
      <c r="AP272" s="62"/>
      <c r="AQ272" s="62" t="s">
        <v>390</v>
      </c>
      <c r="AR272" s="66"/>
      <c r="AS272" s="62"/>
      <c r="AT272" s="65"/>
      <c r="AU272" s="62" t="s">
        <v>399</v>
      </c>
    </row>
    <row r="273" customFormat="false" ht="15" hidden="false" customHeight="false" outlineLevel="0" collapsed="false">
      <c r="A273" s="62" t="s">
        <v>388</v>
      </c>
      <c r="B273" s="63" t="n">
        <v>1485</v>
      </c>
      <c r="C273" s="64" t="n">
        <v>46307.5862863426</v>
      </c>
      <c r="D273" s="62" t="s">
        <v>73</v>
      </c>
      <c r="E273" s="63" t="n">
        <v>14</v>
      </c>
      <c r="F273" s="62" t="s">
        <v>389</v>
      </c>
      <c r="G273" s="62" t="s">
        <v>389</v>
      </c>
      <c r="H273" s="62" t="s">
        <v>389</v>
      </c>
      <c r="I273" s="62" t="s">
        <v>389</v>
      </c>
      <c r="J273" s="65" t="n">
        <v>4.1</v>
      </c>
      <c r="K273" s="62" t="s">
        <v>276</v>
      </c>
      <c r="L273" s="62" t="s">
        <v>389</v>
      </c>
      <c r="M273" s="62" t="s">
        <v>389</v>
      </c>
      <c r="N273" s="62" t="s">
        <v>307</v>
      </c>
      <c r="O273" s="62" t="s">
        <v>389</v>
      </c>
      <c r="P273" s="62" t="s">
        <v>389</v>
      </c>
      <c r="Q273" s="62" t="s">
        <v>390</v>
      </c>
      <c r="R273" s="62" t="s">
        <v>277</v>
      </c>
      <c r="S273" s="62" t="s">
        <v>389</v>
      </c>
      <c r="T273" s="65" t="n">
        <v>10.4</v>
      </c>
      <c r="U273" s="62" t="s">
        <v>277</v>
      </c>
      <c r="V273" s="65" t="n">
        <v>4.3</v>
      </c>
      <c r="W273" s="65" t="n">
        <v>1</v>
      </c>
      <c r="X273" s="63" t="n">
        <v>0</v>
      </c>
      <c r="Y273" s="62" t="s">
        <v>389</v>
      </c>
      <c r="Z273" s="62" t="s">
        <v>389</v>
      </c>
      <c r="AA273" s="62" t="s">
        <v>395</v>
      </c>
      <c r="AB273" s="62" t="s">
        <v>275</v>
      </c>
      <c r="AC273" s="65" t="n">
        <v>28.5</v>
      </c>
      <c r="AD273" s="63" t="n">
        <v>5</v>
      </c>
      <c r="AE273" s="63" t="n">
        <v>20</v>
      </c>
      <c r="AF273" s="63" t="n">
        <v>6</v>
      </c>
      <c r="AG273" s="62" t="s">
        <v>389</v>
      </c>
      <c r="AH273" s="62" t="s">
        <v>398</v>
      </c>
      <c r="AI273" s="63" t="n">
        <v>0</v>
      </c>
      <c r="AJ273" s="62" t="s">
        <v>151</v>
      </c>
      <c r="AK273" s="62" t="s">
        <v>391</v>
      </c>
      <c r="AL273" s="62" t="s">
        <v>392</v>
      </c>
      <c r="AM273" s="62" t="s">
        <v>396</v>
      </c>
      <c r="AN273" s="65" t="n">
        <v>69.1</v>
      </c>
      <c r="AO273" s="62" t="s">
        <v>389</v>
      </c>
      <c r="AP273" s="62" t="s">
        <v>390</v>
      </c>
      <c r="AQ273" s="62" t="s">
        <v>390</v>
      </c>
      <c r="AR273" s="66"/>
      <c r="AS273" s="62"/>
      <c r="AT273" s="65"/>
      <c r="AU273" s="62" t="s">
        <v>399</v>
      </c>
    </row>
    <row r="274" customFormat="false" ht="15" hidden="false" customHeight="false" outlineLevel="0" collapsed="false">
      <c r="A274" s="62" t="s">
        <v>388</v>
      </c>
      <c r="B274" s="63" t="n">
        <v>1491</v>
      </c>
      <c r="C274" s="64" t="n">
        <v>46307.5989209491</v>
      </c>
      <c r="D274" s="62" t="s">
        <v>73</v>
      </c>
      <c r="E274" s="63" t="n">
        <v>14</v>
      </c>
      <c r="F274" s="62" t="s">
        <v>389</v>
      </c>
      <c r="G274" s="62" t="s">
        <v>389</v>
      </c>
      <c r="H274" s="62" t="s">
        <v>389</v>
      </c>
      <c r="I274" s="62" t="s">
        <v>389</v>
      </c>
      <c r="J274" s="65" t="n">
        <v>0.2</v>
      </c>
      <c r="K274" s="62" t="s">
        <v>279</v>
      </c>
      <c r="L274" s="62" t="s">
        <v>389</v>
      </c>
      <c r="M274" s="62" t="s">
        <v>390</v>
      </c>
      <c r="N274" s="62"/>
      <c r="O274" s="62" t="s">
        <v>389</v>
      </c>
      <c r="P274" s="62" t="s">
        <v>390</v>
      </c>
      <c r="Q274" s="62" t="s">
        <v>390</v>
      </c>
      <c r="R274" s="62" t="s">
        <v>279</v>
      </c>
      <c r="S274" s="62" t="s">
        <v>389</v>
      </c>
      <c r="T274" s="65" t="n">
        <v>2581.3</v>
      </c>
      <c r="U274" s="62" t="s">
        <v>276</v>
      </c>
      <c r="V274" s="65" t="n">
        <v>3.9</v>
      </c>
      <c r="W274" s="65" t="n">
        <v>2577.6</v>
      </c>
      <c r="X274" s="63" t="n">
        <v>0</v>
      </c>
      <c r="Y274" s="62" t="s">
        <v>390</v>
      </c>
      <c r="Z274" s="62" t="s">
        <v>389</v>
      </c>
      <c r="AA274" s="62" t="s">
        <v>395</v>
      </c>
      <c r="AB274" s="62" t="s">
        <v>275</v>
      </c>
      <c r="AC274" s="65" t="n">
        <v>26.1</v>
      </c>
      <c r="AD274" s="63" t="n">
        <v>2</v>
      </c>
      <c r="AE274" s="63" t="n">
        <v>18</v>
      </c>
      <c r="AF274" s="63" t="n">
        <v>2</v>
      </c>
      <c r="AG274" s="62" t="s">
        <v>390</v>
      </c>
      <c r="AH274" s="62"/>
      <c r="AI274" s="63" t="n">
        <v>0</v>
      </c>
      <c r="AJ274" s="62" t="s">
        <v>148</v>
      </c>
      <c r="AK274" s="62" t="s">
        <v>391</v>
      </c>
      <c r="AL274" s="62" t="s">
        <v>392</v>
      </c>
      <c r="AM274" s="62" t="s">
        <v>396</v>
      </c>
      <c r="AN274" s="65" t="n">
        <v>67.4</v>
      </c>
      <c r="AO274" s="62" t="s">
        <v>389</v>
      </c>
      <c r="AP274" s="62" t="s">
        <v>390</v>
      </c>
      <c r="AQ274" s="62" t="s">
        <v>390</v>
      </c>
      <c r="AR274" s="66"/>
      <c r="AS274" s="62"/>
      <c r="AT274" s="65"/>
      <c r="AU274" s="62" t="s">
        <v>394</v>
      </c>
    </row>
    <row r="275" customFormat="false" ht="15" hidden="false" customHeight="false" outlineLevel="0" collapsed="false">
      <c r="A275" s="62" t="s">
        <v>388</v>
      </c>
      <c r="B275" s="63" t="n">
        <v>1492</v>
      </c>
      <c r="C275" s="64" t="n">
        <v>46307.6033088542</v>
      </c>
      <c r="D275" s="62" t="s">
        <v>73</v>
      </c>
      <c r="E275" s="63" t="n">
        <v>14</v>
      </c>
      <c r="F275" s="62" t="s">
        <v>389</v>
      </c>
      <c r="G275" s="62" t="s">
        <v>389</v>
      </c>
      <c r="H275" s="62" t="s">
        <v>390</v>
      </c>
      <c r="I275" s="62" t="s">
        <v>389</v>
      </c>
      <c r="J275" s="65" t="n">
        <v>0.3</v>
      </c>
      <c r="K275" s="62" t="s">
        <v>279</v>
      </c>
      <c r="L275" s="62" t="s">
        <v>389</v>
      </c>
      <c r="M275" s="62" t="s">
        <v>389</v>
      </c>
      <c r="N275" s="62" t="s">
        <v>305</v>
      </c>
      <c r="O275" s="62" t="s">
        <v>389</v>
      </c>
      <c r="P275" s="62" t="s">
        <v>390</v>
      </c>
      <c r="Q275" s="62" t="s">
        <v>390</v>
      </c>
      <c r="R275" s="62" t="s">
        <v>279</v>
      </c>
      <c r="S275" s="62" t="s">
        <v>389</v>
      </c>
      <c r="T275" s="65" t="n">
        <v>3962.6</v>
      </c>
      <c r="U275" s="62" t="s">
        <v>276</v>
      </c>
      <c r="V275" s="65" t="n">
        <v>0.4</v>
      </c>
      <c r="W275" s="65" t="n">
        <v>3957.5</v>
      </c>
      <c r="X275" s="63" t="n">
        <v>0</v>
      </c>
      <c r="Y275" s="62" t="s">
        <v>390</v>
      </c>
      <c r="Z275" s="62" t="s">
        <v>389</v>
      </c>
      <c r="AA275" s="62" t="s">
        <v>395</v>
      </c>
      <c r="AB275" s="62" t="s">
        <v>275</v>
      </c>
      <c r="AC275" s="65" t="n">
        <v>26.1</v>
      </c>
      <c r="AD275" s="63" t="n">
        <v>5</v>
      </c>
      <c r="AE275" s="63" t="n">
        <v>18</v>
      </c>
      <c r="AF275" s="63" t="n">
        <v>1</v>
      </c>
      <c r="AG275" s="62" t="s">
        <v>390</v>
      </c>
      <c r="AH275" s="62"/>
      <c r="AI275" s="63" t="n">
        <v>0</v>
      </c>
      <c r="AJ275" s="62" t="s">
        <v>149</v>
      </c>
      <c r="AK275" s="62" t="s">
        <v>402</v>
      </c>
      <c r="AL275" s="62"/>
      <c r="AM275" s="62"/>
      <c r="AN275" s="65"/>
      <c r="AO275" s="62" t="s">
        <v>390</v>
      </c>
      <c r="AP275" s="62"/>
      <c r="AQ275" s="62" t="s">
        <v>390</v>
      </c>
      <c r="AR275" s="66"/>
      <c r="AS275" s="62"/>
      <c r="AT275" s="65"/>
      <c r="AU275" s="62" t="s">
        <v>397</v>
      </c>
    </row>
    <row r="276" customFormat="false" ht="15" hidden="false" customHeight="false" outlineLevel="0" collapsed="false">
      <c r="A276" s="62" t="s">
        <v>388</v>
      </c>
      <c r="B276" s="63" t="n">
        <v>1493</v>
      </c>
      <c r="C276" s="64" t="n">
        <v>46307.6121164236</v>
      </c>
      <c r="D276" s="62" t="s">
        <v>73</v>
      </c>
      <c r="E276" s="63" t="n">
        <v>14</v>
      </c>
      <c r="F276" s="62" t="s">
        <v>389</v>
      </c>
      <c r="G276" s="62" t="s">
        <v>389</v>
      </c>
      <c r="H276" s="62" t="s">
        <v>389</v>
      </c>
      <c r="I276" s="62" t="s">
        <v>389</v>
      </c>
      <c r="J276" s="65" t="n">
        <v>0.1</v>
      </c>
      <c r="K276" s="62" t="s">
        <v>278</v>
      </c>
      <c r="L276" s="62" t="s">
        <v>389</v>
      </c>
      <c r="M276" s="62" t="s">
        <v>389</v>
      </c>
      <c r="N276" s="62" t="s">
        <v>307</v>
      </c>
      <c r="O276" s="62" t="s">
        <v>389</v>
      </c>
      <c r="P276" s="62" t="s">
        <v>389</v>
      </c>
      <c r="Q276" s="62" t="s">
        <v>390</v>
      </c>
      <c r="R276" s="62" t="s">
        <v>278</v>
      </c>
      <c r="S276" s="62" t="s">
        <v>389</v>
      </c>
      <c r="T276" s="65" t="n">
        <v>4.1</v>
      </c>
      <c r="U276" s="62" t="s">
        <v>278</v>
      </c>
      <c r="V276" s="65" t="n">
        <v>0.4</v>
      </c>
      <c r="W276" s="65" t="n">
        <v>2.1</v>
      </c>
      <c r="X276" s="63" t="n">
        <v>0</v>
      </c>
      <c r="Y276" s="62" t="s">
        <v>389</v>
      </c>
      <c r="Z276" s="62" t="s">
        <v>389</v>
      </c>
      <c r="AA276" s="62" t="s">
        <v>395</v>
      </c>
      <c r="AB276" s="62" t="s">
        <v>275</v>
      </c>
      <c r="AC276" s="65" t="n">
        <v>46.3</v>
      </c>
      <c r="AD276" s="63" t="n">
        <v>4</v>
      </c>
      <c r="AE276" s="63" t="n">
        <v>20</v>
      </c>
      <c r="AF276" s="63" t="n">
        <v>7</v>
      </c>
      <c r="AG276" s="62" t="s">
        <v>390</v>
      </c>
      <c r="AH276" s="62"/>
      <c r="AI276" s="63" t="n">
        <v>0</v>
      </c>
      <c r="AJ276" s="62" t="s">
        <v>149</v>
      </c>
      <c r="AK276" s="62" t="s">
        <v>402</v>
      </c>
      <c r="AL276" s="62"/>
      <c r="AM276" s="62"/>
      <c r="AN276" s="65"/>
      <c r="AO276" s="62" t="s">
        <v>390</v>
      </c>
      <c r="AP276" s="62"/>
      <c r="AQ276" s="62" t="s">
        <v>390</v>
      </c>
      <c r="AR276" s="66"/>
      <c r="AS276" s="62"/>
      <c r="AT276" s="65"/>
      <c r="AU276" s="62" t="s">
        <v>397</v>
      </c>
    </row>
    <row r="277" customFormat="false" ht="15" hidden="false" customHeight="false" outlineLevel="0" collapsed="false">
      <c r="A277" s="62" t="s">
        <v>388</v>
      </c>
      <c r="B277" s="63" t="n">
        <v>1498</v>
      </c>
      <c r="C277" s="64" t="n">
        <v>46307.6244254514</v>
      </c>
      <c r="D277" s="62" t="s">
        <v>73</v>
      </c>
      <c r="E277" s="63" t="n">
        <v>14</v>
      </c>
      <c r="F277" s="62" t="s">
        <v>389</v>
      </c>
      <c r="G277" s="62" t="s">
        <v>389</v>
      </c>
      <c r="H277" s="62" t="s">
        <v>389</v>
      </c>
      <c r="I277" s="62" t="s">
        <v>389</v>
      </c>
      <c r="J277" s="65" t="n">
        <v>0.5</v>
      </c>
      <c r="K277" s="62" t="s">
        <v>279</v>
      </c>
      <c r="L277" s="62" t="s">
        <v>389</v>
      </c>
      <c r="M277" s="62" t="s">
        <v>389</v>
      </c>
      <c r="N277" s="62" t="s">
        <v>305</v>
      </c>
      <c r="O277" s="62" t="s">
        <v>390</v>
      </c>
      <c r="P277" s="62" t="s">
        <v>389</v>
      </c>
      <c r="Q277" s="62" t="s">
        <v>390</v>
      </c>
      <c r="R277" s="62" t="s">
        <v>278</v>
      </c>
      <c r="S277" s="62" t="s">
        <v>389</v>
      </c>
      <c r="T277" s="65" t="n">
        <v>4.2</v>
      </c>
      <c r="U277" s="62" t="s">
        <v>278</v>
      </c>
      <c r="V277" s="65" t="n">
        <v>1.1</v>
      </c>
      <c r="W277" s="65" t="n">
        <v>1.6</v>
      </c>
      <c r="X277" s="63" t="n">
        <v>0</v>
      </c>
      <c r="Y277" s="62" t="s">
        <v>389</v>
      </c>
      <c r="Z277" s="62" t="s">
        <v>390</v>
      </c>
      <c r="AA277" s="62"/>
      <c r="AB277" s="62"/>
      <c r="AC277" s="65"/>
      <c r="AD277" s="63" t="n">
        <v>6</v>
      </c>
      <c r="AE277" s="63" t="n">
        <v>9</v>
      </c>
      <c r="AF277" s="63" t="n">
        <v>10</v>
      </c>
      <c r="AG277" s="62" t="s">
        <v>390</v>
      </c>
      <c r="AH277" s="62"/>
      <c r="AI277" s="63" t="n">
        <v>0</v>
      </c>
      <c r="AJ277" s="62" t="s">
        <v>151</v>
      </c>
      <c r="AK277" s="62" t="s">
        <v>402</v>
      </c>
      <c r="AL277" s="62"/>
      <c r="AM277" s="62"/>
      <c r="AN277" s="65"/>
      <c r="AO277" s="62" t="s">
        <v>390</v>
      </c>
      <c r="AP277" s="62"/>
      <c r="AQ277" s="62" t="s">
        <v>390</v>
      </c>
      <c r="AR277" s="66"/>
      <c r="AS277" s="62"/>
      <c r="AT277" s="65"/>
      <c r="AU277" s="62" t="s">
        <v>417</v>
      </c>
    </row>
    <row r="278" customFormat="false" ht="15" hidden="false" customHeight="false" outlineLevel="0" collapsed="false">
      <c r="A278" s="62" t="s">
        <v>388</v>
      </c>
      <c r="B278" s="63" t="n">
        <v>1501</v>
      </c>
      <c r="C278" s="64" t="n">
        <v>46307.6298785648</v>
      </c>
      <c r="D278" s="62" t="s">
        <v>73</v>
      </c>
      <c r="E278" s="63" t="n">
        <v>15</v>
      </c>
      <c r="F278" s="62" t="s">
        <v>389</v>
      </c>
      <c r="G278" s="62" t="s">
        <v>389</v>
      </c>
      <c r="H278" s="62" t="s">
        <v>389</v>
      </c>
      <c r="I278" s="62" t="s">
        <v>389</v>
      </c>
      <c r="J278" s="65" t="n">
        <v>2.5</v>
      </c>
      <c r="K278" s="62" t="s">
        <v>277</v>
      </c>
      <c r="L278" s="62" t="s">
        <v>389</v>
      </c>
      <c r="M278" s="62" t="s">
        <v>389</v>
      </c>
      <c r="N278" s="62" t="s">
        <v>306</v>
      </c>
      <c r="O278" s="62" t="s">
        <v>389</v>
      </c>
      <c r="P278" s="62" t="s">
        <v>389</v>
      </c>
      <c r="Q278" s="62" t="s">
        <v>390</v>
      </c>
      <c r="R278" s="62" t="s">
        <v>277</v>
      </c>
      <c r="S278" s="62" t="s">
        <v>389</v>
      </c>
      <c r="T278" s="65" t="n">
        <v>6.5</v>
      </c>
      <c r="U278" s="62" t="s">
        <v>277</v>
      </c>
      <c r="V278" s="65" t="n">
        <v>2.9</v>
      </c>
      <c r="W278" s="65" t="n">
        <v>3.5</v>
      </c>
      <c r="X278" s="63" t="n">
        <v>0</v>
      </c>
      <c r="Y278" s="62" t="s">
        <v>389</v>
      </c>
      <c r="Z278" s="62" t="s">
        <v>389</v>
      </c>
      <c r="AA278" s="62" t="s">
        <v>395</v>
      </c>
      <c r="AB278" s="62" t="s">
        <v>276</v>
      </c>
      <c r="AC278" s="65" t="n">
        <v>41.1</v>
      </c>
      <c r="AD278" s="63" t="n">
        <v>7</v>
      </c>
      <c r="AE278" s="63" t="n">
        <v>15</v>
      </c>
      <c r="AF278" s="63" t="n">
        <v>9</v>
      </c>
      <c r="AG278" s="62" t="s">
        <v>390</v>
      </c>
      <c r="AH278" s="62"/>
      <c r="AI278" s="63" t="n">
        <v>0</v>
      </c>
      <c r="AJ278" s="62" t="s">
        <v>151</v>
      </c>
      <c r="AK278" s="62" t="s">
        <v>402</v>
      </c>
      <c r="AL278" s="62"/>
      <c r="AM278" s="62"/>
      <c r="AN278" s="65"/>
      <c r="AO278" s="62" t="s">
        <v>390</v>
      </c>
      <c r="AP278" s="62"/>
      <c r="AQ278" s="62" t="s">
        <v>390</v>
      </c>
      <c r="AR278" s="66"/>
      <c r="AS278" s="62"/>
      <c r="AT278" s="65"/>
      <c r="AU278" s="62" t="s">
        <v>397</v>
      </c>
    </row>
    <row r="279" customFormat="false" ht="15" hidden="false" customHeight="false" outlineLevel="0" collapsed="false">
      <c r="A279" s="62" t="s">
        <v>388</v>
      </c>
      <c r="B279" s="63" t="n">
        <v>1502</v>
      </c>
      <c r="C279" s="64" t="n">
        <v>46307.6366032523</v>
      </c>
      <c r="D279" s="62" t="s">
        <v>73</v>
      </c>
      <c r="E279" s="63" t="n">
        <v>15</v>
      </c>
      <c r="F279" s="62" t="s">
        <v>389</v>
      </c>
      <c r="G279" s="62" t="s">
        <v>390</v>
      </c>
      <c r="H279" s="62" t="s">
        <v>390</v>
      </c>
      <c r="I279" s="62" t="s">
        <v>389</v>
      </c>
      <c r="J279" s="65"/>
      <c r="K279" s="62" t="s">
        <v>275</v>
      </c>
      <c r="L279" s="62" t="s">
        <v>389</v>
      </c>
      <c r="M279" s="62" t="s">
        <v>390</v>
      </c>
      <c r="N279" s="62"/>
      <c r="O279" s="62" t="s">
        <v>389</v>
      </c>
      <c r="P279" s="62" t="s">
        <v>390</v>
      </c>
      <c r="Q279" s="62" t="s">
        <v>390</v>
      </c>
      <c r="R279" s="62" t="s">
        <v>277</v>
      </c>
      <c r="S279" s="62" t="s">
        <v>389</v>
      </c>
      <c r="T279" s="65" t="n">
        <v>1302.2</v>
      </c>
      <c r="U279" s="62" t="s">
        <v>276</v>
      </c>
      <c r="V279" s="65" t="n">
        <v>1302.2</v>
      </c>
      <c r="W279" s="65" t="n">
        <v>1</v>
      </c>
      <c r="X279" s="63" t="n">
        <v>0</v>
      </c>
      <c r="Y279" s="62" t="s">
        <v>389</v>
      </c>
      <c r="Z279" s="62" t="s">
        <v>389</v>
      </c>
      <c r="AA279" s="62" t="s">
        <v>395</v>
      </c>
      <c r="AB279" s="62" t="s">
        <v>276</v>
      </c>
      <c r="AC279" s="65" t="n">
        <v>21.7</v>
      </c>
      <c r="AD279" s="63" t="n">
        <v>5</v>
      </c>
      <c r="AE279" s="63" t="n">
        <v>14</v>
      </c>
      <c r="AF279" s="63" t="n">
        <v>13</v>
      </c>
      <c r="AG279" s="62" t="s">
        <v>389</v>
      </c>
      <c r="AH279" s="62" t="s">
        <v>330</v>
      </c>
      <c r="AI279" s="63" t="n">
        <v>0</v>
      </c>
      <c r="AJ279" s="62" t="s">
        <v>150</v>
      </c>
      <c r="AK279" s="62" t="s">
        <v>402</v>
      </c>
      <c r="AL279" s="62"/>
      <c r="AM279" s="62"/>
      <c r="AN279" s="65"/>
      <c r="AO279" s="62" t="s">
        <v>390</v>
      </c>
      <c r="AP279" s="62"/>
      <c r="AQ279" s="62" t="s">
        <v>390</v>
      </c>
      <c r="AR279" s="66"/>
      <c r="AS279" s="62"/>
      <c r="AT279" s="65"/>
      <c r="AU279" s="62" t="s">
        <v>397</v>
      </c>
    </row>
    <row r="280" customFormat="false" ht="15" hidden="false" customHeight="false" outlineLevel="0" collapsed="false">
      <c r="A280" s="62" t="s">
        <v>388</v>
      </c>
      <c r="B280" s="63" t="n">
        <v>1505</v>
      </c>
      <c r="C280" s="64" t="n">
        <v>46307.640126007</v>
      </c>
      <c r="D280" s="62" t="s">
        <v>73</v>
      </c>
      <c r="E280" s="63" t="n">
        <v>15</v>
      </c>
      <c r="F280" s="62" t="s">
        <v>389</v>
      </c>
      <c r="G280" s="62" t="s">
        <v>390</v>
      </c>
      <c r="H280" s="62" t="s">
        <v>390</v>
      </c>
      <c r="I280" s="62" t="s">
        <v>389</v>
      </c>
      <c r="J280" s="65"/>
      <c r="K280" s="62" t="s">
        <v>275</v>
      </c>
      <c r="L280" s="62" t="s">
        <v>389</v>
      </c>
      <c r="M280" s="62" t="s">
        <v>390</v>
      </c>
      <c r="N280" s="62"/>
      <c r="O280" s="62" t="s">
        <v>389</v>
      </c>
      <c r="P280" s="62" t="s">
        <v>390</v>
      </c>
      <c r="Q280" s="62" t="s">
        <v>390</v>
      </c>
      <c r="R280" s="62" t="s">
        <v>277</v>
      </c>
      <c r="S280" s="62" t="s">
        <v>389</v>
      </c>
      <c r="T280" s="65" t="n">
        <v>1297.5</v>
      </c>
      <c r="U280" s="62" t="s">
        <v>276</v>
      </c>
      <c r="V280" s="65" t="n">
        <v>1297.5</v>
      </c>
      <c r="W280" s="65"/>
      <c r="X280" s="63" t="n">
        <v>0</v>
      </c>
      <c r="Y280" s="62" t="s">
        <v>390</v>
      </c>
      <c r="Z280" s="62" t="s">
        <v>389</v>
      </c>
      <c r="AA280" s="62" t="s">
        <v>395</v>
      </c>
      <c r="AB280" s="62" t="s">
        <v>276</v>
      </c>
      <c r="AC280" s="65" t="n">
        <v>21.6</v>
      </c>
      <c r="AD280" s="63" t="n">
        <v>1</v>
      </c>
      <c r="AE280" s="63" t="n">
        <v>14</v>
      </c>
      <c r="AF280" s="63" t="n">
        <v>4</v>
      </c>
      <c r="AG280" s="62" t="s">
        <v>390</v>
      </c>
      <c r="AH280" s="62"/>
      <c r="AI280" s="63" t="n">
        <v>0</v>
      </c>
      <c r="AJ280" s="62" t="s">
        <v>147</v>
      </c>
      <c r="AK280" s="62" t="s">
        <v>391</v>
      </c>
      <c r="AL280" s="62" t="s">
        <v>392</v>
      </c>
      <c r="AM280" s="62" t="s">
        <v>396</v>
      </c>
      <c r="AN280" s="65" t="n">
        <v>47.4</v>
      </c>
      <c r="AO280" s="62" t="s">
        <v>389</v>
      </c>
      <c r="AP280" s="62" t="s">
        <v>390</v>
      </c>
      <c r="AQ280" s="62" t="s">
        <v>390</v>
      </c>
      <c r="AR280" s="66"/>
      <c r="AS280" s="62"/>
      <c r="AT280" s="65"/>
      <c r="AU280" s="62" t="s">
        <v>397</v>
      </c>
    </row>
    <row r="281" customFormat="false" ht="15" hidden="false" customHeight="false" outlineLevel="0" collapsed="false">
      <c r="A281" s="62" t="s">
        <v>388</v>
      </c>
      <c r="B281" s="63" t="n">
        <v>1508</v>
      </c>
      <c r="C281" s="64" t="n">
        <v>46307.6513468056</v>
      </c>
      <c r="D281" s="62" t="s">
        <v>73</v>
      </c>
      <c r="E281" s="63" t="n">
        <v>15</v>
      </c>
      <c r="F281" s="62" t="s">
        <v>389</v>
      </c>
      <c r="G281" s="62" t="s">
        <v>389</v>
      </c>
      <c r="H281" s="62" t="s">
        <v>389</v>
      </c>
      <c r="I281" s="62" t="s">
        <v>389</v>
      </c>
      <c r="J281" s="65" t="n">
        <v>0.5</v>
      </c>
      <c r="K281" s="62" t="s">
        <v>277</v>
      </c>
      <c r="L281" s="62" t="s">
        <v>389</v>
      </c>
      <c r="M281" s="62" t="s">
        <v>390</v>
      </c>
      <c r="N281" s="62"/>
      <c r="O281" s="62" t="s">
        <v>389</v>
      </c>
      <c r="P281" s="62" t="s">
        <v>390</v>
      </c>
      <c r="Q281" s="62" t="s">
        <v>390</v>
      </c>
      <c r="R281" s="62" t="s">
        <v>277</v>
      </c>
      <c r="S281" s="62" t="s">
        <v>389</v>
      </c>
      <c r="T281" s="65" t="n">
        <v>1280.5</v>
      </c>
      <c r="U281" s="62" t="s">
        <v>276</v>
      </c>
      <c r="V281" s="65" t="n">
        <v>1</v>
      </c>
      <c r="W281" s="65" t="n">
        <v>1280</v>
      </c>
      <c r="X281" s="63" t="n">
        <v>0</v>
      </c>
      <c r="Y281" s="62" t="s">
        <v>390</v>
      </c>
      <c r="Z281" s="62" t="s">
        <v>389</v>
      </c>
      <c r="AA281" s="62" t="s">
        <v>395</v>
      </c>
      <c r="AB281" s="62" t="s">
        <v>276</v>
      </c>
      <c r="AC281" s="65" t="n">
        <v>21.3</v>
      </c>
      <c r="AD281" s="63" t="n">
        <v>2</v>
      </c>
      <c r="AE281" s="63" t="n">
        <v>13</v>
      </c>
      <c r="AF281" s="63" t="n">
        <v>5</v>
      </c>
      <c r="AG281" s="62" t="s">
        <v>389</v>
      </c>
      <c r="AH281" s="62" t="s">
        <v>330</v>
      </c>
      <c r="AI281" s="63" t="n">
        <v>0</v>
      </c>
      <c r="AJ281" s="62" t="s">
        <v>148</v>
      </c>
      <c r="AK281" s="62" t="s">
        <v>391</v>
      </c>
      <c r="AL281" s="62" t="s">
        <v>392</v>
      </c>
      <c r="AM281" s="62" t="s">
        <v>396</v>
      </c>
      <c r="AN281" s="65" t="n">
        <v>67.6</v>
      </c>
      <c r="AO281" s="62" t="s">
        <v>389</v>
      </c>
      <c r="AP281" s="62" t="s">
        <v>390</v>
      </c>
      <c r="AQ281" s="62" t="s">
        <v>390</v>
      </c>
      <c r="AR281" s="66"/>
      <c r="AS281" s="62"/>
      <c r="AT281" s="65"/>
      <c r="AU281" s="62" t="s">
        <v>417</v>
      </c>
    </row>
    <row r="282" customFormat="false" ht="15" hidden="false" customHeight="false" outlineLevel="0" collapsed="false">
      <c r="A282" s="62" t="s">
        <v>388</v>
      </c>
      <c r="B282" s="63" t="n">
        <v>1509</v>
      </c>
      <c r="C282" s="64" t="n">
        <v>46307.6513474769</v>
      </c>
      <c r="D282" s="62" t="s">
        <v>73</v>
      </c>
      <c r="E282" s="63" t="n">
        <v>15</v>
      </c>
      <c r="F282" s="62" t="s">
        <v>389</v>
      </c>
      <c r="G282" s="62" t="s">
        <v>390</v>
      </c>
      <c r="H282" s="62" t="s">
        <v>390</v>
      </c>
      <c r="I282" s="62" t="s">
        <v>389</v>
      </c>
      <c r="J282" s="65"/>
      <c r="K282" s="62" t="s">
        <v>275</v>
      </c>
      <c r="L282" s="62" t="s">
        <v>389</v>
      </c>
      <c r="M282" s="62" t="s">
        <v>389</v>
      </c>
      <c r="N282" s="62" t="s">
        <v>303</v>
      </c>
      <c r="O282" s="62" t="s">
        <v>389</v>
      </c>
      <c r="P282" s="62" t="s">
        <v>390</v>
      </c>
      <c r="Q282" s="62" t="s">
        <v>390</v>
      </c>
      <c r="R282" s="62" t="s">
        <v>279</v>
      </c>
      <c r="S282" s="62" t="s">
        <v>390</v>
      </c>
      <c r="T282" s="65" t="n">
        <v>35.2</v>
      </c>
      <c r="U282" s="62" t="s">
        <v>279</v>
      </c>
      <c r="V282" s="65" t="n">
        <v>35.2</v>
      </c>
      <c r="W282" s="65" t="n">
        <v>1.7</v>
      </c>
      <c r="X282" s="63" t="n">
        <v>0</v>
      </c>
      <c r="Y282" s="62" t="s">
        <v>389</v>
      </c>
      <c r="Z282" s="62" t="s">
        <v>389</v>
      </c>
      <c r="AA282" s="62" t="s">
        <v>395</v>
      </c>
      <c r="AB282" s="62" t="s">
        <v>275</v>
      </c>
      <c r="AC282" s="65" t="n">
        <v>26.6</v>
      </c>
      <c r="AD282" s="63" t="n">
        <v>6</v>
      </c>
      <c r="AE282" s="63" t="n">
        <v>22</v>
      </c>
      <c r="AF282" s="63" t="n">
        <v>11</v>
      </c>
      <c r="AG282" s="62" t="s">
        <v>390</v>
      </c>
      <c r="AH282" s="62"/>
      <c r="AI282" s="63" t="n">
        <v>0</v>
      </c>
      <c r="AJ282" s="62" t="s">
        <v>150</v>
      </c>
      <c r="AK282" s="62" t="s">
        <v>402</v>
      </c>
      <c r="AL282" s="62"/>
      <c r="AM282" s="62"/>
      <c r="AN282" s="65"/>
      <c r="AO282" s="62" t="s">
        <v>390</v>
      </c>
      <c r="AP282" s="62"/>
      <c r="AQ282" s="62" t="s">
        <v>390</v>
      </c>
      <c r="AR282" s="66"/>
      <c r="AS282" s="62"/>
      <c r="AT282" s="65"/>
      <c r="AU282" s="62" t="s">
        <v>417</v>
      </c>
    </row>
    <row r="283" customFormat="false" ht="15" hidden="false" customHeight="false" outlineLevel="0" collapsed="false">
      <c r="A283" s="62" t="s">
        <v>388</v>
      </c>
      <c r="B283" s="63" t="n">
        <v>1513</v>
      </c>
      <c r="C283" s="64" t="n">
        <v>46307.6645442593</v>
      </c>
      <c r="D283" s="62" t="s">
        <v>73</v>
      </c>
      <c r="E283" s="63" t="n">
        <v>15</v>
      </c>
      <c r="F283" s="62" t="s">
        <v>389</v>
      </c>
      <c r="G283" s="62" t="s">
        <v>390</v>
      </c>
      <c r="H283" s="62" t="s">
        <v>390</v>
      </c>
      <c r="I283" s="62" t="s">
        <v>389</v>
      </c>
      <c r="J283" s="65"/>
      <c r="K283" s="62" t="s">
        <v>275</v>
      </c>
      <c r="L283" s="62" t="s">
        <v>389</v>
      </c>
      <c r="M283" s="62" t="s">
        <v>390</v>
      </c>
      <c r="N283" s="62"/>
      <c r="O283" s="62" t="s">
        <v>389</v>
      </c>
      <c r="P283" s="62" t="s">
        <v>390</v>
      </c>
      <c r="Q283" s="62" t="s">
        <v>390</v>
      </c>
      <c r="R283" s="62" t="s">
        <v>277</v>
      </c>
      <c r="S283" s="62" t="s">
        <v>390</v>
      </c>
      <c r="T283" s="65" t="n">
        <v>2833.2</v>
      </c>
      <c r="U283" s="62" t="s">
        <v>277</v>
      </c>
      <c r="V283" s="65" t="n">
        <v>2833.2</v>
      </c>
      <c r="W283" s="65"/>
      <c r="X283" s="63" t="n">
        <v>0</v>
      </c>
      <c r="Y283" s="62" t="s">
        <v>390</v>
      </c>
      <c r="Z283" s="62" t="s">
        <v>389</v>
      </c>
      <c r="AA283" s="62" t="s">
        <v>395</v>
      </c>
      <c r="AB283" s="62" t="s">
        <v>275</v>
      </c>
      <c r="AC283" s="65" t="n">
        <v>26.6</v>
      </c>
      <c r="AD283" s="63" t="n">
        <v>1</v>
      </c>
      <c r="AE283" s="63" t="n">
        <v>22</v>
      </c>
      <c r="AF283" s="63" t="n">
        <v>1</v>
      </c>
      <c r="AG283" s="62" t="s">
        <v>389</v>
      </c>
      <c r="AH283" s="62" t="s">
        <v>330</v>
      </c>
      <c r="AI283" s="63" t="n">
        <v>0</v>
      </c>
      <c r="AJ283" s="62" t="s">
        <v>147</v>
      </c>
      <c r="AK283" s="62" t="s">
        <v>402</v>
      </c>
      <c r="AL283" s="62"/>
      <c r="AM283" s="62"/>
      <c r="AN283" s="65"/>
      <c r="AO283" s="62" t="s">
        <v>390</v>
      </c>
      <c r="AP283" s="62"/>
      <c r="AQ283" s="62" t="s">
        <v>390</v>
      </c>
      <c r="AR283" s="66"/>
      <c r="AS283" s="62"/>
      <c r="AT283" s="65"/>
      <c r="AU283" s="62" t="s">
        <v>397</v>
      </c>
    </row>
    <row r="284" customFormat="false" ht="15" hidden="false" customHeight="false" outlineLevel="0" collapsed="false">
      <c r="A284" s="62" t="s">
        <v>388</v>
      </c>
      <c r="B284" s="63" t="n">
        <v>1518</v>
      </c>
      <c r="C284" s="64" t="n">
        <v>46307.6785670255</v>
      </c>
      <c r="D284" s="62" t="s">
        <v>73</v>
      </c>
      <c r="E284" s="63" t="n">
        <v>16</v>
      </c>
      <c r="F284" s="62" t="s">
        <v>389</v>
      </c>
      <c r="G284" s="62" t="s">
        <v>389</v>
      </c>
      <c r="H284" s="62" t="s">
        <v>389</v>
      </c>
      <c r="I284" s="62" t="s">
        <v>389</v>
      </c>
      <c r="J284" s="65" t="n">
        <v>0.3</v>
      </c>
      <c r="K284" s="62" t="s">
        <v>277</v>
      </c>
      <c r="L284" s="62" t="s">
        <v>389</v>
      </c>
      <c r="M284" s="62" t="s">
        <v>390</v>
      </c>
      <c r="N284" s="62"/>
      <c r="O284" s="62" t="s">
        <v>389</v>
      </c>
      <c r="P284" s="62" t="s">
        <v>390</v>
      </c>
      <c r="Q284" s="62" t="s">
        <v>390</v>
      </c>
      <c r="R284" s="62" t="s">
        <v>277</v>
      </c>
      <c r="S284" s="62" t="s">
        <v>390</v>
      </c>
      <c r="T284" s="65" t="n">
        <v>2788.3</v>
      </c>
      <c r="U284" s="62" t="s">
        <v>277</v>
      </c>
      <c r="V284" s="65" t="n">
        <v>0.6</v>
      </c>
      <c r="W284" s="65" t="n">
        <v>2788</v>
      </c>
      <c r="X284" s="63" t="n">
        <v>0</v>
      </c>
      <c r="Y284" s="62" t="s">
        <v>390</v>
      </c>
      <c r="Z284" s="62" t="s">
        <v>389</v>
      </c>
      <c r="AA284" s="62" t="s">
        <v>395</v>
      </c>
      <c r="AB284" s="62" t="s">
        <v>275</v>
      </c>
      <c r="AC284" s="65" t="n">
        <v>26.1</v>
      </c>
      <c r="AD284" s="63" t="n">
        <v>2</v>
      </c>
      <c r="AE284" s="63" t="n">
        <v>18</v>
      </c>
      <c r="AF284" s="63" t="n">
        <v>2</v>
      </c>
      <c r="AG284" s="62" t="s">
        <v>390</v>
      </c>
      <c r="AH284" s="62"/>
      <c r="AI284" s="63" t="n">
        <v>0</v>
      </c>
      <c r="AJ284" s="62" t="s">
        <v>148</v>
      </c>
      <c r="AK284" s="62" t="s">
        <v>391</v>
      </c>
      <c r="AL284" s="62" t="s">
        <v>392</v>
      </c>
      <c r="AM284" s="62" t="s">
        <v>396</v>
      </c>
      <c r="AN284" s="65" t="n">
        <v>67</v>
      </c>
      <c r="AO284" s="62" t="s">
        <v>389</v>
      </c>
      <c r="AP284" s="62" t="s">
        <v>390</v>
      </c>
      <c r="AQ284" s="62" t="s">
        <v>390</v>
      </c>
      <c r="AR284" s="66"/>
      <c r="AS284" s="62"/>
      <c r="AT284" s="65"/>
      <c r="AU284" s="62" t="s">
        <v>417</v>
      </c>
    </row>
    <row r="285" customFormat="false" ht="15" hidden="false" customHeight="false" outlineLevel="0" collapsed="false">
      <c r="A285" s="62" t="s">
        <v>388</v>
      </c>
      <c r="B285" s="63" t="n">
        <v>1519</v>
      </c>
      <c r="C285" s="64" t="n">
        <v>46307.6794984028</v>
      </c>
      <c r="D285" s="62" t="s">
        <v>73</v>
      </c>
      <c r="E285" s="63" t="n">
        <v>16</v>
      </c>
      <c r="F285" s="62" t="s">
        <v>389</v>
      </c>
      <c r="G285" s="62" t="s">
        <v>389</v>
      </c>
      <c r="H285" s="62" t="s">
        <v>389</v>
      </c>
      <c r="I285" s="62" t="s">
        <v>389</v>
      </c>
      <c r="J285" s="65" t="n">
        <v>10.6</v>
      </c>
      <c r="K285" s="62" t="s">
        <v>277</v>
      </c>
      <c r="L285" s="62" t="s">
        <v>389</v>
      </c>
      <c r="M285" s="62" t="s">
        <v>390</v>
      </c>
      <c r="N285" s="62"/>
      <c r="O285" s="62" t="s">
        <v>389</v>
      </c>
      <c r="P285" s="62" t="s">
        <v>390</v>
      </c>
      <c r="Q285" s="62" t="s">
        <v>390</v>
      </c>
      <c r="R285" s="62" t="s">
        <v>277</v>
      </c>
      <c r="S285" s="62" t="s">
        <v>390</v>
      </c>
      <c r="T285" s="65" t="n">
        <v>2807.1</v>
      </c>
      <c r="U285" s="62" t="s">
        <v>277</v>
      </c>
      <c r="V285" s="65" t="n">
        <v>10.9</v>
      </c>
      <c r="W285" s="65" t="n">
        <v>2806.8</v>
      </c>
      <c r="X285" s="63" t="n">
        <v>0</v>
      </c>
      <c r="Y285" s="62" t="s">
        <v>390</v>
      </c>
      <c r="Z285" s="62" t="s">
        <v>389</v>
      </c>
      <c r="AA285" s="62" t="s">
        <v>395</v>
      </c>
      <c r="AB285" s="62" t="s">
        <v>275</v>
      </c>
      <c r="AC285" s="65" t="n">
        <v>26.2</v>
      </c>
      <c r="AD285" s="63" t="n">
        <v>2</v>
      </c>
      <c r="AE285" s="63" t="n">
        <v>18</v>
      </c>
      <c r="AF285" s="63" t="n">
        <v>2</v>
      </c>
      <c r="AG285" s="62" t="s">
        <v>390</v>
      </c>
      <c r="AH285" s="62"/>
      <c r="AI285" s="63" t="n">
        <v>0</v>
      </c>
      <c r="AJ285" s="62" t="s">
        <v>148</v>
      </c>
      <c r="AK285" s="62" t="s">
        <v>391</v>
      </c>
      <c r="AL285" s="62" t="s">
        <v>392</v>
      </c>
      <c r="AM285" s="62" t="s">
        <v>396</v>
      </c>
      <c r="AN285" s="65" t="n">
        <v>67.4</v>
      </c>
      <c r="AO285" s="62" t="s">
        <v>389</v>
      </c>
      <c r="AP285" s="62" t="s">
        <v>390</v>
      </c>
      <c r="AQ285" s="62" t="s">
        <v>390</v>
      </c>
      <c r="AR285" s="66"/>
      <c r="AS285" s="62"/>
      <c r="AT285" s="65"/>
      <c r="AU285" s="62" t="s">
        <v>399</v>
      </c>
    </row>
    <row r="286" customFormat="false" ht="15" hidden="false" customHeight="false" outlineLevel="0" collapsed="false">
      <c r="A286" s="62" t="s">
        <v>388</v>
      </c>
      <c r="B286" s="63" t="n">
        <v>1525</v>
      </c>
      <c r="C286" s="64" t="n">
        <v>46307.7231505787</v>
      </c>
      <c r="D286" s="62" t="s">
        <v>73</v>
      </c>
      <c r="E286" s="63" t="n">
        <v>17</v>
      </c>
      <c r="F286" s="62" t="s">
        <v>389</v>
      </c>
      <c r="G286" s="62" t="s">
        <v>389</v>
      </c>
      <c r="H286" s="62" t="s">
        <v>389</v>
      </c>
      <c r="I286" s="62" t="s">
        <v>389</v>
      </c>
      <c r="J286" s="65" t="n">
        <v>0.2</v>
      </c>
      <c r="K286" s="62" t="s">
        <v>279</v>
      </c>
      <c r="L286" s="62" t="s">
        <v>389</v>
      </c>
      <c r="M286" s="62" t="s">
        <v>390</v>
      </c>
      <c r="N286" s="62"/>
      <c r="O286" s="62" t="s">
        <v>389</v>
      </c>
      <c r="P286" s="62" t="s">
        <v>390</v>
      </c>
      <c r="Q286" s="62" t="s">
        <v>390</v>
      </c>
      <c r="R286" s="62" t="s">
        <v>279</v>
      </c>
      <c r="S286" s="62" t="s">
        <v>389</v>
      </c>
      <c r="T286" s="65" t="n">
        <v>1476.2</v>
      </c>
      <c r="U286" s="62" t="s">
        <v>279</v>
      </c>
      <c r="V286" s="65" t="n">
        <v>0.7</v>
      </c>
      <c r="W286" s="65" t="n">
        <v>1475.7</v>
      </c>
      <c r="X286" s="63" t="n">
        <v>0</v>
      </c>
      <c r="Y286" s="62" t="s">
        <v>390</v>
      </c>
      <c r="Z286" s="62" t="s">
        <v>389</v>
      </c>
      <c r="AA286" s="62" t="s">
        <v>395</v>
      </c>
      <c r="AB286" s="62" t="s">
        <v>275</v>
      </c>
      <c r="AC286" s="65" t="n">
        <v>43.7</v>
      </c>
      <c r="AD286" s="63" t="n">
        <v>2</v>
      </c>
      <c r="AE286" s="63" t="n">
        <v>18</v>
      </c>
      <c r="AF286" s="63" t="n">
        <v>2</v>
      </c>
      <c r="AG286" s="62" t="s">
        <v>390</v>
      </c>
      <c r="AH286" s="62"/>
      <c r="AI286" s="63" t="n">
        <v>0</v>
      </c>
      <c r="AJ286" s="62" t="s">
        <v>148</v>
      </c>
      <c r="AK286" s="62" t="s">
        <v>402</v>
      </c>
      <c r="AL286" s="62"/>
      <c r="AM286" s="62"/>
      <c r="AN286" s="65"/>
      <c r="AO286" s="62" t="s">
        <v>390</v>
      </c>
      <c r="AP286" s="62"/>
      <c r="AQ286" s="62" t="s">
        <v>390</v>
      </c>
      <c r="AR286" s="66"/>
      <c r="AS286" s="62"/>
      <c r="AT286" s="65"/>
      <c r="AU286" s="62" t="s">
        <v>417</v>
      </c>
    </row>
    <row r="287" customFormat="false" ht="15" hidden="false" customHeight="false" outlineLevel="0" collapsed="false">
      <c r="A287" s="62" t="s">
        <v>388</v>
      </c>
      <c r="B287" s="63" t="n">
        <v>1529</v>
      </c>
      <c r="C287" s="64" t="n">
        <v>46307.7366414005</v>
      </c>
      <c r="D287" s="62" t="s">
        <v>73</v>
      </c>
      <c r="E287" s="63" t="n">
        <v>17</v>
      </c>
      <c r="F287" s="62" t="s">
        <v>389</v>
      </c>
      <c r="G287" s="62" t="s">
        <v>389</v>
      </c>
      <c r="H287" s="62" t="s">
        <v>389</v>
      </c>
      <c r="I287" s="62" t="s">
        <v>389</v>
      </c>
      <c r="J287" s="65" t="n">
        <v>1.1</v>
      </c>
      <c r="K287" s="62" t="s">
        <v>279</v>
      </c>
      <c r="L287" s="62" t="s">
        <v>389</v>
      </c>
      <c r="M287" s="62" t="s">
        <v>389</v>
      </c>
      <c r="N287" s="62" t="s">
        <v>303</v>
      </c>
      <c r="O287" s="62" t="s">
        <v>389</v>
      </c>
      <c r="P287" s="62" t="s">
        <v>389</v>
      </c>
      <c r="Q287" s="62" t="s">
        <v>390</v>
      </c>
      <c r="R287" s="62" t="s">
        <v>278</v>
      </c>
      <c r="S287" s="62" t="s">
        <v>389</v>
      </c>
      <c r="T287" s="65" t="n">
        <v>24</v>
      </c>
      <c r="U287" s="62" t="s">
        <v>278</v>
      </c>
      <c r="V287" s="65" t="n">
        <v>11.3</v>
      </c>
      <c r="W287" s="65" t="n">
        <v>10.8</v>
      </c>
      <c r="X287" s="63" t="n">
        <v>0</v>
      </c>
      <c r="Y287" s="62" t="s">
        <v>389</v>
      </c>
      <c r="Z287" s="62" t="s">
        <v>389</v>
      </c>
      <c r="AA287" s="62" t="s">
        <v>395</v>
      </c>
      <c r="AB287" s="62" t="s">
        <v>275</v>
      </c>
      <c r="AC287" s="65" t="n">
        <v>43.3</v>
      </c>
      <c r="AD287" s="63" t="n">
        <v>3</v>
      </c>
      <c r="AE287" s="63" t="n">
        <v>20</v>
      </c>
      <c r="AF287" s="63" t="n">
        <v>7</v>
      </c>
      <c r="AG287" s="62" t="s">
        <v>390</v>
      </c>
      <c r="AH287" s="62"/>
      <c r="AI287" s="63" t="n">
        <v>0</v>
      </c>
      <c r="AJ287" s="62" t="s">
        <v>149</v>
      </c>
      <c r="AK287" s="62" t="s">
        <v>391</v>
      </c>
      <c r="AL287" s="62" t="s">
        <v>392</v>
      </c>
      <c r="AM287" s="62" t="s">
        <v>396</v>
      </c>
      <c r="AN287" s="65" t="n">
        <v>75.3</v>
      </c>
      <c r="AO287" s="62" t="s">
        <v>389</v>
      </c>
      <c r="AP287" s="62" t="s">
        <v>390</v>
      </c>
      <c r="AQ287" s="62" t="s">
        <v>390</v>
      </c>
      <c r="AR287" s="66"/>
      <c r="AS287" s="62"/>
      <c r="AT287" s="65"/>
      <c r="AU287" s="62" t="s">
        <v>417</v>
      </c>
    </row>
    <row r="288" customFormat="false" ht="15" hidden="false" customHeight="false" outlineLevel="0" collapsed="false">
      <c r="A288" s="62" t="s">
        <v>388</v>
      </c>
      <c r="B288" s="63" t="n">
        <v>1532</v>
      </c>
      <c r="C288" s="64" t="n">
        <v>46307.7546976273</v>
      </c>
      <c r="D288" s="62" t="s">
        <v>73</v>
      </c>
      <c r="E288" s="63" t="n">
        <v>18</v>
      </c>
      <c r="F288" s="62" t="s">
        <v>389</v>
      </c>
      <c r="G288" s="62" t="s">
        <v>390</v>
      </c>
      <c r="H288" s="62" t="s">
        <v>390</v>
      </c>
      <c r="I288" s="62" t="s">
        <v>389</v>
      </c>
      <c r="J288" s="65"/>
      <c r="K288" s="62" t="s">
        <v>275</v>
      </c>
      <c r="L288" s="62" t="s">
        <v>389</v>
      </c>
      <c r="M288" s="62" t="s">
        <v>390</v>
      </c>
      <c r="N288" s="62"/>
      <c r="O288" s="62" t="s">
        <v>389</v>
      </c>
      <c r="P288" s="62" t="s">
        <v>390</v>
      </c>
      <c r="Q288" s="62" t="s">
        <v>390</v>
      </c>
      <c r="R288" s="62" t="s">
        <v>277</v>
      </c>
      <c r="S288" s="62" t="s">
        <v>389</v>
      </c>
      <c r="T288" s="65" t="n">
        <v>949.1</v>
      </c>
      <c r="U288" s="62" t="s">
        <v>276</v>
      </c>
      <c r="V288" s="65" t="n">
        <v>949.1</v>
      </c>
      <c r="W288" s="65" t="n">
        <v>2.9</v>
      </c>
      <c r="X288" s="63" t="n">
        <v>0</v>
      </c>
      <c r="Y288" s="62" t="s">
        <v>389</v>
      </c>
      <c r="Z288" s="62" t="s">
        <v>389</v>
      </c>
      <c r="AA288" s="62" t="s">
        <v>395</v>
      </c>
      <c r="AB288" s="62" t="s">
        <v>276</v>
      </c>
      <c r="AC288" s="65" t="n">
        <v>38.7</v>
      </c>
      <c r="AD288" s="63" t="n">
        <v>4</v>
      </c>
      <c r="AE288" s="63" t="n">
        <v>14</v>
      </c>
      <c r="AF288" s="63" t="n">
        <v>9</v>
      </c>
      <c r="AG288" s="62" t="s">
        <v>390</v>
      </c>
      <c r="AH288" s="62"/>
      <c r="AI288" s="63" t="n">
        <v>0</v>
      </c>
      <c r="AJ288" s="62" t="s">
        <v>150</v>
      </c>
      <c r="AK288" s="62" t="s">
        <v>402</v>
      </c>
      <c r="AL288" s="62"/>
      <c r="AM288" s="62"/>
      <c r="AN288" s="65"/>
      <c r="AO288" s="62" t="s">
        <v>390</v>
      </c>
      <c r="AP288" s="62"/>
      <c r="AQ288" s="62" t="s">
        <v>390</v>
      </c>
      <c r="AR288" s="66"/>
      <c r="AS288" s="62"/>
      <c r="AT288" s="65"/>
      <c r="AU288" s="62" t="s">
        <v>397</v>
      </c>
    </row>
    <row r="289" customFormat="false" ht="15" hidden="false" customHeight="false" outlineLevel="0" collapsed="false">
      <c r="A289" s="62" t="s">
        <v>388</v>
      </c>
      <c r="B289" s="63" t="n">
        <v>1533</v>
      </c>
      <c r="C289" s="64" t="n">
        <v>46307.7555494676</v>
      </c>
      <c r="D289" s="62" t="s">
        <v>73</v>
      </c>
      <c r="E289" s="63" t="n">
        <v>18</v>
      </c>
      <c r="F289" s="62" t="s">
        <v>389</v>
      </c>
      <c r="G289" s="62" t="s">
        <v>389</v>
      </c>
      <c r="H289" s="62" t="s">
        <v>389</v>
      </c>
      <c r="I289" s="62" t="s">
        <v>389</v>
      </c>
      <c r="J289" s="65" t="n">
        <v>0.2</v>
      </c>
      <c r="K289" s="62" t="s">
        <v>278</v>
      </c>
      <c r="L289" s="62" t="s">
        <v>389</v>
      </c>
      <c r="M289" s="62" t="s">
        <v>390</v>
      </c>
      <c r="N289" s="62"/>
      <c r="O289" s="62" t="s">
        <v>389</v>
      </c>
      <c r="P289" s="62" t="s">
        <v>389</v>
      </c>
      <c r="Q289" s="62" t="s">
        <v>389</v>
      </c>
      <c r="R289" s="62" t="s">
        <v>277</v>
      </c>
      <c r="S289" s="62" t="s">
        <v>389</v>
      </c>
      <c r="T289" s="65" t="n">
        <v>936.5</v>
      </c>
      <c r="U289" s="62" t="s">
        <v>277</v>
      </c>
      <c r="V289" s="65" t="n">
        <v>0.7</v>
      </c>
      <c r="W289" s="65" t="n">
        <v>0.9</v>
      </c>
      <c r="X289" s="63" t="n">
        <v>0</v>
      </c>
      <c r="Y289" s="62" t="s">
        <v>389</v>
      </c>
      <c r="Z289" s="62" t="s">
        <v>389</v>
      </c>
      <c r="AA289" s="62" t="s">
        <v>395</v>
      </c>
      <c r="AB289" s="62" t="s">
        <v>276</v>
      </c>
      <c r="AC289" s="65" t="n">
        <v>44.6</v>
      </c>
      <c r="AD289" s="63" t="n">
        <v>19</v>
      </c>
      <c r="AE289" s="63" t="n">
        <v>15</v>
      </c>
      <c r="AF289" s="63" t="n">
        <v>23</v>
      </c>
      <c r="AG289" s="62" t="s">
        <v>389</v>
      </c>
      <c r="AH289" s="62" t="s">
        <v>405</v>
      </c>
      <c r="AI289" s="63" t="n">
        <v>0</v>
      </c>
      <c r="AJ289" s="62" t="s">
        <v>154</v>
      </c>
      <c r="AK289" s="62" t="s">
        <v>407</v>
      </c>
      <c r="AL289" s="62"/>
      <c r="AM289" s="62"/>
      <c r="AN289" s="65"/>
      <c r="AO289" s="62" t="s">
        <v>390</v>
      </c>
      <c r="AP289" s="62"/>
      <c r="AQ289" s="62" t="s">
        <v>389</v>
      </c>
      <c r="AR289" s="66" t="n">
        <v>2799</v>
      </c>
      <c r="AS289" s="62" t="s">
        <v>411</v>
      </c>
      <c r="AT289" s="65" t="n">
        <v>72.1</v>
      </c>
      <c r="AU289" s="62" t="s">
        <v>397</v>
      </c>
    </row>
    <row r="290" customFormat="false" ht="15" hidden="false" customHeight="false" outlineLevel="0" collapsed="false">
      <c r="A290" s="62" t="s">
        <v>388</v>
      </c>
      <c r="B290" s="63" t="n">
        <v>1534</v>
      </c>
      <c r="C290" s="64" t="n">
        <v>46307.7589632292</v>
      </c>
      <c r="D290" s="62" t="s">
        <v>73</v>
      </c>
      <c r="E290" s="63" t="n">
        <v>18</v>
      </c>
      <c r="F290" s="62" t="s">
        <v>389</v>
      </c>
      <c r="G290" s="62" t="s">
        <v>390</v>
      </c>
      <c r="H290" s="62" t="s">
        <v>390</v>
      </c>
      <c r="I290" s="62" t="s">
        <v>389</v>
      </c>
      <c r="J290" s="65"/>
      <c r="K290" s="62" t="s">
        <v>275</v>
      </c>
      <c r="L290" s="62" t="s">
        <v>389</v>
      </c>
      <c r="M290" s="62" t="s">
        <v>390</v>
      </c>
      <c r="N290" s="62"/>
      <c r="O290" s="62" t="s">
        <v>389</v>
      </c>
      <c r="P290" s="62" t="s">
        <v>390</v>
      </c>
      <c r="Q290" s="62" t="s">
        <v>390</v>
      </c>
      <c r="R290" s="62" t="s">
        <v>277</v>
      </c>
      <c r="S290" s="62" t="s">
        <v>389</v>
      </c>
      <c r="T290" s="65" t="n">
        <v>2291.8</v>
      </c>
      <c r="U290" s="62" t="s">
        <v>276</v>
      </c>
      <c r="V290" s="65" t="n">
        <v>2291.8</v>
      </c>
      <c r="W290" s="65"/>
      <c r="X290" s="63" t="n">
        <v>0</v>
      </c>
      <c r="Y290" s="62" t="s">
        <v>390</v>
      </c>
      <c r="Z290" s="62" t="s">
        <v>389</v>
      </c>
      <c r="AA290" s="62" t="s">
        <v>395</v>
      </c>
      <c r="AB290" s="62" t="s">
        <v>276</v>
      </c>
      <c r="AC290" s="65" t="n">
        <v>38.2</v>
      </c>
      <c r="AD290" s="63" t="n">
        <v>1</v>
      </c>
      <c r="AE290" s="63" t="n">
        <v>14</v>
      </c>
      <c r="AF290" s="63" t="n">
        <v>2</v>
      </c>
      <c r="AG290" s="62" t="s">
        <v>390</v>
      </c>
      <c r="AH290" s="62"/>
      <c r="AI290" s="63" t="n">
        <v>0</v>
      </c>
      <c r="AJ290" s="62" t="s">
        <v>147</v>
      </c>
      <c r="AK290" s="62" t="s">
        <v>402</v>
      </c>
      <c r="AL290" s="62"/>
      <c r="AM290" s="62"/>
      <c r="AN290" s="65"/>
      <c r="AO290" s="62" t="s">
        <v>390</v>
      </c>
      <c r="AP290" s="62"/>
      <c r="AQ290" s="62" t="s">
        <v>390</v>
      </c>
      <c r="AR290" s="66"/>
      <c r="AS290" s="62"/>
      <c r="AT290" s="65"/>
      <c r="AU290" s="62" t="s">
        <v>397</v>
      </c>
    </row>
    <row r="291" customFormat="false" ht="15" hidden="false" customHeight="false" outlineLevel="0" collapsed="false">
      <c r="A291" s="62" t="s">
        <v>388</v>
      </c>
      <c r="B291" s="63" t="n">
        <v>1546</v>
      </c>
      <c r="C291" s="64" t="n">
        <v>46307.7896184259</v>
      </c>
      <c r="D291" s="62" t="s">
        <v>73</v>
      </c>
      <c r="E291" s="63" t="n">
        <v>18</v>
      </c>
      <c r="F291" s="62" t="s">
        <v>389</v>
      </c>
      <c r="G291" s="62" t="s">
        <v>389</v>
      </c>
      <c r="H291" s="62" t="s">
        <v>389</v>
      </c>
      <c r="I291" s="62" t="s">
        <v>389</v>
      </c>
      <c r="J291" s="65" t="n">
        <v>0.4</v>
      </c>
      <c r="K291" s="62" t="s">
        <v>278</v>
      </c>
      <c r="L291" s="62" t="s">
        <v>389</v>
      </c>
      <c r="M291" s="62" t="s">
        <v>389</v>
      </c>
      <c r="N291" s="62" t="s">
        <v>305</v>
      </c>
      <c r="O291" s="62" t="s">
        <v>389</v>
      </c>
      <c r="P291" s="62" t="s">
        <v>389</v>
      </c>
      <c r="Q291" s="62" t="s">
        <v>390</v>
      </c>
      <c r="R291" s="62" t="s">
        <v>279</v>
      </c>
      <c r="S291" s="62" t="s">
        <v>389</v>
      </c>
      <c r="T291" s="65" t="n">
        <v>90.4</v>
      </c>
      <c r="U291" s="62" t="s">
        <v>279</v>
      </c>
      <c r="V291" s="65" t="n">
        <v>1.8</v>
      </c>
      <c r="W291" s="65" t="n">
        <v>46.9</v>
      </c>
      <c r="X291" s="63" t="n">
        <v>0</v>
      </c>
      <c r="Y291" s="62" t="s">
        <v>389</v>
      </c>
      <c r="Z291" s="62" t="s">
        <v>389</v>
      </c>
      <c r="AA291" s="62" t="s">
        <v>395</v>
      </c>
      <c r="AB291" s="62" t="s">
        <v>275</v>
      </c>
      <c r="AC291" s="65" t="n">
        <v>42.1</v>
      </c>
      <c r="AD291" s="63" t="n">
        <v>6</v>
      </c>
      <c r="AE291" s="63" t="n">
        <v>20</v>
      </c>
      <c r="AF291" s="63" t="n">
        <v>8</v>
      </c>
      <c r="AG291" s="62" t="s">
        <v>390</v>
      </c>
      <c r="AH291" s="62"/>
      <c r="AI291" s="63" t="n">
        <v>0</v>
      </c>
      <c r="AJ291" s="62" t="s">
        <v>149</v>
      </c>
      <c r="AK291" s="62" t="s">
        <v>402</v>
      </c>
      <c r="AL291" s="62"/>
      <c r="AM291" s="62"/>
      <c r="AN291" s="65"/>
      <c r="AO291" s="62" t="s">
        <v>390</v>
      </c>
      <c r="AP291" s="62"/>
      <c r="AQ291" s="62" t="s">
        <v>390</v>
      </c>
      <c r="AR291" s="66"/>
      <c r="AS291" s="62"/>
      <c r="AT291" s="65"/>
      <c r="AU291" s="62" t="s">
        <v>417</v>
      </c>
    </row>
    <row r="292" customFormat="false" ht="15" hidden="false" customHeight="false" outlineLevel="0" collapsed="false">
      <c r="A292" s="62" t="s">
        <v>388</v>
      </c>
      <c r="B292" s="63" t="n">
        <v>1550</v>
      </c>
      <c r="C292" s="64" t="n">
        <v>46307.8010898843</v>
      </c>
      <c r="D292" s="62" t="s">
        <v>73</v>
      </c>
      <c r="E292" s="63" t="n">
        <v>19</v>
      </c>
      <c r="F292" s="62" t="s">
        <v>389</v>
      </c>
      <c r="G292" s="62" t="s">
        <v>389</v>
      </c>
      <c r="H292" s="62" t="s">
        <v>389</v>
      </c>
      <c r="I292" s="62" t="s">
        <v>389</v>
      </c>
      <c r="J292" s="65" t="n">
        <v>0.2</v>
      </c>
      <c r="K292" s="62" t="s">
        <v>278</v>
      </c>
      <c r="L292" s="62" t="s">
        <v>389</v>
      </c>
      <c r="M292" s="62" t="s">
        <v>389</v>
      </c>
      <c r="N292" s="62" t="s">
        <v>306</v>
      </c>
      <c r="O292" s="62" t="s">
        <v>389</v>
      </c>
      <c r="P292" s="62" t="s">
        <v>389</v>
      </c>
      <c r="Q292" s="62" t="s">
        <v>389</v>
      </c>
      <c r="R292" s="62" t="s">
        <v>278</v>
      </c>
      <c r="S292" s="62" t="s">
        <v>389</v>
      </c>
      <c r="T292" s="65" t="n">
        <v>4.4</v>
      </c>
      <c r="U292" s="62" t="s">
        <v>278</v>
      </c>
      <c r="V292" s="65" t="n">
        <v>2.7</v>
      </c>
      <c r="W292" s="65" t="n">
        <v>1.4</v>
      </c>
      <c r="X292" s="63" t="n">
        <v>0</v>
      </c>
      <c r="Y292" s="62" t="s">
        <v>389</v>
      </c>
      <c r="Z292" s="62" t="s">
        <v>389</v>
      </c>
      <c r="AA292" s="62" t="s">
        <v>267</v>
      </c>
      <c r="AB292" s="62" t="s">
        <v>278</v>
      </c>
      <c r="AC292" s="65" t="n">
        <v>67.7</v>
      </c>
      <c r="AD292" s="63" t="n">
        <v>10</v>
      </c>
      <c r="AE292" s="63" t="n">
        <v>20</v>
      </c>
      <c r="AF292" s="63" t="n">
        <v>15</v>
      </c>
      <c r="AG292" s="62" t="s">
        <v>390</v>
      </c>
      <c r="AH292" s="62"/>
      <c r="AI292" s="63" t="n">
        <v>0</v>
      </c>
      <c r="AJ292" s="62" t="s">
        <v>150</v>
      </c>
      <c r="AK292" s="62" t="s">
        <v>391</v>
      </c>
      <c r="AL292" s="62" t="s">
        <v>392</v>
      </c>
      <c r="AM292" s="62" t="s">
        <v>396</v>
      </c>
      <c r="AN292" s="65" t="n">
        <v>73.8</v>
      </c>
      <c r="AO292" s="62" t="s">
        <v>389</v>
      </c>
      <c r="AP292" s="62" t="s">
        <v>390</v>
      </c>
      <c r="AQ292" s="62" t="s">
        <v>390</v>
      </c>
      <c r="AR292" s="66"/>
      <c r="AS292" s="62"/>
      <c r="AT292" s="65"/>
      <c r="AU292" s="62" t="s">
        <v>397</v>
      </c>
    </row>
    <row r="293" customFormat="false" ht="15" hidden="false" customHeight="false" outlineLevel="0" collapsed="false">
      <c r="A293" s="62" t="s">
        <v>388</v>
      </c>
      <c r="B293" s="63" t="n">
        <v>1551</v>
      </c>
      <c r="C293" s="64" t="n">
        <v>46307.8018815625</v>
      </c>
      <c r="D293" s="62" t="s">
        <v>73</v>
      </c>
      <c r="E293" s="63" t="n">
        <v>19</v>
      </c>
      <c r="F293" s="62" t="s">
        <v>389</v>
      </c>
      <c r="G293" s="62" t="s">
        <v>389</v>
      </c>
      <c r="H293" s="62" t="s">
        <v>389</v>
      </c>
      <c r="I293" s="62" t="s">
        <v>389</v>
      </c>
      <c r="J293" s="65" t="n">
        <v>0.3</v>
      </c>
      <c r="K293" s="62" t="s">
        <v>278</v>
      </c>
      <c r="L293" s="62" t="s">
        <v>389</v>
      </c>
      <c r="M293" s="62" t="s">
        <v>389</v>
      </c>
      <c r="N293" s="62" t="s">
        <v>307</v>
      </c>
      <c r="O293" s="62" t="s">
        <v>389</v>
      </c>
      <c r="P293" s="62" t="s">
        <v>389</v>
      </c>
      <c r="Q293" s="62" t="s">
        <v>390</v>
      </c>
      <c r="R293" s="62" t="s">
        <v>278</v>
      </c>
      <c r="S293" s="62" t="s">
        <v>389</v>
      </c>
      <c r="T293" s="65" t="n">
        <v>6.3</v>
      </c>
      <c r="U293" s="62" t="s">
        <v>278</v>
      </c>
      <c r="V293" s="65" t="n">
        <v>1</v>
      </c>
      <c r="W293" s="65" t="n">
        <v>4.1</v>
      </c>
      <c r="X293" s="63" t="n">
        <v>0</v>
      </c>
      <c r="Y293" s="62" t="s">
        <v>389</v>
      </c>
      <c r="Z293" s="62" t="s">
        <v>389</v>
      </c>
      <c r="AA293" s="62" t="s">
        <v>395</v>
      </c>
      <c r="AB293" s="62" t="s">
        <v>275</v>
      </c>
      <c r="AC293" s="65" t="n">
        <v>37.8</v>
      </c>
      <c r="AD293" s="63" t="n">
        <v>3</v>
      </c>
      <c r="AE293" s="63" t="n">
        <v>20</v>
      </c>
      <c r="AF293" s="63" t="n">
        <v>6</v>
      </c>
      <c r="AG293" s="62" t="s">
        <v>390</v>
      </c>
      <c r="AH293" s="62"/>
      <c r="AI293" s="63" t="n">
        <v>0</v>
      </c>
      <c r="AJ293" s="62" t="s">
        <v>149</v>
      </c>
      <c r="AK293" s="62" t="s">
        <v>402</v>
      </c>
      <c r="AL293" s="62"/>
      <c r="AM293" s="62"/>
      <c r="AN293" s="65"/>
      <c r="AO293" s="62" t="s">
        <v>390</v>
      </c>
      <c r="AP293" s="62"/>
      <c r="AQ293" s="62" t="s">
        <v>390</v>
      </c>
      <c r="AR293" s="66"/>
      <c r="AS293" s="62"/>
      <c r="AT293" s="65"/>
      <c r="AU293" s="62" t="s">
        <v>397</v>
      </c>
    </row>
    <row r="294" customFormat="false" ht="15" hidden="false" customHeight="false" outlineLevel="0" collapsed="false">
      <c r="A294" s="62" t="s">
        <v>388</v>
      </c>
      <c r="B294" s="63" t="n">
        <v>1553</v>
      </c>
      <c r="C294" s="64" t="n">
        <v>46307.8082583333</v>
      </c>
      <c r="D294" s="62" t="s">
        <v>73</v>
      </c>
      <c r="E294" s="63" t="n">
        <v>19</v>
      </c>
      <c r="F294" s="62" t="s">
        <v>389</v>
      </c>
      <c r="G294" s="62" t="s">
        <v>390</v>
      </c>
      <c r="H294" s="62" t="s">
        <v>390</v>
      </c>
      <c r="I294" s="62" t="s">
        <v>389</v>
      </c>
      <c r="J294" s="65"/>
      <c r="K294" s="62" t="s">
        <v>275</v>
      </c>
      <c r="L294" s="62" t="s">
        <v>389</v>
      </c>
      <c r="M294" s="62" t="s">
        <v>390</v>
      </c>
      <c r="N294" s="62"/>
      <c r="O294" s="62" t="s">
        <v>389</v>
      </c>
      <c r="P294" s="62" t="s">
        <v>390</v>
      </c>
      <c r="Q294" s="62" t="s">
        <v>390</v>
      </c>
      <c r="R294" s="62" t="s">
        <v>277</v>
      </c>
      <c r="S294" s="62" t="s">
        <v>389</v>
      </c>
      <c r="T294" s="65" t="n">
        <v>2241.5</v>
      </c>
      <c r="U294" s="62" t="s">
        <v>276</v>
      </c>
      <c r="V294" s="65" t="n">
        <v>2241.5</v>
      </c>
      <c r="W294" s="65"/>
      <c r="X294" s="63" t="n">
        <v>0</v>
      </c>
      <c r="Y294" s="62" t="s">
        <v>390</v>
      </c>
      <c r="Z294" s="62" t="s">
        <v>389</v>
      </c>
      <c r="AA294" s="62" t="s">
        <v>395</v>
      </c>
      <c r="AB294" s="62" t="s">
        <v>276</v>
      </c>
      <c r="AC294" s="65" t="n">
        <v>37.4</v>
      </c>
      <c r="AD294" s="63" t="n">
        <v>1</v>
      </c>
      <c r="AE294" s="63" t="n">
        <v>14</v>
      </c>
      <c r="AF294" s="63" t="n">
        <v>3</v>
      </c>
      <c r="AG294" s="62" t="s">
        <v>390</v>
      </c>
      <c r="AH294" s="62"/>
      <c r="AI294" s="63" t="n">
        <v>0</v>
      </c>
      <c r="AJ294" s="62" t="s">
        <v>147</v>
      </c>
      <c r="AK294" s="62" t="s">
        <v>391</v>
      </c>
      <c r="AL294" s="62" t="s">
        <v>392</v>
      </c>
      <c r="AM294" s="62" t="s">
        <v>396</v>
      </c>
      <c r="AN294" s="65" t="n">
        <v>64.7</v>
      </c>
      <c r="AO294" s="62" t="s">
        <v>389</v>
      </c>
      <c r="AP294" s="62" t="s">
        <v>390</v>
      </c>
      <c r="AQ294" s="62" t="s">
        <v>390</v>
      </c>
      <c r="AR294" s="66"/>
      <c r="AS294" s="62"/>
      <c r="AT294" s="65"/>
      <c r="AU294" s="62" t="s">
        <v>397</v>
      </c>
    </row>
    <row r="295" customFormat="false" ht="15" hidden="false" customHeight="false" outlineLevel="0" collapsed="false">
      <c r="A295" s="62" t="s">
        <v>388</v>
      </c>
      <c r="B295" s="63" t="n">
        <v>1567</v>
      </c>
      <c r="C295" s="64" t="n">
        <v>46307.8707513542</v>
      </c>
      <c r="D295" s="62" t="s">
        <v>73</v>
      </c>
      <c r="E295" s="63" t="n">
        <v>20</v>
      </c>
      <c r="F295" s="62" t="s">
        <v>389</v>
      </c>
      <c r="G295" s="62" t="s">
        <v>389</v>
      </c>
      <c r="H295" s="62" t="s">
        <v>389</v>
      </c>
      <c r="I295" s="62" t="s">
        <v>389</v>
      </c>
      <c r="J295" s="65" t="n">
        <v>2.8</v>
      </c>
      <c r="K295" s="62" t="s">
        <v>279</v>
      </c>
      <c r="L295" s="62" t="s">
        <v>389</v>
      </c>
      <c r="M295" s="62" t="s">
        <v>389</v>
      </c>
      <c r="N295" s="62" t="s">
        <v>303</v>
      </c>
      <c r="O295" s="62" t="s">
        <v>389</v>
      </c>
      <c r="P295" s="62" t="s">
        <v>389</v>
      </c>
      <c r="Q295" s="62" t="s">
        <v>390</v>
      </c>
      <c r="R295" s="62" t="s">
        <v>278</v>
      </c>
      <c r="S295" s="62" t="s">
        <v>389</v>
      </c>
      <c r="T295" s="65" t="n">
        <v>11.1</v>
      </c>
      <c r="U295" s="62" t="s">
        <v>278</v>
      </c>
      <c r="V295" s="65" t="n">
        <v>3.1</v>
      </c>
      <c r="W295" s="65" t="n">
        <v>8</v>
      </c>
      <c r="X295" s="63" t="n">
        <v>0</v>
      </c>
      <c r="Y295" s="62" t="s">
        <v>389</v>
      </c>
      <c r="Z295" s="62" t="s">
        <v>389</v>
      </c>
      <c r="AA295" s="62" t="s">
        <v>395</v>
      </c>
      <c r="AB295" s="62" t="s">
        <v>276</v>
      </c>
      <c r="AC295" s="65" t="n">
        <v>35.8</v>
      </c>
      <c r="AD295" s="63" t="n">
        <v>6</v>
      </c>
      <c r="AE295" s="63" t="n">
        <v>15</v>
      </c>
      <c r="AF295" s="63" t="n">
        <v>10</v>
      </c>
      <c r="AG295" s="62" t="s">
        <v>390</v>
      </c>
      <c r="AH295" s="62"/>
      <c r="AI295" s="63" t="n">
        <v>0</v>
      </c>
      <c r="AJ295" s="62" t="s">
        <v>149</v>
      </c>
      <c r="AK295" s="62" t="s">
        <v>402</v>
      </c>
      <c r="AL295" s="62"/>
      <c r="AM295" s="62"/>
      <c r="AN295" s="65"/>
      <c r="AO295" s="62" t="s">
        <v>390</v>
      </c>
      <c r="AP295" s="62"/>
      <c r="AQ295" s="62" t="s">
        <v>390</v>
      </c>
      <c r="AR295" s="66"/>
      <c r="AS295" s="62"/>
      <c r="AT295" s="65"/>
      <c r="AU295" s="62" t="s">
        <v>397</v>
      </c>
    </row>
    <row r="296" customFormat="false" ht="15" hidden="false" customHeight="false" outlineLevel="0" collapsed="false">
      <c r="A296" s="62" t="s">
        <v>388</v>
      </c>
      <c r="B296" s="63" t="n">
        <v>1571</v>
      </c>
      <c r="C296" s="64" t="n">
        <v>46307.8798990972</v>
      </c>
      <c r="D296" s="62" t="s">
        <v>73</v>
      </c>
      <c r="E296" s="63" t="n">
        <v>21</v>
      </c>
      <c r="F296" s="62" t="s">
        <v>390</v>
      </c>
      <c r="G296" s="62" t="s">
        <v>389</v>
      </c>
      <c r="H296" s="62" t="s">
        <v>389</v>
      </c>
      <c r="I296" s="62" t="s">
        <v>389</v>
      </c>
      <c r="J296" s="65" t="n">
        <v>1.8</v>
      </c>
      <c r="K296" s="62" t="s">
        <v>278</v>
      </c>
      <c r="L296" s="62" t="s">
        <v>389</v>
      </c>
      <c r="M296" s="62" t="s">
        <v>390</v>
      </c>
      <c r="N296" s="62"/>
      <c r="O296" s="62" t="s">
        <v>389</v>
      </c>
      <c r="P296" s="62" t="s">
        <v>390</v>
      </c>
      <c r="Q296" s="62" t="s">
        <v>390</v>
      </c>
      <c r="R296" s="62" t="s">
        <v>277</v>
      </c>
      <c r="S296" s="62" t="s">
        <v>389</v>
      </c>
      <c r="T296" s="65" t="n">
        <v>2138.1</v>
      </c>
      <c r="U296" s="62" t="s">
        <v>276</v>
      </c>
      <c r="V296" s="65" t="n">
        <v>29</v>
      </c>
      <c r="W296" s="65" t="n">
        <v>2110.9</v>
      </c>
      <c r="X296" s="63" t="n">
        <v>0</v>
      </c>
      <c r="Y296" s="62" t="s">
        <v>390</v>
      </c>
      <c r="Z296" s="62" t="s">
        <v>389</v>
      </c>
      <c r="AA296" s="62" t="s">
        <v>395</v>
      </c>
      <c r="AB296" s="62" t="s">
        <v>276</v>
      </c>
      <c r="AC296" s="65" t="n">
        <v>35.6</v>
      </c>
      <c r="AD296" s="63" t="n">
        <v>2</v>
      </c>
      <c r="AE296" s="63" t="n">
        <v>13</v>
      </c>
      <c r="AF296" s="63" t="n">
        <v>2</v>
      </c>
      <c r="AG296" s="62" t="s">
        <v>389</v>
      </c>
      <c r="AH296" s="62" t="s">
        <v>398</v>
      </c>
      <c r="AI296" s="63" t="n">
        <v>0</v>
      </c>
      <c r="AJ296" s="62" t="s">
        <v>148</v>
      </c>
      <c r="AK296" s="62" t="s">
        <v>402</v>
      </c>
      <c r="AL296" s="62"/>
      <c r="AM296" s="62"/>
      <c r="AN296" s="65"/>
      <c r="AO296" s="62" t="s">
        <v>390</v>
      </c>
      <c r="AP296" s="62"/>
      <c r="AQ296" s="62" t="s">
        <v>390</v>
      </c>
      <c r="AR296" s="66"/>
      <c r="AS296" s="62"/>
      <c r="AT296" s="65"/>
      <c r="AU296" s="62" t="s">
        <v>397</v>
      </c>
    </row>
    <row r="297" customFormat="false" ht="15" hidden="false" customHeight="false" outlineLevel="0" collapsed="false">
      <c r="A297" s="62" t="s">
        <v>388</v>
      </c>
      <c r="B297" s="63" t="n">
        <v>1586</v>
      </c>
      <c r="C297" s="64" t="n">
        <v>46307.926376713</v>
      </c>
      <c r="D297" s="62" t="s">
        <v>73</v>
      </c>
      <c r="E297" s="63" t="n">
        <v>22</v>
      </c>
      <c r="F297" s="62" t="s">
        <v>390</v>
      </c>
      <c r="G297" s="62" t="s">
        <v>389</v>
      </c>
      <c r="H297" s="62" t="s">
        <v>389</v>
      </c>
      <c r="I297" s="62" t="s">
        <v>389</v>
      </c>
      <c r="J297" s="65" t="n">
        <v>36</v>
      </c>
      <c r="K297" s="62" t="s">
        <v>279</v>
      </c>
      <c r="L297" s="62" t="s">
        <v>389</v>
      </c>
      <c r="M297" s="62" t="s">
        <v>389</v>
      </c>
      <c r="N297" s="62" t="s">
        <v>303</v>
      </c>
      <c r="O297" s="62" t="s">
        <v>389</v>
      </c>
      <c r="P297" s="62" t="s">
        <v>389</v>
      </c>
      <c r="Q297" s="62" t="s">
        <v>390</v>
      </c>
      <c r="R297" s="62" t="s">
        <v>277</v>
      </c>
      <c r="S297" s="62" t="s">
        <v>389</v>
      </c>
      <c r="T297" s="65" t="n">
        <v>534.5</v>
      </c>
      <c r="U297" s="62" t="s">
        <v>277</v>
      </c>
      <c r="V297" s="65" t="n">
        <v>36.2</v>
      </c>
      <c r="W297" s="65" t="n">
        <v>514</v>
      </c>
      <c r="X297" s="63" t="n">
        <v>0</v>
      </c>
      <c r="Y297" s="62" t="s">
        <v>389</v>
      </c>
      <c r="Z297" s="62" t="s">
        <v>389</v>
      </c>
      <c r="AA297" s="62" t="s">
        <v>395</v>
      </c>
      <c r="AB297" s="62" t="s">
        <v>275</v>
      </c>
      <c r="AC297" s="65" t="n">
        <v>38.8</v>
      </c>
      <c r="AD297" s="63" t="n">
        <v>3</v>
      </c>
      <c r="AE297" s="63" t="n">
        <v>20</v>
      </c>
      <c r="AF297" s="63" t="n">
        <v>4</v>
      </c>
      <c r="AG297" s="62" t="s">
        <v>390</v>
      </c>
      <c r="AH297" s="62"/>
      <c r="AI297" s="63" t="n">
        <v>0</v>
      </c>
      <c r="AJ297" s="62" t="s">
        <v>149</v>
      </c>
      <c r="AK297" s="62" t="s">
        <v>402</v>
      </c>
      <c r="AL297" s="62"/>
      <c r="AM297" s="62"/>
      <c r="AN297" s="65"/>
      <c r="AO297" s="62" t="s">
        <v>390</v>
      </c>
      <c r="AP297" s="62"/>
      <c r="AQ297" s="62" t="s">
        <v>390</v>
      </c>
      <c r="AR297" s="66"/>
      <c r="AS297" s="62"/>
      <c r="AT297" s="65"/>
      <c r="AU297" s="62" t="s">
        <v>397</v>
      </c>
    </row>
    <row r="298" customFormat="false" ht="15" hidden="false" customHeight="false" outlineLevel="0" collapsed="false">
      <c r="A298" s="62" t="s">
        <v>388</v>
      </c>
      <c r="B298" s="63" t="n">
        <v>1588</v>
      </c>
      <c r="C298" s="64" t="n">
        <v>46307.9443044213</v>
      </c>
      <c r="D298" s="62" t="s">
        <v>73</v>
      </c>
      <c r="E298" s="63" t="n">
        <v>22</v>
      </c>
      <c r="F298" s="62" t="s">
        <v>390</v>
      </c>
      <c r="G298" s="62" t="s">
        <v>390</v>
      </c>
      <c r="H298" s="62" t="s">
        <v>390</v>
      </c>
      <c r="I298" s="62" t="s">
        <v>389</v>
      </c>
      <c r="J298" s="65"/>
      <c r="K298" s="62" t="s">
        <v>275</v>
      </c>
      <c r="L298" s="62" t="s">
        <v>389</v>
      </c>
      <c r="M298" s="62" t="s">
        <v>390</v>
      </c>
      <c r="N298" s="62"/>
      <c r="O298" s="62" t="s">
        <v>389</v>
      </c>
      <c r="P298" s="62" t="s">
        <v>390</v>
      </c>
      <c r="Q298" s="62" t="s">
        <v>390</v>
      </c>
      <c r="R298" s="62" t="s">
        <v>277</v>
      </c>
      <c r="S298" s="62" t="s">
        <v>389</v>
      </c>
      <c r="T298" s="65" t="n">
        <v>2045</v>
      </c>
      <c r="U298" s="62" t="s">
        <v>276</v>
      </c>
      <c r="V298" s="65" t="n">
        <v>2045</v>
      </c>
      <c r="W298" s="65"/>
      <c r="X298" s="63" t="n">
        <v>0</v>
      </c>
      <c r="Y298" s="62" t="s">
        <v>390</v>
      </c>
      <c r="Z298" s="62" t="s">
        <v>389</v>
      </c>
      <c r="AA298" s="62" t="s">
        <v>395</v>
      </c>
      <c r="AB298" s="62" t="s">
        <v>276</v>
      </c>
      <c r="AC298" s="65" t="n">
        <v>34.1</v>
      </c>
      <c r="AD298" s="63" t="n">
        <v>1</v>
      </c>
      <c r="AE298" s="63" t="n">
        <v>14</v>
      </c>
      <c r="AF298" s="63" t="n">
        <v>2</v>
      </c>
      <c r="AG298" s="62" t="s">
        <v>390</v>
      </c>
      <c r="AH298" s="62"/>
      <c r="AI298" s="63" t="n">
        <v>0</v>
      </c>
      <c r="AJ298" s="62" t="s">
        <v>147</v>
      </c>
      <c r="AK298" s="62" t="s">
        <v>402</v>
      </c>
      <c r="AL298" s="62"/>
      <c r="AM298" s="62"/>
      <c r="AN298" s="65"/>
      <c r="AO298" s="62" t="s">
        <v>390</v>
      </c>
      <c r="AP298" s="62"/>
      <c r="AQ298" s="62" t="s">
        <v>390</v>
      </c>
      <c r="AR298" s="66"/>
      <c r="AS298" s="62"/>
      <c r="AT298" s="65"/>
      <c r="AU298" s="62" t="s">
        <v>394</v>
      </c>
    </row>
    <row r="299" customFormat="false" ht="15" hidden="false" customHeight="false" outlineLevel="0" collapsed="false">
      <c r="A299" s="62" t="s">
        <v>388</v>
      </c>
      <c r="B299" s="63" t="n">
        <v>1591</v>
      </c>
      <c r="C299" s="64" t="n">
        <v>46307.9511315625</v>
      </c>
      <c r="D299" s="62" t="s">
        <v>73</v>
      </c>
      <c r="E299" s="63" t="n">
        <v>22</v>
      </c>
      <c r="F299" s="62" t="s">
        <v>390</v>
      </c>
      <c r="G299" s="62" t="s">
        <v>390</v>
      </c>
      <c r="H299" s="62" t="s">
        <v>390</v>
      </c>
      <c r="I299" s="62" t="s">
        <v>389</v>
      </c>
      <c r="J299" s="65"/>
      <c r="K299" s="62" t="s">
        <v>279</v>
      </c>
      <c r="L299" s="62" t="s">
        <v>389</v>
      </c>
      <c r="M299" s="62" t="s">
        <v>390</v>
      </c>
      <c r="N299" s="62"/>
      <c r="O299" s="62" t="s">
        <v>389</v>
      </c>
      <c r="P299" s="62" t="s">
        <v>389</v>
      </c>
      <c r="Q299" s="62" t="s">
        <v>389</v>
      </c>
      <c r="R299" s="62" t="s">
        <v>279</v>
      </c>
      <c r="S299" s="62" t="s">
        <v>389</v>
      </c>
      <c r="T299" s="65" t="n">
        <v>1.4</v>
      </c>
      <c r="U299" s="62" t="s">
        <v>279</v>
      </c>
      <c r="V299" s="65" t="n">
        <v>1.4</v>
      </c>
      <c r="W299" s="65" t="n">
        <v>1</v>
      </c>
      <c r="X299" s="63" t="n">
        <v>0</v>
      </c>
      <c r="Y299" s="62" t="s">
        <v>390</v>
      </c>
      <c r="Z299" s="62" t="s">
        <v>390</v>
      </c>
      <c r="AA299" s="62"/>
      <c r="AB299" s="62"/>
      <c r="AC299" s="65"/>
      <c r="AD299" s="63" t="n">
        <v>34</v>
      </c>
      <c r="AE299" s="63" t="n">
        <v>11</v>
      </c>
      <c r="AF299" s="63" t="n">
        <v>35</v>
      </c>
      <c r="AG299" s="62" t="s">
        <v>389</v>
      </c>
      <c r="AH299" s="62" t="s">
        <v>330</v>
      </c>
      <c r="AI299" s="63" t="n">
        <v>0</v>
      </c>
      <c r="AJ299" s="62" t="s">
        <v>154</v>
      </c>
      <c r="AK299" s="62" t="s">
        <v>407</v>
      </c>
      <c r="AL299" s="62"/>
      <c r="AM299" s="62"/>
      <c r="AN299" s="65"/>
      <c r="AO299" s="62" t="s">
        <v>390</v>
      </c>
      <c r="AP299" s="62"/>
      <c r="AQ299" s="62" t="s">
        <v>389</v>
      </c>
      <c r="AR299" s="66" t="n">
        <v>3999</v>
      </c>
      <c r="AS299" s="62" t="s">
        <v>408</v>
      </c>
      <c r="AT299" s="65" t="n">
        <v>13.6</v>
      </c>
      <c r="AU299" s="62"/>
    </row>
    <row r="300" customFormat="false" ht="15" hidden="false" customHeight="false" outlineLevel="0" collapsed="false">
      <c r="A300" s="62" t="s">
        <v>388</v>
      </c>
      <c r="B300" s="63" t="n">
        <v>1597</v>
      </c>
      <c r="C300" s="64" t="n">
        <v>46308.018426794</v>
      </c>
      <c r="D300" s="62" t="s">
        <v>73</v>
      </c>
      <c r="E300" s="63" t="n">
        <v>0</v>
      </c>
      <c r="F300" s="62" t="s">
        <v>390</v>
      </c>
      <c r="G300" s="62" t="s">
        <v>389</v>
      </c>
      <c r="H300" s="62" t="s">
        <v>389</v>
      </c>
      <c r="I300" s="62" t="s">
        <v>389</v>
      </c>
      <c r="J300" s="65" t="n">
        <v>414.7</v>
      </c>
      <c r="K300" s="62" t="s">
        <v>277</v>
      </c>
      <c r="L300" s="62" t="s">
        <v>389</v>
      </c>
      <c r="M300" s="62" t="s">
        <v>390</v>
      </c>
      <c r="N300" s="62"/>
      <c r="O300" s="62" t="s">
        <v>389</v>
      </c>
      <c r="P300" s="62" t="s">
        <v>390</v>
      </c>
      <c r="Q300" s="62" t="s">
        <v>390</v>
      </c>
      <c r="R300" s="62" t="s">
        <v>277</v>
      </c>
      <c r="S300" s="62" t="s">
        <v>389</v>
      </c>
      <c r="T300" s="65" t="n">
        <v>1939.8</v>
      </c>
      <c r="U300" s="62" t="s">
        <v>276</v>
      </c>
      <c r="V300" s="65" t="n">
        <v>415.1</v>
      </c>
      <c r="W300" s="65" t="n">
        <v>1939.4</v>
      </c>
      <c r="X300" s="63" t="n">
        <v>0</v>
      </c>
      <c r="Y300" s="62" t="s">
        <v>390</v>
      </c>
      <c r="Z300" s="62" t="s">
        <v>389</v>
      </c>
      <c r="AA300" s="62" t="s">
        <v>395</v>
      </c>
      <c r="AB300" s="62" t="s">
        <v>276</v>
      </c>
      <c r="AC300" s="65" t="n">
        <v>32.3</v>
      </c>
      <c r="AD300" s="63" t="n">
        <v>2</v>
      </c>
      <c r="AE300" s="63" t="n">
        <v>13</v>
      </c>
      <c r="AF300" s="63" t="n">
        <v>2</v>
      </c>
      <c r="AG300" s="62" t="s">
        <v>389</v>
      </c>
      <c r="AH300" s="62" t="s">
        <v>398</v>
      </c>
      <c r="AI300" s="63" t="n">
        <v>0</v>
      </c>
      <c r="AJ300" s="62" t="s">
        <v>148</v>
      </c>
      <c r="AK300" s="62" t="s">
        <v>402</v>
      </c>
      <c r="AL300" s="62"/>
      <c r="AM300" s="62"/>
      <c r="AN300" s="65"/>
      <c r="AO300" s="62" t="s">
        <v>390</v>
      </c>
      <c r="AP300" s="62"/>
      <c r="AQ300" s="62" t="s">
        <v>390</v>
      </c>
      <c r="AR300" s="66"/>
      <c r="AS300" s="62"/>
      <c r="AT300" s="65"/>
      <c r="AU300" s="62" t="s">
        <v>397</v>
      </c>
    </row>
    <row r="301" customFormat="false" ht="15" hidden="false" customHeight="false" outlineLevel="0" collapsed="false">
      <c r="A301" s="62" t="s">
        <v>388</v>
      </c>
      <c r="B301" s="63" t="n">
        <v>1599</v>
      </c>
      <c r="C301" s="64" t="n">
        <v>46308.0501246644</v>
      </c>
      <c r="D301" s="62" t="s">
        <v>73</v>
      </c>
      <c r="E301" s="63" t="n">
        <v>1</v>
      </c>
      <c r="F301" s="62" t="s">
        <v>390</v>
      </c>
      <c r="G301" s="62" t="s">
        <v>390</v>
      </c>
      <c r="H301" s="62" t="s">
        <v>390</v>
      </c>
      <c r="I301" s="62" t="s">
        <v>389</v>
      </c>
      <c r="J301" s="65"/>
      <c r="K301" s="62" t="s">
        <v>275</v>
      </c>
      <c r="L301" s="62" t="s">
        <v>389</v>
      </c>
      <c r="M301" s="62" t="s">
        <v>390</v>
      </c>
      <c r="N301" s="62"/>
      <c r="O301" s="62" t="s">
        <v>389</v>
      </c>
      <c r="P301" s="62" t="s">
        <v>390</v>
      </c>
      <c r="Q301" s="62" t="s">
        <v>390</v>
      </c>
      <c r="R301" s="62" t="s">
        <v>277</v>
      </c>
      <c r="S301" s="62" t="s">
        <v>389</v>
      </c>
      <c r="T301" s="65" t="n">
        <v>1894</v>
      </c>
      <c r="U301" s="62" t="s">
        <v>276</v>
      </c>
      <c r="V301" s="65" t="n">
        <v>1894</v>
      </c>
      <c r="W301" s="65"/>
      <c r="X301" s="63" t="n">
        <v>0</v>
      </c>
      <c r="Y301" s="62" t="s">
        <v>390</v>
      </c>
      <c r="Z301" s="62" t="s">
        <v>389</v>
      </c>
      <c r="AA301" s="62" t="s">
        <v>395</v>
      </c>
      <c r="AB301" s="62" t="s">
        <v>276</v>
      </c>
      <c r="AC301" s="65" t="n">
        <v>31.6</v>
      </c>
      <c r="AD301" s="63" t="n">
        <v>1</v>
      </c>
      <c r="AE301" s="63" t="n">
        <v>14</v>
      </c>
      <c r="AF301" s="63" t="n">
        <v>2</v>
      </c>
      <c r="AG301" s="62" t="s">
        <v>390</v>
      </c>
      <c r="AH301" s="62"/>
      <c r="AI301" s="63" t="n">
        <v>0</v>
      </c>
      <c r="AJ301" s="62" t="s">
        <v>147</v>
      </c>
      <c r="AK301" s="62" t="s">
        <v>402</v>
      </c>
      <c r="AL301" s="62"/>
      <c r="AM301" s="62"/>
      <c r="AN301" s="65"/>
      <c r="AO301" s="62" t="s">
        <v>390</v>
      </c>
      <c r="AP301" s="62"/>
      <c r="AQ301" s="62" t="s">
        <v>390</v>
      </c>
      <c r="AR301" s="66"/>
      <c r="AS301" s="62"/>
      <c r="AT301" s="65"/>
      <c r="AU301" s="62" t="s">
        <v>397</v>
      </c>
    </row>
    <row r="302" customFormat="false" ht="15" hidden="false" customHeight="false" outlineLevel="0" collapsed="false">
      <c r="A302" s="62" t="s">
        <v>388</v>
      </c>
      <c r="B302" s="63" t="n">
        <v>1608</v>
      </c>
      <c r="C302" s="64" t="n">
        <v>46308.3253736343</v>
      </c>
      <c r="D302" s="62" t="s">
        <v>73</v>
      </c>
      <c r="E302" s="63" t="n">
        <v>7</v>
      </c>
      <c r="F302" s="62" t="s">
        <v>390</v>
      </c>
      <c r="G302" s="62" t="s">
        <v>389</v>
      </c>
      <c r="H302" s="62" t="s">
        <v>389</v>
      </c>
      <c r="I302" s="62" t="s">
        <v>389</v>
      </c>
      <c r="J302" s="65" t="n">
        <v>3.1</v>
      </c>
      <c r="K302" s="62" t="s">
        <v>277</v>
      </c>
      <c r="L302" s="62" t="s">
        <v>389</v>
      </c>
      <c r="M302" s="62" t="s">
        <v>390</v>
      </c>
      <c r="N302" s="62"/>
      <c r="O302" s="62" t="s">
        <v>389</v>
      </c>
      <c r="P302" s="62" t="s">
        <v>390</v>
      </c>
      <c r="Q302" s="62" t="s">
        <v>390</v>
      </c>
      <c r="R302" s="62" t="s">
        <v>277</v>
      </c>
      <c r="S302" s="62" t="s">
        <v>389</v>
      </c>
      <c r="T302" s="65" t="n">
        <v>1498</v>
      </c>
      <c r="U302" s="62" t="s">
        <v>276</v>
      </c>
      <c r="V302" s="65" t="n">
        <v>4.7</v>
      </c>
      <c r="W302" s="65" t="n">
        <v>1496.5</v>
      </c>
      <c r="X302" s="63" t="n">
        <v>0</v>
      </c>
      <c r="Y302" s="62" t="s">
        <v>390</v>
      </c>
      <c r="Z302" s="62" t="s">
        <v>389</v>
      </c>
      <c r="AA302" s="62" t="s">
        <v>265</v>
      </c>
      <c r="AB302" s="62" t="s">
        <v>276</v>
      </c>
      <c r="AC302" s="65" t="n">
        <v>25</v>
      </c>
      <c r="AD302" s="63" t="n">
        <v>2</v>
      </c>
      <c r="AE302" s="63" t="n">
        <v>13</v>
      </c>
      <c r="AF302" s="63" t="n">
        <v>1</v>
      </c>
      <c r="AG302" s="62" t="s">
        <v>390</v>
      </c>
      <c r="AH302" s="62"/>
      <c r="AI302" s="63" t="n">
        <v>0</v>
      </c>
      <c r="AJ302" s="62" t="s">
        <v>148</v>
      </c>
      <c r="AK302" s="62" t="s">
        <v>402</v>
      </c>
      <c r="AL302" s="62"/>
      <c r="AM302" s="62"/>
      <c r="AN302" s="65"/>
      <c r="AO302" s="62" t="s">
        <v>390</v>
      </c>
      <c r="AP302" s="62"/>
      <c r="AQ302" s="62" t="s">
        <v>390</v>
      </c>
      <c r="AR302" s="66"/>
      <c r="AS302" s="62"/>
      <c r="AT302" s="65"/>
      <c r="AU302" s="62" t="s">
        <v>417</v>
      </c>
    </row>
    <row r="303" customFormat="false" ht="15" hidden="false" customHeight="false" outlineLevel="0" collapsed="false">
      <c r="A303" s="62" t="s">
        <v>388</v>
      </c>
      <c r="B303" s="63" t="n">
        <v>1623</v>
      </c>
      <c r="C303" s="64" t="n">
        <v>46308.4047565394</v>
      </c>
      <c r="D303" s="62" t="s">
        <v>73</v>
      </c>
      <c r="E303" s="63" t="n">
        <v>9</v>
      </c>
      <c r="F303" s="62" t="s">
        <v>389</v>
      </c>
      <c r="G303" s="62" t="s">
        <v>390</v>
      </c>
      <c r="H303" s="62" t="s">
        <v>390</v>
      </c>
      <c r="I303" s="62" t="s">
        <v>389</v>
      </c>
      <c r="J303" s="65"/>
      <c r="K303" s="62" t="s">
        <v>275</v>
      </c>
      <c r="L303" s="62" t="s">
        <v>389</v>
      </c>
      <c r="M303" s="62" t="s">
        <v>390</v>
      </c>
      <c r="N303" s="62"/>
      <c r="O303" s="62" t="s">
        <v>389</v>
      </c>
      <c r="P303" s="62" t="s">
        <v>390</v>
      </c>
      <c r="Q303" s="62" t="s">
        <v>390</v>
      </c>
      <c r="R303" s="62" t="s">
        <v>277</v>
      </c>
      <c r="S303" s="62" t="s">
        <v>389</v>
      </c>
      <c r="T303" s="65" t="n">
        <v>2890.6</v>
      </c>
      <c r="U303" s="62" t="s">
        <v>276</v>
      </c>
      <c r="V303" s="65" t="n">
        <v>2890.6</v>
      </c>
      <c r="W303" s="65"/>
      <c r="X303" s="63" t="n">
        <v>0</v>
      </c>
      <c r="Y303" s="62" t="s">
        <v>390</v>
      </c>
      <c r="Z303" s="62" t="s">
        <v>389</v>
      </c>
      <c r="AA303" s="62" t="s">
        <v>395</v>
      </c>
      <c r="AB303" s="62" t="s">
        <v>275</v>
      </c>
      <c r="AC303" s="65" t="n">
        <v>27.3</v>
      </c>
      <c r="AD303" s="63" t="n">
        <v>1</v>
      </c>
      <c r="AE303" s="63" t="n">
        <v>19</v>
      </c>
      <c r="AF303" s="63" t="n">
        <v>2</v>
      </c>
      <c r="AG303" s="62" t="s">
        <v>389</v>
      </c>
      <c r="AH303" s="62" t="s">
        <v>421</v>
      </c>
      <c r="AI303" s="63" t="n">
        <v>0</v>
      </c>
      <c r="AJ303" s="62" t="s">
        <v>147</v>
      </c>
      <c r="AK303" s="62" t="s">
        <v>391</v>
      </c>
      <c r="AL303" s="62" t="s">
        <v>392</v>
      </c>
      <c r="AM303" s="62" t="s">
        <v>396</v>
      </c>
      <c r="AN303" s="65" t="n">
        <v>52.8</v>
      </c>
      <c r="AO303" s="62" t="s">
        <v>389</v>
      </c>
      <c r="AP303" s="62" t="s">
        <v>390</v>
      </c>
      <c r="AQ303" s="62" t="s">
        <v>390</v>
      </c>
      <c r="AR303" s="66"/>
      <c r="AS303" s="62"/>
      <c r="AT303" s="65"/>
      <c r="AU303" s="62" t="s">
        <v>397</v>
      </c>
    </row>
    <row r="304" customFormat="false" ht="15" hidden="false" customHeight="false" outlineLevel="0" collapsed="false">
      <c r="A304" s="62" t="s">
        <v>388</v>
      </c>
      <c r="B304" s="63" t="n">
        <v>1625</v>
      </c>
      <c r="C304" s="64" t="n">
        <v>46308.4082240162</v>
      </c>
      <c r="D304" s="62" t="s">
        <v>73</v>
      </c>
      <c r="E304" s="63" t="n">
        <v>9</v>
      </c>
      <c r="F304" s="62" t="s">
        <v>389</v>
      </c>
      <c r="G304" s="62" t="s">
        <v>390</v>
      </c>
      <c r="H304" s="62" t="s">
        <v>390</v>
      </c>
      <c r="I304" s="62" t="s">
        <v>389</v>
      </c>
      <c r="J304" s="65"/>
      <c r="K304" s="62" t="s">
        <v>275</v>
      </c>
      <c r="L304" s="62" t="s">
        <v>389</v>
      </c>
      <c r="M304" s="62" t="s">
        <v>390</v>
      </c>
      <c r="N304" s="62"/>
      <c r="O304" s="62" t="s">
        <v>389</v>
      </c>
      <c r="P304" s="62" t="s">
        <v>390</v>
      </c>
      <c r="Q304" s="62" t="s">
        <v>390</v>
      </c>
      <c r="R304" s="62" t="s">
        <v>277</v>
      </c>
      <c r="S304" s="62" t="s">
        <v>389</v>
      </c>
      <c r="T304" s="65" t="n">
        <v>2885.3</v>
      </c>
      <c r="U304" s="62" t="s">
        <v>276</v>
      </c>
      <c r="V304" s="65" t="n">
        <v>2885.3</v>
      </c>
      <c r="W304" s="65"/>
      <c r="X304" s="63" t="n">
        <v>0</v>
      </c>
      <c r="Y304" s="62" t="s">
        <v>390</v>
      </c>
      <c r="Z304" s="62" t="s">
        <v>389</v>
      </c>
      <c r="AA304" s="62" t="s">
        <v>395</v>
      </c>
      <c r="AB304" s="62" t="s">
        <v>275</v>
      </c>
      <c r="AC304" s="65" t="n">
        <v>27.2</v>
      </c>
      <c r="AD304" s="63" t="n">
        <v>1</v>
      </c>
      <c r="AE304" s="63" t="n">
        <v>19</v>
      </c>
      <c r="AF304" s="63" t="n">
        <v>2</v>
      </c>
      <c r="AG304" s="62" t="s">
        <v>390</v>
      </c>
      <c r="AH304" s="62"/>
      <c r="AI304" s="63" t="n">
        <v>0</v>
      </c>
      <c r="AJ304" s="62" t="s">
        <v>147</v>
      </c>
      <c r="AK304" s="62" t="s">
        <v>391</v>
      </c>
      <c r="AL304" s="62" t="s">
        <v>392</v>
      </c>
      <c r="AM304" s="62" t="s">
        <v>396</v>
      </c>
      <c r="AN304" s="65" t="n">
        <v>52.7</v>
      </c>
      <c r="AO304" s="62" t="s">
        <v>389</v>
      </c>
      <c r="AP304" s="62" t="s">
        <v>390</v>
      </c>
      <c r="AQ304" s="62" t="s">
        <v>390</v>
      </c>
      <c r="AR304" s="66"/>
      <c r="AS304" s="62"/>
      <c r="AT304" s="65"/>
      <c r="AU304" s="62" t="s">
        <v>397</v>
      </c>
    </row>
    <row r="305" customFormat="false" ht="15" hidden="false" customHeight="false" outlineLevel="0" collapsed="false">
      <c r="A305" s="62" t="s">
        <v>388</v>
      </c>
      <c r="B305" s="63" t="n">
        <v>1628</v>
      </c>
      <c r="C305" s="64" t="n">
        <v>46308.4150031829</v>
      </c>
      <c r="D305" s="62" t="s">
        <v>73</v>
      </c>
      <c r="E305" s="63" t="n">
        <v>9</v>
      </c>
      <c r="F305" s="62" t="s">
        <v>389</v>
      </c>
      <c r="G305" s="62" t="s">
        <v>389</v>
      </c>
      <c r="H305" s="62" t="s">
        <v>389</v>
      </c>
      <c r="I305" s="62" t="s">
        <v>389</v>
      </c>
      <c r="J305" s="65" t="n">
        <v>0.5</v>
      </c>
      <c r="K305" s="62" t="s">
        <v>276</v>
      </c>
      <c r="L305" s="62" t="s">
        <v>389</v>
      </c>
      <c r="M305" s="62" t="s">
        <v>390</v>
      </c>
      <c r="N305" s="62"/>
      <c r="O305" s="62" t="s">
        <v>389</v>
      </c>
      <c r="P305" s="62" t="s">
        <v>390</v>
      </c>
      <c r="Q305" s="62" t="s">
        <v>390</v>
      </c>
      <c r="R305" s="62" t="s">
        <v>277</v>
      </c>
      <c r="S305" s="62" t="s">
        <v>389</v>
      </c>
      <c r="T305" s="65" t="n">
        <v>2876.7</v>
      </c>
      <c r="U305" s="62" t="s">
        <v>276</v>
      </c>
      <c r="V305" s="65" t="n">
        <v>0.7</v>
      </c>
      <c r="W305" s="65" t="n">
        <v>2876.5</v>
      </c>
      <c r="X305" s="63" t="n">
        <v>0</v>
      </c>
      <c r="Y305" s="62" t="s">
        <v>390</v>
      </c>
      <c r="Z305" s="62" t="s">
        <v>389</v>
      </c>
      <c r="AA305" s="62" t="s">
        <v>395</v>
      </c>
      <c r="AB305" s="62" t="s">
        <v>275</v>
      </c>
      <c r="AC305" s="65" t="n">
        <v>27.1</v>
      </c>
      <c r="AD305" s="63" t="n">
        <v>2</v>
      </c>
      <c r="AE305" s="63" t="n">
        <v>18</v>
      </c>
      <c r="AF305" s="63" t="n">
        <v>2</v>
      </c>
      <c r="AG305" s="62" t="s">
        <v>390</v>
      </c>
      <c r="AH305" s="62"/>
      <c r="AI305" s="63" t="n">
        <v>0</v>
      </c>
      <c r="AJ305" s="62" t="s">
        <v>148</v>
      </c>
      <c r="AK305" s="62" t="s">
        <v>391</v>
      </c>
      <c r="AL305" s="62" t="s">
        <v>392</v>
      </c>
      <c r="AM305" s="62" t="s">
        <v>396</v>
      </c>
      <c r="AN305" s="65" t="n">
        <v>52.4</v>
      </c>
      <c r="AO305" s="62" t="s">
        <v>389</v>
      </c>
      <c r="AP305" s="62" t="s">
        <v>390</v>
      </c>
      <c r="AQ305" s="62" t="s">
        <v>390</v>
      </c>
      <c r="AR305" s="66"/>
      <c r="AS305" s="62"/>
      <c r="AT305" s="65"/>
      <c r="AU305" s="62" t="s">
        <v>399</v>
      </c>
    </row>
    <row r="306" customFormat="false" ht="15" hidden="false" customHeight="false" outlineLevel="0" collapsed="false">
      <c r="A306" s="62" t="s">
        <v>388</v>
      </c>
      <c r="B306" s="63" t="n">
        <v>1630</v>
      </c>
      <c r="C306" s="64" t="n">
        <v>46308.4269034375</v>
      </c>
      <c r="D306" s="62" t="s">
        <v>73</v>
      </c>
      <c r="E306" s="63" t="n">
        <v>10</v>
      </c>
      <c r="F306" s="62" t="s">
        <v>389</v>
      </c>
      <c r="G306" s="62" t="s">
        <v>390</v>
      </c>
      <c r="H306" s="62" t="s">
        <v>390</v>
      </c>
      <c r="I306" s="62" t="s">
        <v>389</v>
      </c>
      <c r="J306" s="65"/>
      <c r="K306" s="62" t="s">
        <v>275</v>
      </c>
      <c r="L306" s="62" t="s">
        <v>389</v>
      </c>
      <c r="M306" s="62" t="s">
        <v>390</v>
      </c>
      <c r="N306" s="62"/>
      <c r="O306" s="62" t="s">
        <v>389</v>
      </c>
      <c r="P306" s="62" t="s">
        <v>390</v>
      </c>
      <c r="Q306" s="62" t="s">
        <v>390</v>
      </c>
      <c r="R306" s="62" t="s">
        <v>277</v>
      </c>
      <c r="S306" s="62" t="s">
        <v>389</v>
      </c>
      <c r="T306" s="65" t="n">
        <v>2856.6</v>
      </c>
      <c r="U306" s="62" t="s">
        <v>276</v>
      </c>
      <c r="V306" s="65" t="n">
        <v>2856.6</v>
      </c>
      <c r="W306" s="65"/>
      <c r="X306" s="63" t="n">
        <v>0</v>
      </c>
      <c r="Y306" s="62" t="s">
        <v>390</v>
      </c>
      <c r="Z306" s="62" t="s">
        <v>389</v>
      </c>
      <c r="AA306" s="62" t="s">
        <v>395</v>
      </c>
      <c r="AB306" s="62" t="s">
        <v>275</v>
      </c>
      <c r="AC306" s="65" t="n">
        <v>26.8</v>
      </c>
      <c r="AD306" s="63" t="n">
        <v>1</v>
      </c>
      <c r="AE306" s="63" t="n">
        <v>19</v>
      </c>
      <c r="AF306" s="63" t="n">
        <v>2</v>
      </c>
      <c r="AG306" s="62" t="s">
        <v>390</v>
      </c>
      <c r="AH306" s="62"/>
      <c r="AI306" s="63" t="n">
        <v>0</v>
      </c>
      <c r="AJ306" s="62" t="s">
        <v>147</v>
      </c>
      <c r="AK306" s="62" t="s">
        <v>391</v>
      </c>
      <c r="AL306" s="62" t="s">
        <v>392</v>
      </c>
      <c r="AM306" s="62" t="s">
        <v>396</v>
      </c>
      <c r="AN306" s="65" t="n">
        <v>52.2</v>
      </c>
      <c r="AO306" s="62" t="s">
        <v>389</v>
      </c>
      <c r="AP306" s="62" t="s">
        <v>390</v>
      </c>
      <c r="AQ306" s="62" t="s">
        <v>390</v>
      </c>
      <c r="AR306" s="66"/>
      <c r="AS306" s="62"/>
      <c r="AT306" s="65"/>
      <c r="AU306" s="62" t="s">
        <v>397</v>
      </c>
    </row>
    <row r="307" customFormat="false" ht="15" hidden="false" customHeight="false" outlineLevel="0" collapsed="false">
      <c r="A307" s="62" t="s">
        <v>388</v>
      </c>
      <c r="B307" s="63" t="n">
        <v>1632</v>
      </c>
      <c r="C307" s="64" t="n">
        <v>46308.4350230787</v>
      </c>
      <c r="D307" s="62" t="s">
        <v>73</v>
      </c>
      <c r="E307" s="63" t="n">
        <v>10</v>
      </c>
      <c r="F307" s="62" t="s">
        <v>389</v>
      </c>
      <c r="G307" s="62" t="s">
        <v>389</v>
      </c>
      <c r="H307" s="62" t="s">
        <v>389</v>
      </c>
      <c r="I307" s="62" t="s">
        <v>389</v>
      </c>
      <c r="J307" s="65" t="n">
        <v>0.5</v>
      </c>
      <c r="K307" s="62" t="s">
        <v>276</v>
      </c>
      <c r="L307" s="62" t="s">
        <v>389</v>
      </c>
      <c r="M307" s="62" t="s">
        <v>390</v>
      </c>
      <c r="N307" s="62"/>
      <c r="O307" s="62" t="s">
        <v>389</v>
      </c>
      <c r="P307" s="62" t="s">
        <v>390</v>
      </c>
      <c r="Q307" s="62" t="s">
        <v>390</v>
      </c>
      <c r="R307" s="62" t="s">
        <v>277</v>
      </c>
      <c r="S307" s="62" t="s">
        <v>389</v>
      </c>
      <c r="T307" s="65" t="n">
        <v>2847.5</v>
      </c>
      <c r="U307" s="62" t="s">
        <v>276</v>
      </c>
      <c r="V307" s="65" t="n">
        <v>0.8</v>
      </c>
      <c r="W307" s="65" t="n">
        <v>2847.3</v>
      </c>
      <c r="X307" s="63" t="n">
        <v>0</v>
      </c>
      <c r="Y307" s="62" t="s">
        <v>390</v>
      </c>
      <c r="Z307" s="62" t="s">
        <v>389</v>
      </c>
      <c r="AA307" s="62" t="s">
        <v>395</v>
      </c>
      <c r="AB307" s="62" t="s">
        <v>275</v>
      </c>
      <c r="AC307" s="65" t="n">
        <v>26.6</v>
      </c>
      <c r="AD307" s="63" t="n">
        <v>2</v>
      </c>
      <c r="AE307" s="63" t="n">
        <v>18</v>
      </c>
      <c r="AF307" s="63" t="n">
        <v>2</v>
      </c>
      <c r="AG307" s="62" t="s">
        <v>390</v>
      </c>
      <c r="AH307" s="62"/>
      <c r="AI307" s="63" t="n">
        <v>0</v>
      </c>
      <c r="AJ307" s="62" t="s">
        <v>148</v>
      </c>
      <c r="AK307" s="62" t="s">
        <v>391</v>
      </c>
      <c r="AL307" s="62" t="s">
        <v>392</v>
      </c>
      <c r="AM307" s="62" t="s">
        <v>396</v>
      </c>
      <c r="AN307" s="65" t="n">
        <v>52</v>
      </c>
      <c r="AO307" s="62" t="s">
        <v>389</v>
      </c>
      <c r="AP307" s="62" t="s">
        <v>390</v>
      </c>
      <c r="AQ307" s="62" t="s">
        <v>390</v>
      </c>
      <c r="AR307" s="66"/>
      <c r="AS307" s="62"/>
      <c r="AT307" s="65"/>
      <c r="AU307" s="62" t="s">
        <v>399</v>
      </c>
    </row>
    <row r="308" customFormat="false" ht="15" hidden="false" customHeight="false" outlineLevel="0" collapsed="false">
      <c r="A308" s="62" t="s">
        <v>388</v>
      </c>
      <c r="B308" s="63" t="n">
        <v>1633</v>
      </c>
      <c r="C308" s="64" t="n">
        <v>46308.4365807523</v>
      </c>
      <c r="D308" s="62" t="s">
        <v>73</v>
      </c>
      <c r="E308" s="63" t="n">
        <v>10</v>
      </c>
      <c r="F308" s="62" t="s">
        <v>389</v>
      </c>
      <c r="G308" s="62" t="s">
        <v>390</v>
      </c>
      <c r="H308" s="62" t="s">
        <v>390</v>
      </c>
      <c r="I308" s="62" t="s">
        <v>389</v>
      </c>
      <c r="J308" s="65"/>
      <c r="K308" s="62" t="s">
        <v>275</v>
      </c>
      <c r="L308" s="62" t="s">
        <v>389</v>
      </c>
      <c r="M308" s="62" t="s">
        <v>390</v>
      </c>
      <c r="N308" s="62"/>
      <c r="O308" s="62" t="s">
        <v>389</v>
      </c>
      <c r="P308" s="62" t="s">
        <v>390</v>
      </c>
      <c r="Q308" s="62" t="s">
        <v>390</v>
      </c>
      <c r="R308" s="62" t="s">
        <v>277</v>
      </c>
      <c r="S308" s="62" t="s">
        <v>389</v>
      </c>
      <c r="T308" s="65" t="n">
        <v>2846.1</v>
      </c>
      <c r="U308" s="62" t="s">
        <v>276</v>
      </c>
      <c r="V308" s="65" t="n">
        <v>2846.1</v>
      </c>
      <c r="W308" s="65"/>
      <c r="X308" s="63" t="n">
        <v>0</v>
      </c>
      <c r="Y308" s="62" t="s">
        <v>390</v>
      </c>
      <c r="Z308" s="62" t="s">
        <v>389</v>
      </c>
      <c r="AA308" s="62" t="s">
        <v>395</v>
      </c>
      <c r="AB308" s="62" t="s">
        <v>275</v>
      </c>
      <c r="AC308" s="65" t="n">
        <v>26.6</v>
      </c>
      <c r="AD308" s="63" t="n">
        <v>1</v>
      </c>
      <c r="AE308" s="63" t="n">
        <v>19</v>
      </c>
      <c r="AF308" s="63" t="n">
        <v>2</v>
      </c>
      <c r="AG308" s="62" t="s">
        <v>390</v>
      </c>
      <c r="AH308" s="62"/>
      <c r="AI308" s="63" t="n">
        <v>0</v>
      </c>
      <c r="AJ308" s="62" t="s">
        <v>147</v>
      </c>
      <c r="AK308" s="62" t="s">
        <v>391</v>
      </c>
      <c r="AL308" s="62" t="s">
        <v>392</v>
      </c>
      <c r="AM308" s="62" t="s">
        <v>396</v>
      </c>
      <c r="AN308" s="65" t="n">
        <v>52</v>
      </c>
      <c r="AO308" s="62" t="s">
        <v>389</v>
      </c>
      <c r="AP308" s="62" t="s">
        <v>390</v>
      </c>
      <c r="AQ308" s="62" t="s">
        <v>390</v>
      </c>
      <c r="AR308" s="66"/>
      <c r="AS308" s="62"/>
      <c r="AT308" s="65"/>
      <c r="AU308" s="62" t="s">
        <v>397</v>
      </c>
    </row>
    <row r="309" customFormat="false" ht="15" hidden="false" customHeight="false" outlineLevel="0" collapsed="false">
      <c r="A309" s="62" t="s">
        <v>388</v>
      </c>
      <c r="B309" s="63" t="n">
        <v>1635</v>
      </c>
      <c r="C309" s="64" t="n">
        <v>46308.4423200694</v>
      </c>
      <c r="D309" s="62" t="s">
        <v>73</v>
      </c>
      <c r="E309" s="63" t="n">
        <v>10</v>
      </c>
      <c r="F309" s="62" t="s">
        <v>389</v>
      </c>
      <c r="G309" s="62" t="s">
        <v>390</v>
      </c>
      <c r="H309" s="62" t="s">
        <v>390</v>
      </c>
      <c r="I309" s="62" t="s">
        <v>389</v>
      </c>
      <c r="J309" s="65"/>
      <c r="K309" s="62" t="s">
        <v>275</v>
      </c>
      <c r="L309" s="62" t="s">
        <v>389</v>
      </c>
      <c r="M309" s="62" t="s">
        <v>390</v>
      </c>
      <c r="N309" s="62"/>
      <c r="O309" s="62" t="s">
        <v>389</v>
      </c>
      <c r="P309" s="62" t="s">
        <v>390</v>
      </c>
      <c r="Q309" s="62" t="s">
        <v>390</v>
      </c>
      <c r="R309" s="62" t="s">
        <v>277</v>
      </c>
      <c r="S309" s="62" t="s">
        <v>389</v>
      </c>
      <c r="T309" s="65" t="n">
        <v>38.2</v>
      </c>
      <c r="U309" s="62" t="s">
        <v>277</v>
      </c>
      <c r="V309" s="65" t="n">
        <v>38.2</v>
      </c>
      <c r="W309" s="65" t="n">
        <v>1.2</v>
      </c>
      <c r="X309" s="63" t="n">
        <v>0</v>
      </c>
      <c r="Y309" s="62" t="s">
        <v>390</v>
      </c>
      <c r="Z309" s="62" t="s">
        <v>389</v>
      </c>
      <c r="AA309" s="62" t="s">
        <v>395</v>
      </c>
      <c r="AB309" s="62" t="s">
        <v>276</v>
      </c>
      <c r="AC309" s="65" t="n">
        <v>22.5</v>
      </c>
      <c r="AD309" s="63" t="n">
        <v>4</v>
      </c>
      <c r="AE309" s="63" t="n">
        <v>14</v>
      </c>
      <c r="AF309" s="63" t="n">
        <v>10</v>
      </c>
      <c r="AG309" s="62" t="s">
        <v>390</v>
      </c>
      <c r="AH309" s="62"/>
      <c r="AI309" s="63" t="n">
        <v>0</v>
      </c>
      <c r="AJ309" s="62" t="s">
        <v>150</v>
      </c>
      <c r="AK309" s="62" t="s">
        <v>391</v>
      </c>
      <c r="AL309" s="62" t="s">
        <v>392</v>
      </c>
      <c r="AM309" s="62" t="s">
        <v>396</v>
      </c>
      <c r="AN309" s="65" t="n">
        <v>51.8</v>
      </c>
      <c r="AO309" s="62" t="s">
        <v>389</v>
      </c>
      <c r="AP309" s="62" t="s">
        <v>390</v>
      </c>
      <c r="AQ309" s="62" t="s">
        <v>390</v>
      </c>
      <c r="AR309" s="66"/>
      <c r="AS309" s="62"/>
      <c r="AT309" s="65"/>
      <c r="AU309" s="62" t="s">
        <v>397</v>
      </c>
    </row>
    <row r="310" customFormat="false" ht="15" hidden="false" customHeight="false" outlineLevel="0" collapsed="false">
      <c r="A310" s="62" t="s">
        <v>388</v>
      </c>
      <c r="B310" s="63" t="n">
        <v>1638</v>
      </c>
      <c r="C310" s="64" t="n">
        <v>46308.4565810532</v>
      </c>
      <c r="D310" s="62" t="s">
        <v>73</v>
      </c>
      <c r="E310" s="63" t="n">
        <v>10</v>
      </c>
      <c r="F310" s="62" t="s">
        <v>389</v>
      </c>
      <c r="G310" s="62" t="s">
        <v>389</v>
      </c>
      <c r="H310" s="62" t="s">
        <v>389</v>
      </c>
      <c r="I310" s="62" t="s">
        <v>390</v>
      </c>
      <c r="J310" s="65"/>
      <c r="K310" s="62"/>
      <c r="L310" s="62" t="s">
        <v>390</v>
      </c>
      <c r="M310" s="62" t="s">
        <v>390</v>
      </c>
      <c r="N310" s="62"/>
      <c r="O310" s="62" t="s">
        <v>390</v>
      </c>
      <c r="P310" s="62" t="s">
        <v>390</v>
      </c>
      <c r="Q310" s="62" t="s">
        <v>390</v>
      </c>
      <c r="R310" s="62" t="s">
        <v>277</v>
      </c>
      <c r="S310" s="62" t="s">
        <v>390</v>
      </c>
      <c r="T310" s="65" t="n">
        <v>1</v>
      </c>
      <c r="U310" s="62" t="s">
        <v>277</v>
      </c>
      <c r="V310" s="65" t="n">
        <v>1</v>
      </c>
      <c r="W310" s="65" t="n">
        <v>0.7</v>
      </c>
      <c r="X310" s="63" t="n">
        <v>0</v>
      </c>
      <c r="Y310" s="62" t="s">
        <v>390</v>
      </c>
      <c r="Z310" s="62" t="s">
        <v>389</v>
      </c>
      <c r="AA310" s="62" t="s">
        <v>395</v>
      </c>
      <c r="AB310" s="62" t="s">
        <v>277</v>
      </c>
      <c r="AC310" s="65" t="n">
        <v>28.6</v>
      </c>
      <c r="AD310" s="63" t="n">
        <v>4</v>
      </c>
      <c r="AE310" s="63" t="n">
        <v>2</v>
      </c>
      <c r="AF310" s="63" t="n">
        <v>8</v>
      </c>
      <c r="AG310" s="62" t="s">
        <v>390</v>
      </c>
      <c r="AH310" s="62"/>
      <c r="AI310" s="63" t="n">
        <v>0</v>
      </c>
      <c r="AJ310" s="62" t="s">
        <v>148</v>
      </c>
      <c r="AK310" s="62" t="s">
        <v>402</v>
      </c>
      <c r="AL310" s="62"/>
      <c r="AM310" s="62"/>
      <c r="AN310" s="65"/>
      <c r="AO310" s="62" t="s">
        <v>390</v>
      </c>
      <c r="AP310" s="62"/>
      <c r="AQ310" s="62" t="s">
        <v>390</v>
      </c>
      <c r="AR310" s="66"/>
      <c r="AS310" s="62"/>
      <c r="AT310" s="65"/>
      <c r="AU310" s="62" t="s">
        <v>417</v>
      </c>
    </row>
    <row r="311" customFormat="false" ht="15" hidden="false" customHeight="false" outlineLevel="0" collapsed="false">
      <c r="A311" s="62" t="s">
        <v>388</v>
      </c>
      <c r="B311" s="63" t="n">
        <v>1640</v>
      </c>
      <c r="C311" s="64" t="n">
        <v>46308.459191331</v>
      </c>
      <c r="D311" s="62" t="s">
        <v>73</v>
      </c>
      <c r="E311" s="63" t="n">
        <v>11</v>
      </c>
      <c r="F311" s="62" t="s">
        <v>389</v>
      </c>
      <c r="G311" s="62" t="s">
        <v>390</v>
      </c>
      <c r="H311" s="62" t="s">
        <v>390</v>
      </c>
      <c r="I311" s="62" t="s">
        <v>389</v>
      </c>
      <c r="J311" s="65"/>
      <c r="K311" s="62" t="s">
        <v>275</v>
      </c>
      <c r="L311" s="62" t="s">
        <v>389</v>
      </c>
      <c r="M311" s="62" t="s">
        <v>390</v>
      </c>
      <c r="N311" s="62"/>
      <c r="O311" s="62" t="s">
        <v>389</v>
      </c>
      <c r="P311" s="62" t="s">
        <v>390</v>
      </c>
      <c r="Q311" s="62" t="s">
        <v>390</v>
      </c>
      <c r="R311" s="62" t="s">
        <v>277</v>
      </c>
      <c r="S311" s="62" t="s">
        <v>389</v>
      </c>
      <c r="T311" s="65" t="n">
        <v>1340.4</v>
      </c>
      <c r="U311" s="62" t="s">
        <v>276</v>
      </c>
      <c r="V311" s="65" t="n">
        <v>1340.4</v>
      </c>
      <c r="W311" s="65"/>
      <c r="X311" s="63" t="n">
        <v>0</v>
      </c>
      <c r="Y311" s="62" t="s">
        <v>390</v>
      </c>
      <c r="Z311" s="62" t="s">
        <v>389</v>
      </c>
      <c r="AA311" s="62" t="s">
        <v>395</v>
      </c>
      <c r="AB311" s="62" t="s">
        <v>276</v>
      </c>
      <c r="AC311" s="65" t="n">
        <v>22.3</v>
      </c>
      <c r="AD311" s="63" t="n">
        <v>1</v>
      </c>
      <c r="AE311" s="63" t="n">
        <v>14</v>
      </c>
      <c r="AF311" s="63" t="n">
        <v>4</v>
      </c>
      <c r="AG311" s="62" t="s">
        <v>390</v>
      </c>
      <c r="AH311" s="62"/>
      <c r="AI311" s="63" t="n">
        <v>0</v>
      </c>
      <c r="AJ311" s="62" t="s">
        <v>147</v>
      </c>
      <c r="AK311" s="62" t="s">
        <v>391</v>
      </c>
      <c r="AL311" s="62" t="s">
        <v>392</v>
      </c>
      <c r="AM311" s="62" t="s">
        <v>396</v>
      </c>
      <c r="AN311" s="65" t="n">
        <v>51.4</v>
      </c>
      <c r="AO311" s="62" t="s">
        <v>389</v>
      </c>
      <c r="AP311" s="62" t="s">
        <v>390</v>
      </c>
      <c r="AQ311" s="62" t="s">
        <v>390</v>
      </c>
      <c r="AR311" s="66"/>
      <c r="AS311" s="62"/>
      <c r="AT311" s="65"/>
      <c r="AU311" s="62" t="s">
        <v>397</v>
      </c>
    </row>
    <row r="312" customFormat="false" ht="15" hidden="false" customHeight="false" outlineLevel="0" collapsed="false">
      <c r="A312" s="62" t="s">
        <v>388</v>
      </c>
      <c r="B312" s="63" t="n">
        <v>1641</v>
      </c>
      <c r="C312" s="64" t="n">
        <v>46308.470961794</v>
      </c>
      <c r="D312" s="62" t="s">
        <v>73</v>
      </c>
      <c r="E312" s="63" t="n">
        <v>11</v>
      </c>
      <c r="F312" s="62" t="s">
        <v>389</v>
      </c>
      <c r="G312" s="62" t="s">
        <v>389</v>
      </c>
      <c r="H312" s="62" t="s">
        <v>389</v>
      </c>
      <c r="I312" s="62" t="s">
        <v>389</v>
      </c>
      <c r="J312" s="65" t="n">
        <v>0.2</v>
      </c>
      <c r="K312" s="62" t="s">
        <v>276</v>
      </c>
      <c r="L312" s="62" t="s">
        <v>389</v>
      </c>
      <c r="M312" s="62" t="s">
        <v>390</v>
      </c>
      <c r="N312" s="62"/>
      <c r="O312" s="62" t="s">
        <v>389</v>
      </c>
      <c r="P312" s="62" t="s">
        <v>390</v>
      </c>
      <c r="Q312" s="62" t="s">
        <v>390</v>
      </c>
      <c r="R312" s="62" t="s">
        <v>277</v>
      </c>
      <c r="S312" s="62" t="s">
        <v>389</v>
      </c>
      <c r="T312" s="65" t="n">
        <v>1311.6</v>
      </c>
      <c r="U312" s="62" t="s">
        <v>276</v>
      </c>
      <c r="V312" s="65" t="n">
        <v>1</v>
      </c>
      <c r="W312" s="65" t="n">
        <v>1310.8</v>
      </c>
      <c r="X312" s="63" t="n">
        <v>0</v>
      </c>
      <c r="Y312" s="62" t="s">
        <v>390</v>
      </c>
      <c r="Z312" s="62" t="s">
        <v>389</v>
      </c>
      <c r="AA312" s="62" t="s">
        <v>395</v>
      </c>
      <c r="AB312" s="62" t="s">
        <v>276</v>
      </c>
      <c r="AC312" s="65" t="n">
        <v>21.9</v>
      </c>
      <c r="AD312" s="63" t="n">
        <v>2</v>
      </c>
      <c r="AE312" s="63" t="n">
        <v>13</v>
      </c>
      <c r="AF312" s="63" t="n">
        <v>4</v>
      </c>
      <c r="AG312" s="62" t="s">
        <v>390</v>
      </c>
      <c r="AH312" s="62"/>
      <c r="AI312" s="63" t="n">
        <v>0</v>
      </c>
      <c r="AJ312" s="62" t="s">
        <v>148</v>
      </c>
      <c r="AK312" s="62" t="s">
        <v>391</v>
      </c>
      <c r="AL312" s="62" t="s">
        <v>392</v>
      </c>
      <c r="AM312" s="62" t="s">
        <v>396</v>
      </c>
      <c r="AN312" s="65" t="n">
        <v>51.2</v>
      </c>
      <c r="AO312" s="62" t="s">
        <v>389</v>
      </c>
      <c r="AP312" s="62" t="s">
        <v>390</v>
      </c>
      <c r="AQ312" s="62" t="s">
        <v>390</v>
      </c>
      <c r="AR312" s="66"/>
      <c r="AS312" s="62"/>
      <c r="AT312" s="65"/>
      <c r="AU312" s="62" t="s">
        <v>397</v>
      </c>
    </row>
    <row r="313" customFormat="false" ht="15" hidden="false" customHeight="false" outlineLevel="0" collapsed="false">
      <c r="A313" s="62" t="s">
        <v>388</v>
      </c>
      <c r="B313" s="63" t="n">
        <v>1644</v>
      </c>
      <c r="C313" s="64" t="n">
        <v>46308.4756865278</v>
      </c>
      <c r="D313" s="62" t="s">
        <v>73</v>
      </c>
      <c r="E313" s="63" t="n">
        <v>11</v>
      </c>
      <c r="F313" s="62" t="s">
        <v>389</v>
      </c>
      <c r="G313" s="62" t="s">
        <v>390</v>
      </c>
      <c r="H313" s="62" t="s">
        <v>390</v>
      </c>
      <c r="I313" s="62" t="s">
        <v>389</v>
      </c>
      <c r="J313" s="65"/>
      <c r="K313" s="62" t="s">
        <v>275</v>
      </c>
      <c r="L313" s="62" t="s">
        <v>389</v>
      </c>
      <c r="M313" s="62" t="s">
        <v>390</v>
      </c>
      <c r="N313" s="62"/>
      <c r="O313" s="62" t="s">
        <v>389</v>
      </c>
      <c r="P313" s="62" t="s">
        <v>390</v>
      </c>
      <c r="Q313" s="62" t="s">
        <v>390</v>
      </c>
      <c r="R313" s="62" t="s">
        <v>277</v>
      </c>
      <c r="S313" s="62" t="s">
        <v>389</v>
      </c>
      <c r="T313" s="65" t="n">
        <v>1317</v>
      </c>
      <c r="U313" s="62" t="s">
        <v>276</v>
      </c>
      <c r="V313" s="65" t="n">
        <v>1317</v>
      </c>
      <c r="W313" s="65"/>
      <c r="X313" s="63" t="n">
        <v>0</v>
      </c>
      <c r="Y313" s="62" t="s">
        <v>390</v>
      </c>
      <c r="Z313" s="62" t="s">
        <v>389</v>
      </c>
      <c r="AA313" s="62" t="s">
        <v>395</v>
      </c>
      <c r="AB313" s="62" t="s">
        <v>276</v>
      </c>
      <c r="AC313" s="65" t="n">
        <v>21.9</v>
      </c>
      <c r="AD313" s="63" t="n">
        <v>1</v>
      </c>
      <c r="AE313" s="63" t="n">
        <v>14</v>
      </c>
      <c r="AF313" s="63" t="n">
        <v>4</v>
      </c>
      <c r="AG313" s="62" t="s">
        <v>390</v>
      </c>
      <c r="AH313" s="62"/>
      <c r="AI313" s="63" t="n">
        <v>0</v>
      </c>
      <c r="AJ313" s="62" t="s">
        <v>147</v>
      </c>
      <c r="AK313" s="62" t="s">
        <v>391</v>
      </c>
      <c r="AL313" s="62" t="s">
        <v>392</v>
      </c>
      <c r="AM313" s="62" t="s">
        <v>396</v>
      </c>
      <c r="AN313" s="65" t="n">
        <v>51.7</v>
      </c>
      <c r="AO313" s="62" t="s">
        <v>389</v>
      </c>
      <c r="AP313" s="62" t="s">
        <v>390</v>
      </c>
      <c r="AQ313" s="62" t="s">
        <v>390</v>
      </c>
      <c r="AR313" s="66"/>
      <c r="AS313" s="62"/>
      <c r="AT313" s="65"/>
      <c r="AU313" s="62" t="s">
        <v>399</v>
      </c>
    </row>
    <row r="314" customFormat="false" ht="15" hidden="false" customHeight="false" outlineLevel="0" collapsed="false">
      <c r="A314" s="62" t="s">
        <v>388</v>
      </c>
      <c r="B314" s="63" t="n">
        <v>1651</v>
      </c>
      <c r="C314" s="64" t="n">
        <v>46308.5138635532</v>
      </c>
      <c r="D314" s="62" t="s">
        <v>73</v>
      </c>
      <c r="E314" s="63" t="n">
        <v>12</v>
      </c>
      <c r="F314" s="62" t="s">
        <v>389</v>
      </c>
      <c r="G314" s="62" t="s">
        <v>389</v>
      </c>
      <c r="H314" s="62" t="s">
        <v>389</v>
      </c>
      <c r="I314" s="62" t="s">
        <v>389</v>
      </c>
      <c r="J314" s="65" t="n">
        <v>8.7</v>
      </c>
      <c r="K314" s="62" t="s">
        <v>277</v>
      </c>
      <c r="L314" s="62" t="s">
        <v>389</v>
      </c>
      <c r="M314" s="62" t="s">
        <v>389</v>
      </c>
      <c r="N314" s="62" t="s">
        <v>303</v>
      </c>
      <c r="O314" s="62" t="s">
        <v>389</v>
      </c>
      <c r="P314" s="62" t="s">
        <v>389</v>
      </c>
      <c r="Q314" s="62" t="s">
        <v>390</v>
      </c>
      <c r="R314" s="62" t="s">
        <v>277</v>
      </c>
      <c r="S314" s="62" t="s">
        <v>390</v>
      </c>
      <c r="T314" s="65" t="n">
        <v>18.2</v>
      </c>
      <c r="U314" s="62" t="s">
        <v>277</v>
      </c>
      <c r="V314" s="65" t="n">
        <v>10.2</v>
      </c>
      <c r="W314" s="65" t="n">
        <v>3.2</v>
      </c>
      <c r="X314" s="63" t="n">
        <v>0</v>
      </c>
      <c r="Y314" s="62" t="s">
        <v>389</v>
      </c>
      <c r="Z314" s="62" t="s">
        <v>389</v>
      </c>
      <c r="AA314" s="62" t="s">
        <v>395</v>
      </c>
      <c r="AB314" s="62" t="s">
        <v>275</v>
      </c>
      <c r="AC314" s="65" t="n">
        <v>28.6</v>
      </c>
      <c r="AD314" s="63" t="n">
        <v>4</v>
      </c>
      <c r="AE314" s="63" t="n">
        <v>20</v>
      </c>
      <c r="AF314" s="63" t="n">
        <v>5</v>
      </c>
      <c r="AG314" s="62" t="s">
        <v>390</v>
      </c>
      <c r="AH314" s="62"/>
      <c r="AI314" s="63" t="n">
        <v>0</v>
      </c>
      <c r="AJ314" s="62" t="s">
        <v>151</v>
      </c>
      <c r="AK314" s="62" t="s">
        <v>402</v>
      </c>
      <c r="AL314" s="62"/>
      <c r="AM314" s="62"/>
      <c r="AN314" s="65"/>
      <c r="AO314" s="62" t="s">
        <v>390</v>
      </c>
      <c r="AP314" s="62"/>
      <c r="AQ314" s="62" t="s">
        <v>390</v>
      </c>
      <c r="AR314" s="66"/>
      <c r="AS314" s="62"/>
      <c r="AT314" s="65"/>
      <c r="AU314" s="62" t="s">
        <v>397</v>
      </c>
    </row>
    <row r="315" customFormat="false" ht="15" hidden="false" customHeight="false" outlineLevel="0" collapsed="false">
      <c r="A315" s="62" t="s">
        <v>388</v>
      </c>
      <c r="B315" s="63" t="n">
        <v>1661</v>
      </c>
      <c r="C315" s="64" t="n">
        <v>46308.5716302546</v>
      </c>
      <c r="D315" s="62" t="s">
        <v>73</v>
      </c>
      <c r="E315" s="63" t="n">
        <v>13</v>
      </c>
      <c r="F315" s="62" t="s">
        <v>389</v>
      </c>
      <c r="G315" s="62" t="s">
        <v>389</v>
      </c>
      <c r="H315" s="62" t="s">
        <v>389</v>
      </c>
      <c r="I315" s="62" t="s">
        <v>389</v>
      </c>
      <c r="J315" s="65" t="n">
        <v>0.7</v>
      </c>
      <c r="K315" s="62" t="s">
        <v>279</v>
      </c>
      <c r="L315" s="62" t="s">
        <v>389</v>
      </c>
      <c r="M315" s="62" t="s">
        <v>389</v>
      </c>
      <c r="N315" s="62" t="s">
        <v>303</v>
      </c>
      <c r="O315" s="62" t="s">
        <v>389</v>
      </c>
      <c r="P315" s="62" t="s">
        <v>389</v>
      </c>
      <c r="Q315" s="62" t="s">
        <v>389</v>
      </c>
      <c r="R315" s="62" t="s">
        <v>279</v>
      </c>
      <c r="S315" s="62" t="s">
        <v>389</v>
      </c>
      <c r="T315" s="65" t="n">
        <v>3.9</v>
      </c>
      <c r="U315" s="62" t="s">
        <v>279</v>
      </c>
      <c r="V315" s="65" t="n">
        <v>1.1</v>
      </c>
      <c r="W315" s="65" t="n">
        <v>2.4</v>
      </c>
      <c r="X315" s="63" t="n">
        <v>0</v>
      </c>
      <c r="Y315" s="62" t="s">
        <v>389</v>
      </c>
      <c r="Z315" s="62" t="s">
        <v>389</v>
      </c>
      <c r="AA315" s="62" t="s">
        <v>265</v>
      </c>
      <c r="AB315" s="62" t="s">
        <v>276</v>
      </c>
      <c r="AC315" s="65" t="n">
        <v>44.3</v>
      </c>
      <c r="AD315" s="63" t="n">
        <v>36</v>
      </c>
      <c r="AE315" s="63" t="n">
        <v>22</v>
      </c>
      <c r="AF315" s="63" t="n">
        <v>43</v>
      </c>
      <c r="AG315" s="62" t="s">
        <v>389</v>
      </c>
      <c r="AH315" s="62" t="s">
        <v>422</v>
      </c>
      <c r="AI315" s="63" t="n">
        <v>0</v>
      </c>
      <c r="AJ315" s="62" t="s">
        <v>154</v>
      </c>
      <c r="AK315" s="62" t="s">
        <v>407</v>
      </c>
      <c r="AL315" s="62"/>
      <c r="AM315" s="62"/>
      <c r="AN315" s="65"/>
      <c r="AO315" s="62" t="s">
        <v>390</v>
      </c>
      <c r="AP315" s="62"/>
      <c r="AQ315" s="62" t="s">
        <v>389</v>
      </c>
      <c r="AR315" s="66" t="n">
        <v>3799</v>
      </c>
      <c r="AS315" s="62" t="s">
        <v>408</v>
      </c>
      <c r="AT315" s="65" t="n">
        <v>53.4</v>
      </c>
      <c r="AU315" s="62" t="s">
        <v>397</v>
      </c>
    </row>
    <row r="316" customFormat="false" ht="15" hidden="false" customHeight="false" outlineLevel="0" collapsed="false">
      <c r="A316" s="62" t="s">
        <v>388</v>
      </c>
      <c r="B316" s="63" t="n">
        <v>1668</v>
      </c>
      <c r="C316" s="64" t="n">
        <v>46308.5937292245</v>
      </c>
      <c r="D316" s="62" t="s">
        <v>73</v>
      </c>
      <c r="E316" s="63" t="n">
        <v>14</v>
      </c>
      <c r="F316" s="62" t="s">
        <v>389</v>
      </c>
      <c r="G316" s="62" t="s">
        <v>389</v>
      </c>
      <c r="H316" s="62" t="s">
        <v>389</v>
      </c>
      <c r="I316" s="62" t="s">
        <v>389</v>
      </c>
      <c r="J316" s="65" t="n">
        <v>0.4</v>
      </c>
      <c r="K316" s="62" t="s">
        <v>279</v>
      </c>
      <c r="L316" s="62" t="s">
        <v>389</v>
      </c>
      <c r="M316" s="62" t="s">
        <v>389</v>
      </c>
      <c r="N316" s="62" t="s">
        <v>303</v>
      </c>
      <c r="O316" s="62" t="s">
        <v>389</v>
      </c>
      <c r="P316" s="62" t="s">
        <v>389</v>
      </c>
      <c r="Q316" s="62" t="s">
        <v>390</v>
      </c>
      <c r="R316" s="62" t="s">
        <v>279</v>
      </c>
      <c r="S316" s="62" t="s">
        <v>389</v>
      </c>
      <c r="T316" s="65" t="n">
        <v>284.9</v>
      </c>
      <c r="U316" s="62" t="s">
        <v>279</v>
      </c>
      <c r="V316" s="65" t="n">
        <v>25.1</v>
      </c>
      <c r="W316" s="65" t="n">
        <v>0.5</v>
      </c>
      <c r="X316" s="63" t="n">
        <v>0</v>
      </c>
      <c r="Y316" s="62" t="s">
        <v>389</v>
      </c>
      <c r="Z316" s="62" t="s">
        <v>390</v>
      </c>
      <c r="AA316" s="62"/>
      <c r="AB316" s="62"/>
      <c r="AC316" s="65"/>
      <c r="AD316" s="63" t="n">
        <v>8</v>
      </c>
      <c r="AE316" s="63" t="n">
        <v>19</v>
      </c>
      <c r="AF316" s="63" t="n">
        <v>12</v>
      </c>
      <c r="AG316" s="62" t="s">
        <v>390</v>
      </c>
      <c r="AH316" s="62"/>
      <c r="AI316" s="63" t="n">
        <v>0</v>
      </c>
      <c r="AJ316" s="62" t="s">
        <v>150</v>
      </c>
      <c r="AK316" s="62" t="s">
        <v>402</v>
      </c>
      <c r="AL316" s="62"/>
      <c r="AM316" s="62"/>
      <c r="AN316" s="65"/>
      <c r="AO316" s="62" t="s">
        <v>390</v>
      </c>
      <c r="AP316" s="62"/>
      <c r="AQ316" s="62" t="s">
        <v>390</v>
      </c>
      <c r="AR316" s="66"/>
      <c r="AS316" s="62"/>
      <c r="AT316" s="65"/>
      <c r="AU316" s="62" t="s">
        <v>397</v>
      </c>
    </row>
    <row r="317" customFormat="false" ht="15" hidden="false" customHeight="false" outlineLevel="0" collapsed="false">
      <c r="A317" s="62" t="s">
        <v>388</v>
      </c>
      <c r="B317" s="63" t="n">
        <v>1670</v>
      </c>
      <c r="C317" s="64" t="n">
        <v>46308.6021492014</v>
      </c>
      <c r="D317" s="62" t="s">
        <v>73</v>
      </c>
      <c r="E317" s="63" t="n">
        <v>14</v>
      </c>
      <c r="F317" s="62" t="s">
        <v>389</v>
      </c>
      <c r="G317" s="62" t="s">
        <v>390</v>
      </c>
      <c r="H317" s="62" t="s">
        <v>390</v>
      </c>
      <c r="I317" s="62" t="s">
        <v>389</v>
      </c>
      <c r="J317" s="65"/>
      <c r="K317" s="62" t="s">
        <v>275</v>
      </c>
      <c r="L317" s="62" t="s">
        <v>389</v>
      </c>
      <c r="M317" s="62" t="s">
        <v>390</v>
      </c>
      <c r="N317" s="62"/>
      <c r="O317" s="62" t="s">
        <v>389</v>
      </c>
      <c r="P317" s="62" t="s">
        <v>390</v>
      </c>
      <c r="Q317" s="62" t="s">
        <v>390</v>
      </c>
      <c r="R317" s="62" t="s">
        <v>277</v>
      </c>
      <c r="S317" s="62" t="s">
        <v>390</v>
      </c>
      <c r="T317" s="65" t="n">
        <v>2919.7</v>
      </c>
      <c r="U317" s="62" t="s">
        <v>277</v>
      </c>
      <c r="V317" s="65" t="n">
        <v>2919.7</v>
      </c>
      <c r="W317" s="65"/>
      <c r="X317" s="63" t="n">
        <v>0</v>
      </c>
      <c r="Y317" s="62" t="s">
        <v>390</v>
      </c>
      <c r="Z317" s="62" t="s">
        <v>389</v>
      </c>
      <c r="AA317" s="62" t="s">
        <v>395</v>
      </c>
      <c r="AB317" s="62" t="s">
        <v>275</v>
      </c>
      <c r="AC317" s="65" t="n">
        <v>26.6</v>
      </c>
      <c r="AD317" s="63" t="n">
        <v>1</v>
      </c>
      <c r="AE317" s="63" t="n">
        <v>19</v>
      </c>
      <c r="AF317" s="63" t="n">
        <v>1</v>
      </c>
      <c r="AG317" s="62" t="s">
        <v>390</v>
      </c>
      <c r="AH317" s="62"/>
      <c r="AI317" s="63" t="n">
        <v>0</v>
      </c>
      <c r="AJ317" s="62" t="s">
        <v>147</v>
      </c>
      <c r="AK317" s="62" t="s">
        <v>402</v>
      </c>
      <c r="AL317" s="62"/>
      <c r="AM317" s="62"/>
      <c r="AN317" s="65"/>
      <c r="AO317" s="62" t="s">
        <v>390</v>
      </c>
      <c r="AP317" s="62"/>
      <c r="AQ317" s="62" t="s">
        <v>390</v>
      </c>
      <c r="AR317" s="66"/>
      <c r="AS317" s="62"/>
      <c r="AT317" s="65"/>
      <c r="AU317" s="62" t="s">
        <v>397</v>
      </c>
    </row>
    <row r="318" customFormat="false" ht="15" hidden="false" customHeight="false" outlineLevel="0" collapsed="false">
      <c r="A318" s="62" t="s">
        <v>388</v>
      </c>
      <c r="B318" s="63" t="n">
        <v>1675</v>
      </c>
      <c r="C318" s="64" t="n">
        <v>46308.6265111806</v>
      </c>
      <c r="D318" s="62" t="s">
        <v>73</v>
      </c>
      <c r="E318" s="63" t="n">
        <v>15</v>
      </c>
      <c r="F318" s="62" t="s">
        <v>389</v>
      </c>
      <c r="G318" s="62" t="s">
        <v>390</v>
      </c>
      <c r="H318" s="62" t="s">
        <v>390</v>
      </c>
      <c r="I318" s="62" t="s">
        <v>389</v>
      </c>
      <c r="J318" s="65"/>
      <c r="K318" s="62" t="s">
        <v>275</v>
      </c>
      <c r="L318" s="62" t="s">
        <v>389</v>
      </c>
      <c r="M318" s="62" t="s">
        <v>390</v>
      </c>
      <c r="N318" s="62"/>
      <c r="O318" s="62" t="s">
        <v>389</v>
      </c>
      <c r="P318" s="62" t="s">
        <v>390</v>
      </c>
      <c r="Q318" s="62" t="s">
        <v>390</v>
      </c>
      <c r="R318" s="62" t="s">
        <v>277</v>
      </c>
      <c r="S318" s="62" t="s">
        <v>390</v>
      </c>
      <c r="T318" s="65" t="n">
        <v>2863.9</v>
      </c>
      <c r="U318" s="62" t="s">
        <v>277</v>
      </c>
      <c r="V318" s="65" t="n">
        <v>2863.9</v>
      </c>
      <c r="W318" s="65"/>
      <c r="X318" s="63" t="n">
        <v>0</v>
      </c>
      <c r="Y318" s="62" t="s">
        <v>390</v>
      </c>
      <c r="Z318" s="62" t="s">
        <v>389</v>
      </c>
      <c r="AA318" s="62" t="s">
        <v>395</v>
      </c>
      <c r="AB318" s="62" t="s">
        <v>275</v>
      </c>
      <c r="AC318" s="65" t="n">
        <v>26.6</v>
      </c>
      <c r="AD318" s="63" t="n">
        <v>1</v>
      </c>
      <c r="AE318" s="63" t="n">
        <v>19</v>
      </c>
      <c r="AF318" s="63" t="n">
        <v>1</v>
      </c>
      <c r="AG318" s="62" t="s">
        <v>390</v>
      </c>
      <c r="AH318" s="62"/>
      <c r="AI318" s="63" t="n">
        <v>0</v>
      </c>
      <c r="AJ318" s="62" t="s">
        <v>147</v>
      </c>
      <c r="AK318" s="62" t="s">
        <v>402</v>
      </c>
      <c r="AL318" s="62"/>
      <c r="AM318" s="62"/>
      <c r="AN318" s="65"/>
      <c r="AO318" s="62" t="s">
        <v>390</v>
      </c>
      <c r="AP318" s="62"/>
      <c r="AQ318" s="62" t="s">
        <v>390</v>
      </c>
      <c r="AR318" s="66"/>
      <c r="AS318" s="62"/>
      <c r="AT318" s="65"/>
      <c r="AU318" s="62" t="s">
        <v>397</v>
      </c>
    </row>
    <row r="319" customFormat="false" ht="15" hidden="false" customHeight="false" outlineLevel="0" collapsed="false">
      <c r="A319" s="62" t="s">
        <v>388</v>
      </c>
      <c r="B319" s="63" t="n">
        <v>1677</v>
      </c>
      <c r="C319" s="64" t="n">
        <v>46308.6443366667</v>
      </c>
      <c r="D319" s="62" t="s">
        <v>73</v>
      </c>
      <c r="E319" s="63" t="n">
        <v>15</v>
      </c>
      <c r="F319" s="62" t="s">
        <v>389</v>
      </c>
      <c r="G319" s="62" t="s">
        <v>389</v>
      </c>
      <c r="H319" s="62" t="s">
        <v>389</v>
      </c>
      <c r="I319" s="62" t="s">
        <v>389</v>
      </c>
      <c r="J319" s="65" t="n">
        <v>0.3</v>
      </c>
      <c r="K319" s="62" t="s">
        <v>278</v>
      </c>
      <c r="L319" s="62" t="s">
        <v>389</v>
      </c>
      <c r="M319" s="62" t="s">
        <v>389</v>
      </c>
      <c r="N319" s="62" t="s">
        <v>304</v>
      </c>
      <c r="O319" s="62" t="s">
        <v>389</v>
      </c>
      <c r="P319" s="62" t="s">
        <v>389</v>
      </c>
      <c r="Q319" s="62" t="s">
        <v>390</v>
      </c>
      <c r="R319" s="62" t="s">
        <v>277</v>
      </c>
      <c r="S319" s="62" t="s">
        <v>390</v>
      </c>
      <c r="T319" s="65" t="n">
        <v>7.2</v>
      </c>
      <c r="U319" s="62" t="s">
        <v>277</v>
      </c>
      <c r="V319" s="65" t="n">
        <v>0.6</v>
      </c>
      <c r="W319" s="65" t="n">
        <v>4.4</v>
      </c>
      <c r="X319" s="63" t="n">
        <v>0</v>
      </c>
      <c r="Y319" s="62" t="s">
        <v>389</v>
      </c>
      <c r="Z319" s="62" t="s">
        <v>389</v>
      </c>
      <c r="AA319" s="62" t="s">
        <v>265</v>
      </c>
      <c r="AB319" s="62" t="s">
        <v>275</v>
      </c>
      <c r="AC319" s="65" t="n">
        <v>45.6</v>
      </c>
      <c r="AD319" s="63" t="n">
        <v>4</v>
      </c>
      <c r="AE319" s="63" t="n">
        <v>20</v>
      </c>
      <c r="AF319" s="63" t="n">
        <v>3</v>
      </c>
      <c r="AG319" s="62" t="s">
        <v>390</v>
      </c>
      <c r="AH319" s="62"/>
      <c r="AI319" s="63" t="n">
        <v>0</v>
      </c>
      <c r="AJ319" s="62" t="s">
        <v>149</v>
      </c>
      <c r="AK319" s="62" t="s">
        <v>402</v>
      </c>
      <c r="AL319" s="62"/>
      <c r="AM319" s="62"/>
      <c r="AN319" s="65"/>
      <c r="AO319" s="62" t="s">
        <v>390</v>
      </c>
      <c r="AP319" s="62"/>
      <c r="AQ319" s="62" t="s">
        <v>390</v>
      </c>
      <c r="AR319" s="66"/>
      <c r="AS319" s="62"/>
      <c r="AT319" s="65"/>
      <c r="AU319" s="62" t="s">
        <v>397</v>
      </c>
    </row>
    <row r="320" customFormat="false" ht="15" hidden="false" customHeight="false" outlineLevel="0" collapsed="false">
      <c r="A320" s="62" t="s">
        <v>388</v>
      </c>
      <c r="B320" s="63" t="n">
        <v>1679</v>
      </c>
      <c r="C320" s="64" t="n">
        <v>46308.644905</v>
      </c>
      <c r="D320" s="62" t="s">
        <v>73</v>
      </c>
      <c r="E320" s="63" t="n">
        <v>15</v>
      </c>
      <c r="F320" s="62" t="s">
        <v>389</v>
      </c>
      <c r="G320" s="62" t="s">
        <v>389</v>
      </c>
      <c r="H320" s="62" t="s">
        <v>389</v>
      </c>
      <c r="I320" s="62" t="s">
        <v>389</v>
      </c>
      <c r="J320" s="65" t="n">
        <v>1.3</v>
      </c>
      <c r="K320" s="62" t="s">
        <v>277</v>
      </c>
      <c r="L320" s="62" t="s">
        <v>389</v>
      </c>
      <c r="M320" s="62" t="s">
        <v>390</v>
      </c>
      <c r="N320" s="62"/>
      <c r="O320" s="62" t="s">
        <v>389</v>
      </c>
      <c r="P320" s="62" t="s">
        <v>390</v>
      </c>
      <c r="Q320" s="62" t="s">
        <v>390</v>
      </c>
      <c r="R320" s="62" t="s">
        <v>277</v>
      </c>
      <c r="S320" s="62" t="s">
        <v>390</v>
      </c>
      <c r="T320" s="65" t="n">
        <v>2837.2</v>
      </c>
      <c r="U320" s="62" t="s">
        <v>277</v>
      </c>
      <c r="V320" s="65" t="n">
        <v>3.8</v>
      </c>
      <c r="W320" s="65" t="n">
        <v>2834.7</v>
      </c>
      <c r="X320" s="63" t="n">
        <v>0</v>
      </c>
      <c r="Y320" s="62" t="s">
        <v>390</v>
      </c>
      <c r="Z320" s="62" t="s">
        <v>389</v>
      </c>
      <c r="AA320" s="62" t="s">
        <v>395</v>
      </c>
      <c r="AB320" s="62" t="s">
        <v>275</v>
      </c>
      <c r="AC320" s="65" t="n">
        <v>26.1</v>
      </c>
      <c r="AD320" s="63" t="n">
        <v>2</v>
      </c>
      <c r="AE320" s="63" t="n">
        <v>18</v>
      </c>
      <c r="AF320" s="63" t="n">
        <v>1</v>
      </c>
      <c r="AG320" s="62" t="s">
        <v>390</v>
      </c>
      <c r="AH320" s="62"/>
      <c r="AI320" s="63" t="n">
        <v>0</v>
      </c>
      <c r="AJ320" s="62" t="s">
        <v>148</v>
      </c>
      <c r="AK320" s="62" t="s">
        <v>402</v>
      </c>
      <c r="AL320" s="62"/>
      <c r="AM320" s="62"/>
      <c r="AN320" s="65"/>
      <c r="AO320" s="62" t="s">
        <v>390</v>
      </c>
      <c r="AP320" s="62"/>
      <c r="AQ320" s="62" t="s">
        <v>390</v>
      </c>
      <c r="AR320" s="66"/>
      <c r="AS320" s="62"/>
      <c r="AT320" s="65"/>
      <c r="AU320" s="62" t="s">
        <v>397</v>
      </c>
    </row>
    <row r="321" customFormat="false" ht="15" hidden="false" customHeight="false" outlineLevel="0" collapsed="false">
      <c r="A321" s="62" t="s">
        <v>388</v>
      </c>
      <c r="B321" s="63" t="n">
        <v>1682</v>
      </c>
      <c r="C321" s="64" t="n">
        <v>46308.6712487963</v>
      </c>
      <c r="D321" s="62" t="s">
        <v>73</v>
      </c>
      <c r="E321" s="63" t="n">
        <v>16</v>
      </c>
      <c r="F321" s="62" t="s">
        <v>389</v>
      </c>
      <c r="G321" s="62" t="s">
        <v>389</v>
      </c>
      <c r="H321" s="62" t="s">
        <v>389</v>
      </c>
      <c r="I321" s="62" t="s">
        <v>389</v>
      </c>
      <c r="J321" s="65" t="n">
        <v>0.3</v>
      </c>
      <c r="K321" s="62" t="s">
        <v>277</v>
      </c>
      <c r="L321" s="62" t="s">
        <v>389</v>
      </c>
      <c r="M321" s="62" t="s">
        <v>389</v>
      </c>
      <c r="N321" s="62" t="s">
        <v>307</v>
      </c>
      <c r="O321" s="62" t="s">
        <v>389</v>
      </c>
      <c r="P321" s="62" t="s">
        <v>389</v>
      </c>
      <c r="Q321" s="62" t="s">
        <v>390</v>
      </c>
      <c r="R321" s="62" t="s">
        <v>277</v>
      </c>
      <c r="S321" s="62" t="s">
        <v>389</v>
      </c>
      <c r="T321" s="65" t="n">
        <v>4.3</v>
      </c>
      <c r="U321" s="62" t="s">
        <v>277</v>
      </c>
      <c r="V321" s="65" t="n">
        <v>0.8</v>
      </c>
      <c r="W321" s="65" t="n">
        <v>1.6</v>
      </c>
      <c r="X321" s="63" t="n">
        <v>0</v>
      </c>
      <c r="Y321" s="62" t="s">
        <v>389</v>
      </c>
      <c r="Z321" s="62" t="s">
        <v>390</v>
      </c>
      <c r="AA321" s="62"/>
      <c r="AB321" s="62"/>
      <c r="AC321" s="65"/>
      <c r="AD321" s="63" t="n">
        <v>10</v>
      </c>
      <c r="AE321" s="63" t="n">
        <v>19</v>
      </c>
      <c r="AF321" s="63" t="n">
        <v>19</v>
      </c>
      <c r="AG321" s="62" t="s">
        <v>390</v>
      </c>
      <c r="AH321" s="62"/>
      <c r="AI321" s="63" t="n">
        <v>0</v>
      </c>
      <c r="AJ321" s="62" t="s">
        <v>150</v>
      </c>
      <c r="AK321" s="62" t="s">
        <v>402</v>
      </c>
      <c r="AL321" s="62"/>
      <c r="AM321" s="62"/>
      <c r="AN321" s="65"/>
      <c r="AO321" s="62" t="s">
        <v>390</v>
      </c>
      <c r="AP321" s="62"/>
      <c r="AQ321" s="62" t="s">
        <v>390</v>
      </c>
      <c r="AR321" s="66"/>
      <c r="AS321" s="62"/>
      <c r="AT321" s="65"/>
      <c r="AU321" s="62" t="s">
        <v>401</v>
      </c>
    </row>
    <row r="322" customFormat="false" ht="15" hidden="false" customHeight="false" outlineLevel="0" collapsed="false">
      <c r="A322" s="62" t="s">
        <v>388</v>
      </c>
      <c r="B322" s="63" t="n">
        <v>1683</v>
      </c>
      <c r="C322" s="64" t="n">
        <v>46308.6718831829</v>
      </c>
      <c r="D322" s="62" t="s">
        <v>73</v>
      </c>
      <c r="E322" s="63" t="n">
        <v>16</v>
      </c>
      <c r="F322" s="62" t="s">
        <v>389</v>
      </c>
      <c r="G322" s="62" t="s">
        <v>390</v>
      </c>
      <c r="H322" s="62" t="s">
        <v>390</v>
      </c>
      <c r="I322" s="62" t="s">
        <v>389</v>
      </c>
      <c r="J322" s="65"/>
      <c r="K322" s="62" t="s">
        <v>275</v>
      </c>
      <c r="L322" s="62" t="s">
        <v>389</v>
      </c>
      <c r="M322" s="62" t="s">
        <v>390</v>
      </c>
      <c r="N322" s="62"/>
      <c r="O322" s="62" t="s">
        <v>389</v>
      </c>
      <c r="P322" s="62" t="s">
        <v>390</v>
      </c>
      <c r="Q322" s="62" t="s">
        <v>390</v>
      </c>
      <c r="R322" s="62" t="s">
        <v>277</v>
      </c>
      <c r="S322" s="62" t="s">
        <v>390</v>
      </c>
      <c r="T322" s="65" t="n">
        <v>2817.2</v>
      </c>
      <c r="U322" s="62" t="s">
        <v>277</v>
      </c>
      <c r="V322" s="65" t="n">
        <v>2817.2</v>
      </c>
      <c r="W322" s="65"/>
      <c r="X322" s="63" t="n">
        <v>0</v>
      </c>
      <c r="Y322" s="62" t="s">
        <v>390</v>
      </c>
      <c r="Z322" s="62" t="s">
        <v>389</v>
      </c>
      <c r="AA322" s="62" t="s">
        <v>395</v>
      </c>
      <c r="AB322" s="62" t="s">
        <v>275</v>
      </c>
      <c r="AC322" s="65" t="n">
        <v>26.6</v>
      </c>
      <c r="AD322" s="63" t="n">
        <v>1</v>
      </c>
      <c r="AE322" s="63" t="n">
        <v>19</v>
      </c>
      <c r="AF322" s="63" t="n">
        <v>1</v>
      </c>
      <c r="AG322" s="62" t="s">
        <v>390</v>
      </c>
      <c r="AH322" s="62"/>
      <c r="AI322" s="63" t="n">
        <v>0</v>
      </c>
      <c r="AJ322" s="62" t="s">
        <v>147</v>
      </c>
      <c r="AK322" s="62" t="s">
        <v>402</v>
      </c>
      <c r="AL322" s="62"/>
      <c r="AM322" s="62"/>
      <c r="AN322" s="65"/>
      <c r="AO322" s="62" t="s">
        <v>390</v>
      </c>
      <c r="AP322" s="62"/>
      <c r="AQ322" s="62" t="s">
        <v>390</v>
      </c>
      <c r="AR322" s="66"/>
      <c r="AS322" s="62"/>
      <c r="AT322" s="65"/>
      <c r="AU322" s="62" t="s">
        <v>397</v>
      </c>
    </row>
    <row r="323" customFormat="false" ht="15" hidden="false" customHeight="false" outlineLevel="0" collapsed="false">
      <c r="A323" s="62" t="s">
        <v>388</v>
      </c>
      <c r="B323" s="63" t="n">
        <v>1686</v>
      </c>
      <c r="C323" s="64" t="n">
        <v>46308.6797831366</v>
      </c>
      <c r="D323" s="62" t="s">
        <v>73</v>
      </c>
      <c r="E323" s="63" t="n">
        <v>16</v>
      </c>
      <c r="F323" s="62" t="s">
        <v>389</v>
      </c>
      <c r="G323" s="62" t="s">
        <v>390</v>
      </c>
      <c r="H323" s="62" t="s">
        <v>390</v>
      </c>
      <c r="I323" s="62" t="s">
        <v>389</v>
      </c>
      <c r="J323" s="65"/>
      <c r="K323" s="62" t="s">
        <v>275</v>
      </c>
      <c r="L323" s="62" t="s">
        <v>389</v>
      </c>
      <c r="M323" s="62" t="s">
        <v>390</v>
      </c>
      <c r="N323" s="62"/>
      <c r="O323" s="62" t="s">
        <v>389</v>
      </c>
      <c r="P323" s="62" t="s">
        <v>389</v>
      </c>
      <c r="Q323" s="62" t="s">
        <v>390</v>
      </c>
      <c r="R323" s="62" t="s">
        <v>277</v>
      </c>
      <c r="S323" s="62" t="s">
        <v>390</v>
      </c>
      <c r="T323" s="65"/>
      <c r="U323" s="62"/>
      <c r="V323" s="65"/>
      <c r="W323" s="65"/>
      <c r="X323" s="63" t="n">
        <v>1</v>
      </c>
      <c r="Y323" s="62" t="s">
        <v>390</v>
      </c>
      <c r="Z323" s="62" t="s">
        <v>389</v>
      </c>
      <c r="AA323" s="62" t="s">
        <v>265</v>
      </c>
      <c r="AB323" s="62" t="s">
        <v>275</v>
      </c>
      <c r="AC323" s="65" t="n">
        <v>26.6</v>
      </c>
      <c r="AD323" s="63" t="n">
        <v>2</v>
      </c>
      <c r="AE323" s="63" t="n">
        <v>26</v>
      </c>
      <c r="AF323" s="63" t="n">
        <v>0</v>
      </c>
      <c r="AG323" s="62" t="s">
        <v>389</v>
      </c>
      <c r="AH323" s="62" t="s">
        <v>405</v>
      </c>
      <c r="AI323" s="63" t="n">
        <v>0</v>
      </c>
      <c r="AJ323" s="62" t="s">
        <v>150</v>
      </c>
      <c r="AK323" s="62" t="s">
        <v>402</v>
      </c>
      <c r="AL323" s="62"/>
      <c r="AM323" s="62"/>
      <c r="AN323" s="65"/>
      <c r="AO323" s="62" t="s">
        <v>390</v>
      </c>
      <c r="AP323" s="62"/>
      <c r="AQ323" s="62" t="s">
        <v>390</v>
      </c>
      <c r="AR323" s="66"/>
      <c r="AS323" s="62"/>
      <c r="AT323" s="65"/>
      <c r="AU323" s="62" t="s">
        <v>397</v>
      </c>
    </row>
    <row r="324" customFormat="false" ht="15" hidden="false" customHeight="false" outlineLevel="0" collapsed="false">
      <c r="A324" s="62" t="s">
        <v>388</v>
      </c>
      <c r="B324" s="63" t="n">
        <v>1690</v>
      </c>
      <c r="C324" s="64" t="n">
        <v>46308.6877122569</v>
      </c>
      <c r="D324" s="62" t="s">
        <v>73</v>
      </c>
      <c r="E324" s="63" t="n">
        <v>16</v>
      </c>
      <c r="F324" s="62" t="s">
        <v>389</v>
      </c>
      <c r="G324" s="62" t="s">
        <v>389</v>
      </c>
      <c r="H324" s="62" t="s">
        <v>389</v>
      </c>
      <c r="I324" s="62" t="s">
        <v>389</v>
      </c>
      <c r="J324" s="65" t="n">
        <v>0.3</v>
      </c>
      <c r="K324" s="62" t="s">
        <v>279</v>
      </c>
      <c r="L324" s="62" t="s">
        <v>389</v>
      </c>
      <c r="M324" s="62" t="s">
        <v>390</v>
      </c>
      <c r="N324" s="62"/>
      <c r="O324" s="62" t="s">
        <v>389</v>
      </c>
      <c r="P324" s="62" t="s">
        <v>390</v>
      </c>
      <c r="Q324" s="62" t="s">
        <v>390</v>
      </c>
      <c r="R324" s="62" t="s">
        <v>279</v>
      </c>
      <c r="S324" s="62" t="s">
        <v>390</v>
      </c>
      <c r="T324" s="65" t="n">
        <v>1202.7</v>
      </c>
      <c r="U324" s="62" t="s">
        <v>279</v>
      </c>
      <c r="V324" s="65" t="n">
        <v>1.5</v>
      </c>
      <c r="W324" s="65" t="n">
        <v>1201.5</v>
      </c>
      <c r="X324" s="63" t="n">
        <v>0</v>
      </c>
      <c r="Y324" s="62" t="s">
        <v>390</v>
      </c>
      <c r="Z324" s="62" t="s">
        <v>389</v>
      </c>
      <c r="AA324" s="62" t="s">
        <v>395</v>
      </c>
      <c r="AB324" s="62" t="s">
        <v>275</v>
      </c>
      <c r="AC324" s="65" t="n">
        <v>26.1</v>
      </c>
      <c r="AD324" s="63" t="n">
        <v>2</v>
      </c>
      <c r="AE324" s="63" t="n">
        <v>18</v>
      </c>
      <c r="AF324" s="63" t="n">
        <v>2</v>
      </c>
      <c r="AG324" s="62" t="s">
        <v>390</v>
      </c>
      <c r="AH324" s="62"/>
      <c r="AI324" s="63" t="n">
        <v>0</v>
      </c>
      <c r="AJ324" s="62" t="s">
        <v>148</v>
      </c>
      <c r="AK324" s="62" t="s">
        <v>402</v>
      </c>
      <c r="AL324" s="62"/>
      <c r="AM324" s="62"/>
      <c r="AN324" s="65"/>
      <c r="AO324" s="62" t="s">
        <v>390</v>
      </c>
      <c r="AP324" s="62"/>
      <c r="AQ324" s="62" t="s">
        <v>390</v>
      </c>
      <c r="AR324" s="66"/>
      <c r="AS324" s="62"/>
      <c r="AT324" s="65"/>
      <c r="AU324" s="62" t="s">
        <v>397</v>
      </c>
    </row>
    <row r="325" customFormat="false" ht="15" hidden="false" customHeight="false" outlineLevel="0" collapsed="false">
      <c r="A325" s="62" t="s">
        <v>388</v>
      </c>
      <c r="B325" s="63" t="n">
        <v>1691</v>
      </c>
      <c r="C325" s="64" t="n">
        <v>46308.6882713773</v>
      </c>
      <c r="D325" s="62" t="s">
        <v>73</v>
      </c>
      <c r="E325" s="63" t="n">
        <v>16</v>
      </c>
      <c r="F325" s="62" t="s">
        <v>389</v>
      </c>
      <c r="G325" s="62" t="s">
        <v>389</v>
      </c>
      <c r="H325" s="62" t="s">
        <v>389</v>
      </c>
      <c r="I325" s="62" t="s">
        <v>389</v>
      </c>
      <c r="J325" s="65" t="n">
        <v>0.6</v>
      </c>
      <c r="K325" s="62" t="s">
        <v>279</v>
      </c>
      <c r="L325" s="62" t="s">
        <v>389</v>
      </c>
      <c r="M325" s="62" t="s">
        <v>389</v>
      </c>
      <c r="N325" s="62" t="s">
        <v>303</v>
      </c>
      <c r="O325" s="62" t="s">
        <v>389</v>
      </c>
      <c r="P325" s="62" t="s">
        <v>389</v>
      </c>
      <c r="Q325" s="62" t="s">
        <v>390</v>
      </c>
      <c r="R325" s="62" t="s">
        <v>278</v>
      </c>
      <c r="S325" s="62" t="s">
        <v>390</v>
      </c>
      <c r="T325" s="65" t="n">
        <v>58.8</v>
      </c>
      <c r="U325" s="62" t="s">
        <v>278</v>
      </c>
      <c r="V325" s="65" t="n">
        <v>1.1</v>
      </c>
      <c r="W325" s="65" t="n">
        <v>33.8</v>
      </c>
      <c r="X325" s="63" t="n">
        <v>0</v>
      </c>
      <c r="Y325" s="62" t="s">
        <v>389</v>
      </c>
      <c r="Z325" s="62" t="s">
        <v>389</v>
      </c>
      <c r="AA325" s="62" t="s">
        <v>265</v>
      </c>
      <c r="AB325" s="62" t="s">
        <v>275</v>
      </c>
      <c r="AC325" s="65" t="n">
        <v>44.5</v>
      </c>
      <c r="AD325" s="63" t="n">
        <v>5</v>
      </c>
      <c r="AE325" s="63" t="n">
        <v>20</v>
      </c>
      <c r="AF325" s="63" t="n">
        <v>5</v>
      </c>
      <c r="AG325" s="62" t="s">
        <v>390</v>
      </c>
      <c r="AH325" s="62"/>
      <c r="AI325" s="63" t="n">
        <v>0</v>
      </c>
      <c r="AJ325" s="62" t="s">
        <v>149</v>
      </c>
      <c r="AK325" s="62" t="s">
        <v>402</v>
      </c>
      <c r="AL325" s="62"/>
      <c r="AM325" s="62"/>
      <c r="AN325" s="65"/>
      <c r="AO325" s="62" t="s">
        <v>390</v>
      </c>
      <c r="AP325" s="62"/>
      <c r="AQ325" s="62" t="s">
        <v>390</v>
      </c>
      <c r="AR325" s="66"/>
      <c r="AS325" s="62"/>
      <c r="AT325" s="65"/>
      <c r="AU325" s="62" t="s">
        <v>397</v>
      </c>
    </row>
    <row r="326" customFormat="false" ht="15" hidden="false" customHeight="false" outlineLevel="0" collapsed="false">
      <c r="A326" s="62" t="s">
        <v>388</v>
      </c>
      <c r="B326" s="63" t="n">
        <v>1692</v>
      </c>
      <c r="C326" s="64" t="n">
        <v>46308.6884731829</v>
      </c>
      <c r="D326" s="62" t="s">
        <v>73</v>
      </c>
      <c r="E326" s="63" t="n">
        <v>16</v>
      </c>
      <c r="F326" s="62" t="s">
        <v>389</v>
      </c>
      <c r="G326" s="62" t="s">
        <v>390</v>
      </c>
      <c r="H326" s="62" t="s">
        <v>390</v>
      </c>
      <c r="I326" s="62" t="s">
        <v>389</v>
      </c>
      <c r="J326" s="65"/>
      <c r="K326" s="62" t="s">
        <v>275</v>
      </c>
      <c r="L326" s="62" t="s">
        <v>389</v>
      </c>
      <c r="M326" s="62" t="s">
        <v>390</v>
      </c>
      <c r="N326" s="62"/>
      <c r="O326" s="62" t="s">
        <v>389</v>
      </c>
      <c r="P326" s="62" t="s">
        <v>390</v>
      </c>
      <c r="Q326" s="62" t="s">
        <v>390</v>
      </c>
      <c r="R326" s="62" t="s">
        <v>277</v>
      </c>
      <c r="S326" s="62" t="s">
        <v>390</v>
      </c>
      <c r="T326" s="65"/>
      <c r="U326" s="62"/>
      <c r="V326" s="65"/>
      <c r="W326" s="65"/>
      <c r="X326" s="63" t="n">
        <v>0</v>
      </c>
      <c r="Y326" s="62" t="s">
        <v>390</v>
      </c>
      <c r="Z326" s="62" t="s">
        <v>389</v>
      </c>
      <c r="AA326" s="62" t="s">
        <v>265</v>
      </c>
      <c r="AB326" s="62" t="s">
        <v>275</v>
      </c>
      <c r="AC326" s="65" t="n">
        <v>44.5</v>
      </c>
      <c r="AD326" s="63" t="n">
        <v>1</v>
      </c>
      <c r="AE326" s="63" t="n">
        <v>19</v>
      </c>
      <c r="AF326" s="63" t="n">
        <v>0</v>
      </c>
      <c r="AG326" s="62" t="s">
        <v>389</v>
      </c>
      <c r="AH326" s="62" t="s">
        <v>330</v>
      </c>
      <c r="AI326" s="63" t="n">
        <v>0</v>
      </c>
      <c r="AJ326" s="62" t="s">
        <v>147</v>
      </c>
      <c r="AK326" s="62" t="s">
        <v>402</v>
      </c>
      <c r="AL326" s="62"/>
      <c r="AM326" s="62"/>
      <c r="AN326" s="65"/>
      <c r="AO326" s="62" t="s">
        <v>390</v>
      </c>
      <c r="AP326" s="62"/>
      <c r="AQ326" s="62" t="s">
        <v>390</v>
      </c>
      <c r="AR326" s="66"/>
      <c r="AS326" s="62"/>
      <c r="AT326" s="65"/>
      <c r="AU326" s="62" t="s">
        <v>417</v>
      </c>
    </row>
    <row r="327" customFormat="false" ht="15" hidden="false" customHeight="false" outlineLevel="0" collapsed="false">
      <c r="A327" s="62" t="s">
        <v>388</v>
      </c>
      <c r="B327" s="63" t="n">
        <v>1696</v>
      </c>
      <c r="C327" s="64" t="n">
        <v>46308.7033542361</v>
      </c>
      <c r="D327" s="62" t="s">
        <v>73</v>
      </c>
      <c r="E327" s="63" t="n">
        <v>16</v>
      </c>
      <c r="F327" s="62" t="s">
        <v>389</v>
      </c>
      <c r="G327" s="62" t="s">
        <v>390</v>
      </c>
      <c r="H327" s="62" t="s">
        <v>390</v>
      </c>
      <c r="I327" s="62" t="s">
        <v>389</v>
      </c>
      <c r="J327" s="65"/>
      <c r="K327" s="62" t="s">
        <v>275</v>
      </c>
      <c r="L327" s="62" t="s">
        <v>389</v>
      </c>
      <c r="M327" s="62" t="s">
        <v>390</v>
      </c>
      <c r="N327" s="62"/>
      <c r="O327" s="62" t="s">
        <v>389</v>
      </c>
      <c r="P327" s="62" t="s">
        <v>390</v>
      </c>
      <c r="Q327" s="62" t="s">
        <v>390</v>
      </c>
      <c r="R327" s="62" t="s">
        <v>278</v>
      </c>
      <c r="S327" s="62" t="s">
        <v>390</v>
      </c>
      <c r="T327" s="65" t="n">
        <v>36.8</v>
      </c>
      <c r="U327" s="62" t="s">
        <v>278</v>
      </c>
      <c r="V327" s="65" t="n">
        <v>36.8</v>
      </c>
      <c r="W327" s="65" t="n">
        <v>3.5</v>
      </c>
      <c r="X327" s="63" t="n">
        <v>0</v>
      </c>
      <c r="Y327" s="62" t="s">
        <v>390</v>
      </c>
      <c r="Z327" s="62" t="s">
        <v>389</v>
      </c>
      <c r="AA327" s="62" t="s">
        <v>265</v>
      </c>
      <c r="AB327" s="62" t="s">
        <v>275</v>
      </c>
      <c r="AC327" s="65" t="n">
        <v>44.2</v>
      </c>
      <c r="AD327" s="63" t="n">
        <v>2</v>
      </c>
      <c r="AE327" s="63" t="n">
        <v>19</v>
      </c>
      <c r="AF327" s="63" t="n">
        <v>2</v>
      </c>
      <c r="AG327" s="62" t="s">
        <v>390</v>
      </c>
      <c r="AH327" s="62"/>
      <c r="AI327" s="63" t="n">
        <v>0</v>
      </c>
      <c r="AJ327" s="62" t="s">
        <v>149</v>
      </c>
      <c r="AK327" s="62" t="s">
        <v>402</v>
      </c>
      <c r="AL327" s="62"/>
      <c r="AM327" s="62"/>
      <c r="AN327" s="65"/>
      <c r="AO327" s="62" t="s">
        <v>390</v>
      </c>
      <c r="AP327" s="62"/>
      <c r="AQ327" s="62" t="s">
        <v>390</v>
      </c>
      <c r="AR327" s="66"/>
      <c r="AS327" s="62"/>
      <c r="AT327" s="65"/>
      <c r="AU327" s="62" t="s">
        <v>397</v>
      </c>
    </row>
    <row r="328" customFormat="false" ht="15" hidden="false" customHeight="false" outlineLevel="0" collapsed="false">
      <c r="A328" s="62" t="s">
        <v>388</v>
      </c>
      <c r="B328" s="63" t="n">
        <v>1702</v>
      </c>
      <c r="C328" s="64" t="n">
        <v>46308.7256962269</v>
      </c>
      <c r="D328" s="62" t="s">
        <v>73</v>
      </c>
      <c r="E328" s="63" t="n">
        <v>17</v>
      </c>
      <c r="F328" s="62" t="s">
        <v>389</v>
      </c>
      <c r="G328" s="62" t="s">
        <v>389</v>
      </c>
      <c r="H328" s="62" t="s">
        <v>389</v>
      </c>
      <c r="I328" s="62" t="s">
        <v>389</v>
      </c>
      <c r="J328" s="65" t="n">
        <v>0.2</v>
      </c>
      <c r="K328" s="62" t="s">
        <v>279</v>
      </c>
      <c r="L328" s="62" t="s">
        <v>389</v>
      </c>
      <c r="M328" s="62" t="s">
        <v>390</v>
      </c>
      <c r="N328" s="62"/>
      <c r="O328" s="62" t="s">
        <v>389</v>
      </c>
      <c r="P328" s="62" t="s">
        <v>390</v>
      </c>
      <c r="Q328" s="62" t="s">
        <v>390</v>
      </c>
      <c r="R328" s="62" t="s">
        <v>277</v>
      </c>
      <c r="S328" s="62" t="s">
        <v>390</v>
      </c>
      <c r="T328" s="65"/>
      <c r="U328" s="62"/>
      <c r="V328" s="65" t="n">
        <v>0.4</v>
      </c>
      <c r="W328" s="65"/>
      <c r="X328" s="63" t="n">
        <v>1</v>
      </c>
      <c r="Y328" s="62" t="s">
        <v>390</v>
      </c>
      <c r="Z328" s="62" t="s">
        <v>389</v>
      </c>
      <c r="AA328" s="62" t="s">
        <v>265</v>
      </c>
      <c r="AB328" s="62" t="s">
        <v>275</v>
      </c>
      <c r="AC328" s="65" t="n">
        <v>43.6</v>
      </c>
      <c r="AD328" s="63" t="n">
        <v>2</v>
      </c>
      <c r="AE328" s="63" t="n">
        <v>18</v>
      </c>
      <c r="AF328" s="63" t="n">
        <v>0</v>
      </c>
      <c r="AG328" s="62" t="s">
        <v>390</v>
      </c>
      <c r="AH328" s="62"/>
      <c r="AI328" s="63" t="n">
        <v>0</v>
      </c>
      <c r="AJ328" s="62" t="s">
        <v>148</v>
      </c>
      <c r="AK328" s="62" t="s">
        <v>402</v>
      </c>
      <c r="AL328" s="62"/>
      <c r="AM328" s="62"/>
      <c r="AN328" s="65"/>
      <c r="AO328" s="62" t="s">
        <v>390</v>
      </c>
      <c r="AP328" s="62"/>
      <c r="AQ328" s="62" t="s">
        <v>390</v>
      </c>
      <c r="AR328" s="66"/>
      <c r="AS328" s="62"/>
      <c r="AT328" s="65"/>
      <c r="AU328" s="62" t="s">
        <v>397</v>
      </c>
    </row>
    <row r="329" customFormat="false" ht="15" hidden="false" customHeight="false" outlineLevel="0" collapsed="false">
      <c r="A329" s="62" t="s">
        <v>388</v>
      </c>
      <c r="B329" s="63" t="n">
        <v>1705</v>
      </c>
      <c r="C329" s="64" t="n">
        <v>46308.7423295718</v>
      </c>
      <c r="D329" s="62" t="s">
        <v>73</v>
      </c>
      <c r="E329" s="63" t="n">
        <v>17</v>
      </c>
      <c r="F329" s="62" t="s">
        <v>389</v>
      </c>
      <c r="G329" s="62" t="s">
        <v>389</v>
      </c>
      <c r="H329" s="62" t="s">
        <v>389</v>
      </c>
      <c r="I329" s="62" t="s">
        <v>389</v>
      </c>
      <c r="J329" s="65" t="n">
        <v>1.5</v>
      </c>
      <c r="K329" s="62" t="s">
        <v>279</v>
      </c>
      <c r="L329" s="62" t="s">
        <v>389</v>
      </c>
      <c r="M329" s="62" t="s">
        <v>390</v>
      </c>
      <c r="N329" s="62"/>
      <c r="O329" s="62" t="s">
        <v>389</v>
      </c>
      <c r="P329" s="62" t="s">
        <v>390</v>
      </c>
      <c r="Q329" s="62" t="s">
        <v>390</v>
      </c>
      <c r="R329" s="62" t="s">
        <v>279</v>
      </c>
      <c r="S329" s="62" t="s">
        <v>390</v>
      </c>
      <c r="T329" s="65" t="n">
        <v>1124.5</v>
      </c>
      <c r="U329" s="62" t="s">
        <v>279</v>
      </c>
      <c r="V329" s="65" t="n">
        <v>2.3</v>
      </c>
      <c r="W329" s="65" t="n">
        <v>1123.7</v>
      </c>
      <c r="X329" s="63" t="n">
        <v>0</v>
      </c>
      <c r="Y329" s="62" t="s">
        <v>390</v>
      </c>
      <c r="Z329" s="62" t="s">
        <v>389</v>
      </c>
      <c r="AA329" s="62" t="s">
        <v>265</v>
      </c>
      <c r="AB329" s="62" t="s">
        <v>275</v>
      </c>
      <c r="AC329" s="65" t="n">
        <v>43.2</v>
      </c>
      <c r="AD329" s="63" t="n">
        <v>2</v>
      </c>
      <c r="AE329" s="63" t="n">
        <v>18</v>
      </c>
      <c r="AF329" s="63" t="n">
        <v>1</v>
      </c>
      <c r="AG329" s="62" t="s">
        <v>389</v>
      </c>
      <c r="AH329" s="62" t="s">
        <v>398</v>
      </c>
      <c r="AI329" s="63" t="n">
        <v>0</v>
      </c>
      <c r="AJ329" s="62" t="s">
        <v>148</v>
      </c>
      <c r="AK329" s="62" t="s">
        <v>402</v>
      </c>
      <c r="AL329" s="62"/>
      <c r="AM329" s="62"/>
      <c r="AN329" s="65"/>
      <c r="AO329" s="62" t="s">
        <v>390</v>
      </c>
      <c r="AP329" s="62"/>
      <c r="AQ329" s="62" t="s">
        <v>390</v>
      </c>
      <c r="AR329" s="66"/>
      <c r="AS329" s="62"/>
      <c r="AT329" s="65"/>
      <c r="AU329" s="62" t="s">
        <v>417</v>
      </c>
    </row>
    <row r="330" customFormat="false" ht="15" hidden="false" customHeight="false" outlineLevel="0" collapsed="false">
      <c r="A330" s="62" t="s">
        <v>388</v>
      </c>
      <c r="B330" s="63" t="n">
        <v>1709</v>
      </c>
      <c r="C330" s="64" t="n">
        <v>46308.7584853472</v>
      </c>
      <c r="D330" s="62" t="s">
        <v>73</v>
      </c>
      <c r="E330" s="63" t="n">
        <v>18</v>
      </c>
      <c r="F330" s="62" t="s">
        <v>389</v>
      </c>
      <c r="G330" s="62" t="s">
        <v>389</v>
      </c>
      <c r="H330" s="62" t="s">
        <v>389</v>
      </c>
      <c r="I330" s="62" t="s">
        <v>389</v>
      </c>
      <c r="J330" s="65" t="n">
        <v>0.8</v>
      </c>
      <c r="K330" s="62" t="s">
        <v>278</v>
      </c>
      <c r="L330" s="62" t="s">
        <v>389</v>
      </c>
      <c r="M330" s="62" t="s">
        <v>389</v>
      </c>
      <c r="N330" s="62" t="s">
        <v>306</v>
      </c>
      <c r="O330" s="62" t="s">
        <v>389</v>
      </c>
      <c r="P330" s="62" t="s">
        <v>389</v>
      </c>
      <c r="Q330" s="62" t="s">
        <v>390</v>
      </c>
      <c r="R330" s="62" t="s">
        <v>278</v>
      </c>
      <c r="S330" s="62" t="s">
        <v>390</v>
      </c>
      <c r="T330" s="65" t="n">
        <v>22.3</v>
      </c>
      <c r="U330" s="62" t="s">
        <v>278</v>
      </c>
      <c r="V330" s="65" t="n">
        <v>1.2</v>
      </c>
      <c r="W330" s="65" t="n">
        <v>19.8</v>
      </c>
      <c r="X330" s="63" t="n">
        <v>0</v>
      </c>
      <c r="Y330" s="62" t="s">
        <v>389</v>
      </c>
      <c r="Z330" s="62" t="s">
        <v>389</v>
      </c>
      <c r="AA330" s="62" t="s">
        <v>265</v>
      </c>
      <c r="AB330" s="62" t="s">
        <v>275</v>
      </c>
      <c r="AC330" s="65" t="n">
        <v>42.8</v>
      </c>
      <c r="AD330" s="63" t="n">
        <v>3</v>
      </c>
      <c r="AE330" s="63" t="n">
        <v>20</v>
      </c>
      <c r="AF330" s="63" t="n">
        <v>5</v>
      </c>
      <c r="AG330" s="62" t="s">
        <v>390</v>
      </c>
      <c r="AH330" s="62"/>
      <c r="AI330" s="63" t="n">
        <v>0</v>
      </c>
      <c r="AJ330" s="62" t="s">
        <v>149</v>
      </c>
      <c r="AK330" s="62" t="s">
        <v>402</v>
      </c>
      <c r="AL330" s="62"/>
      <c r="AM330" s="62"/>
      <c r="AN330" s="65"/>
      <c r="AO330" s="62" t="s">
        <v>390</v>
      </c>
      <c r="AP330" s="62"/>
      <c r="AQ330" s="62" t="s">
        <v>390</v>
      </c>
      <c r="AR330" s="66"/>
      <c r="AS330" s="62"/>
      <c r="AT330" s="65"/>
      <c r="AU330" s="62" t="s">
        <v>397</v>
      </c>
    </row>
    <row r="331" customFormat="false" ht="15" hidden="false" customHeight="false" outlineLevel="0" collapsed="false">
      <c r="A331" s="62" t="s">
        <v>388</v>
      </c>
      <c r="B331" s="63" t="n">
        <v>1714</v>
      </c>
      <c r="C331" s="64" t="n">
        <v>46308.7974082639</v>
      </c>
      <c r="D331" s="62" t="s">
        <v>73</v>
      </c>
      <c r="E331" s="63" t="n">
        <v>19</v>
      </c>
      <c r="F331" s="62" t="s">
        <v>389</v>
      </c>
      <c r="G331" s="62" t="s">
        <v>389</v>
      </c>
      <c r="H331" s="62" t="s">
        <v>389</v>
      </c>
      <c r="I331" s="62" t="s">
        <v>389</v>
      </c>
      <c r="J331" s="65" t="n">
        <v>0.5</v>
      </c>
      <c r="K331" s="62" t="s">
        <v>278</v>
      </c>
      <c r="L331" s="62" t="s">
        <v>389</v>
      </c>
      <c r="M331" s="62" t="s">
        <v>389</v>
      </c>
      <c r="N331" s="62" t="s">
        <v>303</v>
      </c>
      <c r="O331" s="62" t="s">
        <v>389</v>
      </c>
      <c r="P331" s="62" t="s">
        <v>389</v>
      </c>
      <c r="Q331" s="62" t="s">
        <v>389</v>
      </c>
      <c r="R331" s="62" t="s">
        <v>278</v>
      </c>
      <c r="S331" s="62" t="s">
        <v>389</v>
      </c>
      <c r="T331" s="65" t="n">
        <v>5.8</v>
      </c>
      <c r="U331" s="62" t="s">
        <v>278</v>
      </c>
      <c r="V331" s="65" t="n">
        <v>0.8</v>
      </c>
      <c r="W331" s="65" t="n">
        <v>3.9</v>
      </c>
      <c r="X331" s="63" t="n">
        <v>0</v>
      </c>
      <c r="Y331" s="62" t="s">
        <v>389</v>
      </c>
      <c r="Z331" s="62" t="s">
        <v>389</v>
      </c>
      <c r="AA331" s="62" t="s">
        <v>265</v>
      </c>
      <c r="AB331" s="62" t="s">
        <v>276</v>
      </c>
      <c r="AC331" s="65" t="n">
        <v>39</v>
      </c>
      <c r="AD331" s="63" t="n">
        <v>6</v>
      </c>
      <c r="AE331" s="63" t="n">
        <v>19</v>
      </c>
      <c r="AF331" s="63" t="n">
        <v>8</v>
      </c>
      <c r="AG331" s="62" t="s">
        <v>389</v>
      </c>
      <c r="AH331" s="62" t="s">
        <v>398</v>
      </c>
      <c r="AI331" s="63" t="n">
        <v>0</v>
      </c>
      <c r="AJ331" s="62" t="s">
        <v>151</v>
      </c>
      <c r="AK331" s="62" t="s">
        <v>402</v>
      </c>
      <c r="AL331" s="62"/>
      <c r="AM331" s="62"/>
      <c r="AN331" s="65"/>
      <c r="AO331" s="62" t="s">
        <v>390</v>
      </c>
      <c r="AP331" s="62"/>
      <c r="AQ331" s="62" t="s">
        <v>390</v>
      </c>
      <c r="AR331" s="66"/>
      <c r="AS331" s="62"/>
      <c r="AT331" s="65"/>
      <c r="AU331" s="62" t="s">
        <v>397</v>
      </c>
    </row>
    <row r="332" customFormat="false" ht="15" hidden="false" customHeight="false" outlineLevel="0" collapsed="false">
      <c r="A332" s="62" t="s">
        <v>388</v>
      </c>
      <c r="B332" s="63" t="n">
        <v>1722</v>
      </c>
      <c r="C332" s="64" t="n">
        <v>46308.8185924653</v>
      </c>
      <c r="D332" s="62" t="s">
        <v>73</v>
      </c>
      <c r="E332" s="63" t="n">
        <v>19</v>
      </c>
      <c r="F332" s="62" t="s">
        <v>389</v>
      </c>
      <c r="G332" s="62" t="s">
        <v>389</v>
      </c>
      <c r="H332" s="62" t="s">
        <v>389</v>
      </c>
      <c r="I332" s="62" t="s">
        <v>389</v>
      </c>
      <c r="J332" s="65" t="n">
        <v>1.6</v>
      </c>
      <c r="K332" s="62" t="s">
        <v>278</v>
      </c>
      <c r="L332" s="62" t="s">
        <v>389</v>
      </c>
      <c r="M332" s="62" t="s">
        <v>390</v>
      </c>
      <c r="N332" s="62"/>
      <c r="O332" s="62" t="s">
        <v>389</v>
      </c>
      <c r="P332" s="62" t="s">
        <v>390</v>
      </c>
      <c r="Q332" s="62" t="s">
        <v>390</v>
      </c>
      <c r="R332" s="62" t="s">
        <v>277</v>
      </c>
      <c r="S332" s="62" t="s">
        <v>390</v>
      </c>
      <c r="T332" s="65"/>
      <c r="U332" s="62"/>
      <c r="V332" s="65" t="n">
        <v>2</v>
      </c>
      <c r="W332" s="65"/>
      <c r="X332" s="63" t="n">
        <v>1</v>
      </c>
      <c r="Y332" s="62" t="s">
        <v>390</v>
      </c>
      <c r="Z332" s="62" t="s">
        <v>389</v>
      </c>
      <c r="AA332" s="62" t="s">
        <v>265</v>
      </c>
      <c r="AB332" s="62" t="s">
        <v>275</v>
      </c>
      <c r="AC332" s="65" t="n">
        <v>41.4</v>
      </c>
      <c r="AD332" s="63" t="n">
        <v>2</v>
      </c>
      <c r="AE332" s="63" t="n">
        <v>18</v>
      </c>
      <c r="AF332" s="63" t="n">
        <v>0</v>
      </c>
      <c r="AG332" s="62" t="s">
        <v>390</v>
      </c>
      <c r="AH332" s="62"/>
      <c r="AI332" s="63" t="n">
        <v>0</v>
      </c>
      <c r="AJ332" s="62" t="s">
        <v>148</v>
      </c>
      <c r="AK332" s="62" t="s">
        <v>402</v>
      </c>
      <c r="AL332" s="62"/>
      <c r="AM332" s="62"/>
      <c r="AN332" s="65"/>
      <c r="AO332" s="62" t="s">
        <v>390</v>
      </c>
      <c r="AP332" s="62"/>
      <c r="AQ332" s="62" t="s">
        <v>390</v>
      </c>
      <c r="AR332" s="66"/>
      <c r="AS332" s="62"/>
      <c r="AT332" s="65"/>
      <c r="AU332" s="62" t="s">
        <v>399</v>
      </c>
    </row>
    <row r="333" customFormat="false" ht="15" hidden="false" customHeight="false" outlineLevel="0" collapsed="false">
      <c r="A333" s="62" t="s">
        <v>388</v>
      </c>
      <c r="B333" s="63" t="n">
        <v>1732</v>
      </c>
      <c r="C333" s="64" t="n">
        <v>46308.8426247569</v>
      </c>
      <c r="D333" s="62" t="s">
        <v>73</v>
      </c>
      <c r="E333" s="63" t="n">
        <v>20</v>
      </c>
      <c r="F333" s="62" t="s">
        <v>389</v>
      </c>
      <c r="G333" s="62" t="s">
        <v>389</v>
      </c>
      <c r="H333" s="62" t="s">
        <v>389</v>
      </c>
      <c r="I333" s="62" t="s">
        <v>389</v>
      </c>
      <c r="J333" s="65" t="n">
        <v>1.7</v>
      </c>
      <c r="K333" s="62" t="s">
        <v>279</v>
      </c>
      <c r="L333" s="62" t="s">
        <v>389</v>
      </c>
      <c r="M333" s="62" t="s">
        <v>389</v>
      </c>
      <c r="N333" s="62" t="s">
        <v>303</v>
      </c>
      <c r="O333" s="62" t="s">
        <v>389</v>
      </c>
      <c r="P333" s="62" t="s">
        <v>389</v>
      </c>
      <c r="Q333" s="62" t="s">
        <v>390</v>
      </c>
      <c r="R333" s="62" t="s">
        <v>279</v>
      </c>
      <c r="S333" s="62" t="s">
        <v>390</v>
      </c>
      <c r="T333" s="65" t="n">
        <v>12.4</v>
      </c>
      <c r="U333" s="62" t="s">
        <v>279</v>
      </c>
      <c r="V333" s="65" t="n">
        <v>2.7</v>
      </c>
      <c r="W333" s="65" t="n">
        <v>8.3</v>
      </c>
      <c r="X333" s="63" t="n">
        <v>0</v>
      </c>
      <c r="Y333" s="62" t="s">
        <v>389</v>
      </c>
      <c r="Z333" s="62" t="s">
        <v>389</v>
      </c>
      <c r="AA333" s="62" t="s">
        <v>265</v>
      </c>
      <c r="AB333" s="62" t="s">
        <v>275</v>
      </c>
      <c r="AC333" s="65" t="n">
        <v>40.8</v>
      </c>
      <c r="AD333" s="63" t="n">
        <v>3</v>
      </c>
      <c r="AE333" s="63" t="n">
        <v>20</v>
      </c>
      <c r="AF333" s="63" t="n">
        <v>8</v>
      </c>
      <c r="AG333" s="62" t="s">
        <v>390</v>
      </c>
      <c r="AH333" s="62"/>
      <c r="AI333" s="63" t="n">
        <v>0</v>
      </c>
      <c r="AJ333" s="62" t="s">
        <v>149</v>
      </c>
      <c r="AK333" s="62" t="s">
        <v>402</v>
      </c>
      <c r="AL333" s="62"/>
      <c r="AM333" s="62"/>
      <c r="AN333" s="65"/>
      <c r="AO333" s="62" t="s">
        <v>390</v>
      </c>
      <c r="AP333" s="62"/>
      <c r="AQ333" s="62" t="s">
        <v>390</v>
      </c>
      <c r="AR333" s="66"/>
      <c r="AS333" s="62"/>
      <c r="AT333" s="65"/>
      <c r="AU333" s="62" t="s">
        <v>397</v>
      </c>
    </row>
    <row r="334" customFormat="false" ht="15" hidden="false" customHeight="false" outlineLevel="0" collapsed="false">
      <c r="A334" s="62" t="s">
        <v>388</v>
      </c>
      <c r="B334" s="63" t="n">
        <v>1735</v>
      </c>
      <c r="C334" s="64" t="n">
        <v>46308.8445910995</v>
      </c>
      <c r="D334" s="62" t="s">
        <v>73</v>
      </c>
      <c r="E334" s="63" t="n">
        <v>20</v>
      </c>
      <c r="F334" s="62" t="s">
        <v>389</v>
      </c>
      <c r="G334" s="62" t="s">
        <v>389</v>
      </c>
      <c r="H334" s="62" t="s">
        <v>389</v>
      </c>
      <c r="I334" s="62" t="s">
        <v>389</v>
      </c>
      <c r="J334" s="65" t="n">
        <v>4.7</v>
      </c>
      <c r="K334" s="62" t="s">
        <v>279</v>
      </c>
      <c r="L334" s="62" t="s">
        <v>389</v>
      </c>
      <c r="M334" s="62" t="s">
        <v>389</v>
      </c>
      <c r="N334" s="62" t="s">
        <v>303</v>
      </c>
      <c r="O334" s="62" t="s">
        <v>389</v>
      </c>
      <c r="P334" s="62" t="s">
        <v>389</v>
      </c>
      <c r="Q334" s="62" t="s">
        <v>390</v>
      </c>
      <c r="R334" s="62" t="s">
        <v>279</v>
      </c>
      <c r="S334" s="62" t="s">
        <v>390</v>
      </c>
      <c r="T334" s="65" t="n">
        <v>36.8</v>
      </c>
      <c r="U334" s="62" t="s">
        <v>279</v>
      </c>
      <c r="V334" s="65" t="n">
        <v>25.4</v>
      </c>
      <c r="W334" s="65" t="n">
        <v>12.3</v>
      </c>
      <c r="X334" s="63" t="n">
        <v>0</v>
      </c>
      <c r="Y334" s="62" t="s">
        <v>389</v>
      </c>
      <c r="Z334" s="62" t="s">
        <v>389</v>
      </c>
      <c r="AA334" s="62" t="s">
        <v>265</v>
      </c>
      <c r="AB334" s="62" t="s">
        <v>275</v>
      </c>
      <c r="AC334" s="65" t="n">
        <v>40.8</v>
      </c>
      <c r="AD334" s="63" t="n">
        <v>3</v>
      </c>
      <c r="AE334" s="63" t="n">
        <v>20</v>
      </c>
      <c r="AF334" s="63" t="n">
        <v>7</v>
      </c>
      <c r="AG334" s="62" t="s">
        <v>390</v>
      </c>
      <c r="AH334" s="62"/>
      <c r="AI334" s="63" t="n">
        <v>0</v>
      </c>
      <c r="AJ334" s="62" t="s">
        <v>149</v>
      </c>
      <c r="AK334" s="62" t="s">
        <v>402</v>
      </c>
      <c r="AL334" s="62"/>
      <c r="AM334" s="62"/>
      <c r="AN334" s="65"/>
      <c r="AO334" s="62" t="s">
        <v>390</v>
      </c>
      <c r="AP334" s="62"/>
      <c r="AQ334" s="62" t="s">
        <v>390</v>
      </c>
      <c r="AR334" s="66"/>
      <c r="AS334" s="62"/>
      <c r="AT334" s="65"/>
      <c r="AU334" s="62" t="s">
        <v>397</v>
      </c>
    </row>
    <row r="335" customFormat="false" ht="15" hidden="false" customHeight="false" outlineLevel="0" collapsed="false">
      <c r="A335" s="62" t="s">
        <v>388</v>
      </c>
      <c r="B335" s="63" t="n">
        <v>1739</v>
      </c>
      <c r="C335" s="64" t="n">
        <v>46308.8521677083</v>
      </c>
      <c r="D335" s="62" t="s">
        <v>73</v>
      </c>
      <c r="E335" s="63" t="n">
        <v>20</v>
      </c>
      <c r="F335" s="62" t="s">
        <v>389</v>
      </c>
      <c r="G335" s="62" t="s">
        <v>389</v>
      </c>
      <c r="H335" s="62" t="s">
        <v>389</v>
      </c>
      <c r="I335" s="62" t="s">
        <v>389</v>
      </c>
      <c r="J335" s="65" t="n">
        <v>0.6</v>
      </c>
      <c r="K335" s="62" t="s">
        <v>279</v>
      </c>
      <c r="L335" s="62" t="s">
        <v>389</v>
      </c>
      <c r="M335" s="62" t="s">
        <v>389</v>
      </c>
      <c r="N335" s="62" t="s">
        <v>303</v>
      </c>
      <c r="O335" s="62" t="s">
        <v>389</v>
      </c>
      <c r="P335" s="62" t="s">
        <v>389</v>
      </c>
      <c r="Q335" s="62" t="s">
        <v>390</v>
      </c>
      <c r="R335" s="62" t="s">
        <v>279</v>
      </c>
      <c r="S335" s="62" t="s">
        <v>390</v>
      </c>
      <c r="T335" s="65" t="n">
        <v>18.5</v>
      </c>
      <c r="U335" s="62" t="s">
        <v>279</v>
      </c>
      <c r="V335" s="65" t="n">
        <v>1.5</v>
      </c>
      <c r="W335" s="65" t="n">
        <v>2.4</v>
      </c>
      <c r="X335" s="63" t="n">
        <v>0</v>
      </c>
      <c r="Y335" s="62" t="s">
        <v>389</v>
      </c>
      <c r="Z335" s="62" t="s">
        <v>389</v>
      </c>
      <c r="AA335" s="62" t="s">
        <v>265</v>
      </c>
      <c r="AB335" s="62" t="s">
        <v>275</v>
      </c>
      <c r="AC335" s="65" t="n">
        <v>40.6</v>
      </c>
      <c r="AD335" s="63" t="n">
        <v>8</v>
      </c>
      <c r="AE335" s="63" t="n">
        <v>22</v>
      </c>
      <c r="AF335" s="63" t="n">
        <v>10</v>
      </c>
      <c r="AG335" s="62" t="s">
        <v>390</v>
      </c>
      <c r="AH335" s="62"/>
      <c r="AI335" s="63" t="n">
        <v>0</v>
      </c>
      <c r="AJ335" s="62" t="s">
        <v>151</v>
      </c>
      <c r="AK335" s="62" t="s">
        <v>402</v>
      </c>
      <c r="AL335" s="62"/>
      <c r="AM335" s="62"/>
      <c r="AN335" s="65"/>
      <c r="AO335" s="62" t="s">
        <v>390</v>
      </c>
      <c r="AP335" s="62"/>
      <c r="AQ335" s="62" t="s">
        <v>390</v>
      </c>
      <c r="AR335" s="66"/>
      <c r="AS335" s="62"/>
      <c r="AT335" s="65"/>
      <c r="AU335" s="62" t="s">
        <v>397</v>
      </c>
    </row>
    <row r="336" customFormat="false" ht="15" hidden="false" customHeight="false" outlineLevel="0" collapsed="false">
      <c r="A336" s="62" t="s">
        <v>388</v>
      </c>
      <c r="B336" s="63" t="n">
        <v>1740</v>
      </c>
      <c r="C336" s="64" t="n">
        <v>46308.8523914236</v>
      </c>
      <c r="D336" s="62" t="s">
        <v>73</v>
      </c>
      <c r="E336" s="63" t="n">
        <v>20</v>
      </c>
      <c r="F336" s="62" t="s">
        <v>389</v>
      </c>
      <c r="G336" s="62" t="s">
        <v>389</v>
      </c>
      <c r="H336" s="62" t="s">
        <v>389</v>
      </c>
      <c r="I336" s="62" t="s">
        <v>389</v>
      </c>
      <c r="J336" s="65" t="n">
        <v>0.6</v>
      </c>
      <c r="K336" s="62" t="s">
        <v>279</v>
      </c>
      <c r="L336" s="62" t="s">
        <v>389</v>
      </c>
      <c r="M336" s="62" t="s">
        <v>389</v>
      </c>
      <c r="N336" s="62" t="s">
        <v>305</v>
      </c>
      <c r="O336" s="62" t="s">
        <v>390</v>
      </c>
      <c r="P336" s="62" t="s">
        <v>389</v>
      </c>
      <c r="Q336" s="62" t="s">
        <v>390</v>
      </c>
      <c r="R336" s="62" t="s">
        <v>279</v>
      </c>
      <c r="S336" s="62" t="s">
        <v>389</v>
      </c>
      <c r="T336" s="65" t="n">
        <v>22.7</v>
      </c>
      <c r="U336" s="62" t="s">
        <v>279</v>
      </c>
      <c r="V336" s="65" t="n">
        <v>1.8</v>
      </c>
      <c r="W336" s="65" t="n">
        <v>0.8</v>
      </c>
      <c r="X336" s="63" t="n">
        <v>0</v>
      </c>
      <c r="Y336" s="62" t="s">
        <v>389</v>
      </c>
      <c r="Z336" s="62" t="s">
        <v>390</v>
      </c>
      <c r="AA336" s="62"/>
      <c r="AB336" s="62"/>
      <c r="AC336" s="65"/>
      <c r="AD336" s="63" t="n">
        <v>12</v>
      </c>
      <c r="AE336" s="63" t="n">
        <v>12</v>
      </c>
      <c r="AF336" s="63" t="n">
        <v>14</v>
      </c>
      <c r="AG336" s="62" t="s">
        <v>390</v>
      </c>
      <c r="AH336" s="62"/>
      <c r="AI336" s="63" t="n">
        <v>0</v>
      </c>
      <c r="AJ336" s="62" t="s">
        <v>151</v>
      </c>
      <c r="AK336" s="62" t="s">
        <v>402</v>
      </c>
      <c r="AL336" s="62"/>
      <c r="AM336" s="62"/>
      <c r="AN336" s="65"/>
      <c r="AO336" s="62" t="s">
        <v>390</v>
      </c>
      <c r="AP336" s="62"/>
      <c r="AQ336" s="62" t="s">
        <v>390</v>
      </c>
      <c r="AR336" s="66"/>
      <c r="AS336" s="62"/>
      <c r="AT336" s="65"/>
      <c r="AU336" s="62" t="s">
        <v>399</v>
      </c>
    </row>
    <row r="337" customFormat="false" ht="15" hidden="false" customHeight="false" outlineLevel="0" collapsed="false">
      <c r="A337" s="62" t="s">
        <v>388</v>
      </c>
      <c r="B337" s="63" t="n">
        <v>1748</v>
      </c>
      <c r="C337" s="64" t="n">
        <v>46308.881610162</v>
      </c>
      <c r="D337" s="62" t="s">
        <v>73</v>
      </c>
      <c r="E337" s="63" t="n">
        <v>21</v>
      </c>
      <c r="F337" s="62" t="s">
        <v>390</v>
      </c>
      <c r="G337" s="62" t="s">
        <v>390</v>
      </c>
      <c r="H337" s="62" t="s">
        <v>390</v>
      </c>
      <c r="I337" s="62" t="s">
        <v>389</v>
      </c>
      <c r="J337" s="65"/>
      <c r="K337" s="62" t="s">
        <v>275</v>
      </c>
      <c r="L337" s="62" t="s">
        <v>389</v>
      </c>
      <c r="M337" s="62" t="s">
        <v>390</v>
      </c>
      <c r="N337" s="62"/>
      <c r="O337" s="62" t="s">
        <v>389</v>
      </c>
      <c r="P337" s="62" t="s">
        <v>390</v>
      </c>
      <c r="Q337" s="62" t="s">
        <v>390</v>
      </c>
      <c r="R337" s="62" t="s">
        <v>277</v>
      </c>
      <c r="S337" s="62" t="s">
        <v>390</v>
      </c>
      <c r="T337" s="65"/>
      <c r="U337" s="62"/>
      <c r="V337" s="65"/>
      <c r="W337" s="65"/>
      <c r="X337" s="63" t="n">
        <v>0</v>
      </c>
      <c r="Y337" s="62" t="s">
        <v>390</v>
      </c>
      <c r="Z337" s="62" t="s">
        <v>389</v>
      </c>
      <c r="AA337" s="62" t="s">
        <v>265</v>
      </c>
      <c r="AB337" s="62" t="s">
        <v>275</v>
      </c>
      <c r="AC337" s="65" t="n">
        <v>39.9</v>
      </c>
      <c r="AD337" s="63" t="n">
        <v>1</v>
      </c>
      <c r="AE337" s="63" t="n">
        <v>19</v>
      </c>
      <c r="AF337" s="63" t="n">
        <v>0</v>
      </c>
      <c r="AG337" s="62" t="s">
        <v>390</v>
      </c>
      <c r="AH337" s="62"/>
      <c r="AI337" s="63" t="n">
        <v>0</v>
      </c>
      <c r="AJ337" s="62" t="s">
        <v>147</v>
      </c>
      <c r="AK337" s="62" t="s">
        <v>402</v>
      </c>
      <c r="AL337" s="62"/>
      <c r="AM337" s="62"/>
      <c r="AN337" s="65"/>
      <c r="AO337" s="62" t="s">
        <v>390</v>
      </c>
      <c r="AP337" s="62"/>
      <c r="AQ337" s="62" t="s">
        <v>390</v>
      </c>
      <c r="AR337" s="66"/>
      <c r="AS337" s="62"/>
      <c r="AT337" s="65"/>
      <c r="AU337" s="62" t="s">
        <v>399</v>
      </c>
    </row>
    <row r="338" customFormat="false" ht="15" hidden="false" customHeight="false" outlineLevel="0" collapsed="false">
      <c r="A338" s="62" t="s">
        <v>388</v>
      </c>
      <c r="B338" s="63" t="n">
        <v>1749</v>
      </c>
      <c r="C338" s="64" t="n">
        <v>46308.8858529514</v>
      </c>
      <c r="D338" s="62" t="s">
        <v>73</v>
      </c>
      <c r="E338" s="63" t="n">
        <v>21</v>
      </c>
      <c r="F338" s="62" t="s">
        <v>390</v>
      </c>
      <c r="G338" s="62" t="s">
        <v>389</v>
      </c>
      <c r="H338" s="62" t="s">
        <v>389</v>
      </c>
      <c r="I338" s="62" t="s">
        <v>389</v>
      </c>
      <c r="J338" s="65" t="n">
        <v>0.2</v>
      </c>
      <c r="K338" s="62" t="s">
        <v>279</v>
      </c>
      <c r="L338" s="62" t="s">
        <v>389</v>
      </c>
      <c r="M338" s="62" t="s">
        <v>390</v>
      </c>
      <c r="N338" s="62"/>
      <c r="O338" s="62" t="s">
        <v>389</v>
      </c>
      <c r="P338" s="62" t="s">
        <v>390</v>
      </c>
      <c r="Q338" s="62" t="s">
        <v>390</v>
      </c>
      <c r="R338" s="62" t="s">
        <v>279</v>
      </c>
      <c r="S338" s="62" t="s">
        <v>390</v>
      </c>
      <c r="T338" s="65"/>
      <c r="U338" s="62"/>
      <c r="V338" s="65" t="n">
        <v>2.7</v>
      </c>
      <c r="W338" s="65"/>
      <c r="X338" s="63" t="n">
        <v>1</v>
      </c>
      <c r="Y338" s="62" t="s">
        <v>390</v>
      </c>
      <c r="Z338" s="62" t="s">
        <v>389</v>
      </c>
      <c r="AA338" s="62" t="s">
        <v>265</v>
      </c>
      <c r="AB338" s="62" t="s">
        <v>275</v>
      </c>
      <c r="AC338" s="65" t="n">
        <v>39.8</v>
      </c>
      <c r="AD338" s="63" t="n">
        <v>2</v>
      </c>
      <c r="AE338" s="63" t="n">
        <v>18</v>
      </c>
      <c r="AF338" s="63" t="n">
        <v>0</v>
      </c>
      <c r="AG338" s="62" t="s">
        <v>390</v>
      </c>
      <c r="AH338" s="62"/>
      <c r="AI338" s="63" t="n">
        <v>0</v>
      </c>
      <c r="AJ338" s="62" t="s">
        <v>148</v>
      </c>
      <c r="AK338" s="62" t="s">
        <v>402</v>
      </c>
      <c r="AL338" s="62"/>
      <c r="AM338" s="62"/>
      <c r="AN338" s="65"/>
      <c r="AO338" s="62" t="s">
        <v>390</v>
      </c>
      <c r="AP338" s="62"/>
      <c r="AQ338" s="62" t="s">
        <v>390</v>
      </c>
      <c r="AR338" s="66"/>
      <c r="AS338" s="62"/>
      <c r="AT338" s="65"/>
      <c r="AU338" s="62" t="s">
        <v>399</v>
      </c>
    </row>
    <row r="339" customFormat="false" ht="15" hidden="false" customHeight="false" outlineLevel="0" collapsed="false">
      <c r="A339" s="62" t="s">
        <v>388</v>
      </c>
      <c r="B339" s="63" t="n">
        <v>1750</v>
      </c>
      <c r="C339" s="64" t="n">
        <v>46308.8923465741</v>
      </c>
      <c r="D339" s="62" t="s">
        <v>73</v>
      </c>
      <c r="E339" s="63" t="n">
        <v>21</v>
      </c>
      <c r="F339" s="62" t="s">
        <v>390</v>
      </c>
      <c r="G339" s="62" t="s">
        <v>389</v>
      </c>
      <c r="H339" s="62" t="s">
        <v>389</v>
      </c>
      <c r="I339" s="62" t="s">
        <v>389</v>
      </c>
      <c r="J339" s="65" t="n">
        <v>2</v>
      </c>
      <c r="K339" s="62" t="s">
        <v>278</v>
      </c>
      <c r="L339" s="62" t="s">
        <v>389</v>
      </c>
      <c r="M339" s="62" t="s">
        <v>389</v>
      </c>
      <c r="N339" s="62" t="s">
        <v>307</v>
      </c>
      <c r="O339" s="62" t="s">
        <v>389</v>
      </c>
      <c r="P339" s="62" t="s">
        <v>389</v>
      </c>
      <c r="Q339" s="62" t="s">
        <v>390</v>
      </c>
      <c r="R339" s="62" t="s">
        <v>279</v>
      </c>
      <c r="S339" s="62" t="s">
        <v>390</v>
      </c>
      <c r="T339" s="65" t="n">
        <v>26</v>
      </c>
      <c r="U339" s="62" t="s">
        <v>279</v>
      </c>
      <c r="V339" s="65" t="n">
        <v>2.2</v>
      </c>
      <c r="W339" s="65" t="n">
        <v>25.7</v>
      </c>
      <c r="X339" s="63" t="n">
        <v>1</v>
      </c>
      <c r="Y339" s="62" t="s">
        <v>389</v>
      </c>
      <c r="Z339" s="62" t="s">
        <v>389</v>
      </c>
      <c r="AA339" s="62" t="s">
        <v>265</v>
      </c>
      <c r="AB339" s="62" t="s">
        <v>275</v>
      </c>
      <c r="AC339" s="65" t="n">
        <v>39.6</v>
      </c>
      <c r="AD339" s="63" t="n">
        <v>5</v>
      </c>
      <c r="AE339" s="63" t="n">
        <v>20</v>
      </c>
      <c r="AF339" s="63" t="n">
        <v>8</v>
      </c>
      <c r="AG339" s="62" t="s">
        <v>389</v>
      </c>
      <c r="AH339" s="62" t="s">
        <v>398</v>
      </c>
      <c r="AI339" s="63" t="n">
        <v>0</v>
      </c>
      <c r="AJ339" s="62" t="s">
        <v>150</v>
      </c>
      <c r="AK339" s="62" t="s">
        <v>402</v>
      </c>
      <c r="AL339" s="62"/>
      <c r="AM339" s="62"/>
      <c r="AN339" s="65"/>
      <c r="AO339" s="62" t="s">
        <v>390</v>
      </c>
      <c r="AP339" s="62"/>
      <c r="AQ339" s="62" t="s">
        <v>390</v>
      </c>
      <c r="AR339" s="66"/>
      <c r="AS339" s="62"/>
      <c r="AT339" s="65"/>
      <c r="AU339" s="62" t="s">
        <v>397</v>
      </c>
    </row>
    <row r="340" customFormat="false" ht="15" hidden="false" customHeight="false" outlineLevel="0" collapsed="false">
      <c r="A340" s="62" t="s">
        <v>388</v>
      </c>
      <c r="B340" s="63" t="n">
        <v>1754</v>
      </c>
      <c r="C340" s="64" t="n">
        <v>46308.9109212384</v>
      </c>
      <c r="D340" s="62" t="s">
        <v>73</v>
      </c>
      <c r="E340" s="63" t="n">
        <v>21</v>
      </c>
      <c r="F340" s="62" t="s">
        <v>390</v>
      </c>
      <c r="G340" s="62" t="s">
        <v>389</v>
      </c>
      <c r="H340" s="62" t="s">
        <v>389</v>
      </c>
      <c r="I340" s="62" t="s">
        <v>389</v>
      </c>
      <c r="J340" s="65" t="n">
        <v>5.4</v>
      </c>
      <c r="K340" s="62" t="s">
        <v>278</v>
      </c>
      <c r="L340" s="62" t="s">
        <v>389</v>
      </c>
      <c r="M340" s="62" t="s">
        <v>390</v>
      </c>
      <c r="N340" s="62"/>
      <c r="O340" s="62" t="s">
        <v>389</v>
      </c>
      <c r="P340" s="62" t="s">
        <v>390</v>
      </c>
      <c r="Q340" s="62" t="s">
        <v>390</v>
      </c>
      <c r="R340" s="62" t="s">
        <v>277</v>
      </c>
      <c r="S340" s="62" t="s">
        <v>390</v>
      </c>
      <c r="T340" s="65"/>
      <c r="U340" s="62"/>
      <c r="V340" s="65" t="n">
        <v>5.7</v>
      </c>
      <c r="W340" s="65"/>
      <c r="X340" s="63" t="n">
        <v>1</v>
      </c>
      <c r="Y340" s="62" t="s">
        <v>390</v>
      </c>
      <c r="Z340" s="62" t="s">
        <v>389</v>
      </c>
      <c r="AA340" s="62" t="s">
        <v>265</v>
      </c>
      <c r="AB340" s="62" t="s">
        <v>275</v>
      </c>
      <c r="AC340" s="65" t="n">
        <v>39.2</v>
      </c>
      <c r="AD340" s="63" t="n">
        <v>2</v>
      </c>
      <c r="AE340" s="63" t="n">
        <v>18</v>
      </c>
      <c r="AF340" s="63" t="n">
        <v>0</v>
      </c>
      <c r="AG340" s="62" t="s">
        <v>390</v>
      </c>
      <c r="AH340" s="62"/>
      <c r="AI340" s="63" t="n">
        <v>0</v>
      </c>
      <c r="AJ340" s="62" t="s">
        <v>148</v>
      </c>
      <c r="AK340" s="62" t="s">
        <v>402</v>
      </c>
      <c r="AL340" s="62"/>
      <c r="AM340" s="62"/>
      <c r="AN340" s="65"/>
      <c r="AO340" s="62" t="s">
        <v>390</v>
      </c>
      <c r="AP340" s="62"/>
      <c r="AQ340" s="62" t="s">
        <v>390</v>
      </c>
      <c r="AR340" s="66"/>
      <c r="AS340" s="62"/>
      <c r="AT340" s="65"/>
      <c r="AU340" s="62" t="s">
        <v>397</v>
      </c>
    </row>
    <row r="341" customFormat="false" ht="15" hidden="false" customHeight="false" outlineLevel="0" collapsed="false">
      <c r="A341" s="62" t="s">
        <v>388</v>
      </c>
      <c r="B341" s="63" t="n">
        <v>1764</v>
      </c>
      <c r="C341" s="64" t="n">
        <v>46308.9694899537</v>
      </c>
      <c r="D341" s="62" t="s">
        <v>73</v>
      </c>
      <c r="E341" s="63" t="n">
        <v>23</v>
      </c>
      <c r="F341" s="62" t="s">
        <v>390</v>
      </c>
      <c r="G341" s="62" t="s">
        <v>389</v>
      </c>
      <c r="H341" s="62" t="s">
        <v>389</v>
      </c>
      <c r="I341" s="62" t="s">
        <v>389</v>
      </c>
      <c r="J341" s="65" t="n">
        <v>469.8</v>
      </c>
      <c r="K341" s="62" t="s">
        <v>277</v>
      </c>
      <c r="L341" s="62" t="s">
        <v>389</v>
      </c>
      <c r="M341" s="62" t="s">
        <v>390</v>
      </c>
      <c r="N341" s="62"/>
      <c r="O341" s="62" t="s">
        <v>389</v>
      </c>
      <c r="P341" s="62" t="s">
        <v>390</v>
      </c>
      <c r="Q341" s="62" t="s">
        <v>390</v>
      </c>
      <c r="R341" s="62" t="s">
        <v>277</v>
      </c>
      <c r="S341" s="62" t="s">
        <v>390</v>
      </c>
      <c r="T341" s="65"/>
      <c r="U341" s="62"/>
      <c r="V341" s="65" t="n">
        <v>470.1</v>
      </c>
      <c r="W341" s="65"/>
      <c r="X341" s="63" t="n">
        <v>1</v>
      </c>
      <c r="Y341" s="62" t="s">
        <v>390</v>
      </c>
      <c r="Z341" s="62" t="s">
        <v>389</v>
      </c>
      <c r="AA341" s="62" t="s">
        <v>265</v>
      </c>
      <c r="AB341" s="62" t="s">
        <v>275</v>
      </c>
      <c r="AC341" s="65" t="n">
        <v>37.8</v>
      </c>
      <c r="AD341" s="63" t="n">
        <v>2</v>
      </c>
      <c r="AE341" s="63" t="n">
        <v>18</v>
      </c>
      <c r="AF341" s="63" t="n">
        <v>0</v>
      </c>
      <c r="AG341" s="62" t="s">
        <v>390</v>
      </c>
      <c r="AH341" s="62"/>
      <c r="AI341" s="63" t="n">
        <v>0</v>
      </c>
      <c r="AJ341" s="62" t="s">
        <v>148</v>
      </c>
      <c r="AK341" s="62" t="s">
        <v>402</v>
      </c>
      <c r="AL341" s="62"/>
      <c r="AM341" s="62"/>
      <c r="AN341" s="65"/>
      <c r="AO341" s="62" t="s">
        <v>390</v>
      </c>
      <c r="AP341" s="62"/>
      <c r="AQ341" s="62" t="s">
        <v>390</v>
      </c>
      <c r="AR341" s="66"/>
      <c r="AS341" s="62"/>
      <c r="AT341" s="65"/>
      <c r="AU341" s="62" t="s">
        <v>397</v>
      </c>
    </row>
    <row r="342" customFormat="false" ht="15" hidden="false" customHeight="false" outlineLevel="0" collapsed="false">
      <c r="A342" s="62" t="s">
        <v>388</v>
      </c>
      <c r="B342" s="63" t="n">
        <v>1767</v>
      </c>
      <c r="C342" s="64" t="n">
        <v>46308.986534375</v>
      </c>
      <c r="D342" s="62" t="s">
        <v>73</v>
      </c>
      <c r="E342" s="63" t="n">
        <v>23</v>
      </c>
      <c r="F342" s="62" t="s">
        <v>390</v>
      </c>
      <c r="G342" s="62" t="s">
        <v>389</v>
      </c>
      <c r="H342" s="62" t="s">
        <v>389</v>
      </c>
      <c r="I342" s="62" t="s">
        <v>389</v>
      </c>
      <c r="J342" s="65" t="n">
        <v>445.7</v>
      </c>
      <c r="K342" s="62" t="s">
        <v>277</v>
      </c>
      <c r="L342" s="62" t="s">
        <v>389</v>
      </c>
      <c r="M342" s="62" t="s">
        <v>390</v>
      </c>
      <c r="N342" s="62"/>
      <c r="O342" s="62" t="s">
        <v>389</v>
      </c>
      <c r="P342" s="62" t="s">
        <v>390</v>
      </c>
      <c r="Q342" s="62" t="s">
        <v>390</v>
      </c>
      <c r="R342" s="62" t="s">
        <v>277</v>
      </c>
      <c r="S342" s="62" t="s">
        <v>390</v>
      </c>
      <c r="T342" s="65"/>
      <c r="U342" s="62"/>
      <c r="V342" s="65" t="n">
        <v>445.9</v>
      </c>
      <c r="W342" s="65"/>
      <c r="X342" s="63" t="n">
        <v>1</v>
      </c>
      <c r="Y342" s="62" t="s">
        <v>390</v>
      </c>
      <c r="Z342" s="62" t="s">
        <v>389</v>
      </c>
      <c r="AA342" s="62" t="s">
        <v>265</v>
      </c>
      <c r="AB342" s="62" t="s">
        <v>275</v>
      </c>
      <c r="AC342" s="65" t="n">
        <v>37.3</v>
      </c>
      <c r="AD342" s="63" t="n">
        <v>2</v>
      </c>
      <c r="AE342" s="63" t="n">
        <v>18</v>
      </c>
      <c r="AF342" s="63" t="n">
        <v>0</v>
      </c>
      <c r="AG342" s="62" t="s">
        <v>390</v>
      </c>
      <c r="AH342" s="62"/>
      <c r="AI342" s="63" t="n">
        <v>0</v>
      </c>
      <c r="AJ342" s="62" t="s">
        <v>148</v>
      </c>
      <c r="AK342" s="62" t="s">
        <v>402</v>
      </c>
      <c r="AL342" s="62"/>
      <c r="AM342" s="62"/>
      <c r="AN342" s="65"/>
      <c r="AO342" s="62" t="s">
        <v>390</v>
      </c>
      <c r="AP342" s="62"/>
      <c r="AQ342" s="62" t="s">
        <v>390</v>
      </c>
      <c r="AR342" s="66"/>
      <c r="AS342" s="62"/>
      <c r="AT342" s="65"/>
      <c r="AU342" s="62" t="s">
        <v>397</v>
      </c>
    </row>
    <row r="343" customFormat="false" ht="15" hidden="false" customHeight="false" outlineLevel="0" collapsed="false">
      <c r="A343" s="62" t="s">
        <v>388</v>
      </c>
      <c r="B343" s="63" t="n">
        <v>1769</v>
      </c>
      <c r="C343" s="64" t="n">
        <v>46308.9920281019</v>
      </c>
      <c r="D343" s="62" t="s">
        <v>73</v>
      </c>
      <c r="E343" s="63" t="n">
        <v>23</v>
      </c>
      <c r="F343" s="62" t="s">
        <v>390</v>
      </c>
      <c r="G343" s="62" t="s">
        <v>389</v>
      </c>
      <c r="H343" s="62" t="s">
        <v>389</v>
      </c>
      <c r="I343" s="62" t="s">
        <v>389</v>
      </c>
      <c r="J343" s="65" t="n">
        <v>435.5</v>
      </c>
      <c r="K343" s="62" t="s">
        <v>277</v>
      </c>
      <c r="L343" s="62" t="s">
        <v>389</v>
      </c>
      <c r="M343" s="62" t="s">
        <v>390</v>
      </c>
      <c r="N343" s="62"/>
      <c r="O343" s="62" t="s">
        <v>389</v>
      </c>
      <c r="P343" s="62" t="s">
        <v>390</v>
      </c>
      <c r="Q343" s="62" t="s">
        <v>390</v>
      </c>
      <c r="R343" s="62" t="s">
        <v>277</v>
      </c>
      <c r="S343" s="62" t="s">
        <v>390</v>
      </c>
      <c r="T343" s="65"/>
      <c r="U343" s="62"/>
      <c r="V343" s="65" t="n">
        <v>438.2</v>
      </c>
      <c r="W343" s="65"/>
      <c r="X343" s="63" t="n">
        <v>1</v>
      </c>
      <c r="Y343" s="62" t="s">
        <v>390</v>
      </c>
      <c r="Z343" s="62" t="s">
        <v>389</v>
      </c>
      <c r="AA343" s="62" t="s">
        <v>265</v>
      </c>
      <c r="AB343" s="62" t="s">
        <v>275</v>
      </c>
      <c r="AC343" s="65" t="n">
        <v>37.2</v>
      </c>
      <c r="AD343" s="63" t="n">
        <v>2</v>
      </c>
      <c r="AE343" s="63" t="n">
        <v>18</v>
      </c>
      <c r="AF343" s="63" t="n">
        <v>0</v>
      </c>
      <c r="AG343" s="62" t="s">
        <v>390</v>
      </c>
      <c r="AH343" s="62"/>
      <c r="AI343" s="63" t="n">
        <v>0</v>
      </c>
      <c r="AJ343" s="62" t="s">
        <v>148</v>
      </c>
      <c r="AK343" s="62" t="s">
        <v>402</v>
      </c>
      <c r="AL343" s="62"/>
      <c r="AM343" s="62"/>
      <c r="AN343" s="65"/>
      <c r="AO343" s="62" t="s">
        <v>390</v>
      </c>
      <c r="AP343" s="62"/>
      <c r="AQ343" s="62" t="s">
        <v>390</v>
      </c>
      <c r="AR343" s="66"/>
      <c r="AS343" s="62"/>
      <c r="AT343" s="65"/>
      <c r="AU343" s="62" t="s">
        <v>397</v>
      </c>
    </row>
    <row r="344" customFormat="false" ht="15" hidden="false" customHeight="false" outlineLevel="0" collapsed="false">
      <c r="A344" s="62" t="s">
        <v>388</v>
      </c>
      <c r="B344" s="63" t="n">
        <v>1773</v>
      </c>
      <c r="C344" s="64" t="n">
        <v>46309.0779859491</v>
      </c>
      <c r="D344" s="62" t="s">
        <v>73</v>
      </c>
      <c r="E344" s="63" t="n">
        <v>1</v>
      </c>
      <c r="F344" s="62" t="s">
        <v>390</v>
      </c>
      <c r="G344" s="62" t="s">
        <v>389</v>
      </c>
      <c r="H344" s="62" t="s">
        <v>389</v>
      </c>
      <c r="I344" s="62" t="s">
        <v>389</v>
      </c>
      <c r="J344" s="65" t="n">
        <v>320.3</v>
      </c>
      <c r="K344" s="62" t="s">
        <v>277</v>
      </c>
      <c r="L344" s="62" t="s">
        <v>389</v>
      </c>
      <c r="M344" s="62" t="s">
        <v>390</v>
      </c>
      <c r="N344" s="62"/>
      <c r="O344" s="62" t="s">
        <v>389</v>
      </c>
      <c r="P344" s="62" t="s">
        <v>390</v>
      </c>
      <c r="Q344" s="62" t="s">
        <v>390</v>
      </c>
      <c r="R344" s="62" t="s">
        <v>277</v>
      </c>
      <c r="S344" s="62" t="s">
        <v>390</v>
      </c>
      <c r="T344" s="65"/>
      <c r="U344" s="62"/>
      <c r="V344" s="65" t="n">
        <v>320.7</v>
      </c>
      <c r="W344" s="65"/>
      <c r="X344" s="63" t="n">
        <v>1</v>
      </c>
      <c r="Y344" s="62" t="s">
        <v>390</v>
      </c>
      <c r="Z344" s="62" t="s">
        <v>389</v>
      </c>
      <c r="AA344" s="62" t="s">
        <v>265</v>
      </c>
      <c r="AB344" s="62" t="s">
        <v>275</v>
      </c>
      <c r="AC344" s="65" t="n">
        <v>35.2</v>
      </c>
      <c r="AD344" s="63" t="n">
        <v>2</v>
      </c>
      <c r="AE344" s="63" t="n">
        <v>18</v>
      </c>
      <c r="AF344" s="63" t="n">
        <v>0</v>
      </c>
      <c r="AG344" s="62" t="s">
        <v>390</v>
      </c>
      <c r="AH344" s="62"/>
      <c r="AI344" s="63" t="n">
        <v>0</v>
      </c>
      <c r="AJ344" s="62" t="s">
        <v>148</v>
      </c>
      <c r="AK344" s="62" t="s">
        <v>402</v>
      </c>
      <c r="AL344" s="62"/>
      <c r="AM344" s="62"/>
      <c r="AN344" s="65"/>
      <c r="AO344" s="62" t="s">
        <v>390</v>
      </c>
      <c r="AP344" s="62"/>
      <c r="AQ344" s="62" t="s">
        <v>390</v>
      </c>
      <c r="AR344" s="66"/>
      <c r="AS344" s="62"/>
      <c r="AT344" s="65"/>
      <c r="AU344" s="62" t="s">
        <v>397</v>
      </c>
    </row>
    <row r="345" customFormat="false" ht="15" hidden="false" customHeight="false" outlineLevel="0" collapsed="false">
      <c r="A345" s="62" t="s">
        <v>388</v>
      </c>
      <c r="B345" s="63" t="n">
        <v>1777</v>
      </c>
      <c r="C345" s="64" t="n">
        <v>46309.2236802199</v>
      </c>
      <c r="D345" s="62" t="s">
        <v>73</v>
      </c>
      <c r="E345" s="63" t="n">
        <v>5</v>
      </c>
      <c r="F345" s="62" t="s">
        <v>390</v>
      </c>
      <c r="G345" s="62" t="s">
        <v>389</v>
      </c>
      <c r="H345" s="62" t="s">
        <v>389</v>
      </c>
      <c r="I345" s="62" t="s">
        <v>389</v>
      </c>
      <c r="J345" s="65" t="n">
        <v>117.6</v>
      </c>
      <c r="K345" s="62" t="s">
        <v>277</v>
      </c>
      <c r="L345" s="62" t="s">
        <v>389</v>
      </c>
      <c r="M345" s="62" t="s">
        <v>389</v>
      </c>
      <c r="N345" s="62" t="s">
        <v>303</v>
      </c>
      <c r="O345" s="62" t="s">
        <v>389</v>
      </c>
      <c r="P345" s="62" t="s">
        <v>389</v>
      </c>
      <c r="Q345" s="62" t="s">
        <v>390</v>
      </c>
      <c r="R345" s="62" t="s">
        <v>277</v>
      </c>
      <c r="S345" s="62" t="s">
        <v>390</v>
      </c>
      <c r="T345" s="65" t="n">
        <v>135.3</v>
      </c>
      <c r="U345" s="62" t="s">
        <v>277</v>
      </c>
      <c r="V345" s="65" t="n">
        <v>119.1</v>
      </c>
      <c r="W345" s="65" t="n">
        <v>1.5</v>
      </c>
      <c r="X345" s="63" t="n">
        <v>0</v>
      </c>
      <c r="Y345" s="62" t="s">
        <v>389</v>
      </c>
      <c r="Z345" s="62" t="s">
        <v>389</v>
      </c>
      <c r="AA345" s="62" t="s">
        <v>265</v>
      </c>
      <c r="AB345" s="62" t="s">
        <v>275</v>
      </c>
      <c r="AC345" s="65" t="n">
        <v>31.7</v>
      </c>
      <c r="AD345" s="63" t="n">
        <v>4</v>
      </c>
      <c r="AE345" s="63" t="n">
        <v>20</v>
      </c>
      <c r="AF345" s="63" t="n">
        <v>5</v>
      </c>
      <c r="AG345" s="62" t="s">
        <v>390</v>
      </c>
      <c r="AH345" s="62"/>
      <c r="AI345" s="63" t="n">
        <v>0</v>
      </c>
      <c r="AJ345" s="62" t="s">
        <v>151</v>
      </c>
      <c r="AK345" s="62" t="s">
        <v>402</v>
      </c>
      <c r="AL345" s="62"/>
      <c r="AM345" s="62"/>
      <c r="AN345" s="65"/>
      <c r="AO345" s="62" t="s">
        <v>390</v>
      </c>
      <c r="AP345" s="62"/>
      <c r="AQ345" s="62" t="s">
        <v>390</v>
      </c>
      <c r="AR345" s="66"/>
      <c r="AS345" s="62"/>
      <c r="AT345" s="65"/>
      <c r="AU345" s="62" t="s">
        <v>417</v>
      </c>
    </row>
    <row r="346" customFormat="false" ht="15" hidden="false" customHeight="false" outlineLevel="0" collapsed="false">
      <c r="A346" s="62" t="s">
        <v>388</v>
      </c>
      <c r="B346" s="63" t="n">
        <v>1778</v>
      </c>
      <c r="C346" s="64" t="n">
        <v>46309.2406539005</v>
      </c>
      <c r="D346" s="62" t="s">
        <v>73</v>
      </c>
      <c r="E346" s="63" t="n">
        <v>5</v>
      </c>
      <c r="F346" s="62" t="s">
        <v>390</v>
      </c>
      <c r="G346" s="62" t="s">
        <v>389</v>
      </c>
      <c r="H346" s="62" t="s">
        <v>389</v>
      </c>
      <c r="I346" s="62" t="s">
        <v>389</v>
      </c>
      <c r="J346" s="65" t="n">
        <v>94.7</v>
      </c>
      <c r="K346" s="62" t="s">
        <v>277</v>
      </c>
      <c r="L346" s="62" t="s">
        <v>389</v>
      </c>
      <c r="M346" s="62" t="s">
        <v>389</v>
      </c>
      <c r="N346" s="62" t="s">
        <v>307</v>
      </c>
      <c r="O346" s="62" t="s">
        <v>390</v>
      </c>
      <c r="P346" s="62" t="s">
        <v>389</v>
      </c>
      <c r="Q346" s="62" t="s">
        <v>390</v>
      </c>
      <c r="R346" s="62" t="s">
        <v>277</v>
      </c>
      <c r="S346" s="62" t="s">
        <v>389</v>
      </c>
      <c r="T346" s="65" t="n">
        <v>140.1</v>
      </c>
      <c r="U346" s="62" t="s">
        <v>277</v>
      </c>
      <c r="V346" s="65" t="n">
        <v>94.9</v>
      </c>
      <c r="W346" s="65" t="n">
        <v>2</v>
      </c>
      <c r="X346" s="63" t="n">
        <v>0</v>
      </c>
      <c r="Y346" s="62" t="s">
        <v>389</v>
      </c>
      <c r="Z346" s="62" t="s">
        <v>389</v>
      </c>
      <c r="AA346" s="62" t="s">
        <v>265</v>
      </c>
      <c r="AB346" s="62" t="s">
        <v>276</v>
      </c>
      <c r="AC346" s="65" t="n">
        <v>26.5</v>
      </c>
      <c r="AD346" s="63" t="n">
        <v>8</v>
      </c>
      <c r="AE346" s="63" t="n">
        <v>9</v>
      </c>
      <c r="AF346" s="63" t="n">
        <v>8</v>
      </c>
      <c r="AG346" s="62" t="s">
        <v>389</v>
      </c>
      <c r="AH346" s="62" t="s">
        <v>398</v>
      </c>
      <c r="AI346" s="63" t="n">
        <v>0</v>
      </c>
      <c r="AJ346" s="62" t="s">
        <v>151</v>
      </c>
      <c r="AK346" s="62" t="s">
        <v>402</v>
      </c>
      <c r="AL346" s="62"/>
      <c r="AM346" s="62"/>
      <c r="AN346" s="65"/>
      <c r="AO346" s="62" t="s">
        <v>390</v>
      </c>
      <c r="AP346" s="62"/>
      <c r="AQ346" s="62" t="s">
        <v>390</v>
      </c>
      <c r="AR346" s="66"/>
      <c r="AS346" s="62"/>
      <c r="AT346" s="65"/>
      <c r="AU346" s="62" t="s">
        <v>397</v>
      </c>
    </row>
    <row r="347" customFormat="false" ht="15" hidden="false" customHeight="false" outlineLevel="0" collapsed="false">
      <c r="A347" s="62" t="s">
        <v>388</v>
      </c>
      <c r="B347" s="63" t="n">
        <v>1786</v>
      </c>
      <c r="C347" s="64" t="n">
        <v>46309.2922671759</v>
      </c>
      <c r="D347" s="62" t="s">
        <v>73</v>
      </c>
      <c r="E347" s="63" t="n">
        <v>7</v>
      </c>
      <c r="F347" s="62" t="s">
        <v>390</v>
      </c>
      <c r="G347" s="62" t="s">
        <v>389</v>
      </c>
      <c r="H347" s="62" t="s">
        <v>389</v>
      </c>
      <c r="I347" s="62" t="s">
        <v>389</v>
      </c>
      <c r="J347" s="65" t="n">
        <v>21.2</v>
      </c>
      <c r="K347" s="62" t="s">
        <v>277</v>
      </c>
      <c r="L347" s="62" t="s">
        <v>389</v>
      </c>
      <c r="M347" s="62" t="s">
        <v>389</v>
      </c>
      <c r="N347" s="62" t="s">
        <v>304</v>
      </c>
      <c r="O347" s="62" t="s">
        <v>389</v>
      </c>
      <c r="P347" s="62" t="s">
        <v>389</v>
      </c>
      <c r="Q347" s="62" t="s">
        <v>389</v>
      </c>
      <c r="R347" s="62" t="s">
        <v>277</v>
      </c>
      <c r="S347" s="62" t="s">
        <v>389</v>
      </c>
      <c r="T347" s="65" t="n">
        <v>31.1</v>
      </c>
      <c r="U347" s="62" t="s">
        <v>277</v>
      </c>
      <c r="V347" s="65" t="n">
        <v>21.7</v>
      </c>
      <c r="W347" s="65" t="n">
        <v>18.2</v>
      </c>
      <c r="X347" s="63" t="n">
        <v>0</v>
      </c>
      <c r="Y347" s="62" t="s">
        <v>389</v>
      </c>
      <c r="Z347" s="62" t="s">
        <v>389</v>
      </c>
      <c r="AA347" s="62" t="s">
        <v>265</v>
      </c>
      <c r="AB347" s="62" t="s">
        <v>277</v>
      </c>
      <c r="AC347" s="65" t="n">
        <v>32</v>
      </c>
      <c r="AD347" s="63" t="n">
        <v>5</v>
      </c>
      <c r="AE347" s="63" t="n">
        <v>18</v>
      </c>
      <c r="AF347" s="63" t="n">
        <v>9</v>
      </c>
      <c r="AG347" s="62" t="s">
        <v>389</v>
      </c>
      <c r="AH347" s="62" t="s">
        <v>398</v>
      </c>
      <c r="AI347" s="63" t="n">
        <v>0</v>
      </c>
      <c r="AJ347" s="62" t="s">
        <v>150</v>
      </c>
      <c r="AK347" s="62" t="s">
        <v>402</v>
      </c>
      <c r="AL347" s="62"/>
      <c r="AM347" s="62"/>
      <c r="AN347" s="65"/>
      <c r="AO347" s="62" t="s">
        <v>390</v>
      </c>
      <c r="AP347" s="62"/>
      <c r="AQ347" s="62" t="s">
        <v>390</v>
      </c>
      <c r="AR347" s="66"/>
      <c r="AS347" s="62"/>
      <c r="AT347" s="65"/>
      <c r="AU347" s="62" t="s">
        <v>399</v>
      </c>
    </row>
    <row r="348" customFormat="false" ht="15" hidden="false" customHeight="false" outlineLevel="0" collapsed="false">
      <c r="A348" s="62" t="s">
        <v>388</v>
      </c>
      <c r="B348" s="63" t="n">
        <v>1789</v>
      </c>
      <c r="C348" s="64" t="n">
        <v>46309.3110958796</v>
      </c>
      <c r="D348" s="62" t="s">
        <v>73</v>
      </c>
      <c r="E348" s="63" t="n">
        <v>7</v>
      </c>
      <c r="F348" s="62" t="s">
        <v>390</v>
      </c>
      <c r="G348" s="62" t="s">
        <v>389</v>
      </c>
      <c r="H348" s="62" t="s">
        <v>389</v>
      </c>
      <c r="I348" s="62" t="s">
        <v>389</v>
      </c>
      <c r="J348" s="65" t="n">
        <v>6.9</v>
      </c>
      <c r="K348" s="62" t="s">
        <v>277</v>
      </c>
      <c r="L348" s="62" t="s">
        <v>389</v>
      </c>
      <c r="M348" s="62" t="s">
        <v>389</v>
      </c>
      <c r="N348" s="62" t="s">
        <v>306</v>
      </c>
      <c r="O348" s="62" t="s">
        <v>389</v>
      </c>
      <c r="P348" s="62" t="s">
        <v>389</v>
      </c>
      <c r="Q348" s="62" t="s">
        <v>390</v>
      </c>
      <c r="R348" s="62" t="s">
        <v>277</v>
      </c>
      <c r="S348" s="62" t="s">
        <v>389</v>
      </c>
      <c r="T348" s="65" t="n">
        <v>14.6</v>
      </c>
      <c r="U348" s="62" t="s">
        <v>277</v>
      </c>
      <c r="V348" s="65" t="n">
        <v>7.2</v>
      </c>
      <c r="W348" s="65" t="n">
        <v>2.9</v>
      </c>
      <c r="X348" s="63" t="n">
        <v>0</v>
      </c>
      <c r="Y348" s="62" t="s">
        <v>389</v>
      </c>
      <c r="Z348" s="62" t="s">
        <v>389</v>
      </c>
      <c r="AA348" s="62" t="s">
        <v>265</v>
      </c>
      <c r="AB348" s="62" t="s">
        <v>275</v>
      </c>
      <c r="AC348" s="65" t="n">
        <v>29.6</v>
      </c>
      <c r="AD348" s="63" t="n">
        <v>6</v>
      </c>
      <c r="AE348" s="63" t="n">
        <v>20</v>
      </c>
      <c r="AF348" s="63" t="n">
        <v>7</v>
      </c>
      <c r="AG348" s="62" t="s">
        <v>390</v>
      </c>
      <c r="AH348" s="62"/>
      <c r="AI348" s="63" t="n">
        <v>0</v>
      </c>
      <c r="AJ348" s="62" t="s">
        <v>150</v>
      </c>
      <c r="AK348" s="62" t="s">
        <v>402</v>
      </c>
      <c r="AL348" s="62"/>
      <c r="AM348" s="62"/>
      <c r="AN348" s="65"/>
      <c r="AO348" s="62" t="s">
        <v>390</v>
      </c>
      <c r="AP348" s="62"/>
      <c r="AQ348" s="62" t="s">
        <v>390</v>
      </c>
      <c r="AR348" s="66"/>
      <c r="AS348" s="62"/>
      <c r="AT348" s="65"/>
      <c r="AU348" s="62" t="s">
        <v>397</v>
      </c>
    </row>
    <row r="349" customFormat="false" ht="15" hidden="false" customHeight="false" outlineLevel="0" collapsed="false">
      <c r="A349" s="62" t="s">
        <v>388</v>
      </c>
      <c r="B349" s="63" t="n">
        <v>1797</v>
      </c>
      <c r="C349" s="64" t="n">
        <v>46309.3398413542</v>
      </c>
      <c r="D349" s="62" t="s">
        <v>73</v>
      </c>
      <c r="E349" s="63" t="n">
        <v>8</v>
      </c>
      <c r="F349" s="62" t="s">
        <v>390</v>
      </c>
      <c r="G349" s="62" t="s">
        <v>390</v>
      </c>
      <c r="H349" s="62" t="s">
        <v>390</v>
      </c>
      <c r="I349" s="62" t="s">
        <v>389</v>
      </c>
      <c r="J349" s="65"/>
      <c r="K349" s="62" t="s">
        <v>275</v>
      </c>
      <c r="L349" s="62" t="s">
        <v>389</v>
      </c>
      <c r="M349" s="62" t="s">
        <v>390</v>
      </c>
      <c r="N349" s="62"/>
      <c r="O349" s="62" t="s">
        <v>389</v>
      </c>
      <c r="P349" s="62" t="s">
        <v>390</v>
      </c>
      <c r="Q349" s="62" t="s">
        <v>390</v>
      </c>
      <c r="R349" s="62" t="s">
        <v>277</v>
      </c>
      <c r="S349" s="62" t="s">
        <v>390</v>
      </c>
      <c r="T349" s="65"/>
      <c r="U349" s="62"/>
      <c r="V349" s="65"/>
      <c r="W349" s="65"/>
      <c r="X349" s="63" t="n">
        <v>0</v>
      </c>
      <c r="Y349" s="62" t="s">
        <v>390</v>
      </c>
      <c r="Z349" s="62" t="s">
        <v>389</v>
      </c>
      <c r="AA349" s="62" t="s">
        <v>265</v>
      </c>
      <c r="AB349" s="62" t="s">
        <v>275</v>
      </c>
      <c r="AC349" s="65" t="n">
        <v>28.9</v>
      </c>
      <c r="AD349" s="63" t="n">
        <v>1</v>
      </c>
      <c r="AE349" s="63" t="n">
        <v>19</v>
      </c>
      <c r="AF349" s="63" t="n">
        <v>0</v>
      </c>
      <c r="AG349" s="62" t="s">
        <v>390</v>
      </c>
      <c r="AH349" s="62"/>
      <c r="AI349" s="63" t="n">
        <v>0</v>
      </c>
      <c r="AJ349" s="62" t="s">
        <v>147</v>
      </c>
      <c r="AK349" s="62" t="s">
        <v>402</v>
      </c>
      <c r="AL349" s="62"/>
      <c r="AM349" s="62"/>
      <c r="AN349" s="65"/>
      <c r="AO349" s="62" t="s">
        <v>390</v>
      </c>
      <c r="AP349" s="62"/>
      <c r="AQ349" s="62" t="s">
        <v>390</v>
      </c>
      <c r="AR349" s="66"/>
      <c r="AS349" s="62"/>
      <c r="AT349" s="65"/>
      <c r="AU349" s="62" t="s">
        <v>397</v>
      </c>
    </row>
    <row r="350" customFormat="false" ht="15" hidden="false" customHeight="false" outlineLevel="0" collapsed="false">
      <c r="A350" s="62" t="s">
        <v>388</v>
      </c>
      <c r="B350" s="63" t="n">
        <v>1801</v>
      </c>
      <c r="C350" s="64" t="n">
        <v>46309.3704307755</v>
      </c>
      <c r="D350" s="62" t="s">
        <v>73</v>
      </c>
      <c r="E350" s="63" t="n">
        <v>8</v>
      </c>
      <c r="F350" s="62" t="s">
        <v>390</v>
      </c>
      <c r="G350" s="62" t="s">
        <v>389</v>
      </c>
      <c r="H350" s="62" t="s">
        <v>389</v>
      </c>
      <c r="I350" s="62" t="s">
        <v>389</v>
      </c>
      <c r="J350" s="65" t="n">
        <v>0.7</v>
      </c>
      <c r="K350" s="62" t="s">
        <v>277</v>
      </c>
      <c r="L350" s="62" t="s">
        <v>389</v>
      </c>
      <c r="M350" s="62" t="s">
        <v>389</v>
      </c>
      <c r="N350" s="62" t="s">
        <v>303</v>
      </c>
      <c r="O350" s="62" t="s">
        <v>389</v>
      </c>
      <c r="P350" s="62" t="s">
        <v>390</v>
      </c>
      <c r="Q350" s="62" t="s">
        <v>390</v>
      </c>
      <c r="R350" s="62" t="s">
        <v>277</v>
      </c>
      <c r="S350" s="62" t="s">
        <v>389</v>
      </c>
      <c r="T350" s="65" t="n">
        <v>16.8</v>
      </c>
      <c r="U350" s="62" t="s">
        <v>276</v>
      </c>
      <c r="V350" s="65" t="n">
        <v>8.5</v>
      </c>
      <c r="W350" s="65" t="n">
        <v>4.7</v>
      </c>
      <c r="X350" s="63" t="n">
        <v>0</v>
      </c>
      <c r="Y350" s="62" t="s">
        <v>389</v>
      </c>
      <c r="Z350" s="62" t="s">
        <v>389</v>
      </c>
      <c r="AA350" s="62" t="s">
        <v>265</v>
      </c>
      <c r="AB350" s="62" t="s">
        <v>275</v>
      </c>
      <c r="AC350" s="65" t="n">
        <v>28.1</v>
      </c>
      <c r="AD350" s="63" t="n">
        <v>3</v>
      </c>
      <c r="AE350" s="63" t="n">
        <v>18</v>
      </c>
      <c r="AF350" s="63" t="n">
        <v>5</v>
      </c>
      <c r="AG350" s="62" t="s">
        <v>390</v>
      </c>
      <c r="AH350" s="62"/>
      <c r="AI350" s="63" t="n">
        <v>0</v>
      </c>
      <c r="AJ350" s="62" t="s">
        <v>149</v>
      </c>
      <c r="AK350" s="62" t="s">
        <v>402</v>
      </c>
      <c r="AL350" s="62"/>
      <c r="AM350" s="62"/>
      <c r="AN350" s="65"/>
      <c r="AO350" s="62" t="s">
        <v>390</v>
      </c>
      <c r="AP350" s="62"/>
      <c r="AQ350" s="62" t="s">
        <v>390</v>
      </c>
      <c r="AR350" s="66"/>
      <c r="AS350" s="62"/>
      <c r="AT350" s="65"/>
      <c r="AU350" s="62" t="s">
        <v>417</v>
      </c>
    </row>
    <row r="351" customFormat="false" ht="15" hidden="false" customHeight="false" outlineLevel="0" collapsed="false">
      <c r="A351" s="62" t="s">
        <v>388</v>
      </c>
      <c r="B351" s="63" t="n">
        <v>1810</v>
      </c>
      <c r="C351" s="64" t="n">
        <v>46309.3896110532</v>
      </c>
      <c r="D351" s="62" t="s">
        <v>73</v>
      </c>
      <c r="E351" s="63" t="n">
        <v>9</v>
      </c>
      <c r="F351" s="62" t="s">
        <v>389</v>
      </c>
      <c r="G351" s="62" t="s">
        <v>390</v>
      </c>
      <c r="H351" s="62" t="s">
        <v>390</v>
      </c>
      <c r="I351" s="62" t="s">
        <v>389</v>
      </c>
      <c r="J351" s="65"/>
      <c r="K351" s="62" t="s">
        <v>275</v>
      </c>
      <c r="L351" s="62" t="s">
        <v>389</v>
      </c>
      <c r="M351" s="62" t="s">
        <v>389</v>
      </c>
      <c r="N351" s="62" t="s">
        <v>304</v>
      </c>
      <c r="O351" s="62" t="s">
        <v>389</v>
      </c>
      <c r="P351" s="62" t="s">
        <v>389</v>
      </c>
      <c r="Q351" s="62" t="s">
        <v>390</v>
      </c>
      <c r="R351" s="62" t="s">
        <v>277</v>
      </c>
      <c r="S351" s="62" t="s">
        <v>390</v>
      </c>
      <c r="T351" s="65" t="n">
        <v>35.3</v>
      </c>
      <c r="U351" s="62" t="s">
        <v>277</v>
      </c>
      <c r="V351" s="65" t="n">
        <v>35.3</v>
      </c>
      <c r="W351" s="65" t="n">
        <v>0.4</v>
      </c>
      <c r="X351" s="63" t="n">
        <v>0</v>
      </c>
      <c r="Y351" s="62" t="s">
        <v>389</v>
      </c>
      <c r="Z351" s="62" t="s">
        <v>389</v>
      </c>
      <c r="AA351" s="62" t="s">
        <v>265</v>
      </c>
      <c r="AB351" s="62" t="s">
        <v>275</v>
      </c>
      <c r="AC351" s="65" t="n">
        <v>28.9</v>
      </c>
      <c r="AD351" s="63" t="n">
        <v>2</v>
      </c>
      <c r="AE351" s="63" t="n">
        <v>21</v>
      </c>
      <c r="AF351" s="63" t="n">
        <v>3</v>
      </c>
      <c r="AG351" s="62" t="s">
        <v>390</v>
      </c>
      <c r="AH351" s="62"/>
      <c r="AI351" s="63" t="n">
        <v>0</v>
      </c>
      <c r="AJ351" s="62" t="s">
        <v>149</v>
      </c>
      <c r="AK351" s="62" t="s">
        <v>402</v>
      </c>
      <c r="AL351" s="62"/>
      <c r="AM351" s="62"/>
      <c r="AN351" s="65"/>
      <c r="AO351" s="62" t="s">
        <v>390</v>
      </c>
      <c r="AP351" s="62"/>
      <c r="AQ351" s="62" t="s">
        <v>390</v>
      </c>
      <c r="AR351" s="66"/>
      <c r="AS351" s="62"/>
      <c r="AT351" s="65"/>
      <c r="AU351" s="62" t="s">
        <v>397</v>
      </c>
    </row>
    <row r="352" customFormat="false" ht="15" hidden="false" customHeight="false" outlineLevel="0" collapsed="false">
      <c r="A352" s="62" t="s">
        <v>388</v>
      </c>
      <c r="B352" s="63" t="n">
        <v>1811</v>
      </c>
      <c r="C352" s="64" t="n">
        <v>46309.3942669444</v>
      </c>
      <c r="D352" s="62" t="s">
        <v>73</v>
      </c>
      <c r="E352" s="63" t="n">
        <v>9</v>
      </c>
      <c r="F352" s="62" t="s">
        <v>389</v>
      </c>
      <c r="G352" s="62" t="s">
        <v>389</v>
      </c>
      <c r="H352" s="62" t="s">
        <v>390</v>
      </c>
      <c r="I352" s="62" t="s">
        <v>389</v>
      </c>
      <c r="J352" s="65" t="n">
        <v>3.2</v>
      </c>
      <c r="K352" s="62" t="s">
        <v>277</v>
      </c>
      <c r="L352" s="62" t="s">
        <v>389</v>
      </c>
      <c r="M352" s="62" t="s">
        <v>390</v>
      </c>
      <c r="N352" s="62"/>
      <c r="O352" s="62" t="s">
        <v>389</v>
      </c>
      <c r="P352" s="62" t="s">
        <v>390</v>
      </c>
      <c r="Q352" s="62" t="s">
        <v>390</v>
      </c>
      <c r="R352" s="62" t="s">
        <v>277</v>
      </c>
      <c r="S352" s="62" t="s">
        <v>390</v>
      </c>
      <c r="T352" s="65" t="n">
        <v>3.3</v>
      </c>
      <c r="U352" s="62" t="s">
        <v>277</v>
      </c>
      <c r="V352" s="65" t="n">
        <v>3.3</v>
      </c>
      <c r="W352" s="65" t="n">
        <v>3.1</v>
      </c>
      <c r="X352" s="63" t="n">
        <v>0</v>
      </c>
      <c r="Y352" s="62" t="s">
        <v>390</v>
      </c>
      <c r="Z352" s="62" t="s">
        <v>389</v>
      </c>
      <c r="AA352" s="62" t="s">
        <v>265</v>
      </c>
      <c r="AB352" s="62" t="s">
        <v>275</v>
      </c>
      <c r="AC352" s="65" t="n">
        <v>27.6</v>
      </c>
      <c r="AD352" s="63" t="n">
        <v>3</v>
      </c>
      <c r="AE352" s="63" t="n">
        <v>18</v>
      </c>
      <c r="AF352" s="63" t="n">
        <v>1</v>
      </c>
      <c r="AG352" s="62" t="s">
        <v>390</v>
      </c>
      <c r="AH352" s="62"/>
      <c r="AI352" s="63" t="n">
        <v>0</v>
      </c>
      <c r="AJ352" s="62" t="s">
        <v>148</v>
      </c>
      <c r="AK352" s="62" t="s">
        <v>402</v>
      </c>
      <c r="AL352" s="62"/>
      <c r="AM352" s="62"/>
      <c r="AN352" s="65"/>
      <c r="AO352" s="62" t="s">
        <v>390</v>
      </c>
      <c r="AP352" s="62"/>
      <c r="AQ352" s="62" t="s">
        <v>390</v>
      </c>
      <c r="AR352" s="66"/>
      <c r="AS352" s="62"/>
      <c r="AT352" s="65"/>
      <c r="AU352" s="62" t="s">
        <v>397</v>
      </c>
    </row>
    <row r="353" customFormat="false" ht="15" hidden="false" customHeight="false" outlineLevel="0" collapsed="false">
      <c r="A353" s="62" t="s">
        <v>388</v>
      </c>
      <c r="B353" s="63" t="n">
        <v>1814</v>
      </c>
      <c r="C353" s="64" t="n">
        <v>46309.403953588</v>
      </c>
      <c r="D353" s="62" t="s">
        <v>73</v>
      </c>
      <c r="E353" s="63" t="n">
        <v>9</v>
      </c>
      <c r="F353" s="62" t="s">
        <v>389</v>
      </c>
      <c r="G353" s="62" t="s">
        <v>389</v>
      </c>
      <c r="H353" s="62" t="s">
        <v>389</v>
      </c>
      <c r="I353" s="62" t="s">
        <v>389</v>
      </c>
      <c r="J353" s="65" t="n">
        <v>0.2</v>
      </c>
      <c r="K353" s="62" t="s">
        <v>276</v>
      </c>
      <c r="L353" s="62" t="s">
        <v>389</v>
      </c>
      <c r="M353" s="62" t="s">
        <v>390</v>
      </c>
      <c r="N353" s="62"/>
      <c r="O353" s="62" t="s">
        <v>389</v>
      </c>
      <c r="P353" s="62" t="s">
        <v>390</v>
      </c>
      <c r="Q353" s="62" t="s">
        <v>390</v>
      </c>
      <c r="R353" s="62" t="s">
        <v>277</v>
      </c>
      <c r="S353" s="62" t="s">
        <v>389</v>
      </c>
      <c r="T353" s="65"/>
      <c r="U353" s="62"/>
      <c r="V353" s="65" t="n">
        <v>0.4</v>
      </c>
      <c r="W353" s="65"/>
      <c r="X353" s="63" t="n">
        <v>1</v>
      </c>
      <c r="Y353" s="62" t="s">
        <v>390</v>
      </c>
      <c r="Z353" s="62" t="s">
        <v>389</v>
      </c>
      <c r="AA353" s="62" t="s">
        <v>265</v>
      </c>
      <c r="AB353" s="62" t="s">
        <v>275</v>
      </c>
      <c r="AC353" s="65" t="n">
        <v>27.3</v>
      </c>
      <c r="AD353" s="63" t="n">
        <v>2</v>
      </c>
      <c r="AE353" s="63" t="n">
        <v>18</v>
      </c>
      <c r="AF353" s="63" t="n">
        <v>0</v>
      </c>
      <c r="AG353" s="62" t="s">
        <v>390</v>
      </c>
      <c r="AH353" s="62"/>
      <c r="AI353" s="63" t="n">
        <v>0</v>
      </c>
      <c r="AJ353" s="62" t="s">
        <v>148</v>
      </c>
      <c r="AK353" s="62" t="s">
        <v>402</v>
      </c>
      <c r="AL353" s="62"/>
      <c r="AM353" s="62"/>
      <c r="AN353" s="65"/>
      <c r="AO353" s="62" t="s">
        <v>390</v>
      </c>
      <c r="AP353" s="62"/>
      <c r="AQ353" s="62" t="s">
        <v>390</v>
      </c>
      <c r="AR353" s="66"/>
      <c r="AS353" s="62"/>
      <c r="AT353" s="65"/>
      <c r="AU353" s="62" t="s">
        <v>417</v>
      </c>
    </row>
    <row r="354" customFormat="false" ht="15" hidden="false" customHeight="false" outlineLevel="0" collapsed="false">
      <c r="A354" s="62" t="s">
        <v>388</v>
      </c>
      <c r="B354" s="63" t="n">
        <v>1819</v>
      </c>
      <c r="C354" s="64" t="n">
        <v>46309.4252833333</v>
      </c>
      <c r="D354" s="62" t="s">
        <v>73</v>
      </c>
      <c r="E354" s="63" t="n">
        <v>10</v>
      </c>
      <c r="F354" s="62" t="s">
        <v>389</v>
      </c>
      <c r="G354" s="62" t="s">
        <v>389</v>
      </c>
      <c r="H354" s="62" t="s">
        <v>389</v>
      </c>
      <c r="I354" s="62" t="s">
        <v>389</v>
      </c>
      <c r="J354" s="65" t="n">
        <v>0.2</v>
      </c>
      <c r="K354" s="62" t="s">
        <v>276</v>
      </c>
      <c r="L354" s="62" t="s">
        <v>389</v>
      </c>
      <c r="M354" s="62" t="s">
        <v>389</v>
      </c>
      <c r="N354" s="62" t="s">
        <v>303</v>
      </c>
      <c r="O354" s="62" t="s">
        <v>390</v>
      </c>
      <c r="P354" s="62" t="s">
        <v>389</v>
      </c>
      <c r="Q354" s="62" t="s">
        <v>389</v>
      </c>
      <c r="R354" s="62" t="s">
        <v>277</v>
      </c>
      <c r="S354" s="62" t="s">
        <v>389</v>
      </c>
      <c r="T354" s="65" t="n">
        <v>6</v>
      </c>
      <c r="U354" s="62" t="s">
        <v>276</v>
      </c>
      <c r="V354" s="65" t="n">
        <v>1.4</v>
      </c>
      <c r="W354" s="65" t="n">
        <v>0.8</v>
      </c>
      <c r="X354" s="63" t="n">
        <v>0</v>
      </c>
      <c r="Y354" s="62" t="s">
        <v>389</v>
      </c>
      <c r="Z354" s="62" t="s">
        <v>389</v>
      </c>
      <c r="AA354" s="62" t="s">
        <v>265</v>
      </c>
      <c r="AB354" s="62" t="s">
        <v>277</v>
      </c>
      <c r="AC354" s="65" t="n">
        <v>29.4</v>
      </c>
      <c r="AD354" s="63" t="n">
        <v>8</v>
      </c>
      <c r="AE354" s="63" t="n">
        <v>11</v>
      </c>
      <c r="AF354" s="63" t="n">
        <v>20</v>
      </c>
      <c r="AG354" s="62" t="s">
        <v>390</v>
      </c>
      <c r="AH354" s="62"/>
      <c r="AI354" s="63" t="n">
        <v>0</v>
      </c>
      <c r="AJ354" s="62" t="s">
        <v>152</v>
      </c>
      <c r="AK354" s="62" t="s">
        <v>402</v>
      </c>
      <c r="AL354" s="62"/>
      <c r="AM354" s="62"/>
      <c r="AN354" s="65"/>
      <c r="AO354" s="62" t="s">
        <v>390</v>
      </c>
      <c r="AP354" s="62"/>
      <c r="AQ354" s="62" t="s">
        <v>390</v>
      </c>
      <c r="AR354" s="66"/>
      <c r="AS354" s="62"/>
      <c r="AT354" s="65"/>
      <c r="AU354" s="62" t="s">
        <v>397</v>
      </c>
    </row>
    <row r="355" customFormat="false" ht="15" hidden="false" customHeight="false" outlineLevel="0" collapsed="false">
      <c r="A355" s="62" t="s">
        <v>388</v>
      </c>
      <c r="B355" s="63" t="n">
        <v>1826</v>
      </c>
      <c r="C355" s="64" t="n">
        <v>46309.4445481713</v>
      </c>
      <c r="D355" s="62" t="s">
        <v>73</v>
      </c>
      <c r="E355" s="63" t="n">
        <v>10</v>
      </c>
      <c r="F355" s="62" t="s">
        <v>389</v>
      </c>
      <c r="G355" s="62" t="s">
        <v>389</v>
      </c>
      <c r="H355" s="62" t="s">
        <v>390</v>
      </c>
      <c r="I355" s="62" t="s">
        <v>389</v>
      </c>
      <c r="J355" s="65" t="n">
        <v>0.5</v>
      </c>
      <c r="K355" s="62" t="s">
        <v>276</v>
      </c>
      <c r="L355" s="62" t="s">
        <v>389</v>
      </c>
      <c r="M355" s="62" t="s">
        <v>390</v>
      </c>
      <c r="N355" s="62"/>
      <c r="O355" s="62" t="s">
        <v>389</v>
      </c>
      <c r="P355" s="62" t="s">
        <v>390</v>
      </c>
      <c r="Q355" s="62" t="s">
        <v>390</v>
      </c>
      <c r="R355" s="62" t="s">
        <v>277</v>
      </c>
      <c r="S355" s="62" t="s">
        <v>389</v>
      </c>
      <c r="T355" s="65" t="n">
        <v>143.4</v>
      </c>
      <c r="U355" s="62" t="s">
        <v>277</v>
      </c>
      <c r="V355" s="65" t="n">
        <v>19.5</v>
      </c>
      <c r="W355" s="65" t="n">
        <v>62.3</v>
      </c>
      <c r="X355" s="63" t="n">
        <v>0</v>
      </c>
      <c r="Y355" s="62" t="s">
        <v>390</v>
      </c>
      <c r="Z355" s="62" t="s">
        <v>389</v>
      </c>
      <c r="AA355" s="62" t="s">
        <v>265</v>
      </c>
      <c r="AB355" s="62" t="s">
        <v>275</v>
      </c>
      <c r="AC355" s="65" t="n">
        <v>26.4</v>
      </c>
      <c r="AD355" s="63" t="n">
        <v>3</v>
      </c>
      <c r="AE355" s="63" t="n">
        <v>18</v>
      </c>
      <c r="AF355" s="63" t="n">
        <v>1</v>
      </c>
      <c r="AG355" s="62" t="s">
        <v>390</v>
      </c>
      <c r="AH355" s="62"/>
      <c r="AI355" s="63" t="n">
        <v>0</v>
      </c>
      <c r="AJ355" s="62" t="s">
        <v>150</v>
      </c>
      <c r="AK355" s="62" t="s">
        <v>402</v>
      </c>
      <c r="AL355" s="62"/>
      <c r="AM355" s="62"/>
      <c r="AN355" s="65"/>
      <c r="AO355" s="62" t="s">
        <v>390</v>
      </c>
      <c r="AP355" s="62"/>
      <c r="AQ355" s="62" t="s">
        <v>390</v>
      </c>
      <c r="AR355" s="66"/>
      <c r="AS355" s="62"/>
      <c r="AT355" s="65"/>
      <c r="AU355" s="62" t="s">
        <v>397</v>
      </c>
    </row>
    <row r="356" customFormat="false" ht="15" hidden="false" customHeight="false" outlineLevel="0" collapsed="false">
      <c r="A356" s="62" t="s">
        <v>388</v>
      </c>
      <c r="B356" s="63" t="n">
        <v>1828</v>
      </c>
      <c r="C356" s="64" t="n">
        <v>46309.4568691667</v>
      </c>
      <c r="D356" s="62" t="s">
        <v>73</v>
      </c>
      <c r="E356" s="63" t="n">
        <v>10</v>
      </c>
      <c r="F356" s="62" t="s">
        <v>389</v>
      </c>
      <c r="G356" s="62" t="s">
        <v>390</v>
      </c>
      <c r="H356" s="62" t="s">
        <v>390</v>
      </c>
      <c r="I356" s="62" t="s">
        <v>389</v>
      </c>
      <c r="J356" s="65"/>
      <c r="K356" s="62" t="s">
        <v>275</v>
      </c>
      <c r="L356" s="62" t="s">
        <v>389</v>
      </c>
      <c r="M356" s="62" t="s">
        <v>390</v>
      </c>
      <c r="N356" s="62"/>
      <c r="O356" s="62" t="s">
        <v>389</v>
      </c>
      <c r="P356" s="62" t="s">
        <v>390</v>
      </c>
      <c r="Q356" s="62" t="s">
        <v>390</v>
      </c>
      <c r="R356" s="62" t="s">
        <v>277</v>
      </c>
      <c r="S356" s="62" t="s">
        <v>390</v>
      </c>
      <c r="T356" s="65"/>
      <c r="U356" s="62"/>
      <c r="V356" s="65"/>
      <c r="W356" s="65"/>
      <c r="X356" s="63" t="n">
        <v>0</v>
      </c>
      <c r="Y356" s="62" t="s">
        <v>390</v>
      </c>
      <c r="Z356" s="62" t="s">
        <v>389</v>
      </c>
      <c r="AA356" s="62" t="s">
        <v>265</v>
      </c>
      <c r="AB356" s="62" t="s">
        <v>275</v>
      </c>
      <c r="AC356" s="65" t="n">
        <v>26.6</v>
      </c>
      <c r="AD356" s="63" t="n">
        <v>1</v>
      </c>
      <c r="AE356" s="63" t="n">
        <v>19</v>
      </c>
      <c r="AF356" s="63" t="n">
        <v>0</v>
      </c>
      <c r="AG356" s="62" t="s">
        <v>390</v>
      </c>
      <c r="AH356" s="62"/>
      <c r="AI356" s="63" t="n">
        <v>0</v>
      </c>
      <c r="AJ356" s="62" t="s">
        <v>147</v>
      </c>
      <c r="AK356" s="62" t="s">
        <v>402</v>
      </c>
      <c r="AL356" s="62"/>
      <c r="AM356" s="62"/>
      <c r="AN356" s="65"/>
      <c r="AO356" s="62" t="s">
        <v>390</v>
      </c>
      <c r="AP356" s="62"/>
      <c r="AQ356" s="62" t="s">
        <v>390</v>
      </c>
      <c r="AR356" s="66"/>
      <c r="AS356" s="62"/>
      <c r="AT356" s="65"/>
      <c r="AU356" s="62" t="s">
        <v>417</v>
      </c>
    </row>
    <row r="357" customFormat="false" ht="15" hidden="false" customHeight="false" outlineLevel="0" collapsed="false">
      <c r="A357" s="62" t="s">
        <v>388</v>
      </c>
      <c r="B357" s="63" t="n">
        <v>1832</v>
      </c>
      <c r="C357" s="64" t="n">
        <v>46309.4696135648</v>
      </c>
      <c r="D357" s="62" t="s">
        <v>73</v>
      </c>
      <c r="E357" s="63" t="n">
        <v>11</v>
      </c>
      <c r="F357" s="62" t="s">
        <v>389</v>
      </c>
      <c r="G357" s="62" t="s">
        <v>390</v>
      </c>
      <c r="H357" s="62" t="s">
        <v>390</v>
      </c>
      <c r="I357" s="62" t="s">
        <v>389</v>
      </c>
      <c r="J357" s="65"/>
      <c r="K357" s="62" t="s">
        <v>275</v>
      </c>
      <c r="L357" s="62" t="s">
        <v>389</v>
      </c>
      <c r="M357" s="62" t="s">
        <v>389</v>
      </c>
      <c r="N357" s="62" t="s">
        <v>309</v>
      </c>
      <c r="O357" s="62" t="s">
        <v>390</v>
      </c>
      <c r="P357" s="62" t="s">
        <v>390</v>
      </c>
      <c r="Q357" s="62" t="s">
        <v>390</v>
      </c>
      <c r="R357" s="62" t="s">
        <v>277</v>
      </c>
      <c r="S357" s="62" t="s">
        <v>389</v>
      </c>
      <c r="T357" s="65" t="n">
        <v>47.1</v>
      </c>
      <c r="U357" s="62" t="s">
        <v>276</v>
      </c>
      <c r="V357" s="65" t="n">
        <v>47.1</v>
      </c>
      <c r="W357" s="65" t="n">
        <v>1.3</v>
      </c>
      <c r="X357" s="63" t="n">
        <v>0</v>
      </c>
      <c r="Y357" s="62" t="s">
        <v>389</v>
      </c>
      <c r="Z357" s="62" t="s">
        <v>389</v>
      </c>
      <c r="AA357" s="62" t="s">
        <v>265</v>
      </c>
      <c r="AB357" s="62" t="s">
        <v>277</v>
      </c>
      <c r="AC357" s="65" t="n">
        <v>23.6</v>
      </c>
      <c r="AD357" s="63" t="n">
        <v>5</v>
      </c>
      <c r="AE357" s="63" t="n">
        <v>9</v>
      </c>
      <c r="AF357" s="63" t="n">
        <v>12</v>
      </c>
      <c r="AG357" s="62" t="s">
        <v>390</v>
      </c>
      <c r="AH357" s="62"/>
      <c r="AI357" s="63" t="n">
        <v>0</v>
      </c>
      <c r="AJ357" s="62" t="s">
        <v>149</v>
      </c>
      <c r="AK357" s="62" t="s">
        <v>402</v>
      </c>
      <c r="AL357" s="62"/>
      <c r="AM357" s="62"/>
      <c r="AN357" s="65"/>
      <c r="AO357" s="62" t="s">
        <v>390</v>
      </c>
      <c r="AP357" s="62"/>
      <c r="AQ357" s="62" t="s">
        <v>390</v>
      </c>
      <c r="AR357" s="66"/>
      <c r="AS357" s="62"/>
      <c r="AT357" s="65"/>
      <c r="AU357" s="62" t="s">
        <v>397</v>
      </c>
    </row>
    <row r="358" customFormat="false" ht="15" hidden="false" customHeight="false" outlineLevel="0" collapsed="false">
      <c r="A358" s="62" t="s">
        <v>388</v>
      </c>
      <c r="B358" s="63" t="n">
        <v>1852</v>
      </c>
      <c r="C358" s="64" t="n">
        <v>46309.5330920833</v>
      </c>
      <c r="D358" s="62" t="s">
        <v>73</v>
      </c>
      <c r="E358" s="63" t="n">
        <v>12</v>
      </c>
      <c r="F358" s="62" t="s">
        <v>389</v>
      </c>
      <c r="G358" s="62" t="s">
        <v>390</v>
      </c>
      <c r="H358" s="62" t="s">
        <v>390</v>
      </c>
      <c r="I358" s="62" t="s">
        <v>389</v>
      </c>
      <c r="J358" s="65"/>
      <c r="K358" s="62" t="s">
        <v>275</v>
      </c>
      <c r="L358" s="62" t="s">
        <v>389</v>
      </c>
      <c r="M358" s="62" t="s">
        <v>390</v>
      </c>
      <c r="N358" s="62"/>
      <c r="O358" s="62" t="s">
        <v>389</v>
      </c>
      <c r="P358" s="62" t="s">
        <v>390</v>
      </c>
      <c r="Q358" s="62" t="s">
        <v>390</v>
      </c>
      <c r="R358" s="62" t="s">
        <v>277</v>
      </c>
      <c r="S358" s="62" t="s">
        <v>390</v>
      </c>
      <c r="T358" s="65"/>
      <c r="U358" s="62"/>
      <c r="V358" s="65"/>
      <c r="W358" s="65"/>
      <c r="X358" s="63" t="n">
        <v>0</v>
      </c>
      <c r="Y358" s="62" t="s">
        <v>390</v>
      </c>
      <c r="Z358" s="62" t="s">
        <v>389</v>
      </c>
      <c r="AA358" s="62" t="s">
        <v>265</v>
      </c>
      <c r="AB358" s="62" t="s">
        <v>275</v>
      </c>
      <c r="AC358" s="65" t="n">
        <v>26.6</v>
      </c>
      <c r="AD358" s="63" t="n">
        <v>1</v>
      </c>
      <c r="AE358" s="63" t="n">
        <v>19</v>
      </c>
      <c r="AF358" s="63" t="n">
        <v>0</v>
      </c>
      <c r="AG358" s="62" t="s">
        <v>390</v>
      </c>
      <c r="AH358" s="62"/>
      <c r="AI358" s="63" t="n">
        <v>0</v>
      </c>
      <c r="AJ358" s="62" t="s">
        <v>147</v>
      </c>
      <c r="AK358" s="62" t="s">
        <v>402</v>
      </c>
      <c r="AL358" s="62"/>
      <c r="AM358" s="62"/>
      <c r="AN358" s="65"/>
      <c r="AO358" s="62" t="s">
        <v>390</v>
      </c>
      <c r="AP358" s="62"/>
      <c r="AQ358" s="62" t="s">
        <v>390</v>
      </c>
      <c r="AR358" s="66"/>
      <c r="AS358" s="62"/>
      <c r="AT358" s="65"/>
      <c r="AU358" s="62" t="s">
        <v>397</v>
      </c>
    </row>
    <row r="359" customFormat="false" ht="15" hidden="false" customHeight="false" outlineLevel="0" collapsed="false">
      <c r="A359" s="62" t="s">
        <v>388</v>
      </c>
      <c r="B359" s="63" t="n">
        <v>1857</v>
      </c>
      <c r="C359" s="64" t="n">
        <v>46309.55159</v>
      </c>
      <c r="D359" s="62" t="s">
        <v>73</v>
      </c>
      <c r="E359" s="63" t="n">
        <v>13</v>
      </c>
      <c r="F359" s="62" t="s">
        <v>389</v>
      </c>
      <c r="G359" s="62" t="s">
        <v>389</v>
      </c>
      <c r="H359" s="62" t="s">
        <v>389</v>
      </c>
      <c r="I359" s="62" t="s">
        <v>389</v>
      </c>
      <c r="J359" s="65" t="n">
        <v>0.4</v>
      </c>
      <c r="K359" s="62" t="s">
        <v>279</v>
      </c>
      <c r="L359" s="62" t="s">
        <v>389</v>
      </c>
      <c r="M359" s="62" t="s">
        <v>390</v>
      </c>
      <c r="N359" s="62"/>
      <c r="O359" s="62" t="s">
        <v>389</v>
      </c>
      <c r="P359" s="62" t="s">
        <v>390</v>
      </c>
      <c r="Q359" s="62" t="s">
        <v>390</v>
      </c>
      <c r="R359" s="62" t="s">
        <v>279</v>
      </c>
      <c r="S359" s="62" t="s">
        <v>390</v>
      </c>
      <c r="T359" s="65" t="n">
        <v>1468.8</v>
      </c>
      <c r="U359" s="62" t="s">
        <v>279</v>
      </c>
      <c r="V359" s="65" t="n">
        <v>0.8</v>
      </c>
      <c r="W359" s="65" t="n">
        <v>1468.3</v>
      </c>
      <c r="X359" s="63" t="n">
        <v>0</v>
      </c>
      <c r="Y359" s="62" t="s">
        <v>390</v>
      </c>
      <c r="Z359" s="62" t="s">
        <v>389</v>
      </c>
      <c r="AA359" s="62" t="s">
        <v>265</v>
      </c>
      <c r="AB359" s="62" t="s">
        <v>279</v>
      </c>
      <c r="AC359" s="65" t="n">
        <v>24.5</v>
      </c>
      <c r="AD359" s="63" t="n">
        <v>2</v>
      </c>
      <c r="AE359" s="63" t="n">
        <v>18</v>
      </c>
      <c r="AF359" s="63" t="n">
        <v>1</v>
      </c>
      <c r="AG359" s="62" t="s">
        <v>389</v>
      </c>
      <c r="AH359" s="62" t="s">
        <v>398</v>
      </c>
      <c r="AI359" s="63" t="n">
        <v>0</v>
      </c>
      <c r="AJ359" s="62" t="s">
        <v>148</v>
      </c>
      <c r="AK359" s="62" t="s">
        <v>402</v>
      </c>
      <c r="AL359" s="62"/>
      <c r="AM359" s="62"/>
      <c r="AN359" s="65"/>
      <c r="AO359" s="62" t="s">
        <v>390</v>
      </c>
      <c r="AP359" s="62"/>
      <c r="AQ359" s="62" t="s">
        <v>390</v>
      </c>
      <c r="AR359" s="66"/>
      <c r="AS359" s="62"/>
      <c r="AT359" s="65"/>
      <c r="AU359" s="62" t="s">
        <v>397</v>
      </c>
    </row>
    <row r="360" customFormat="false" ht="15" hidden="false" customHeight="false" outlineLevel="0" collapsed="false">
      <c r="A360" s="62" t="s">
        <v>388</v>
      </c>
      <c r="B360" s="63" t="n">
        <v>1858</v>
      </c>
      <c r="C360" s="64" t="n">
        <v>46309.5517470023</v>
      </c>
      <c r="D360" s="62" t="s">
        <v>73</v>
      </c>
      <c r="E360" s="63" t="n">
        <v>13</v>
      </c>
      <c r="F360" s="62" t="s">
        <v>389</v>
      </c>
      <c r="G360" s="62" t="s">
        <v>389</v>
      </c>
      <c r="H360" s="62" t="s">
        <v>389</v>
      </c>
      <c r="I360" s="62" t="s">
        <v>389</v>
      </c>
      <c r="J360" s="65" t="n">
        <v>0.2</v>
      </c>
      <c r="K360" s="62" t="s">
        <v>279</v>
      </c>
      <c r="L360" s="62" t="s">
        <v>389</v>
      </c>
      <c r="M360" s="62" t="s">
        <v>389</v>
      </c>
      <c r="N360" s="62" t="s">
        <v>309</v>
      </c>
      <c r="O360" s="62" t="s">
        <v>390</v>
      </c>
      <c r="P360" s="62" t="s">
        <v>389</v>
      </c>
      <c r="Q360" s="62" t="s">
        <v>389</v>
      </c>
      <c r="R360" s="62" t="s">
        <v>279</v>
      </c>
      <c r="S360" s="62" t="s">
        <v>389</v>
      </c>
      <c r="T360" s="65" t="n">
        <v>5.6</v>
      </c>
      <c r="U360" s="62" t="s">
        <v>279</v>
      </c>
      <c r="V360" s="65" t="n">
        <v>2.6</v>
      </c>
      <c r="W360" s="65" t="n">
        <v>1.8</v>
      </c>
      <c r="X360" s="63" t="n">
        <v>0</v>
      </c>
      <c r="Y360" s="62" t="s">
        <v>389</v>
      </c>
      <c r="Z360" s="62" t="s">
        <v>390</v>
      </c>
      <c r="AA360" s="62"/>
      <c r="AB360" s="62"/>
      <c r="AC360" s="65"/>
      <c r="AD360" s="63" t="n">
        <v>14</v>
      </c>
      <c r="AE360" s="63" t="n">
        <v>15</v>
      </c>
      <c r="AF360" s="63" t="n">
        <v>26</v>
      </c>
      <c r="AG360" s="62" t="s">
        <v>389</v>
      </c>
      <c r="AH360" s="62" t="s">
        <v>398</v>
      </c>
      <c r="AI360" s="63" t="n">
        <v>0</v>
      </c>
      <c r="AJ360" s="62" t="s">
        <v>152</v>
      </c>
      <c r="AK360" s="62" t="s">
        <v>402</v>
      </c>
      <c r="AL360" s="62"/>
      <c r="AM360" s="62"/>
      <c r="AN360" s="65"/>
      <c r="AO360" s="62" t="s">
        <v>390</v>
      </c>
      <c r="AP360" s="62"/>
      <c r="AQ360" s="62" t="s">
        <v>390</v>
      </c>
      <c r="AR360" s="66"/>
      <c r="AS360" s="62"/>
      <c r="AT360" s="65"/>
      <c r="AU360" s="62" t="s">
        <v>397</v>
      </c>
    </row>
    <row r="361" customFormat="false" ht="15" hidden="false" customHeight="false" outlineLevel="0" collapsed="false">
      <c r="A361" s="62" t="s">
        <v>388</v>
      </c>
      <c r="B361" s="63" t="n">
        <v>1859</v>
      </c>
      <c r="C361" s="64" t="n">
        <v>46309.5552187616</v>
      </c>
      <c r="D361" s="62" t="s">
        <v>73</v>
      </c>
      <c r="E361" s="63" t="n">
        <v>13</v>
      </c>
      <c r="F361" s="62" t="s">
        <v>389</v>
      </c>
      <c r="G361" s="62" t="s">
        <v>390</v>
      </c>
      <c r="H361" s="62" t="s">
        <v>390</v>
      </c>
      <c r="I361" s="62" t="s">
        <v>389</v>
      </c>
      <c r="J361" s="65"/>
      <c r="K361" s="62" t="s">
        <v>275</v>
      </c>
      <c r="L361" s="62" t="s">
        <v>389</v>
      </c>
      <c r="M361" s="62" t="s">
        <v>390</v>
      </c>
      <c r="N361" s="62"/>
      <c r="O361" s="62" t="s">
        <v>389</v>
      </c>
      <c r="P361" s="62" t="s">
        <v>390</v>
      </c>
      <c r="Q361" s="62" t="s">
        <v>390</v>
      </c>
      <c r="R361" s="62" t="s">
        <v>277</v>
      </c>
      <c r="S361" s="62" t="s">
        <v>390</v>
      </c>
      <c r="T361" s="65"/>
      <c r="U361" s="62"/>
      <c r="V361" s="65"/>
      <c r="W361" s="65"/>
      <c r="X361" s="63" t="n">
        <v>0</v>
      </c>
      <c r="Y361" s="62" t="s">
        <v>390</v>
      </c>
      <c r="Z361" s="62" t="s">
        <v>389</v>
      </c>
      <c r="AA361" s="62" t="s">
        <v>265</v>
      </c>
      <c r="AB361" s="62" t="s">
        <v>275</v>
      </c>
      <c r="AC361" s="65" t="n">
        <v>26.6</v>
      </c>
      <c r="AD361" s="63" t="n">
        <v>1</v>
      </c>
      <c r="AE361" s="63" t="n">
        <v>19</v>
      </c>
      <c r="AF361" s="63" t="n">
        <v>0</v>
      </c>
      <c r="AG361" s="62" t="s">
        <v>390</v>
      </c>
      <c r="AH361" s="62"/>
      <c r="AI361" s="63" t="n">
        <v>0</v>
      </c>
      <c r="AJ361" s="62" t="s">
        <v>147</v>
      </c>
      <c r="AK361" s="62" t="s">
        <v>402</v>
      </c>
      <c r="AL361" s="62"/>
      <c r="AM361" s="62"/>
      <c r="AN361" s="65"/>
      <c r="AO361" s="62" t="s">
        <v>390</v>
      </c>
      <c r="AP361" s="62"/>
      <c r="AQ361" s="62" t="s">
        <v>390</v>
      </c>
      <c r="AR361" s="66"/>
      <c r="AS361" s="62"/>
      <c r="AT361" s="65"/>
      <c r="AU361" s="62" t="s">
        <v>394</v>
      </c>
    </row>
    <row r="362" customFormat="false" ht="15" hidden="false" customHeight="false" outlineLevel="0" collapsed="false">
      <c r="A362" s="62" t="s">
        <v>388</v>
      </c>
      <c r="B362" s="63" t="n">
        <v>1865</v>
      </c>
      <c r="C362" s="64" t="n">
        <v>46309.5753499884</v>
      </c>
      <c r="D362" s="62" t="s">
        <v>73</v>
      </c>
      <c r="E362" s="63" t="n">
        <v>13</v>
      </c>
      <c r="F362" s="62" t="s">
        <v>389</v>
      </c>
      <c r="G362" s="62" t="s">
        <v>389</v>
      </c>
      <c r="H362" s="62" t="s">
        <v>389</v>
      </c>
      <c r="I362" s="62" t="s">
        <v>389</v>
      </c>
      <c r="J362" s="65" t="n">
        <v>0.2</v>
      </c>
      <c r="K362" s="62" t="s">
        <v>277</v>
      </c>
      <c r="L362" s="62" t="s">
        <v>389</v>
      </c>
      <c r="M362" s="62" t="s">
        <v>390</v>
      </c>
      <c r="N362" s="62"/>
      <c r="O362" s="62" t="s">
        <v>389</v>
      </c>
      <c r="P362" s="62" t="s">
        <v>390</v>
      </c>
      <c r="Q362" s="62" t="s">
        <v>390</v>
      </c>
      <c r="R362" s="62" t="s">
        <v>277</v>
      </c>
      <c r="S362" s="62" t="s">
        <v>390</v>
      </c>
      <c r="T362" s="65"/>
      <c r="U362" s="62"/>
      <c r="V362" s="65" t="n">
        <v>0.4</v>
      </c>
      <c r="W362" s="65"/>
      <c r="X362" s="63" t="n">
        <v>1</v>
      </c>
      <c r="Y362" s="62" t="s">
        <v>390</v>
      </c>
      <c r="Z362" s="62" t="s">
        <v>389</v>
      </c>
      <c r="AA362" s="62" t="s">
        <v>265</v>
      </c>
      <c r="AB362" s="62" t="s">
        <v>275</v>
      </c>
      <c r="AC362" s="65" t="n">
        <v>26.1</v>
      </c>
      <c r="AD362" s="63" t="n">
        <v>2</v>
      </c>
      <c r="AE362" s="63" t="n">
        <v>18</v>
      </c>
      <c r="AF362" s="63" t="n">
        <v>0</v>
      </c>
      <c r="AG362" s="62" t="s">
        <v>390</v>
      </c>
      <c r="AH362" s="62"/>
      <c r="AI362" s="63" t="n">
        <v>0</v>
      </c>
      <c r="AJ362" s="62" t="s">
        <v>148</v>
      </c>
      <c r="AK362" s="62" t="s">
        <v>402</v>
      </c>
      <c r="AL362" s="62"/>
      <c r="AM362" s="62"/>
      <c r="AN362" s="65"/>
      <c r="AO362" s="62" t="s">
        <v>390</v>
      </c>
      <c r="AP362" s="62"/>
      <c r="AQ362" s="62" t="s">
        <v>390</v>
      </c>
      <c r="AR362" s="66"/>
      <c r="AS362" s="62"/>
      <c r="AT362" s="65"/>
      <c r="AU362" s="62" t="s">
        <v>397</v>
      </c>
    </row>
    <row r="363" customFormat="false" ht="15" hidden="false" customHeight="false" outlineLevel="0" collapsed="false">
      <c r="A363" s="62" t="s">
        <v>388</v>
      </c>
      <c r="B363" s="63" t="n">
        <v>1868</v>
      </c>
      <c r="C363" s="64" t="n">
        <v>46309.5835658333</v>
      </c>
      <c r="D363" s="62" t="s">
        <v>73</v>
      </c>
      <c r="E363" s="63" t="n">
        <v>14</v>
      </c>
      <c r="F363" s="62" t="s">
        <v>389</v>
      </c>
      <c r="G363" s="62" t="s">
        <v>390</v>
      </c>
      <c r="H363" s="62" t="s">
        <v>390</v>
      </c>
      <c r="I363" s="62" t="s">
        <v>389</v>
      </c>
      <c r="J363" s="65"/>
      <c r="K363" s="62" t="s">
        <v>275</v>
      </c>
      <c r="L363" s="62" t="s">
        <v>389</v>
      </c>
      <c r="M363" s="62" t="s">
        <v>390</v>
      </c>
      <c r="N363" s="62"/>
      <c r="O363" s="62" t="s">
        <v>389</v>
      </c>
      <c r="P363" s="62" t="s">
        <v>390</v>
      </c>
      <c r="Q363" s="62" t="s">
        <v>390</v>
      </c>
      <c r="R363" s="62" t="s">
        <v>277</v>
      </c>
      <c r="S363" s="62" t="s">
        <v>390</v>
      </c>
      <c r="T363" s="65"/>
      <c r="U363" s="62"/>
      <c r="V363" s="65"/>
      <c r="W363" s="65"/>
      <c r="X363" s="63" t="n">
        <v>0</v>
      </c>
      <c r="Y363" s="62" t="s">
        <v>390</v>
      </c>
      <c r="Z363" s="62" t="s">
        <v>389</v>
      </c>
      <c r="AA363" s="62" t="s">
        <v>265</v>
      </c>
      <c r="AB363" s="62" t="s">
        <v>275</v>
      </c>
      <c r="AC363" s="65" t="n">
        <v>26.6</v>
      </c>
      <c r="AD363" s="63" t="n">
        <v>1</v>
      </c>
      <c r="AE363" s="63" t="n">
        <v>20</v>
      </c>
      <c r="AF363" s="63" t="n">
        <v>0</v>
      </c>
      <c r="AG363" s="62" t="s">
        <v>390</v>
      </c>
      <c r="AH363" s="62"/>
      <c r="AI363" s="63" t="n">
        <v>0</v>
      </c>
      <c r="AJ363" s="62" t="s">
        <v>147</v>
      </c>
      <c r="AK363" s="62" t="s">
        <v>402</v>
      </c>
      <c r="AL363" s="62"/>
      <c r="AM363" s="62"/>
      <c r="AN363" s="65"/>
      <c r="AO363" s="62" t="s">
        <v>390</v>
      </c>
      <c r="AP363" s="62"/>
      <c r="AQ363" s="62" t="s">
        <v>390</v>
      </c>
      <c r="AR363" s="66"/>
      <c r="AS363" s="62"/>
      <c r="AT363" s="65"/>
      <c r="AU363" s="62" t="s">
        <v>397</v>
      </c>
    </row>
    <row r="364" customFormat="false" ht="15" hidden="false" customHeight="false" outlineLevel="0" collapsed="false">
      <c r="A364" s="62" t="s">
        <v>388</v>
      </c>
      <c r="B364" s="63" t="n">
        <v>1871</v>
      </c>
      <c r="C364" s="64" t="n">
        <v>46309.6006995949</v>
      </c>
      <c r="D364" s="62" t="s">
        <v>73</v>
      </c>
      <c r="E364" s="63" t="n">
        <v>14</v>
      </c>
      <c r="F364" s="62" t="s">
        <v>389</v>
      </c>
      <c r="G364" s="62" t="s">
        <v>389</v>
      </c>
      <c r="H364" s="62" t="s">
        <v>389</v>
      </c>
      <c r="I364" s="62" t="s">
        <v>389</v>
      </c>
      <c r="J364" s="65" t="n">
        <v>0.2</v>
      </c>
      <c r="K364" s="62" t="s">
        <v>277</v>
      </c>
      <c r="L364" s="62" t="s">
        <v>389</v>
      </c>
      <c r="M364" s="62" t="s">
        <v>389</v>
      </c>
      <c r="N364" s="62" t="s">
        <v>303</v>
      </c>
      <c r="O364" s="62" t="s">
        <v>389</v>
      </c>
      <c r="P364" s="62" t="s">
        <v>389</v>
      </c>
      <c r="Q364" s="62" t="s">
        <v>390</v>
      </c>
      <c r="R364" s="62" t="s">
        <v>277</v>
      </c>
      <c r="S364" s="62" t="s">
        <v>390</v>
      </c>
      <c r="T364" s="65" t="n">
        <v>7.4</v>
      </c>
      <c r="U364" s="62" t="s">
        <v>277</v>
      </c>
      <c r="V364" s="65" t="n">
        <v>0.4</v>
      </c>
      <c r="W364" s="65" t="n">
        <v>3.7</v>
      </c>
      <c r="X364" s="63" t="n">
        <v>0</v>
      </c>
      <c r="Y364" s="62" t="s">
        <v>389</v>
      </c>
      <c r="Z364" s="62" t="s">
        <v>389</v>
      </c>
      <c r="AA364" s="62" t="s">
        <v>265</v>
      </c>
      <c r="AB364" s="62" t="s">
        <v>275</v>
      </c>
      <c r="AC364" s="65" t="n">
        <v>28.5</v>
      </c>
      <c r="AD364" s="63" t="n">
        <v>3</v>
      </c>
      <c r="AE364" s="63" t="n">
        <v>20</v>
      </c>
      <c r="AF364" s="63" t="n">
        <v>4</v>
      </c>
      <c r="AG364" s="62" t="s">
        <v>390</v>
      </c>
      <c r="AH364" s="62"/>
      <c r="AI364" s="63" t="n">
        <v>0</v>
      </c>
      <c r="AJ364" s="62" t="s">
        <v>149</v>
      </c>
      <c r="AK364" s="62" t="s">
        <v>402</v>
      </c>
      <c r="AL364" s="62"/>
      <c r="AM364" s="62"/>
      <c r="AN364" s="65"/>
      <c r="AO364" s="62" t="s">
        <v>390</v>
      </c>
      <c r="AP364" s="62"/>
      <c r="AQ364" s="62" t="s">
        <v>390</v>
      </c>
      <c r="AR364" s="66"/>
      <c r="AS364" s="62"/>
      <c r="AT364" s="65"/>
      <c r="AU364" s="62" t="s">
        <v>417</v>
      </c>
    </row>
    <row r="365" customFormat="false" ht="15" hidden="false" customHeight="false" outlineLevel="0" collapsed="false">
      <c r="A365" s="62" t="s">
        <v>388</v>
      </c>
      <c r="B365" s="63" t="n">
        <v>1876</v>
      </c>
      <c r="C365" s="64" t="n">
        <v>46309.6322940162</v>
      </c>
      <c r="D365" s="62" t="s">
        <v>73</v>
      </c>
      <c r="E365" s="63" t="n">
        <v>15</v>
      </c>
      <c r="F365" s="62" t="s">
        <v>389</v>
      </c>
      <c r="G365" s="62" t="s">
        <v>389</v>
      </c>
      <c r="H365" s="62" t="s">
        <v>389</v>
      </c>
      <c r="I365" s="62" t="s">
        <v>389</v>
      </c>
      <c r="J365" s="65" t="n">
        <v>0.3</v>
      </c>
      <c r="K365" s="62" t="s">
        <v>277</v>
      </c>
      <c r="L365" s="62" t="s">
        <v>389</v>
      </c>
      <c r="M365" s="62" t="s">
        <v>390</v>
      </c>
      <c r="N365" s="62"/>
      <c r="O365" s="62" t="s">
        <v>389</v>
      </c>
      <c r="P365" s="62" t="s">
        <v>390</v>
      </c>
      <c r="Q365" s="62" t="s">
        <v>390</v>
      </c>
      <c r="R365" s="62" t="s">
        <v>278</v>
      </c>
      <c r="S365" s="62" t="s">
        <v>390</v>
      </c>
      <c r="T365" s="65"/>
      <c r="U365" s="62"/>
      <c r="V365" s="65" t="n">
        <v>0.5</v>
      </c>
      <c r="W365" s="65"/>
      <c r="X365" s="63" t="n">
        <v>1</v>
      </c>
      <c r="Y365" s="62" t="s">
        <v>390</v>
      </c>
      <c r="Z365" s="62" t="s">
        <v>389</v>
      </c>
      <c r="AA365" s="62" t="s">
        <v>265</v>
      </c>
      <c r="AB365" s="62" t="s">
        <v>275</v>
      </c>
      <c r="AC365" s="65" t="n">
        <v>26.1</v>
      </c>
      <c r="AD365" s="63" t="n">
        <v>2</v>
      </c>
      <c r="AE365" s="63" t="n">
        <v>18</v>
      </c>
      <c r="AF365" s="63" t="n">
        <v>0</v>
      </c>
      <c r="AG365" s="62" t="s">
        <v>390</v>
      </c>
      <c r="AH365" s="62"/>
      <c r="AI365" s="63" t="n">
        <v>0</v>
      </c>
      <c r="AJ365" s="62" t="s">
        <v>148</v>
      </c>
      <c r="AK365" s="62" t="s">
        <v>402</v>
      </c>
      <c r="AL365" s="62"/>
      <c r="AM365" s="62"/>
      <c r="AN365" s="65"/>
      <c r="AO365" s="62" t="s">
        <v>390</v>
      </c>
      <c r="AP365" s="62"/>
      <c r="AQ365" s="62" t="s">
        <v>390</v>
      </c>
      <c r="AR365" s="66"/>
      <c r="AS365" s="62"/>
      <c r="AT365" s="65"/>
      <c r="AU365" s="62" t="s">
        <v>417</v>
      </c>
    </row>
    <row r="366" customFormat="false" ht="15" hidden="false" customHeight="false" outlineLevel="0" collapsed="false">
      <c r="A366" s="62" t="s">
        <v>388</v>
      </c>
      <c r="B366" s="63" t="n">
        <v>1880</v>
      </c>
      <c r="C366" s="64" t="n">
        <v>46309.6385294792</v>
      </c>
      <c r="D366" s="62" t="s">
        <v>73</v>
      </c>
      <c r="E366" s="63" t="n">
        <v>15</v>
      </c>
      <c r="F366" s="62" t="s">
        <v>389</v>
      </c>
      <c r="G366" s="62" t="s">
        <v>389</v>
      </c>
      <c r="H366" s="62" t="s">
        <v>389</v>
      </c>
      <c r="I366" s="62" t="s">
        <v>389</v>
      </c>
      <c r="J366" s="65" t="n">
        <v>0.3</v>
      </c>
      <c r="K366" s="62" t="s">
        <v>277</v>
      </c>
      <c r="L366" s="62" t="s">
        <v>389</v>
      </c>
      <c r="M366" s="62" t="s">
        <v>390</v>
      </c>
      <c r="N366" s="62"/>
      <c r="O366" s="62" t="s">
        <v>389</v>
      </c>
      <c r="P366" s="62" t="s">
        <v>390</v>
      </c>
      <c r="Q366" s="62" t="s">
        <v>390</v>
      </c>
      <c r="R366" s="62" t="s">
        <v>277</v>
      </c>
      <c r="S366" s="62" t="s">
        <v>390</v>
      </c>
      <c r="T366" s="65"/>
      <c r="U366" s="62"/>
      <c r="V366" s="65" t="n">
        <v>0.8</v>
      </c>
      <c r="W366" s="65"/>
      <c r="X366" s="63" t="n">
        <v>1</v>
      </c>
      <c r="Y366" s="62" t="s">
        <v>390</v>
      </c>
      <c r="Z366" s="62" t="s">
        <v>389</v>
      </c>
      <c r="AA366" s="62" t="s">
        <v>265</v>
      </c>
      <c r="AB366" s="62" t="s">
        <v>275</v>
      </c>
      <c r="AC366" s="65" t="n">
        <v>26.1</v>
      </c>
      <c r="AD366" s="63" t="n">
        <v>2</v>
      </c>
      <c r="AE366" s="63" t="n">
        <v>18</v>
      </c>
      <c r="AF366" s="63" t="n">
        <v>0</v>
      </c>
      <c r="AG366" s="62" t="s">
        <v>390</v>
      </c>
      <c r="AH366" s="62"/>
      <c r="AI366" s="63" t="n">
        <v>0</v>
      </c>
      <c r="AJ366" s="62" t="s">
        <v>148</v>
      </c>
      <c r="AK366" s="62" t="s">
        <v>402</v>
      </c>
      <c r="AL366" s="62"/>
      <c r="AM366" s="62"/>
      <c r="AN366" s="65"/>
      <c r="AO366" s="62" t="s">
        <v>390</v>
      </c>
      <c r="AP366" s="62"/>
      <c r="AQ366" s="62" t="s">
        <v>390</v>
      </c>
      <c r="AR366" s="66"/>
      <c r="AS366" s="62"/>
      <c r="AT366" s="65"/>
      <c r="AU366" s="62" t="s">
        <v>397</v>
      </c>
    </row>
    <row r="367" customFormat="false" ht="15" hidden="false" customHeight="false" outlineLevel="0" collapsed="false">
      <c r="A367" s="62" t="s">
        <v>388</v>
      </c>
      <c r="B367" s="63" t="n">
        <v>1883</v>
      </c>
      <c r="C367" s="64" t="n">
        <v>46309.6609276273</v>
      </c>
      <c r="D367" s="62" t="s">
        <v>73</v>
      </c>
      <c r="E367" s="63" t="n">
        <v>15</v>
      </c>
      <c r="F367" s="62" t="s">
        <v>389</v>
      </c>
      <c r="G367" s="62" t="s">
        <v>389</v>
      </c>
      <c r="H367" s="62" t="s">
        <v>389</v>
      </c>
      <c r="I367" s="62" t="s">
        <v>389</v>
      </c>
      <c r="J367" s="65" t="n">
        <v>0.2</v>
      </c>
      <c r="K367" s="62" t="s">
        <v>277</v>
      </c>
      <c r="L367" s="62" t="s">
        <v>389</v>
      </c>
      <c r="M367" s="62" t="s">
        <v>389</v>
      </c>
      <c r="N367" s="62" t="s">
        <v>309</v>
      </c>
      <c r="O367" s="62" t="s">
        <v>389</v>
      </c>
      <c r="P367" s="62" t="s">
        <v>389</v>
      </c>
      <c r="Q367" s="62" t="s">
        <v>390</v>
      </c>
      <c r="R367" s="62" t="s">
        <v>277</v>
      </c>
      <c r="S367" s="62" t="s">
        <v>390</v>
      </c>
      <c r="T367" s="65" t="n">
        <v>2.3</v>
      </c>
      <c r="U367" s="62" t="s">
        <v>277</v>
      </c>
      <c r="V367" s="65" t="n">
        <v>0.2</v>
      </c>
      <c r="W367" s="65" t="n">
        <v>0.7</v>
      </c>
      <c r="X367" s="63" t="n">
        <v>0</v>
      </c>
      <c r="Y367" s="62" t="s">
        <v>389</v>
      </c>
      <c r="Z367" s="62" t="s">
        <v>390</v>
      </c>
      <c r="AA367" s="62"/>
      <c r="AB367" s="62"/>
      <c r="AC367" s="65"/>
      <c r="AD367" s="63" t="n">
        <v>9</v>
      </c>
      <c r="AE367" s="63" t="n">
        <v>15</v>
      </c>
      <c r="AF367" s="63" t="n">
        <v>6</v>
      </c>
      <c r="AG367" s="62" t="s">
        <v>390</v>
      </c>
      <c r="AH367" s="62"/>
      <c r="AI367" s="63" t="n">
        <v>0</v>
      </c>
      <c r="AJ367" s="62" t="s">
        <v>151</v>
      </c>
      <c r="AK367" s="62" t="s">
        <v>402</v>
      </c>
      <c r="AL367" s="62"/>
      <c r="AM367" s="62"/>
      <c r="AN367" s="65"/>
      <c r="AO367" s="62" t="s">
        <v>390</v>
      </c>
      <c r="AP367" s="62"/>
      <c r="AQ367" s="62" t="s">
        <v>390</v>
      </c>
      <c r="AR367" s="66"/>
      <c r="AS367" s="62"/>
      <c r="AT367" s="65"/>
      <c r="AU367" s="62"/>
    </row>
    <row r="368" customFormat="false" ht="15" hidden="false" customHeight="false" outlineLevel="0" collapsed="false">
      <c r="A368" s="62" t="s">
        <v>388</v>
      </c>
      <c r="B368" s="63" t="n">
        <v>1897</v>
      </c>
      <c r="C368" s="64" t="n">
        <v>46309.7570637037</v>
      </c>
      <c r="D368" s="62" t="s">
        <v>73</v>
      </c>
      <c r="E368" s="63" t="n">
        <v>18</v>
      </c>
      <c r="F368" s="62" t="s">
        <v>389</v>
      </c>
      <c r="G368" s="62" t="s">
        <v>389</v>
      </c>
      <c r="H368" s="62" t="s">
        <v>389</v>
      </c>
      <c r="I368" s="62" t="s">
        <v>389</v>
      </c>
      <c r="J368" s="65" t="n">
        <v>0.3</v>
      </c>
      <c r="K368" s="62" t="s">
        <v>277</v>
      </c>
      <c r="L368" s="62" t="s">
        <v>389</v>
      </c>
      <c r="M368" s="62" t="s">
        <v>389</v>
      </c>
      <c r="N368" s="62" t="s">
        <v>308</v>
      </c>
      <c r="O368" s="62" t="s">
        <v>390</v>
      </c>
      <c r="P368" s="62" t="s">
        <v>389</v>
      </c>
      <c r="Q368" s="62" t="s">
        <v>390</v>
      </c>
      <c r="R368" s="62" t="s">
        <v>278</v>
      </c>
      <c r="S368" s="62" t="s">
        <v>390</v>
      </c>
      <c r="T368" s="65" t="n">
        <v>7.4</v>
      </c>
      <c r="U368" s="62" t="s">
        <v>278</v>
      </c>
      <c r="V368" s="65" t="n">
        <v>0.7</v>
      </c>
      <c r="W368" s="65" t="n">
        <v>4.7</v>
      </c>
      <c r="X368" s="63" t="n">
        <v>0</v>
      </c>
      <c r="Y368" s="62" t="s">
        <v>389</v>
      </c>
      <c r="Z368" s="62" t="s">
        <v>390</v>
      </c>
      <c r="AA368" s="62"/>
      <c r="AB368" s="62"/>
      <c r="AC368" s="65"/>
      <c r="AD368" s="63" t="n">
        <v>4</v>
      </c>
      <c r="AE368" s="63" t="n">
        <v>9</v>
      </c>
      <c r="AF368" s="63" t="n">
        <v>6</v>
      </c>
      <c r="AG368" s="62" t="s">
        <v>390</v>
      </c>
      <c r="AH368" s="62"/>
      <c r="AI368" s="63" t="n">
        <v>0</v>
      </c>
      <c r="AJ368" s="62" t="s">
        <v>151</v>
      </c>
      <c r="AK368" s="62" t="s">
        <v>402</v>
      </c>
      <c r="AL368" s="62"/>
      <c r="AM368" s="62"/>
      <c r="AN368" s="65"/>
      <c r="AO368" s="62" t="s">
        <v>390</v>
      </c>
      <c r="AP368" s="62"/>
      <c r="AQ368" s="62" t="s">
        <v>390</v>
      </c>
      <c r="AR368" s="66"/>
      <c r="AS368" s="62"/>
      <c r="AT368" s="65"/>
      <c r="AU368" s="62" t="s">
        <v>397</v>
      </c>
    </row>
    <row r="369" customFormat="false" ht="15" hidden="false" customHeight="false" outlineLevel="0" collapsed="false">
      <c r="A369" s="62" t="s">
        <v>388</v>
      </c>
      <c r="B369" s="63" t="n">
        <v>1900</v>
      </c>
      <c r="C369" s="64" t="n">
        <v>46309.7703078241</v>
      </c>
      <c r="D369" s="62" t="s">
        <v>73</v>
      </c>
      <c r="E369" s="63" t="n">
        <v>18</v>
      </c>
      <c r="F369" s="62" t="s">
        <v>389</v>
      </c>
      <c r="G369" s="62" t="s">
        <v>390</v>
      </c>
      <c r="H369" s="62" t="s">
        <v>390</v>
      </c>
      <c r="I369" s="62" t="s">
        <v>389</v>
      </c>
      <c r="J369" s="65"/>
      <c r="K369" s="62" t="s">
        <v>275</v>
      </c>
      <c r="L369" s="62" t="s">
        <v>389</v>
      </c>
      <c r="M369" s="62" t="s">
        <v>389</v>
      </c>
      <c r="N369" s="62" t="s">
        <v>303</v>
      </c>
      <c r="O369" s="62" t="s">
        <v>389</v>
      </c>
      <c r="P369" s="62" t="s">
        <v>389</v>
      </c>
      <c r="Q369" s="62" t="s">
        <v>390</v>
      </c>
      <c r="R369" s="62" t="s">
        <v>278</v>
      </c>
      <c r="S369" s="62" t="s">
        <v>390</v>
      </c>
      <c r="T369" s="65" t="n">
        <v>38.9</v>
      </c>
      <c r="U369" s="62" t="s">
        <v>278</v>
      </c>
      <c r="V369" s="65" t="n">
        <v>38.9</v>
      </c>
      <c r="W369" s="65" t="n">
        <v>2.5</v>
      </c>
      <c r="X369" s="63" t="n">
        <v>0</v>
      </c>
      <c r="Y369" s="62" t="s">
        <v>389</v>
      </c>
      <c r="Z369" s="62" t="s">
        <v>390</v>
      </c>
      <c r="AA369" s="62"/>
      <c r="AB369" s="62"/>
      <c r="AC369" s="65"/>
      <c r="AD369" s="63" t="n">
        <v>2</v>
      </c>
      <c r="AE369" s="63" t="n">
        <v>16</v>
      </c>
      <c r="AF369" s="63" t="n">
        <v>4</v>
      </c>
      <c r="AG369" s="62" t="s">
        <v>390</v>
      </c>
      <c r="AH369" s="62"/>
      <c r="AI369" s="63" t="n">
        <v>0</v>
      </c>
      <c r="AJ369" s="62" t="s">
        <v>149</v>
      </c>
      <c r="AK369" s="62" t="s">
        <v>402</v>
      </c>
      <c r="AL369" s="62"/>
      <c r="AM369" s="62"/>
      <c r="AN369" s="65"/>
      <c r="AO369" s="62" t="s">
        <v>390</v>
      </c>
      <c r="AP369" s="62"/>
      <c r="AQ369" s="62" t="s">
        <v>390</v>
      </c>
      <c r="AR369" s="66"/>
      <c r="AS369" s="62"/>
      <c r="AT369" s="65"/>
      <c r="AU369" s="62" t="s">
        <v>417</v>
      </c>
    </row>
    <row r="370" customFormat="false" ht="15" hidden="false" customHeight="false" outlineLevel="0" collapsed="false">
      <c r="A370" s="62" t="s">
        <v>388</v>
      </c>
      <c r="B370" s="63" t="n">
        <v>1902</v>
      </c>
      <c r="C370" s="64" t="n">
        <v>46309.7994463889</v>
      </c>
      <c r="D370" s="62" t="s">
        <v>73</v>
      </c>
      <c r="E370" s="63" t="n">
        <v>19</v>
      </c>
      <c r="F370" s="62" t="s">
        <v>389</v>
      </c>
      <c r="G370" s="62" t="s">
        <v>389</v>
      </c>
      <c r="H370" s="62" t="s">
        <v>389</v>
      </c>
      <c r="I370" s="62" t="s">
        <v>389</v>
      </c>
      <c r="J370" s="65" t="n">
        <v>2.4</v>
      </c>
      <c r="K370" s="62" t="s">
        <v>278</v>
      </c>
      <c r="L370" s="62" t="s">
        <v>389</v>
      </c>
      <c r="M370" s="62" t="s">
        <v>390</v>
      </c>
      <c r="N370" s="62"/>
      <c r="O370" s="62" t="s">
        <v>389</v>
      </c>
      <c r="P370" s="62" t="s">
        <v>390</v>
      </c>
      <c r="Q370" s="62" t="s">
        <v>390</v>
      </c>
      <c r="R370" s="62" t="s">
        <v>278</v>
      </c>
      <c r="S370" s="62" t="s">
        <v>390</v>
      </c>
      <c r="T370" s="65"/>
      <c r="U370" s="62"/>
      <c r="V370" s="65" t="n">
        <v>2.7</v>
      </c>
      <c r="W370" s="65"/>
      <c r="X370" s="63" t="n">
        <v>1</v>
      </c>
      <c r="Y370" s="62" t="s">
        <v>390</v>
      </c>
      <c r="Z370" s="62" t="s">
        <v>390</v>
      </c>
      <c r="AA370" s="62"/>
      <c r="AB370" s="62"/>
      <c r="AC370" s="65"/>
      <c r="AD370" s="63" t="n">
        <v>2</v>
      </c>
      <c r="AE370" s="63" t="n">
        <v>13</v>
      </c>
      <c r="AF370" s="63" t="n">
        <v>0</v>
      </c>
      <c r="AG370" s="62" t="s">
        <v>390</v>
      </c>
      <c r="AH370" s="62"/>
      <c r="AI370" s="63" t="n">
        <v>0</v>
      </c>
      <c r="AJ370" s="62" t="s">
        <v>148</v>
      </c>
      <c r="AK370" s="62" t="s">
        <v>402</v>
      </c>
      <c r="AL370" s="62"/>
      <c r="AM370" s="62"/>
      <c r="AN370" s="65"/>
      <c r="AO370" s="62" t="s">
        <v>390</v>
      </c>
      <c r="AP370" s="62"/>
      <c r="AQ370" s="62" t="s">
        <v>390</v>
      </c>
      <c r="AR370" s="66"/>
      <c r="AS370" s="62"/>
      <c r="AT370" s="65"/>
      <c r="AU370" s="62" t="s">
        <v>399</v>
      </c>
    </row>
    <row r="371" customFormat="false" ht="15" hidden="false" customHeight="false" outlineLevel="0" collapsed="false">
      <c r="A371" s="62" t="s">
        <v>388</v>
      </c>
      <c r="B371" s="63" t="n">
        <v>1904</v>
      </c>
      <c r="C371" s="64" t="n">
        <v>46309.8022931482</v>
      </c>
      <c r="D371" s="62" t="s">
        <v>73</v>
      </c>
      <c r="E371" s="63" t="n">
        <v>19</v>
      </c>
      <c r="F371" s="62" t="s">
        <v>389</v>
      </c>
      <c r="G371" s="62" t="s">
        <v>390</v>
      </c>
      <c r="H371" s="62" t="s">
        <v>390</v>
      </c>
      <c r="I371" s="62" t="s">
        <v>389</v>
      </c>
      <c r="J371" s="65"/>
      <c r="K371" s="62" t="s">
        <v>275</v>
      </c>
      <c r="L371" s="62" t="s">
        <v>389</v>
      </c>
      <c r="M371" s="62" t="s">
        <v>390</v>
      </c>
      <c r="N371" s="62"/>
      <c r="O371" s="62" t="s">
        <v>389</v>
      </c>
      <c r="P371" s="62" t="s">
        <v>390</v>
      </c>
      <c r="Q371" s="62" t="s">
        <v>390</v>
      </c>
      <c r="R371" s="62" t="s">
        <v>277</v>
      </c>
      <c r="S371" s="62" t="s">
        <v>390</v>
      </c>
      <c r="T371" s="65"/>
      <c r="U371" s="62"/>
      <c r="V371" s="65"/>
      <c r="W371" s="65"/>
      <c r="X371" s="63" t="n">
        <v>0</v>
      </c>
      <c r="Y371" s="62" t="s">
        <v>390</v>
      </c>
      <c r="Z371" s="62" t="s">
        <v>390</v>
      </c>
      <c r="AA371" s="62"/>
      <c r="AB371" s="62"/>
      <c r="AC371" s="65"/>
      <c r="AD371" s="63" t="n">
        <v>1</v>
      </c>
      <c r="AE371" s="63" t="n">
        <v>14</v>
      </c>
      <c r="AF371" s="63" t="n">
        <v>0</v>
      </c>
      <c r="AG371" s="62" t="s">
        <v>390</v>
      </c>
      <c r="AH371" s="62"/>
      <c r="AI371" s="63" t="n">
        <v>0</v>
      </c>
      <c r="AJ371" s="62" t="s">
        <v>147</v>
      </c>
      <c r="AK371" s="62" t="s">
        <v>402</v>
      </c>
      <c r="AL371" s="62"/>
      <c r="AM371" s="62"/>
      <c r="AN371" s="65"/>
      <c r="AO371" s="62" t="s">
        <v>390</v>
      </c>
      <c r="AP371" s="62"/>
      <c r="AQ371" s="62" t="s">
        <v>390</v>
      </c>
      <c r="AR371" s="66"/>
      <c r="AS371" s="62"/>
      <c r="AT371" s="65"/>
      <c r="AU371" s="62" t="s">
        <v>397</v>
      </c>
    </row>
    <row r="372" customFormat="false" ht="15" hidden="false" customHeight="false" outlineLevel="0" collapsed="false">
      <c r="A372" s="62" t="s">
        <v>388</v>
      </c>
      <c r="B372" s="63" t="n">
        <v>1905</v>
      </c>
      <c r="C372" s="64" t="n">
        <v>46309.8095190162</v>
      </c>
      <c r="D372" s="62" t="s">
        <v>73</v>
      </c>
      <c r="E372" s="63" t="n">
        <v>19</v>
      </c>
      <c r="F372" s="62" t="s">
        <v>389</v>
      </c>
      <c r="G372" s="62" t="s">
        <v>389</v>
      </c>
      <c r="H372" s="62" t="s">
        <v>389</v>
      </c>
      <c r="I372" s="62" t="s">
        <v>389</v>
      </c>
      <c r="J372" s="65" t="n">
        <v>0.7</v>
      </c>
      <c r="K372" s="62" t="s">
        <v>278</v>
      </c>
      <c r="L372" s="62" t="s">
        <v>389</v>
      </c>
      <c r="M372" s="62" t="s">
        <v>390</v>
      </c>
      <c r="N372" s="62"/>
      <c r="O372" s="62" t="s">
        <v>389</v>
      </c>
      <c r="P372" s="62" t="s">
        <v>390</v>
      </c>
      <c r="Q372" s="62" t="s">
        <v>390</v>
      </c>
      <c r="R372" s="62" t="s">
        <v>278</v>
      </c>
      <c r="S372" s="62" t="s">
        <v>390</v>
      </c>
      <c r="T372" s="65"/>
      <c r="U372" s="62"/>
      <c r="V372" s="65" t="n">
        <v>1</v>
      </c>
      <c r="W372" s="65"/>
      <c r="X372" s="63" t="n">
        <v>1</v>
      </c>
      <c r="Y372" s="62" t="s">
        <v>390</v>
      </c>
      <c r="Z372" s="62" t="s">
        <v>390</v>
      </c>
      <c r="AA372" s="62"/>
      <c r="AB372" s="62"/>
      <c r="AC372" s="65"/>
      <c r="AD372" s="63" t="n">
        <v>2</v>
      </c>
      <c r="AE372" s="63" t="n">
        <v>13</v>
      </c>
      <c r="AF372" s="63" t="n">
        <v>0</v>
      </c>
      <c r="AG372" s="62" t="s">
        <v>390</v>
      </c>
      <c r="AH372" s="62"/>
      <c r="AI372" s="63" t="n">
        <v>0</v>
      </c>
      <c r="AJ372" s="62" t="s">
        <v>148</v>
      </c>
      <c r="AK372" s="62" t="s">
        <v>402</v>
      </c>
      <c r="AL372" s="62"/>
      <c r="AM372" s="62"/>
      <c r="AN372" s="65"/>
      <c r="AO372" s="62" t="s">
        <v>390</v>
      </c>
      <c r="AP372" s="62"/>
      <c r="AQ372" s="62" t="s">
        <v>390</v>
      </c>
      <c r="AR372" s="66"/>
      <c r="AS372" s="62"/>
      <c r="AT372" s="65"/>
      <c r="AU372" s="62" t="s">
        <v>417</v>
      </c>
    </row>
    <row r="373" customFormat="false" ht="15" hidden="false" customHeight="false" outlineLevel="0" collapsed="false">
      <c r="A373" s="62" t="s">
        <v>388</v>
      </c>
      <c r="B373" s="63" t="n">
        <v>1907</v>
      </c>
      <c r="C373" s="64" t="n">
        <v>46309.8160285532</v>
      </c>
      <c r="D373" s="62" t="s">
        <v>73</v>
      </c>
      <c r="E373" s="63" t="n">
        <v>19</v>
      </c>
      <c r="F373" s="62" t="s">
        <v>389</v>
      </c>
      <c r="G373" s="62" t="s">
        <v>390</v>
      </c>
      <c r="H373" s="62" t="s">
        <v>390</v>
      </c>
      <c r="I373" s="62" t="s">
        <v>389</v>
      </c>
      <c r="J373" s="65"/>
      <c r="K373" s="62" t="s">
        <v>275</v>
      </c>
      <c r="L373" s="62" t="s">
        <v>389</v>
      </c>
      <c r="M373" s="62" t="s">
        <v>390</v>
      </c>
      <c r="N373" s="62"/>
      <c r="O373" s="62" t="s">
        <v>389</v>
      </c>
      <c r="P373" s="62" t="s">
        <v>390</v>
      </c>
      <c r="Q373" s="62" t="s">
        <v>390</v>
      </c>
      <c r="R373" s="62" t="s">
        <v>277</v>
      </c>
      <c r="S373" s="62" t="s">
        <v>390</v>
      </c>
      <c r="T373" s="65"/>
      <c r="U373" s="62"/>
      <c r="V373" s="65"/>
      <c r="W373" s="65"/>
      <c r="X373" s="63" t="n">
        <v>0</v>
      </c>
      <c r="Y373" s="62" t="s">
        <v>390</v>
      </c>
      <c r="Z373" s="62" t="s">
        <v>390</v>
      </c>
      <c r="AA373" s="62"/>
      <c r="AB373" s="62"/>
      <c r="AC373" s="65"/>
      <c r="AD373" s="63" t="n">
        <v>2</v>
      </c>
      <c r="AE373" s="63" t="n">
        <v>14</v>
      </c>
      <c r="AF373" s="63" t="n">
        <v>0</v>
      </c>
      <c r="AG373" s="62" t="s">
        <v>390</v>
      </c>
      <c r="AH373" s="62"/>
      <c r="AI373" s="63" t="n">
        <v>0</v>
      </c>
      <c r="AJ373" s="62" t="s">
        <v>147</v>
      </c>
      <c r="AK373" s="62" t="s">
        <v>402</v>
      </c>
      <c r="AL373" s="62"/>
      <c r="AM373" s="62"/>
      <c r="AN373" s="65"/>
      <c r="AO373" s="62" t="s">
        <v>390</v>
      </c>
      <c r="AP373" s="62"/>
      <c r="AQ373" s="62" t="s">
        <v>390</v>
      </c>
      <c r="AR373" s="66"/>
      <c r="AS373" s="62"/>
      <c r="AT373" s="65"/>
      <c r="AU373" s="62" t="s">
        <v>397</v>
      </c>
    </row>
    <row r="374" customFormat="false" ht="15" hidden="false" customHeight="false" outlineLevel="0" collapsed="false">
      <c r="A374" s="62" t="s">
        <v>388</v>
      </c>
      <c r="B374" s="63" t="n">
        <v>1910</v>
      </c>
      <c r="C374" s="64" t="n">
        <v>46309.8223715394</v>
      </c>
      <c r="D374" s="62" t="s">
        <v>73</v>
      </c>
      <c r="E374" s="63" t="n">
        <v>19</v>
      </c>
      <c r="F374" s="62" t="s">
        <v>389</v>
      </c>
      <c r="G374" s="62" t="s">
        <v>389</v>
      </c>
      <c r="H374" s="62" t="s">
        <v>389</v>
      </c>
      <c r="I374" s="62" t="s">
        <v>389</v>
      </c>
      <c r="J374" s="65" t="n">
        <v>0.2</v>
      </c>
      <c r="K374" s="62" t="s">
        <v>278</v>
      </c>
      <c r="L374" s="62" t="s">
        <v>389</v>
      </c>
      <c r="M374" s="62" t="s">
        <v>390</v>
      </c>
      <c r="N374" s="62"/>
      <c r="O374" s="62" t="s">
        <v>389</v>
      </c>
      <c r="P374" s="62" t="s">
        <v>390</v>
      </c>
      <c r="Q374" s="62" t="s">
        <v>390</v>
      </c>
      <c r="R374" s="62" t="s">
        <v>278</v>
      </c>
      <c r="S374" s="62" t="s">
        <v>390</v>
      </c>
      <c r="T374" s="65"/>
      <c r="U374" s="62"/>
      <c r="V374" s="65" t="n">
        <v>1</v>
      </c>
      <c r="W374" s="65"/>
      <c r="X374" s="63" t="n">
        <v>1</v>
      </c>
      <c r="Y374" s="62" t="s">
        <v>390</v>
      </c>
      <c r="Z374" s="62" t="s">
        <v>390</v>
      </c>
      <c r="AA374" s="62"/>
      <c r="AB374" s="62"/>
      <c r="AC374" s="65"/>
      <c r="AD374" s="63" t="n">
        <v>2</v>
      </c>
      <c r="AE374" s="63" t="n">
        <v>13</v>
      </c>
      <c r="AF374" s="63" t="n">
        <v>0</v>
      </c>
      <c r="AG374" s="62" t="s">
        <v>389</v>
      </c>
      <c r="AH374" s="62" t="s">
        <v>398</v>
      </c>
      <c r="AI374" s="63" t="n">
        <v>0</v>
      </c>
      <c r="AJ374" s="62" t="s">
        <v>148</v>
      </c>
      <c r="AK374" s="62" t="s">
        <v>402</v>
      </c>
      <c r="AL374" s="62"/>
      <c r="AM374" s="62"/>
      <c r="AN374" s="65"/>
      <c r="AO374" s="62" t="s">
        <v>390</v>
      </c>
      <c r="AP374" s="62"/>
      <c r="AQ374" s="62" t="s">
        <v>390</v>
      </c>
      <c r="AR374" s="66"/>
      <c r="AS374" s="62"/>
      <c r="AT374" s="65"/>
      <c r="AU374" s="62" t="s">
        <v>397</v>
      </c>
    </row>
    <row r="375" customFormat="false" ht="15" hidden="false" customHeight="false" outlineLevel="0" collapsed="false">
      <c r="A375" s="62" t="s">
        <v>388</v>
      </c>
      <c r="B375" s="63" t="n">
        <v>1929</v>
      </c>
      <c r="C375" s="64" t="n">
        <v>46309.9349628241</v>
      </c>
      <c r="D375" s="62" t="s">
        <v>73</v>
      </c>
      <c r="E375" s="63" t="n">
        <v>22</v>
      </c>
      <c r="F375" s="62" t="s">
        <v>390</v>
      </c>
      <c r="G375" s="62" t="s">
        <v>389</v>
      </c>
      <c r="H375" s="62" t="s">
        <v>389</v>
      </c>
      <c r="I375" s="62" t="s">
        <v>389</v>
      </c>
      <c r="J375" s="65" t="n">
        <v>517.3</v>
      </c>
      <c r="K375" s="62" t="s">
        <v>277</v>
      </c>
      <c r="L375" s="62" t="s">
        <v>389</v>
      </c>
      <c r="M375" s="62" t="s">
        <v>390</v>
      </c>
      <c r="N375" s="62"/>
      <c r="O375" s="62" t="s">
        <v>389</v>
      </c>
      <c r="P375" s="62" t="s">
        <v>390</v>
      </c>
      <c r="Q375" s="62" t="s">
        <v>390</v>
      </c>
      <c r="R375" s="62" t="s">
        <v>277</v>
      </c>
      <c r="S375" s="62" t="s">
        <v>390</v>
      </c>
      <c r="T375" s="65"/>
      <c r="U375" s="62"/>
      <c r="V375" s="65" t="n">
        <v>517.5</v>
      </c>
      <c r="W375" s="65"/>
      <c r="X375" s="63" t="n">
        <v>1</v>
      </c>
      <c r="Y375" s="62" t="s">
        <v>390</v>
      </c>
      <c r="Z375" s="62" t="s">
        <v>390</v>
      </c>
      <c r="AA375" s="62"/>
      <c r="AB375" s="62"/>
      <c r="AC375" s="65"/>
      <c r="AD375" s="63" t="n">
        <v>2</v>
      </c>
      <c r="AE375" s="63" t="n">
        <v>13</v>
      </c>
      <c r="AF375" s="63" t="n">
        <v>0</v>
      </c>
      <c r="AG375" s="62" t="s">
        <v>390</v>
      </c>
      <c r="AH375" s="62"/>
      <c r="AI375" s="63" t="n">
        <v>0</v>
      </c>
      <c r="AJ375" s="62" t="s">
        <v>148</v>
      </c>
      <c r="AK375" s="62" t="s">
        <v>402</v>
      </c>
      <c r="AL375" s="62"/>
      <c r="AM375" s="62"/>
      <c r="AN375" s="65"/>
      <c r="AO375" s="62" t="s">
        <v>390</v>
      </c>
      <c r="AP375" s="62"/>
      <c r="AQ375" s="62" t="s">
        <v>390</v>
      </c>
      <c r="AR375" s="66"/>
      <c r="AS375" s="62"/>
      <c r="AT375" s="65"/>
      <c r="AU375" s="62" t="s">
        <v>397</v>
      </c>
    </row>
    <row r="376" customFormat="false" ht="15" hidden="false" customHeight="false" outlineLevel="0" collapsed="false">
      <c r="A376" s="62" t="s">
        <v>388</v>
      </c>
      <c r="B376" s="63" t="n">
        <v>1930</v>
      </c>
      <c r="C376" s="64" t="n">
        <v>46309.9560466204</v>
      </c>
      <c r="D376" s="62" t="s">
        <v>73</v>
      </c>
      <c r="E376" s="63" t="n">
        <v>22</v>
      </c>
      <c r="F376" s="62" t="s">
        <v>390</v>
      </c>
      <c r="G376" s="62" t="s">
        <v>389</v>
      </c>
      <c r="H376" s="62" t="s">
        <v>389</v>
      </c>
      <c r="I376" s="62" t="s">
        <v>389</v>
      </c>
      <c r="J376" s="65" t="n">
        <v>487.2</v>
      </c>
      <c r="K376" s="62" t="s">
        <v>277</v>
      </c>
      <c r="L376" s="62" t="s">
        <v>389</v>
      </c>
      <c r="M376" s="62" t="s">
        <v>390</v>
      </c>
      <c r="N376" s="62"/>
      <c r="O376" s="62" t="s">
        <v>389</v>
      </c>
      <c r="P376" s="62" t="s">
        <v>390</v>
      </c>
      <c r="Q376" s="62" t="s">
        <v>390</v>
      </c>
      <c r="R376" s="62" t="s">
        <v>277</v>
      </c>
      <c r="S376" s="62" t="s">
        <v>390</v>
      </c>
      <c r="T376" s="65"/>
      <c r="U376" s="62"/>
      <c r="V376" s="65" t="n">
        <v>487.4</v>
      </c>
      <c r="W376" s="65"/>
      <c r="X376" s="63" t="n">
        <v>1</v>
      </c>
      <c r="Y376" s="62" t="s">
        <v>390</v>
      </c>
      <c r="Z376" s="62" t="s">
        <v>390</v>
      </c>
      <c r="AA376" s="62"/>
      <c r="AB376" s="62"/>
      <c r="AC376" s="65"/>
      <c r="AD376" s="63" t="n">
        <v>2</v>
      </c>
      <c r="AE376" s="63" t="n">
        <v>13</v>
      </c>
      <c r="AF376" s="63" t="n">
        <v>0</v>
      </c>
      <c r="AG376" s="62" t="s">
        <v>390</v>
      </c>
      <c r="AH376" s="62"/>
      <c r="AI376" s="63" t="n">
        <v>0</v>
      </c>
      <c r="AJ376" s="62" t="s">
        <v>148</v>
      </c>
      <c r="AK376" s="62" t="s">
        <v>402</v>
      </c>
      <c r="AL376" s="62"/>
      <c r="AM376" s="62"/>
      <c r="AN376" s="65"/>
      <c r="AO376" s="62" t="s">
        <v>390</v>
      </c>
      <c r="AP376" s="62"/>
      <c r="AQ376" s="62" t="s">
        <v>390</v>
      </c>
      <c r="AR376" s="66"/>
      <c r="AS376" s="62"/>
      <c r="AT376" s="65"/>
      <c r="AU376" s="62" t="s">
        <v>397</v>
      </c>
    </row>
    <row r="377" customFormat="false" ht="15" hidden="false" customHeight="false" outlineLevel="0" collapsed="false">
      <c r="A377" s="62" t="s">
        <v>388</v>
      </c>
      <c r="B377" s="63" t="n">
        <v>1931</v>
      </c>
      <c r="C377" s="64" t="n">
        <v>46309.9565533912</v>
      </c>
      <c r="D377" s="62" t="s">
        <v>73</v>
      </c>
      <c r="E377" s="63" t="n">
        <v>22</v>
      </c>
      <c r="F377" s="62" t="s">
        <v>390</v>
      </c>
      <c r="G377" s="62" t="s">
        <v>390</v>
      </c>
      <c r="H377" s="62" t="s">
        <v>390</v>
      </c>
      <c r="I377" s="62" t="s">
        <v>389</v>
      </c>
      <c r="J377" s="65"/>
      <c r="K377" s="62" t="s">
        <v>275</v>
      </c>
      <c r="L377" s="62" t="s">
        <v>389</v>
      </c>
      <c r="M377" s="62" t="s">
        <v>390</v>
      </c>
      <c r="N377" s="62"/>
      <c r="O377" s="62" t="s">
        <v>389</v>
      </c>
      <c r="P377" s="62" t="s">
        <v>390</v>
      </c>
      <c r="Q377" s="62" t="s">
        <v>390</v>
      </c>
      <c r="R377" s="62" t="s">
        <v>277</v>
      </c>
      <c r="S377" s="62" t="s">
        <v>390</v>
      </c>
      <c r="T377" s="65"/>
      <c r="U377" s="62"/>
      <c r="V377" s="65"/>
      <c r="W377" s="65"/>
      <c r="X377" s="63" t="n">
        <v>0</v>
      </c>
      <c r="Y377" s="62" t="s">
        <v>390</v>
      </c>
      <c r="Z377" s="62" t="s">
        <v>390</v>
      </c>
      <c r="AA377" s="62"/>
      <c r="AB377" s="62"/>
      <c r="AC377" s="65"/>
      <c r="AD377" s="63" t="n">
        <v>1</v>
      </c>
      <c r="AE377" s="63" t="n">
        <v>14</v>
      </c>
      <c r="AF377" s="63" t="n">
        <v>0</v>
      </c>
      <c r="AG377" s="62" t="s">
        <v>390</v>
      </c>
      <c r="AH377" s="62"/>
      <c r="AI377" s="63" t="n">
        <v>0</v>
      </c>
      <c r="AJ377" s="62" t="s">
        <v>147</v>
      </c>
      <c r="AK377" s="62" t="s">
        <v>402</v>
      </c>
      <c r="AL377" s="62"/>
      <c r="AM377" s="62"/>
      <c r="AN377" s="65"/>
      <c r="AO377" s="62" t="s">
        <v>390</v>
      </c>
      <c r="AP377" s="62"/>
      <c r="AQ377" s="62" t="s">
        <v>390</v>
      </c>
      <c r="AR377" s="66"/>
      <c r="AS377" s="62"/>
      <c r="AT377" s="65"/>
      <c r="AU377" s="62" t="s">
        <v>397</v>
      </c>
    </row>
    <row r="378" customFormat="false" ht="15" hidden="false" customHeight="false" outlineLevel="0" collapsed="false">
      <c r="A378" s="62" t="s">
        <v>388</v>
      </c>
      <c r="B378" s="63" t="n">
        <v>1934</v>
      </c>
      <c r="C378" s="64" t="n">
        <v>46309.9717203241</v>
      </c>
      <c r="D378" s="62" t="s">
        <v>73</v>
      </c>
      <c r="E378" s="63" t="n">
        <v>23</v>
      </c>
      <c r="F378" s="62" t="s">
        <v>390</v>
      </c>
      <c r="G378" s="62" t="s">
        <v>389</v>
      </c>
      <c r="H378" s="62" t="s">
        <v>389</v>
      </c>
      <c r="I378" s="62" t="s">
        <v>389</v>
      </c>
      <c r="J378" s="65" t="n">
        <v>465.4</v>
      </c>
      <c r="K378" s="62" t="s">
        <v>277</v>
      </c>
      <c r="L378" s="62" t="s">
        <v>389</v>
      </c>
      <c r="M378" s="62" t="s">
        <v>389</v>
      </c>
      <c r="N378" s="62" t="s">
        <v>309</v>
      </c>
      <c r="O378" s="62" t="s">
        <v>390</v>
      </c>
      <c r="P378" s="62" t="s">
        <v>389</v>
      </c>
      <c r="Q378" s="62" t="s">
        <v>389</v>
      </c>
      <c r="R378" s="62" t="s">
        <v>277</v>
      </c>
      <c r="S378" s="62" t="s">
        <v>390</v>
      </c>
      <c r="T378" s="65" t="n">
        <v>500.5</v>
      </c>
      <c r="U378" s="62" t="s">
        <v>277</v>
      </c>
      <c r="V378" s="65" t="n">
        <v>465.8</v>
      </c>
      <c r="W378" s="65" t="n">
        <v>1.5</v>
      </c>
      <c r="X378" s="63" t="n">
        <v>0</v>
      </c>
      <c r="Y378" s="62" t="s">
        <v>389</v>
      </c>
      <c r="Z378" s="62" t="s">
        <v>390</v>
      </c>
      <c r="AA378" s="62"/>
      <c r="AB378" s="62"/>
      <c r="AC378" s="65"/>
      <c r="AD378" s="63" t="n">
        <v>8</v>
      </c>
      <c r="AE378" s="63" t="n">
        <v>11</v>
      </c>
      <c r="AF378" s="63" t="n">
        <v>10</v>
      </c>
      <c r="AG378" s="62" t="s">
        <v>390</v>
      </c>
      <c r="AH378" s="62"/>
      <c r="AI378" s="63" t="n">
        <v>0</v>
      </c>
      <c r="AJ378" s="62" t="s">
        <v>152</v>
      </c>
      <c r="AK378" s="62" t="s">
        <v>402</v>
      </c>
      <c r="AL378" s="62"/>
      <c r="AM378" s="62"/>
      <c r="AN378" s="65"/>
      <c r="AO378" s="62" t="s">
        <v>390</v>
      </c>
      <c r="AP378" s="62"/>
      <c r="AQ378" s="62" t="s">
        <v>390</v>
      </c>
      <c r="AR378" s="66"/>
      <c r="AS378" s="62"/>
      <c r="AT378" s="65"/>
      <c r="AU378" s="62" t="s">
        <v>397</v>
      </c>
    </row>
    <row r="379" customFormat="false" ht="15" hidden="false" customHeight="false" outlineLevel="0" collapsed="false">
      <c r="A379" s="62" t="s">
        <v>388</v>
      </c>
      <c r="B379" s="63" t="n">
        <v>1939</v>
      </c>
      <c r="C379" s="64" t="n">
        <v>46310.0556264931</v>
      </c>
      <c r="D379" s="62" t="s">
        <v>73</v>
      </c>
      <c r="E379" s="63" t="n">
        <v>1</v>
      </c>
      <c r="F379" s="62" t="s">
        <v>390</v>
      </c>
      <c r="G379" s="62" t="s">
        <v>390</v>
      </c>
      <c r="H379" s="62" t="s">
        <v>390</v>
      </c>
      <c r="I379" s="62" t="s">
        <v>389</v>
      </c>
      <c r="J379" s="65"/>
      <c r="K379" s="62" t="s">
        <v>275</v>
      </c>
      <c r="L379" s="62" t="s">
        <v>389</v>
      </c>
      <c r="M379" s="62" t="s">
        <v>390</v>
      </c>
      <c r="N379" s="62"/>
      <c r="O379" s="62" t="s">
        <v>389</v>
      </c>
      <c r="P379" s="62" t="s">
        <v>390</v>
      </c>
      <c r="Q379" s="62" t="s">
        <v>390</v>
      </c>
      <c r="R379" s="62" t="s">
        <v>277</v>
      </c>
      <c r="S379" s="62" t="s">
        <v>390</v>
      </c>
      <c r="T379" s="65"/>
      <c r="U379" s="62"/>
      <c r="V379" s="65"/>
      <c r="W379" s="65"/>
      <c r="X379" s="63" t="n">
        <v>0</v>
      </c>
      <c r="Y379" s="62" t="s">
        <v>390</v>
      </c>
      <c r="Z379" s="62" t="s">
        <v>390</v>
      </c>
      <c r="AA379" s="62"/>
      <c r="AB379" s="62"/>
      <c r="AC379" s="65"/>
      <c r="AD379" s="63" t="n">
        <v>1</v>
      </c>
      <c r="AE379" s="63" t="n">
        <v>14</v>
      </c>
      <c r="AF379" s="63" t="n">
        <v>0</v>
      </c>
      <c r="AG379" s="62" t="s">
        <v>390</v>
      </c>
      <c r="AH379" s="62"/>
      <c r="AI379" s="63" t="n">
        <v>0</v>
      </c>
      <c r="AJ379" s="62" t="s">
        <v>147</v>
      </c>
      <c r="AK379" s="62" t="s">
        <v>402</v>
      </c>
      <c r="AL379" s="62"/>
      <c r="AM379" s="62"/>
      <c r="AN379" s="65"/>
      <c r="AO379" s="62" t="s">
        <v>390</v>
      </c>
      <c r="AP379" s="62"/>
      <c r="AQ379" s="62" t="s">
        <v>390</v>
      </c>
      <c r="AR379" s="66"/>
      <c r="AS379" s="62"/>
      <c r="AT379" s="65"/>
      <c r="AU379" s="62" t="s">
        <v>397</v>
      </c>
    </row>
    <row r="380" customFormat="false" ht="15" hidden="false" customHeight="false" outlineLevel="0" collapsed="false">
      <c r="A380" s="62" t="s">
        <v>388</v>
      </c>
      <c r="B380" s="63" t="n">
        <v>1944</v>
      </c>
      <c r="C380" s="64" t="n">
        <v>46310.2679656945</v>
      </c>
      <c r="D380" s="62" t="s">
        <v>73</v>
      </c>
      <c r="E380" s="63" t="n">
        <v>6</v>
      </c>
      <c r="F380" s="62" t="s">
        <v>390</v>
      </c>
      <c r="G380" s="62" t="s">
        <v>389</v>
      </c>
      <c r="H380" s="62" t="s">
        <v>389</v>
      </c>
      <c r="I380" s="62" t="s">
        <v>389</v>
      </c>
      <c r="J380" s="65" t="n">
        <v>47.3</v>
      </c>
      <c r="K380" s="62" t="s">
        <v>277</v>
      </c>
      <c r="L380" s="62" t="s">
        <v>389</v>
      </c>
      <c r="M380" s="62" t="s">
        <v>389</v>
      </c>
      <c r="N380" s="62" t="s">
        <v>303</v>
      </c>
      <c r="O380" s="62" t="s">
        <v>389</v>
      </c>
      <c r="P380" s="62" t="s">
        <v>389</v>
      </c>
      <c r="Q380" s="62" t="s">
        <v>390</v>
      </c>
      <c r="R380" s="62" t="s">
        <v>277</v>
      </c>
      <c r="S380" s="62" t="s">
        <v>390</v>
      </c>
      <c r="T380" s="65" t="n">
        <v>110.8</v>
      </c>
      <c r="U380" s="62" t="s">
        <v>277</v>
      </c>
      <c r="V380" s="65" t="n">
        <v>47.6</v>
      </c>
      <c r="W380" s="65" t="n">
        <v>55.3</v>
      </c>
      <c r="X380" s="63" t="n">
        <v>0</v>
      </c>
      <c r="Y380" s="62" t="s">
        <v>389</v>
      </c>
      <c r="Z380" s="62" t="s">
        <v>390</v>
      </c>
      <c r="AA380" s="62"/>
      <c r="AB380" s="62"/>
      <c r="AC380" s="65"/>
      <c r="AD380" s="63" t="n">
        <v>3</v>
      </c>
      <c r="AE380" s="63" t="n">
        <v>15</v>
      </c>
      <c r="AF380" s="63" t="n">
        <v>3</v>
      </c>
      <c r="AG380" s="62" t="s">
        <v>389</v>
      </c>
      <c r="AH380" s="62" t="s">
        <v>330</v>
      </c>
      <c r="AI380" s="63" t="n">
        <v>0</v>
      </c>
      <c r="AJ380" s="62" t="s">
        <v>149</v>
      </c>
      <c r="AK380" s="62" t="s">
        <v>402</v>
      </c>
      <c r="AL380" s="62"/>
      <c r="AM380" s="62"/>
      <c r="AN380" s="65"/>
      <c r="AO380" s="62" t="s">
        <v>390</v>
      </c>
      <c r="AP380" s="62"/>
      <c r="AQ380" s="62" t="s">
        <v>390</v>
      </c>
      <c r="AR380" s="66"/>
      <c r="AS380" s="62"/>
      <c r="AT380" s="65"/>
      <c r="AU380" s="62" t="s">
        <v>397</v>
      </c>
    </row>
    <row r="381" customFormat="false" ht="15" hidden="false" customHeight="false" outlineLevel="0" collapsed="false">
      <c r="A381" s="62" t="s">
        <v>388</v>
      </c>
      <c r="B381" s="63" t="n">
        <v>1945</v>
      </c>
      <c r="C381" s="64" t="n">
        <v>46310.2728500232</v>
      </c>
      <c r="D381" s="62" t="s">
        <v>73</v>
      </c>
      <c r="E381" s="63" t="n">
        <v>6</v>
      </c>
      <c r="F381" s="62" t="s">
        <v>390</v>
      </c>
      <c r="G381" s="62" t="s">
        <v>390</v>
      </c>
      <c r="H381" s="62" t="s">
        <v>390</v>
      </c>
      <c r="I381" s="62" t="s">
        <v>389</v>
      </c>
      <c r="J381" s="65"/>
      <c r="K381" s="62" t="s">
        <v>275</v>
      </c>
      <c r="L381" s="62" t="s">
        <v>389</v>
      </c>
      <c r="M381" s="62" t="s">
        <v>390</v>
      </c>
      <c r="N381" s="62"/>
      <c r="O381" s="62" t="s">
        <v>389</v>
      </c>
      <c r="P381" s="62" t="s">
        <v>390</v>
      </c>
      <c r="Q381" s="62" t="s">
        <v>390</v>
      </c>
      <c r="R381" s="62" t="s">
        <v>277</v>
      </c>
      <c r="S381" s="62" t="s">
        <v>390</v>
      </c>
      <c r="T381" s="65"/>
      <c r="U381" s="62"/>
      <c r="V381" s="65"/>
      <c r="W381" s="65"/>
      <c r="X381" s="63" t="n">
        <v>0</v>
      </c>
      <c r="Y381" s="62" t="s">
        <v>390</v>
      </c>
      <c r="Z381" s="62" t="s">
        <v>390</v>
      </c>
      <c r="AA381" s="62"/>
      <c r="AB381" s="62"/>
      <c r="AC381" s="65"/>
      <c r="AD381" s="63" t="n">
        <v>1</v>
      </c>
      <c r="AE381" s="63" t="n">
        <v>14</v>
      </c>
      <c r="AF381" s="63" t="n">
        <v>0</v>
      </c>
      <c r="AG381" s="62" t="s">
        <v>390</v>
      </c>
      <c r="AH381" s="62"/>
      <c r="AI381" s="63" t="n">
        <v>0</v>
      </c>
      <c r="AJ381" s="62" t="s">
        <v>147</v>
      </c>
      <c r="AK381" s="62" t="s">
        <v>402</v>
      </c>
      <c r="AL381" s="62"/>
      <c r="AM381" s="62"/>
      <c r="AN381" s="65"/>
      <c r="AO381" s="62" t="s">
        <v>390</v>
      </c>
      <c r="AP381" s="62"/>
      <c r="AQ381" s="62" t="s">
        <v>390</v>
      </c>
      <c r="AR381" s="66"/>
      <c r="AS381" s="62"/>
      <c r="AT381" s="65"/>
      <c r="AU381" s="62" t="s">
        <v>417</v>
      </c>
    </row>
    <row r="382" customFormat="false" ht="15" hidden="false" customHeight="false" outlineLevel="0" collapsed="false">
      <c r="A382" s="62" t="s">
        <v>388</v>
      </c>
      <c r="B382" s="63" t="n">
        <v>1956</v>
      </c>
      <c r="C382" s="64" t="n">
        <v>46310.3486410648</v>
      </c>
      <c r="D382" s="62" t="s">
        <v>73</v>
      </c>
      <c r="E382" s="63" t="n">
        <v>8</v>
      </c>
      <c r="F382" s="62" t="s">
        <v>390</v>
      </c>
      <c r="G382" s="62" t="s">
        <v>389</v>
      </c>
      <c r="H382" s="62" t="s">
        <v>389</v>
      </c>
      <c r="I382" s="62" t="s">
        <v>389</v>
      </c>
      <c r="J382" s="65" t="n">
        <v>1.9</v>
      </c>
      <c r="K382" s="62" t="s">
        <v>277</v>
      </c>
      <c r="L382" s="62" t="s">
        <v>389</v>
      </c>
      <c r="M382" s="62" t="s">
        <v>389</v>
      </c>
      <c r="N382" s="62" t="s">
        <v>305</v>
      </c>
      <c r="O382" s="62" t="s">
        <v>389</v>
      </c>
      <c r="P382" s="62" t="s">
        <v>389</v>
      </c>
      <c r="Q382" s="62" t="s">
        <v>390</v>
      </c>
      <c r="R382" s="62" t="s">
        <v>277</v>
      </c>
      <c r="S382" s="62" t="s">
        <v>390</v>
      </c>
      <c r="T382" s="65" t="n">
        <v>8.9</v>
      </c>
      <c r="U382" s="62" t="s">
        <v>277</v>
      </c>
      <c r="V382" s="65" t="n">
        <v>3.7</v>
      </c>
      <c r="W382" s="65" t="n">
        <v>3.1</v>
      </c>
      <c r="X382" s="63" t="n">
        <v>0</v>
      </c>
      <c r="Y382" s="62" t="s">
        <v>389</v>
      </c>
      <c r="Z382" s="62" t="s">
        <v>390</v>
      </c>
      <c r="AA382" s="62"/>
      <c r="AB382" s="62"/>
      <c r="AC382" s="65"/>
      <c r="AD382" s="63" t="n">
        <v>7</v>
      </c>
      <c r="AE382" s="63" t="n">
        <v>13</v>
      </c>
      <c r="AF382" s="63" t="n">
        <v>7</v>
      </c>
      <c r="AG382" s="62" t="s">
        <v>389</v>
      </c>
      <c r="AH382" s="62" t="s">
        <v>398</v>
      </c>
      <c r="AI382" s="63" t="n">
        <v>0</v>
      </c>
      <c r="AJ382" s="62" t="s">
        <v>150</v>
      </c>
      <c r="AK382" s="62" t="s">
        <v>402</v>
      </c>
      <c r="AL382" s="62"/>
      <c r="AM382" s="62"/>
      <c r="AN382" s="65"/>
      <c r="AO382" s="62" t="s">
        <v>390</v>
      </c>
      <c r="AP382" s="62"/>
      <c r="AQ382" s="62" t="s">
        <v>390</v>
      </c>
      <c r="AR382" s="66"/>
      <c r="AS382" s="62"/>
      <c r="AT382" s="65"/>
      <c r="AU382" s="62" t="s">
        <v>417</v>
      </c>
    </row>
    <row r="383" customFormat="false" ht="15" hidden="false" customHeight="false" outlineLevel="0" collapsed="false">
      <c r="A383" s="62" t="s">
        <v>388</v>
      </c>
      <c r="B383" s="63" t="n">
        <v>1965</v>
      </c>
      <c r="C383" s="64" t="n">
        <v>46310.3885224884</v>
      </c>
      <c r="D383" s="62" t="s">
        <v>73</v>
      </c>
      <c r="E383" s="63" t="n">
        <v>9</v>
      </c>
      <c r="F383" s="62" t="s">
        <v>389</v>
      </c>
      <c r="G383" s="62" t="s">
        <v>390</v>
      </c>
      <c r="H383" s="62" t="s">
        <v>390</v>
      </c>
      <c r="I383" s="62" t="s">
        <v>389</v>
      </c>
      <c r="J383" s="65"/>
      <c r="K383" s="62" t="s">
        <v>275</v>
      </c>
      <c r="L383" s="62" t="s">
        <v>389</v>
      </c>
      <c r="M383" s="62" t="s">
        <v>390</v>
      </c>
      <c r="N383" s="62"/>
      <c r="O383" s="62" t="s">
        <v>389</v>
      </c>
      <c r="P383" s="62" t="s">
        <v>390</v>
      </c>
      <c r="Q383" s="62" t="s">
        <v>390</v>
      </c>
      <c r="R383" s="62" t="s">
        <v>277</v>
      </c>
      <c r="S383" s="62" t="s">
        <v>390</v>
      </c>
      <c r="T383" s="65"/>
      <c r="U383" s="62"/>
      <c r="V383" s="65"/>
      <c r="W383" s="65"/>
      <c r="X383" s="63" t="n">
        <v>0</v>
      </c>
      <c r="Y383" s="62" t="s">
        <v>390</v>
      </c>
      <c r="Z383" s="62" t="s">
        <v>390</v>
      </c>
      <c r="AA383" s="62"/>
      <c r="AB383" s="62"/>
      <c r="AC383" s="65"/>
      <c r="AD383" s="63" t="n">
        <v>1</v>
      </c>
      <c r="AE383" s="63" t="n">
        <v>14</v>
      </c>
      <c r="AF383" s="63" t="n">
        <v>0</v>
      </c>
      <c r="AG383" s="62" t="s">
        <v>390</v>
      </c>
      <c r="AH383" s="62"/>
      <c r="AI383" s="63" t="n">
        <v>0</v>
      </c>
      <c r="AJ383" s="62" t="s">
        <v>147</v>
      </c>
      <c r="AK383" s="62" t="s">
        <v>402</v>
      </c>
      <c r="AL383" s="62"/>
      <c r="AM383" s="62"/>
      <c r="AN383" s="65"/>
      <c r="AO383" s="62" t="s">
        <v>390</v>
      </c>
      <c r="AP383" s="62"/>
      <c r="AQ383" s="62" t="s">
        <v>390</v>
      </c>
      <c r="AR383" s="66"/>
      <c r="AS383" s="62"/>
      <c r="AT383" s="65"/>
      <c r="AU383" s="62" t="s">
        <v>399</v>
      </c>
    </row>
    <row r="384" customFormat="false" ht="15" hidden="false" customHeight="false" outlineLevel="0" collapsed="false">
      <c r="A384" s="62" t="s">
        <v>388</v>
      </c>
      <c r="B384" s="63" t="n">
        <v>1979</v>
      </c>
      <c r="C384" s="64" t="n">
        <v>46310.4708592593</v>
      </c>
      <c r="D384" s="62" t="s">
        <v>73</v>
      </c>
      <c r="E384" s="63" t="n">
        <v>11</v>
      </c>
      <c r="F384" s="62" t="s">
        <v>389</v>
      </c>
      <c r="G384" s="62" t="s">
        <v>389</v>
      </c>
      <c r="H384" s="62" t="s">
        <v>389</v>
      </c>
      <c r="I384" s="62" t="s">
        <v>389</v>
      </c>
      <c r="J384" s="65" t="n">
        <v>2.5</v>
      </c>
      <c r="K384" s="62" t="s">
        <v>277</v>
      </c>
      <c r="L384" s="62" t="s">
        <v>389</v>
      </c>
      <c r="M384" s="62" t="s">
        <v>389</v>
      </c>
      <c r="N384" s="62" t="s">
        <v>306</v>
      </c>
      <c r="O384" s="62" t="s">
        <v>389</v>
      </c>
      <c r="P384" s="62" t="s">
        <v>389</v>
      </c>
      <c r="Q384" s="62" t="s">
        <v>390</v>
      </c>
      <c r="R384" s="62" t="s">
        <v>277</v>
      </c>
      <c r="S384" s="62" t="s">
        <v>390</v>
      </c>
      <c r="T384" s="65" t="n">
        <v>19.5</v>
      </c>
      <c r="U384" s="62" t="s">
        <v>277</v>
      </c>
      <c r="V384" s="65" t="n">
        <v>3</v>
      </c>
      <c r="W384" s="65" t="n">
        <v>0.3</v>
      </c>
      <c r="X384" s="63" t="n">
        <v>0</v>
      </c>
      <c r="Y384" s="62" t="s">
        <v>389</v>
      </c>
      <c r="Z384" s="62" t="s">
        <v>390</v>
      </c>
      <c r="AA384" s="62"/>
      <c r="AB384" s="62"/>
      <c r="AC384" s="65"/>
      <c r="AD384" s="63" t="n">
        <v>4</v>
      </c>
      <c r="AE384" s="63" t="n">
        <v>15</v>
      </c>
      <c r="AF384" s="63" t="n">
        <v>4</v>
      </c>
      <c r="AG384" s="62" t="s">
        <v>389</v>
      </c>
      <c r="AH384" s="62" t="s">
        <v>398</v>
      </c>
      <c r="AI384" s="63" t="n">
        <v>0</v>
      </c>
      <c r="AJ384" s="62" t="s">
        <v>149</v>
      </c>
      <c r="AK384" s="62" t="s">
        <v>402</v>
      </c>
      <c r="AL384" s="62"/>
      <c r="AM384" s="62"/>
      <c r="AN384" s="65"/>
      <c r="AO384" s="62" t="s">
        <v>390</v>
      </c>
      <c r="AP384" s="62"/>
      <c r="AQ384" s="62" t="s">
        <v>390</v>
      </c>
      <c r="AR384" s="66"/>
      <c r="AS384" s="62"/>
      <c r="AT384" s="65"/>
      <c r="AU384" s="62" t="s">
        <v>397</v>
      </c>
    </row>
    <row r="385" customFormat="false" ht="15" hidden="false" customHeight="false" outlineLevel="0" collapsed="false">
      <c r="A385" s="62" t="s">
        <v>388</v>
      </c>
      <c r="B385" s="63" t="n">
        <v>1980</v>
      </c>
      <c r="C385" s="64" t="n">
        <v>46310.4788149884</v>
      </c>
      <c r="D385" s="62" t="s">
        <v>73</v>
      </c>
      <c r="E385" s="63" t="n">
        <v>11</v>
      </c>
      <c r="F385" s="62" t="s">
        <v>389</v>
      </c>
      <c r="G385" s="62" t="s">
        <v>390</v>
      </c>
      <c r="H385" s="62" t="s">
        <v>390</v>
      </c>
      <c r="I385" s="62" t="s">
        <v>389</v>
      </c>
      <c r="J385" s="65"/>
      <c r="K385" s="62" t="s">
        <v>275</v>
      </c>
      <c r="L385" s="62" t="s">
        <v>389</v>
      </c>
      <c r="M385" s="62" t="s">
        <v>390</v>
      </c>
      <c r="N385" s="62"/>
      <c r="O385" s="62" t="s">
        <v>389</v>
      </c>
      <c r="P385" s="62" t="s">
        <v>390</v>
      </c>
      <c r="Q385" s="62" t="s">
        <v>390</v>
      </c>
      <c r="R385" s="62" t="s">
        <v>277</v>
      </c>
      <c r="S385" s="62" t="s">
        <v>390</v>
      </c>
      <c r="T385" s="65"/>
      <c r="U385" s="62"/>
      <c r="V385" s="65"/>
      <c r="W385" s="65"/>
      <c r="X385" s="63" t="n">
        <v>0</v>
      </c>
      <c r="Y385" s="62" t="s">
        <v>390</v>
      </c>
      <c r="Z385" s="62" t="s">
        <v>390</v>
      </c>
      <c r="AA385" s="62"/>
      <c r="AB385" s="62"/>
      <c r="AC385" s="65"/>
      <c r="AD385" s="63" t="n">
        <v>1</v>
      </c>
      <c r="AE385" s="63" t="n">
        <v>14</v>
      </c>
      <c r="AF385" s="63" t="n">
        <v>0</v>
      </c>
      <c r="AG385" s="62" t="s">
        <v>390</v>
      </c>
      <c r="AH385" s="62"/>
      <c r="AI385" s="63" t="n">
        <v>0</v>
      </c>
      <c r="AJ385" s="62" t="s">
        <v>147</v>
      </c>
      <c r="AK385" s="62" t="s">
        <v>402</v>
      </c>
      <c r="AL385" s="62"/>
      <c r="AM385" s="62"/>
      <c r="AN385" s="65"/>
      <c r="AO385" s="62" t="s">
        <v>390</v>
      </c>
      <c r="AP385" s="62"/>
      <c r="AQ385" s="62" t="s">
        <v>390</v>
      </c>
      <c r="AR385" s="66"/>
      <c r="AS385" s="62"/>
      <c r="AT385" s="65"/>
      <c r="AU385" s="62" t="s">
        <v>397</v>
      </c>
    </row>
    <row r="386" customFormat="false" ht="15" hidden="false" customHeight="false" outlineLevel="0" collapsed="false">
      <c r="A386" s="62" t="s">
        <v>388</v>
      </c>
      <c r="B386" s="63" t="n">
        <v>1981</v>
      </c>
      <c r="C386" s="64" t="n">
        <v>46310.4805695602</v>
      </c>
      <c r="D386" s="62" t="s">
        <v>73</v>
      </c>
      <c r="E386" s="63" t="n">
        <v>11</v>
      </c>
      <c r="F386" s="62" t="s">
        <v>389</v>
      </c>
      <c r="G386" s="62" t="s">
        <v>389</v>
      </c>
      <c r="H386" s="62" t="s">
        <v>389</v>
      </c>
      <c r="I386" s="62" t="s">
        <v>389</v>
      </c>
      <c r="J386" s="65" t="n">
        <v>0.3</v>
      </c>
      <c r="K386" s="62" t="s">
        <v>277</v>
      </c>
      <c r="L386" s="62" t="s">
        <v>389</v>
      </c>
      <c r="M386" s="62" t="s">
        <v>390</v>
      </c>
      <c r="N386" s="62"/>
      <c r="O386" s="62" t="s">
        <v>389</v>
      </c>
      <c r="P386" s="62" t="s">
        <v>390</v>
      </c>
      <c r="Q386" s="62" t="s">
        <v>390</v>
      </c>
      <c r="R386" s="62" t="s">
        <v>277</v>
      </c>
      <c r="S386" s="62" t="s">
        <v>390</v>
      </c>
      <c r="T386" s="65"/>
      <c r="U386" s="62"/>
      <c r="V386" s="65" t="n">
        <v>0.7</v>
      </c>
      <c r="W386" s="65"/>
      <c r="X386" s="63" t="n">
        <v>1</v>
      </c>
      <c r="Y386" s="62" t="s">
        <v>390</v>
      </c>
      <c r="Z386" s="62" t="s">
        <v>390</v>
      </c>
      <c r="AA386" s="62"/>
      <c r="AB386" s="62"/>
      <c r="AC386" s="65"/>
      <c r="AD386" s="63" t="n">
        <v>2</v>
      </c>
      <c r="AE386" s="63" t="n">
        <v>13</v>
      </c>
      <c r="AF386" s="63" t="n">
        <v>0</v>
      </c>
      <c r="AG386" s="62" t="s">
        <v>390</v>
      </c>
      <c r="AH386" s="62"/>
      <c r="AI386" s="63" t="n">
        <v>0</v>
      </c>
      <c r="AJ386" s="62" t="s">
        <v>148</v>
      </c>
      <c r="AK386" s="62" t="s">
        <v>402</v>
      </c>
      <c r="AL386" s="62"/>
      <c r="AM386" s="62"/>
      <c r="AN386" s="65"/>
      <c r="AO386" s="62" t="s">
        <v>390</v>
      </c>
      <c r="AP386" s="62"/>
      <c r="AQ386" s="62" t="s">
        <v>390</v>
      </c>
      <c r="AR386" s="66"/>
      <c r="AS386" s="62"/>
      <c r="AT386" s="65"/>
      <c r="AU386" s="62" t="s">
        <v>417</v>
      </c>
    </row>
    <row r="387" customFormat="false" ht="15" hidden="false" customHeight="false" outlineLevel="0" collapsed="false">
      <c r="A387" s="62" t="s">
        <v>388</v>
      </c>
      <c r="B387" s="63" t="n">
        <v>1987</v>
      </c>
      <c r="C387" s="64" t="n">
        <v>46310.4973805556</v>
      </c>
      <c r="D387" s="62" t="s">
        <v>73</v>
      </c>
      <c r="E387" s="63" t="n">
        <v>11</v>
      </c>
      <c r="F387" s="62" t="s">
        <v>389</v>
      </c>
      <c r="G387" s="62" t="s">
        <v>390</v>
      </c>
      <c r="H387" s="62" t="s">
        <v>390</v>
      </c>
      <c r="I387" s="62" t="s">
        <v>389</v>
      </c>
      <c r="J387" s="65"/>
      <c r="K387" s="62" t="s">
        <v>275</v>
      </c>
      <c r="L387" s="62" t="s">
        <v>389</v>
      </c>
      <c r="M387" s="62" t="s">
        <v>390</v>
      </c>
      <c r="N387" s="62"/>
      <c r="O387" s="62" t="s">
        <v>389</v>
      </c>
      <c r="P387" s="62" t="s">
        <v>390</v>
      </c>
      <c r="Q387" s="62" t="s">
        <v>390</v>
      </c>
      <c r="R387" s="62" t="s">
        <v>277</v>
      </c>
      <c r="S387" s="62" t="s">
        <v>390</v>
      </c>
      <c r="T387" s="65"/>
      <c r="U387" s="62"/>
      <c r="V387" s="65"/>
      <c r="W387" s="65"/>
      <c r="X387" s="63" t="n">
        <v>0</v>
      </c>
      <c r="Y387" s="62" t="s">
        <v>390</v>
      </c>
      <c r="Z387" s="62" t="s">
        <v>390</v>
      </c>
      <c r="AA387" s="62"/>
      <c r="AB387" s="62"/>
      <c r="AC387" s="65"/>
      <c r="AD387" s="63" t="n">
        <v>1</v>
      </c>
      <c r="AE387" s="63" t="n">
        <v>14</v>
      </c>
      <c r="AF387" s="63" t="n">
        <v>0</v>
      </c>
      <c r="AG387" s="62" t="s">
        <v>390</v>
      </c>
      <c r="AH387" s="62"/>
      <c r="AI387" s="63" t="n">
        <v>0</v>
      </c>
      <c r="AJ387" s="62" t="s">
        <v>147</v>
      </c>
      <c r="AK387" s="62" t="s">
        <v>402</v>
      </c>
      <c r="AL387" s="62"/>
      <c r="AM387" s="62"/>
      <c r="AN387" s="65"/>
      <c r="AO387" s="62" t="s">
        <v>390</v>
      </c>
      <c r="AP387" s="62"/>
      <c r="AQ387" s="62" t="s">
        <v>390</v>
      </c>
      <c r="AR387" s="66"/>
      <c r="AS387" s="62"/>
      <c r="AT387" s="65"/>
      <c r="AU387" s="62" t="s">
        <v>397</v>
      </c>
    </row>
    <row r="388" customFormat="false" ht="15" hidden="false" customHeight="false" outlineLevel="0" collapsed="false">
      <c r="A388" s="62" t="s">
        <v>388</v>
      </c>
      <c r="B388" s="63" t="n">
        <v>1990</v>
      </c>
      <c r="C388" s="64" t="n">
        <v>46310.5020763542</v>
      </c>
      <c r="D388" s="62" t="s">
        <v>73</v>
      </c>
      <c r="E388" s="63" t="n">
        <v>12</v>
      </c>
      <c r="F388" s="62" t="s">
        <v>389</v>
      </c>
      <c r="G388" s="62" t="s">
        <v>389</v>
      </c>
      <c r="H388" s="62" t="s">
        <v>389</v>
      </c>
      <c r="I388" s="62" t="s">
        <v>389</v>
      </c>
      <c r="J388" s="65" t="n">
        <v>0.2</v>
      </c>
      <c r="K388" s="62" t="s">
        <v>277</v>
      </c>
      <c r="L388" s="62" t="s">
        <v>389</v>
      </c>
      <c r="M388" s="62" t="s">
        <v>389</v>
      </c>
      <c r="N388" s="62" t="s">
        <v>307</v>
      </c>
      <c r="O388" s="62" t="s">
        <v>389</v>
      </c>
      <c r="P388" s="62" t="s">
        <v>390</v>
      </c>
      <c r="Q388" s="62" t="s">
        <v>390</v>
      </c>
      <c r="R388" s="62" t="s">
        <v>277</v>
      </c>
      <c r="S388" s="62" t="s">
        <v>389</v>
      </c>
      <c r="T388" s="65" t="n">
        <v>8</v>
      </c>
      <c r="U388" s="62" t="s">
        <v>277</v>
      </c>
      <c r="V388" s="65" t="n">
        <v>1.4</v>
      </c>
      <c r="W388" s="65" t="n">
        <v>1.7</v>
      </c>
      <c r="X388" s="63" t="n">
        <v>0</v>
      </c>
      <c r="Y388" s="62" t="s">
        <v>389</v>
      </c>
      <c r="Z388" s="62" t="s">
        <v>390</v>
      </c>
      <c r="AA388" s="62"/>
      <c r="AB388" s="62"/>
      <c r="AC388" s="65"/>
      <c r="AD388" s="63" t="n">
        <v>4</v>
      </c>
      <c r="AE388" s="63" t="n">
        <v>13</v>
      </c>
      <c r="AF388" s="63" t="n">
        <v>6</v>
      </c>
      <c r="AG388" s="62" t="s">
        <v>390</v>
      </c>
      <c r="AH388" s="62"/>
      <c r="AI388" s="63" t="n">
        <v>0</v>
      </c>
      <c r="AJ388" s="62" t="s">
        <v>149</v>
      </c>
      <c r="AK388" s="62" t="s">
        <v>402</v>
      </c>
      <c r="AL388" s="62"/>
      <c r="AM388" s="62"/>
      <c r="AN388" s="65"/>
      <c r="AO388" s="62" t="s">
        <v>390</v>
      </c>
      <c r="AP388" s="62"/>
      <c r="AQ388" s="62" t="s">
        <v>390</v>
      </c>
      <c r="AR388" s="66"/>
      <c r="AS388" s="62"/>
      <c r="AT388" s="65"/>
      <c r="AU388" s="62" t="s">
        <v>397</v>
      </c>
    </row>
    <row r="389" customFormat="false" ht="15" hidden="false" customHeight="false" outlineLevel="0" collapsed="false">
      <c r="A389" s="62" t="s">
        <v>388</v>
      </c>
      <c r="B389" s="63" t="n">
        <v>1993</v>
      </c>
      <c r="C389" s="64" t="n">
        <v>46310.5087536227</v>
      </c>
      <c r="D389" s="62" t="s">
        <v>73</v>
      </c>
      <c r="E389" s="63" t="n">
        <v>12</v>
      </c>
      <c r="F389" s="62" t="s">
        <v>389</v>
      </c>
      <c r="G389" s="62" t="s">
        <v>390</v>
      </c>
      <c r="H389" s="62" t="s">
        <v>390</v>
      </c>
      <c r="I389" s="62" t="s">
        <v>389</v>
      </c>
      <c r="J389" s="65"/>
      <c r="K389" s="62" t="s">
        <v>275</v>
      </c>
      <c r="L389" s="62" t="s">
        <v>389</v>
      </c>
      <c r="M389" s="62" t="s">
        <v>390</v>
      </c>
      <c r="N389" s="62"/>
      <c r="O389" s="62" t="s">
        <v>389</v>
      </c>
      <c r="P389" s="62" t="s">
        <v>390</v>
      </c>
      <c r="Q389" s="62" t="s">
        <v>390</v>
      </c>
      <c r="R389" s="62" t="s">
        <v>277</v>
      </c>
      <c r="S389" s="62" t="s">
        <v>390</v>
      </c>
      <c r="T389" s="65"/>
      <c r="U389" s="62"/>
      <c r="V389" s="65"/>
      <c r="W389" s="65"/>
      <c r="X389" s="63" t="n">
        <v>0</v>
      </c>
      <c r="Y389" s="62" t="s">
        <v>390</v>
      </c>
      <c r="Z389" s="62" t="s">
        <v>390</v>
      </c>
      <c r="AA389" s="62"/>
      <c r="AB389" s="62"/>
      <c r="AC389" s="65"/>
      <c r="AD389" s="63" t="n">
        <v>1</v>
      </c>
      <c r="AE389" s="63" t="n">
        <v>14</v>
      </c>
      <c r="AF389" s="63" t="n">
        <v>0</v>
      </c>
      <c r="AG389" s="62" t="s">
        <v>390</v>
      </c>
      <c r="AH389" s="62"/>
      <c r="AI389" s="63" t="n">
        <v>0</v>
      </c>
      <c r="AJ389" s="62" t="s">
        <v>147</v>
      </c>
      <c r="AK389" s="62" t="s">
        <v>402</v>
      </c>
      <c r="AL389" s="62"/>
      <c r="AM389" s="62"/>
      <c r="AN389" s="65"/>
      <c r="AO389" s="62" t="s">
        <v>390</v>
      </c>
      <c r="AP389" s="62"/>
      <c r="AQ389" s="62" t="s">
        <v>390</v>
      </c>
      <c r="AR389" s="66"/>
      <c r="AS389" s="62"/>
      <c r="AT389" s="65"/>
      <c r="AU389" s="62" t="s">
        <v>397</v>
      </c>
    </row>
    <row r="390" customFormat="false" ht="15" hidden="false" customHeight="false" outlineLevel="0" collapsed="false">
      <c r="A390" s="62" t="s">
        <v>388</v>
      </c>
      <c r="B390" s="63" t="n">
        <v>1995</v>
      </c>
      <c r="C390" s="64" t="n">
        <v>46310.50938</v>
      </c>
      <c r="D390" s="62" t="s">
        <v>73</v>
      </c>
      <c r="E390" s="63" t="n">
        <v>12</v>
      </c>
      <c r="F390" s="62" t="s">
        <v>389</v>
      </c>
      <c r="G390" s="62" t="s">
        <v>389</v>
      </c>
      <c r="H390" s="62" t="s">
        <v>389</v>
      </c>
      <c r="I390" s="62" t="s">
        <v>389</v>
      </c>
      <c r="J390" s="65" t="n">
        <v>0.3</v>
      </c>
      <c r="K390" s="62" t="s">
        <v>276</v>
      </c>
      <c r="L390" s="62" t="s">
        <v>389</v>
      </c>
      <c r="M390" s="62" t="s">
        <v>390</v>
      </c>
      <c r="N390" s="62"/>
      <c r="O390" s="62" t="s">
        <v>389</v>
      </c>
      <c r="P390" s="62" t="s">
        <v>390</v>
      </c>
      <c r="Q390" s="62" t="s">
        <v>390</v>
      </c>
      <c r="R390" s="62" t="s">
        <v>277</v>
      </c>
      <c r="S390" s="62" t="s">
        <v>389</v>
      </c>
      <c r="T390" s="65"/>
      <c r="U390" s="62"/>
      <c r="V390" s="65" t="n">
        <v>1.7</v>
      </c>
      <c r="W390" s="65"/>
      <c r="X390" s="63" t="n">
        <v>1</v>
      </c>
      <c r="Y390" s="62" t="s">
        <v>390</v>
      </c>
      <c r="Z390" s="62" t="s">
        <v>390</v>
      </c>
      <c r="AA390" s="62"/>
      <c r="AB390" s="62"/>
      <c r="AC390" s="65"/>
      <c r="AD390" s="63" t="n">
        <v>2</v>
      </c>
      <c r="AE390" s="63" t="n">
        <v>13</v>
      </c>
      <c r="AF390" s="63" t="n">
        <v>0</v>
      </c>
      <c r="AG390" s="62" t="s">
        <v>390</v>
      </c>
      <c r="AH390" s="62"/>
      <c r="AI390" s="63" t="n">
        <v>0</v>
      </c>
      <c r="AJ390" s="62" t="s">
        <v>148</v>
      </c>
      <c r="AK390" s="62" t="s">
        <v>402</v>
      </c>
      <c r="AL390" s="62"/>
      <c r="AM390" s="62"/>
      <c r="AN390" s="65"/>
      <c r="AO390" s="62" t="s">
        <v>390</v>
      </c>
      <c r="AP390" s="62"/>
      <c r="AQ390" s="62" t="s">
        <v>390</v>
      </c>
      <c r="AR390" s="66"/>
      <c r="AS390" s="62"/>
      <c r="AT390" s="65"/>
      <c r="AU390" s="62" t="s">
        <v>397</v>
      </c>
    </row>
    <row r="391" customFormat="false" ht="15" hidden="false" customHeight="false" outlineLevel="0" collapsed="false">
      <c r="A391" s="62" t="s">
        <v>388</v>
      </c>
      <c r="B391" s="63" t="n">
        <v>1996</v>
      </c>
      <c r="C391" s="64" t="n">
        <v>46310.5197221412</v>
      </c>
      <c r="D391" s="62" t="s">
        <v>73</v>
      </c>
      <c r="E391" s="63" t="n">
        <v>12</v>
      </c>
      <c r="F391" s="62" t="s">
        <v>389</v>
      </c>
      <c r="G391" s="62" t="s">
        <v>389</v>
      </c>
      <c r="H391" s="62" t="s">
        <v>389</v>
      </c>
      <c r="I391" s="62" t="s">
        <v>389</v>
      </c>
      <c r="J391" s="65" t="n">
        <v>0.2</v>
      </c>
      <c r="K391" s="62" t="s">
        <v>277</v>
      </c>
      <c r="L391" s="62" t="s">
        <v>389</v>
      </c>
      <c r="M391" s="62" t="s">
        <v>390</v>
      </c>
      <c r="N391" s="62"/>
      <c r="O391" s="62" t="s">
        <v>389</v>
      </c>
      <c r="P391" s="62" t="s">
        <v>390</v>
      </c>
      <c r="Q391" s="62" t="s">
        <v>390</v>
      </c>
      <c r="R391" s="62" t="s">
        <v>277</v>
      </c>
      <c r="S391" s="62" t="s">
        <v>390</v>
      </c>
      <c r="T391" s="65"/>
      <c r="U391" s="62"/>
      <c r="V391" s="65" t="n">
        <v>8.3</v>
      </c>
      <c r="W391" s="65"/>
      <c r="X391" s="63" t="n">
        <v>1</v>
      </c>
      <c r="Y391" s="62" t="s">
        <v>390</v>
      </c>
      <c r="Z391" s="62" t="s">
        <v>390</v>
      </c>
      <c r="AA391" s="62"/>
      <c r="AB391" s="62"/>
      <c r="AC391" s="65"/>
      <c r="AD391" s="63" t="n">
        <v>2</v>
      </c>
      <c r="AE391" s="63" t="n">
        <v>13</v>
      </c>
      <c r="AF391" s="63" t="n">
        <v>0</v>
      </c>
      <c r="AG391" s="62" t="s">
        <v>390</v>
      </c>
      <c r="AH391" s="62"/>
      <c r="AI391" s="63" t="n">
        <v>0</v>
      </c>
      <c r="AJ391" s="62" t="s">
        <v>148</v>
      </c>
      <c r="AK391" s="62" t="s">
        <v>402</v>
      </c>
      <c r="AL391" s="62"/>
      <c r="AM391" s="62"/>
      <c r="AN391" s="65"/>
      <c r="AO391" s="62" t="s">
        <v>390</v>
      </c>
      <c r="AP391" s="62"/>
      <c r="AQ391" s="62" t="s">
        <v>390</v>
      </c>
      <c r="AR391" s="66"/>
      <c r="AS391" s="62"/>
      <c r="AT391" s="65"/>
      <c r="AU391" s="62" t="s">
        <v>397</v>
      </c>
    </row>
    <row r="392" customFormat="false" ht="15" hidden="false" customHeight="false" outlineLevel="0" collapsed="false">
      <c r="A392" s="62" t="s">
        <v>388</v>
      </c>
      <c r="B392" s="63" t="n">
        <v>1997</v>
      </c>
      <c r="C392" s="64" t="n">
        <v>46310.5274154514</v>
      </c>
      <c r="D392" s="62" t="s">
        <v>73</v>
      </c>
      <c r="E392" s="63" t="n">
        <v>12</v>
      </c>
      <c r="F392" s="62" t="s">
        <v>389</v>
      </c>
      <c r="G392" s="62" t="s">
        <v>389</v>
      </c>
      <c r="H392" s="62" t="s">
        <v>389</v>
      </c>
      <c r="I392" s="62" t="s">
        <v>389</v>
      </c>
      <c r="J392" s="65" t="n">
        <v>0.2</v>
      </c>
      <c r="K392" s="62" t="s">
        <v>276</v>
      </c>
      <c r="L392" s="62" t="s">
        <v>389</v>
      </c>
      <c r="M392" s="62" t="s">
        <v>389</v>
      </c>
      <c r="N392" s="62" t="s">
        <v>305</v>
      </c>
      <c r="O392" s="62" t="s">
        <v>390</v>
      </c>
      <c r="P392" s="62" t="s">
        <v>389</v>
      </c>
      <c r="Q392" s="62" t="s">
        <v>389</v>
      </c>
      <c r="R392" s="62" t="s">
        <v>277</v>
      </c>
      <c r="S392" s="62" t="s">
        <v>389</v>
      </c>
      <c r="T392" s="65" t="n">
        <v>7</v>
      </c>
      <c r="U392" s="62" t="s">
        <v>277</v>
      </c>
      <c r="V392" s="65" t="n">
        <v>1.8</v>
      </c>
      <c r="W392" s="65" t="n">
        <v>1.9</v>
      </c>
      <c r="X392" s="63" t="n">
        <v>0</v>
      </c>
      <c r="Y392" s="62" t="s">
        <v>389</v>
      </c>
      <c r="Z392" s="62" t="s">
        <v>390</v>
      </c>
      <c r="AA392" s="62"/>
      <c r="AB392" s="62"/>
      <c r="AC392" s="65"/>
      <c r="AD392" s="63" t="n">
        <v>13</v>
      </c>
      <c r="AE392" s="63" t="n">
        <v>15</v>
      </c>
      <c r="AF392" s="63" t="n">
        <v>9</v>
      </c>
      <c r="AG392" s="62" t="s">
        <v>389</v>
      </c>
      <c r="AH392" s="62" t="s">
        <v>398</v>
      </c>
      <c r="AI392" s="63" t="n">
        <v>0</v>
      </c>
      <c r="AJ392" s="62" t="s">
        <v>152</v>
      </c>
      <c r="AK392" s="62" t="s">
        <v>402</v>
      </c>
      <c r="AL392" s="62"/>
      <c r="AM392" s="62"/>
      <c r="AN392" s="65"/>
      <c r="AO392" s="62" t="s">
        <v>390</v>
      </c>
      <c r="AP392" s="62"/>
      <c r="AQ392" s="62" t="s">
        <v>390</v>
      </c>
      <c r="AR392" s="66"/>
      <c r="AS392" s="62"/>
      <c r="AT392" s="65"/>
      <c r="AU392" s="62" t="s">
        <v>417</v>
      </c>
    </row>
    <row r="393" customFormat="false" ht="15" hidden="false" customHeight="false" outlineLevel="0" collapsed="false">
      <c r="A393" s="62" t="s">
        <v>388</v>
      </c>
      <c r="B393" s="63" t="n">
        <v>1998</v>
      </c>
      <c r="C393" s="64" t="n">
        <v>46310.5341441435</v>
      </c>
      <c r="D393" s="62" t="s">
        <v>73</v>
      </c>
      <c r="E393" s="63" t="n">
        <v>12</v>
      </c>
      <c r="F393" s="62" t="s">
        <v>389</v>
      </c>
      <c r="G393" s="62" t="s">
        <v>390</v>
      </c>
      <c r="H393" s="62" t="s">
        <v>390</v>
      </c>
      <c r="I393" s="62" t="s">
        <v>389</v>
      </c>
      <c r="J393" s="65"/>
      <c r="K393" s="62" t="s">
        <v>275</v>
      </c>
      <c r="L393" s="62" t="s">
        <v>389</v>
      </c>
      <c r="M393" s="62" t="s">
        <v>390</v>
      </c>
      <c r="N393" s="62"/>
      <c r="O393" s="62" t="s">
        <v>389</v>
      </c>
      <c r="P393" s="62" t="s">
        <v>390</v>
      </c>
      <c r="Q393" s="62" t="s">
        <v>390</v>
      </c>
      <c r="R393" s="62" t="s">
        <v>277</v>
      </c>
      <c r="S393" s="62" t="s">
        <v>390</v>
      </c>
      <c r="T393" s="65"/>
      <c r="U393" s="62"/>
      <c r="V393" s="65"/>
      <c r="W393" s="65"/>
      <c r="X393" s="63" t="n">
        <v>0</v>
      </c>
      <c r="Y393" s="62" t="s">
        <v>390</v>
      </c>
      <c r="Z393" s="62" t="s">
        <v>390</v>
      </c>
      <c r="AA393" s="62"/>
      <c r="AB393" s="62"/>
      <c r="AC393" s="65"/>
      <c r="AD393" s="63" t="n">
        <v>1</v>
      </c>
      <c r="AE393" s="63" t="n">
        <v>14</v>
      </c>
      <c r="AF393" s="63" t="n">
        <v>0</v>
      </c>
      <c r="AG393" s="62" t="s">
        <v>390</v>
      </c>
      <c r="AH393" s="62"/>
      <c r="AI393" s="63" t="n">
        <v>0</v>
      </c>
      <c r="AJ393" s="62" t="s">
        <v>147</v>
      </c>
      <c r="AK393" s="62" t="s">
        <v>402</v>
      </c>
      <c r="AL393" s="62"/>
      <c r="AM393" s="62"/>
      <c r="AN393" s="65"/>
      <c r="AO393" s="62" t="s">
        <v>390</v>
      </c>
      <c r="AP393" s="62"/>
      <c r="AQ393" s="62" t="s">
        <v>390</v>
      </c>
      <c r="AR393" s="66"/>
      <c r="AS393" s="62"/>
      <c r="AT393" s="65"/>
      <c r="AU393" s="62" t="s">
        <v>397</v>
      </c>
    </row>
    <row r="394" customFormat="false" ht="15" hidden="false" customHeight="false" outlineLevel="0" collapsed="false">
      <c r="A394" s="62" t="s">
        <v>388</v>
      </c>
      <c r="B394" s="63" t="n">
        <v>2020</v>
      </c>
      <c r="C394" s="64" t="n">
        <v>46310.6394624653</v>
      </c>
      <c r="D394" s="62" t="s">
        <v>73</v>
      </c>
      <c r="E394" s="63" t="n">
        <v>15</v>
      </c>
      <c r="F394" s="62" t="s">
        <v>389</v>
      </c>
      <c r="G394" s="62" t="s">
        <v>390</v>
      </c>
      <c r="H394" s="62" t="s">
        <v>390</v>
      </c>
      <c r="I394" s="62" t="s">
        <v>389</v>
      </c>
      <c r="J394" s="65"/>
      <c r="K394" s="62" t="s">
        <v>275</v>
      </c>
      <c r="L394" s="62" t="s">
        <v>389</v>
      </c>
      <c r="M394" s="62" t="s">
        <v>390</v>
      </c>
      <c r="N394" s="62"/>
      <c r="O394" s="62" t="s">
        <v>389</v>
      </c>
      <c r="P394" s="62" t="s">
        <v>390</v>
      </c>
      <c r="Q394" s="62" t="s">
        <v>390</v>
      </c>
      <c r="R394" s="62" t="s">
        <v>277</v>
      </c>
      <c r="S394" s="62" t="s">
        <v>390</v>
      </c>
      <c r="T394" s="65"/>
      <c r="U394" s="62"/>
      <c r="V394" s="65"/>
      <c r="W394" s="65"/>
      <c r="X394" s="63" t="n">
        <v>0</v>
      </c>
      <c r="Y394" s="62" t="s">
        <v>390</v>
      </c>
      <c r="Z394" s="62" t="s">
        <v>390</v>
      </c>
      <c r="AA394" s="62"/>
      <c r="AB394" s="62"/>
      <c r="AC394" s="65"/>
      <c r="AD394" s="63" t="n">
        <v>1</v>
      </c>
      <c r="AE394" s="63" t="n">
        <v>14</v>
      </c>
      <c r="AF394" s="63" t="n">
        <v>0</v>
      </c>
      <c r="AG394" s="62" t="s">
        <v>390</v>
      </c>
      <c r="AH394" s="62"/>
      <c r="AI394" s="63" t="n">
        <v>0</v>
      </c>
      <c r="AJ394" s="62" t="s">
        <v>147</v>
      </c>
      <c r="AK394" s="62" t="s">
        <v>402</v>
      </c>
      <c r="AL394" s="62"/>
      <c r="AM394" s="62"/>
      <c r="AN394" s="65"/>
      <c r="AO394" s="62" t="s">
        <v>390</v>
      </c>
      <c r="AP394" s="62"/>
      <c r="AQ394" s="62" t="s">
        <v>390</v>
      </c>
      <c r="AR394" s="66"/>
      <c r="AS394" s="62"/>
      <c r="AT394" s="65"/>
      <c r="AU394" s="62" t="s">
        <v>397</v>
      </c>
    </row>
    <row r="395" customFormat="false" ht="15" hidden="false" customHeight="false" outlineLevel="0" collapsed="false">
      <c r="A395" s="62" t="s">
        <v>388</v>
      </c>
      <c r="B395" s="63" t="n">
        <v>2021</v>
      </c>
      <c r="C395" s="64" t="n">
        <v>46310.6455665394</v>
      </c>
      <c r="D395" s="62" t="s">
        <v>73</v>
      </c>
      <c r="E395" s="63" t="n">
        <v>15</v>
      </c>
      <c r="F395" s="62" t="s">
        <v>389</v>
      </c>
      <c r="G395" s="62" t="s">
        <v>389</v>
      </c>
      <c r="H395" s="62" t="s">
        <v>389</v>
      </c>
      <c r="I395" s="62" t="s">
        <v>389</v>
      </c>
      <c r="J395" s="65" t="n">
        <v>2.9</v>
      </c>
      <c r="K395" s="62" t="s">
        <v>277</v>
      </c>
      <c r="L395" s="62" t="s">
        <v>389</v>
      </c>
      <c r="M395" s="62" t="s">
        <v>389</v>
      </c>
      <c r="N395" s="62" t="s">
        <v>306</v>
      </c>
      <c r="O395" s="62" t="s">
        <v>389</v>
      </c>
      <c r="P395" s="62" t="s">
        <v>389</v>
      </c>
      <c r="Q395" s="62" t="s">
        <v>390</v>
      </c>
      <c r="R395" s="62" t="s">
        <v>277</v>
      </c>
      <c r="S395" s="62" t="s">
        <v>390</v>
      </c>
      <c r="T395" s="65" t="n">
        <v>9.2</v>
      </c>
      <c r="U395" s="62" t="s">
        <v>277</v>
      </c>
      <c r="V395" s="65" t="n">
        <v>4</v>
      </c>
      <c r="W395" s="65" t="n">
        <v>1.2</v>
      </c>
      <c r="X395" s="63" t="n">
        <v>0</v>
      </c>
      <c r="Y395" s="62" t="s">
        <v>389</v>
      </c>
      <c r="Z395" s="62" t="s">
        <v>390</v>
      </c>
      <c r="AA395" s="62"/>
      <c r="AB395" s="62"/>
      <c r="AC395" s="65"/>
      <c r="AD395" s="63" t="n">
        <v>8</v>
      </c>
      <c r="AE395" s="63" t="n">
        <v>13</v>
      </c>
      <c r="AF395" s="63" t="n">
        <v>8</v>
      </c>
      <c r="AG395" s="62" t="s">
        <v>389</v>
      </c>
      <c r="AH395" s="62" t="s">
        <v>398</v>
      </c>
      <c r="AI395" s="63" t="n">
        <v>0</v>
      </c>
      <c r="AJ395" s="62" t="s">
        <v>151</v>
      </c>
      <c r="AK395" s="62" t="s">
        <v>402</v>
      </c>
      <c r="AL395" s="62"/>
      <c r="AM395" s="62"/>
      <c r="AN395" s="65"/>
      <c r="AO395" s="62" t="s">
        <v>390</v>
      </c>
      <c r="AP395" s="62"/>
      <c r="AQ395" s="62" t="s">
        <v>390</v>
      </c>
      <c r="AR395" s="66"/>
      <c r="AS395" s="62"/>
      <c r="AT395" s="65"/>
      <c r="AU395" s="62" t="s">
        <v>417</v>
      </c>
    </row>
    <row r="396" customFormat="false" ht="15" hidden="false" customHeight="false" outlineLevel="0" collapsed="false">
      <c r="A396" s="62" t="s">
        <v>388</v>
      </c>
      <c r="B396" s="63" t="n">
        <v>2026</v>
      </c>
      <c r="C396" s="64" t="n">
        <v>46310.6694901273</v>
      </c>
      <c r="D396" s="62" t="s">
        <v>73</v>
      </c>
      <c r="E396" s="63" t="n">
        <v>16</v>
      </c>
      <c r="F396" s="62" t="s">
        <v>389</v>
      </c>
      <c r="G396" s="62" t="s">
        <v>390</v>
      </c>
      <c r="H396" s="62" t="s">
        <v>390</v>
      </c>
      <c r="I396" s="62" t="s">
        <v>389</v>
      </c>
      <c r="J396" s="65"/>
      <c r="K396" s="62" t="s">
        <v>275</v>
      </c>
      <c r="L396" s="62" t="s">
        <v>389</v>
      </c>
      <c r="M396" s="62" t="s">
        <v>390</v>
      </c>
      <c r="N396" s="62"/>
      <c r="O396" s="62" t="s">
        <v>389</v>
      </c>
      <c r="P396" s="62" t="s">
        <v>390</v>
      </c>
      <c r="Q396" s="62" t="s">
        <v>390</v>
      </c>
      <c r="R396" s="62" t="s">
        <v>277</v>
      </c>
      <c r="S396" s="62" t="s">
        <v>390</v>
      </c>
      <c r="T396" s="65"/>
      <c r="U396" s="62"/>
      <c r="V396" s="65"/>
      <c r="W396" s="65"/>
      <c r="X396" s="63" t="n">
        <v>0</v>
      </c>
      <c r="Y396" s="62" t="s">
        <v>390</v>
      </c>
      <c r="Z396" s="62" t="s">
        <v>390</v>
      </c>
      <c r="AA396" s="62"/>
      <c r="AB396" s="62"/>
      <c r="AC396" s="65"/>
      <c r="AD396" s="63" t="n">
        <v>1</v>
      </c>
      <c r="AE396" s="63" t="n">
        <v>14</v>
      </c>
      <c r="AF396" s="63" t="n">
        <v>0</v>
      </c>
      <c r="AG396" s="62" t="s">
        <v>390</v>
      </c>
      <c r="AH396" s="62"/>
      <c r="AI396" s="63" t="n">
        <v>0</v>
      </c>
      <c r="AJ396" s="62" t="s">
        <v>147</v>
      </c>
      <c r="AK396" s="62" t="s">
        <v>402</v>
      </c>
      <c r="AL396" s="62"/>
      <c r="AM396" s="62"/>
      <c r="AN396" s="65"/>
      <c r="AO396" s="62" t="s">
        <v>390</v>
      </c>
      <c r="AP396" s="62"/>
      <c r="AQ396" s="62" t="s">
        <v>390</v>
      </c>
      <c r="AR396" s="66"/>
      <c r="AS396" s="62"/>
      <c r="AT396" s="65"/>
      <c r="AU396" s="62" t="s">
        <v>417</v>
      </c>
    </row>
    <row r="397" customFormat="false" ht="15" hidden="false" customHeight="false" outlineLevel="0" collapsed="false">
      <c r="A397" s="62" t="s">
        <v>388</v>
      </c>
      <c r="B397" s="63" t="n">
        <v>2028</v>
      </c>
      <c r="C397" s="64" t="n">
        <v>46310.684905706</v>
      </c>
      <c r="D397" s="62" t="s">
        <v>73</v>
      </c>
      <c r="E397" s="63" t="n">
        <v>16</v>
      </c>
      <c r="F397" s="62" t="s">
        <v>389</v>
      </c>
      <c r="G397" s="62" t="s">
        <v>390</v>
      </c>
      <c r="H397" s="62" t="s">
        <v>390</v>
      </c>
      <c r="I397" s="62" t="s">
        <v>389</v>
      </c>
      <c r="J397" s="65"/>
      <c r="K397" s="62" t="s">
        <v>275</v>
      </c>
      <c r="L397" s="62" t="s">
        <v>389</v>
      </c>
      <c r="M397" s="62" t="s">
        <v>390</v>
      </c>
      <c r="N397" s="62"/>
      <c r="O397" s="62" t="s">
        <v>389</v>
      </c>
      <c r="P397" s="62" t="s">
        <v>390</v>
      </c>
      <c r="Q397" s="62" t="s">
        <v>390</v>
      </c>
      <c r="R397" s="62" t="s">
        <v>277</v>
      </c>
      <c r="S397" s="62" t="s">
        <v>390</v>
      </c>
      <c r="T397" s="65"/>
      <c r="U397" s="62"/>
      <c r="V397" s="65"/>
      <c r="W397" s="65"/>
      <c r="X397" s="63" t="n">
        <v>0</v>
      </c>
      <c r="Y397" s="62" t="s">
        <v>390</v>
      </c>
      <c r="Z397" s="62" t="s">
        <v>390</v>
      </c>
      <c r="AA397" s="62"/>
      <c r="AB397" s="62"/>
      <c r="AC397" s="65"/>
      <c r="AD397" s="63" t="n">
        <v>1</v>
      </c>
      <c r="AE397" s="63" t="n">
        <v>14</v>
      </c>
      <c r="AF397" s="63" t="n">
        <v>0</v>
      </c>
      <c r="AG397" s="62" t="s">
        <v>390</v>
      </c>
      <c r="AH397" s="62"/>
      <c r="AI397" s="63" t="n">
        <v>0</v>
      </c>
      <c r="AJ397" s="62" t="s">
        <v>147</v>
      </c>
      <c r="AK397" s="62" t="s">
        <v>402</v>
      </c>
      <c r="AL397" s="62"/>
      <c r="AM397" s="62"/>
      <c r="AN397" s="65"/>
      <c r="AO397" s="62" t="s">
        <v>390</v>
      </c>
      <c r="AP397" s="62"/>
      <c r="AQ397" s="62" t="s">
        <v>390</v>
      </c>
      <c r="AR397" s="66"/>
      <c r="AS397" s="62"/>
      <c r="AT397" s="65"/>
      <c r="AU397" s="62" t="s">
        <v>399</v>
      </c>
    </row>
    <row r="398" customFormat="false" ht="15" hidden="false" customHeight="false" outlineLevel="0" collapsed="false">
      <c r="A398" s="62" t="s">
        <v>388</v>
      </c>
      <c r="B398" s="63" t="n">
        <v>2033</v>
      </c>
      <c r="C398" s="64" t="n">
        <v>46310.7092799769</v>
      </c>
      <c r="D398" s="62" t="s">
        <v>73</v>
      </c>
      <c r="E398" s="63" t="n">
        <v>17</v>
      </c>
      <c r="F398" s="62" t="s">
        <v>389</v>
      </c>
      <c r="G398" s="62" t="s">
        <v>389</v>
      </c>
      <c r="H398" s="62" t="s">
        <v>389</v>
      </c>
      <c r="I398" s="62" t="s">
        <v>389</v>
      </c>
      <c r="J398" s="65" t="n">
        <v>6.7</v>
      </c>
      <c r="K398" s="62" t="s">
        <v>278</v>
      </c>
      <c r="L398" s="62" t="s">
        <v>389</v>
      </c>
      <c r="M398" s="62" t="s">
        <v>390</v>
      </c>
      <c r="N398" s="62"/>
      <c r="O398" s="62" t="s">
        <v>389</v>
      </c>
      <c r="P398" s="62" t="s">
        <v>390</v>
      </c>
      <c r="Q398" s="62" t="s">
        <v>390</v>
      </c>
      <c r="R398" s="62" t="s">
        <v>278</v>
      </c>
      <c r="S398" s="62" t="s">
        <v>390</v>
      </c>
      <c r="T398" s="65"/>
      <c r="U398" s="62"/>
      <c r="V398" s="65" t="n">
        <v>7</v>
      </c>
      <c r="W398" s="65"/>
      <c r="X398" s="63" t="n">
        <v>1</v>
      </c>
      <c r="Y398" s="62" t="s">
        <v>390</v>
      </c>
      <c r="Z398" s="62" t="s">
        <v>390</v>
      </c>
      <c r="AA398" s="62"/>
      <c r="AB398" s="62"/>
      <c r="AC398" s="65"/>
      <c r="AD398" s="63" t="n">
        <v>2</v>
      </c>
      <c r="AE398" s="63" t="n">
        <v>11</v>
      </c>
      <c r="AF398" s="63" t="n">
        <v>0</v>
      </c>
      <c r="AG398" s="62" t="s">
        <v>390</v>
      </c>
      <c r="AH398" s="62"/>
      <c r="AI398" s="63" t="n">
        <v>0</v>
      </c>
      <c r="AJ398" s="62" t="s">
        <v>148</v>
      </c>
      <c r="AK398" s="62" t="s">
        <v>402</v>
      </c>
      <c r="AL398" s="62"/>
      <c r="AM398" s="62"/>
      <c r="AN398" s="65"/>
      <c r="AO398" s="62" t="s">
        <v>390</v>
      </c>
      <c r="AP398" s="62"/>
      <c r="AQ398" s="62" t="s">
        <v>390</v>
      </c>
      <c r="AR398" s="66"/>
      <c r="AS398" s="62"/>
      <c r="AT398" s="65"/>
      <c r="AU398" s="62" t="s">
        <v>397</v>
      </c>
    </row>
    <row r="399" customFormat="false" ht="15" hidden="false" customHeight="false" outlineLevel="0" collapsed="false">
      <c r="A399" s="62" t="s">
        <v>388</v>
      </c>
      <c r="B399" s="63" t="n">
        <v>2035</v>
      </c>
      <c r="C399" s="64" t="n">
        <v>46310.7184143056</v>
      </c>
      <c r="D399" s="62" t="s">
        <v>73</v>
      </c>
      <c r="E399" s="63" t="n">
        <v>17</v>
      </c>
      <c r="F399" s="62" t="s">
        <v>389</v>
      </c>
      <c r="G399" s="62" t="s">
        <v>389</v>
      </c>
      <c r="H399" s="62" t="s">
        <v>389</v>
      </c>
      <c r="I399" s="62" t="s">
        <v>389</v>
      </c>
      <c r="J399" s="65" t="n">
        <v>7.1</v>
      </c>
      <c r="K399" s="62" t="s">
        <v>278</v>
      </c>
      <c r="L399" s="62" t="s">
        <v>389</v>
      </c>
      <c r="M399" s="62" t="s">
        <v>389</v>
      </c>
      <c r="N399" s="62" t="s">
        <v>307</v>
      </c>
      <c r="O399" s="62" t="s">
        <v>390</v>
      </c>
      <c r="P399" s="62" t="s">
        <v>389</v>
      </c>
      <c r="Q399" s="62" t="s">
        <v>390</v>
      </c>
      <c r="R399" s="62" t="s">
        <v>278</v>
      </c>
      <c r="S399" s="62" t="s">
        <v>390</v>
      </c>
      <c r="T399" s="65" t="n">
        <v>11</v>
      </c>
      <c r="U399" s="62" t="s">
        <v>278</v>
      </c>
      <c r="V399" s="65" t="n">
        <v>7.2</v>
      </c>
      <c r="W399" s="65" t="n">
        <v>3.4</v>
      </c>
      <c r="X399" s="63" t="n">
        <v>0</v>
      </c>
      <c r="Y399" s="62" t="s">
        <v>389</v>
      </c>
      <c r="Z399" s="62" t="s">
        <v>390</v>
      </c>
      <c r="AA399" s="62"/>
      <c r="AB399" s="62"/>
      <c r="AC399" s="65"/>
      <c r="AD399" s="63" t="n">
        <v>12</v>
      </c>
      <c r="AE399" s="63" t="n">
        <v>12</v>
      </c>
      <c r="AF399" s="63" t="n">
        <v>13</v>
      </c>
      <c r="AG399" s="62" t="s">
        <v>390</v>
      </c>
      <c r="AH399" s="62"/>
      <c r="AI399" s="63" t="n">
        <v>0</v>
      </c>
      <c r="AJ399" s="62" t="s">
        <v>151</v>
      </c>
      <c r="AK399" s="62" t="s">
        <v>402</v>
      </c>
      <c r="AL399" s="62"/>
      <c r="AM399" s="62"/>
      <c r="AN399" s="65"/>
      <c r="AO399" s="62" t="s">
        <v>390</v>
      </c>
      <c r="AP399" s="62"/>
      <c r="AQ399" s="62" t="s">
        <v>390</v>
      </c>
      <c r="AR399" s="66"/>
      <c r="AS399" s="62"/>
      <c r="AT399" s="65"/>
      <c r="AU399" s="62" t="s">
        <v>397</v>
      </c>
    </row>
    <row r="400" customFormat="false" ht="15" hidden="false" customHeight="false" outlineLevel="0" collapsed="false">
      <c r="A400" s="62" t="s">
        <v>388</v>
      </c>
      <c r="B400" s="63" t="n">
        <v>2047</v>
      </c>
      <c r="C400" s="64" t="n">
        <v>46310.7513550116</v>
      </c>
      <c r="D400" s="62" t="s">
        <v>73</v>
      </c>
      <c r="E400" s="63" t="n">
        <v>18</v>
      </c>
      <c r="F400" s="62" t="s">
        <v>389</v>
      </c>
      <c r="G400" s="62" t="s">
        <v>389</v>
      </c>
      <c r="H400" s="62" t="s">
        <v>389</v>
      </c>
      <c r="I400" s="62" t="s">
        <v>389</v>
      </c>
      <c r="J400" s="65" t="n">
        <v>0.2</v>
      </c>
      <c r="K400" s="62" t="s">
        <v>278</v>
      </c>
      <c r="L400" s="62" t="s">
        <v>389</v>
      </c>
      <c r="M400" s="62" t="s">
        <v>389</v>
      </c>
      <c r="N400" s="62" t="s">
        <v>303</v>
      </c>
      <c r="O400" s="62" t="s">
        <v>389</v>
      </c>
      <c r="P400" s="62" t="s">
        <v>389</v>
      </c>
      <c r="Q400" s="62" t="s">
        <v>390</v>
      </c>
      <c r="R400" s="62" t="s">
        <v>278</v>
      </c>
      <c r="S400" s="62" t="s">
        <v>390</v>
      </c>
      <c r="T400" s="65" t="n">
        <v>17</v>
      </c>
      <c r="U400" s="62" t="s">
        <v>278</v>
      </c>
      <c r="V400" s="65" t="n">
        <v>0.4</v>
      </c>
      <c r="W400" s="65" t="n">
        <v>15.3</v>
      </c>
      <c r="X400" s="63" t="n">
        <v>0</v>
      </c>
      <c r="Y400" s="62" t="s">
        <v>389</v>
      </c>
      <c r="Z400" s="62" t="s">
        <v>390</v>
      </c>
      <c r="AA400" s="62"/>
      <c r="AB400" s="62"/>
      <c r="AC400" s="65"/>
      <c r="AD400" s="63" t="n">
        <v>3</v>
      </c>
      <c r="AE400" s="63" t="n">
        <v>10</v>
      </c>
      <c r="AF400" s="63" t="n">
        <v>4</v>
      </c>
      <c r="AG400" s="62" t="s">
        <v>389</v>
      </c>
      <c r="AH400" s="62" t="s">
        <v>398</v>
      </c>
      <c r="AI400" s="63" t="n">
        <v>0</v>
      </c>
      <c r="AJ400" s="62" t="s">
        <v>149</v>
      </c>
      <c r="AK400" s="62" t="s">
        <v>402</v>
      </c>
      <c r="AL400" s="62"/>
      <c r="AM400" s="62"/>
      <c r="AN400" s="65"/>
      <c r="AO400" s="62" t="s">
        <v>390</v>
      </c>
      <c r="AP400" s="62"/>
      <c r="AQ400" s="62" t="s">
        <v>390</v>
      </c>
      <c r="AR400" s="66"/>
      <c r="AS400" s="62"/>
      <c r="AT400" s="65"/>
      <c r="AU400" s="62" t="s">
        <v>397</v>
      </c>
    </row>
    <row r="401" customFormat="false" ht="15" hidden="false" customHeight="false" outlineLevel="0" collapsed="false">
      <c r="A401" s="62" t="s">
        <v>388</v>
      </c>
      <c r="B401" s="63" t="n">
        <v>2048</v>
      </c>
      <c r="C401" s="64" t="n">
        <v>46310.7581858218</v>
      </c>
      <c r="D401" s="62" t="s">
        <v>73</v>
      </c>
      <c r="E401" s="63" t="n">
        <v>18</v>
      </c>
      <c r="F401" s="62" t="s">
        <v>389</v>
      </c>
      <c r="G401" s="62" t="s">
        <v>389</v>
      </c>
      <c r="H401" s="62" t="s">
        <v>389</v>
      </c>
      <c r="I401" s="62" t="s">
        <v>389</v>
      </c>
      <c r="J401" s="65" t="n">
        <v>2.5</v>
      </c>
      <c r="K401" s="62" t="s">
        <v>278</v>
      </c>
      <c r="L401" s="62" t="s">
        <v>389</v>
      </c>
      <c r="M401" s="62" t="s">
        <v>389</v>
      </c>
      <c r="N401" s="62" t="s">
        <v>307</v>
      </c>
      <c r="O401" s="62" t="s">
        <v>390</v>
      </c>
      <c r="P401" s="62" t="s">
        <v>389</v>
      </c>
      <c r="Q401" s="62" t="s">
        <v>389</v>
      </c>
      <c r="R401" s="62" t="s">
        <v>278</v>
      </c>
      <c r="S401" s="62" t="s">
        <v>390</v>
      </c>
      <c r="T401" s="65" t="n">
        <v>21.9</v>
      </c>
      <c r="U401" s="62" t="s">
        <v>278</v>
      </c>
      <c r="V401" s="65" t="n">
        <v>2.8</v>
      </c>
      <c r="W401" s="65" t="n">
        <v>7.8</v>
      </c>
      <c r="X401" s="63" t="n">
        <v>0</v>
      </c>
      <c r="Y401" s="62" t="s">
        <v>389</v>
      </c>
      <c r="Z401" s="62" t="s">
        <v>390</v>
      </c>
      <c r="AA401" s="62"/>
      <c r="AB401" s="62"/>
      <c r="AC401" s="65"/>
      <c r="AD401" s="63" t="n">
        <v>8</v>
      </c>
      <c r="AE401" s="63" t="n">
        <v>15</v>
      </c>
      <c r="AF401" s="63" t="n">
        <v>9</v>
      </c>
      <c r="AG401" s="62" t="s">
        <v>390</v>
      </c>
      <c r="AH401" s="62"/>
      <c r="AI401" s="63" t="n">
        <v>0</v>
      </c>
      <c r="AJ401" s="62" t="s">
        <v>151</v>
      </c>
      <c r="AK401" s="62" t="s">
        <v>402</v>
      </c>
      <c r="AL401" s="62"/>
      <c r="AM401" s="62"/>
      <c r="AN401" s="65"/>
      <c r="AO401" s="62" t="s">
        <v>390</v>
      </c>
      <c r="AP401" s="62"/>
      <c r="AQ401" s="62" t="s">
        <v>390</v>
      </c>
      <c r="AR401" s="66"/>
      <c r="AS401" s="62"/>
      <c r="AT401" s="65"/>
      <c r="AU401" s="62" t="s">
        <v>397</v>
      </c>
    </row>
    <row r="402" customFormat="false" ht="15" hidden="false" customHeight="false" outlineLevel="0" collapsed="false">
      <c r="A402" s="62" t="s">
        <v>388</v>
      </c>
      <c r="B402" s="63" t="n">
        <v>2049</v>
      </c>
      <c r="C402" s="64" t="n">
        <v>46310.7654104861</v>
      </c>
      <c r="D402" s="62" t="s">
        <v>73</v>
      </c>
      <c r="E402" s="63" t="n">
        <v>18</v>
      </c>
      <c r="F402" s="62" t="s">
        <v>389</v>
      </c>
      <c r="G402" s="62" t="s">
        <v>389</v>
      </c>
      <c r="H402" s="62" t="s">
        <v>389</v>
      </c>
      <c r="I402" s="62" t="s">
        <v>389</v>
      </c>
      <c r="J402" s="65" t="n">
        <v>1.6</v>
      </c>
      <c r="K402" s="62" t="s">
        <v>278</v>
      </c>
      <c r="L402" s="62" t="s">
        <v>389</v>
      </c>
      <c r="M402" s="62" t="s">
        <v>389</v>
      </c>
      <c r="N402" s="62" t="s">
        <v>303</v>
      </c>
      <c r="O402" s="62" t="s">
        <v>390</v>
      </c>
      <c r="P402" s="62" t="s">
        <v>389</v>
      </c>
      <c r="Q402" s="62" t="s">
        <v>389</v>
      </c>
      <c r="R402" s="62" t="s">
        <v>278</v>
      </c>
      <c r="S402" s="62" t="s">
        <v>390</v>
      </c>
      <c r="T402" s="65" t="n">
        <v>21.9</v>
      </c>
      <c r="U402" s="62" t="s">
        <v>278</v>
      </c>
      <c r="V402" s="65" t="n">
        <v>1.9</v>
      </c>
      <c r="W402" s="65" t="n">
        <v>56.3</v>
      </c>
      <c r="X402" s="63" t="n">
        <v>0</v>
      </c>
      <c r="Y402" s="62" t="s">
        <v>389</v>
      </c>
      <c r="Z402" s="62" t="s">
        <v>390</v>
      </c>
      <c r="AA402" s="62"/>
      <c r="AB402" s="62"/>
      <c r="AC402" s="65"/>
      <c r="AD402" s="63" t="n">
        <v>6</v>
      </c>
      <c r="AE402" s="63" t="n">
        <v>16</v>
      </c>
      <c r="AF402" s="63" t="n">
        <v>6</v>
      </c>
      <c r="AG402" s="62" t="s">
        <v>389</v>
      </c>
      <c r="AH402" s="62" t="s">
        <v>398</v>
      </c>
      <c r="AI402" s="63" t="n">
        <v>0</v>
      </c>
      <c r="AJ402" s="62" t="s">
        <v>151</v>
      </c>
      <c r="AK402" s="62" t="s">
        <v>402</v>
      </c>
      <c r="AL402" s="62"/>
      <c r="AM402" s="62"/>
      <c r="AN402" s="65"/>
      <c r="AO402" s="62" t="s">
        <v>390</v>
      </c>
      <c r="AP402" s="62"/>
      <c r="AQ402" s="62" t="s">
        <v>390</v>
      </c>
      <c r="AR402" s="66"/>
      <c r="AS402" s="62"/>
      <c r="AT402" s="65"/>
      <c r="AU402" s="62" t="s">
        <v>397</v>
      </c>
    </row>
    <row r="403" customFormat="false" ht="15" hidden="false" customHeight="false" outlineLevel="0" collapsed="false">
      <c r="A403" s="62" t="s">
        <v>388</v>
      </c>
      <c r="B403" s="63" t="n">
        <v>2052</v>
      </c>
      <c r="C403" s="64" t="n">
        <v>46310.7800834144</v>
      </c>
      <c r="D403" s="62" t="s">
        <v>73</v>
      </c>
      <c r="E403" s="63" t="n">
        <v>18</v>
      </c>
      <c r="F403" s="62" t="s">
        <v>389</v>
      </c>
      <c r="G403" s="62" t="s">
        <v>389</v>
      </c>
      <c r="H403" s="62" t="s">
        <v>389</v>
      </c>
      <c r="I403" s="62" t="s">
        <v>389</v>
      </c>
      <c r="J403" s="65" t="n">
        <v>2.7</v>
      </c>
      <c r="K403" s="62" t="s">
        <v>279</v>
      </c>
      <c r="L403" s="62" t="s">
        <v>389</v>
      </c>
      <c r="M403" s="62" t="s">
        <v>389</v>
      </c>
      <c r="N403" s="62" t="s">
        <v>303</v>
      </c>
      <c r="O403" s="62" t="s">
        <v>389</v>
      </c>
      <c r="P403" s="62" t="s">
        <v>389</v>
      </c>
      <c r="Q403" s="62" t="s">
        <v>390</v>
      </c>
      <c r="R403" s="62" t="s">
        <v>277</v>
      </c>
      <c r="S403" s="62" t="s">
        <v>390</v>
      </c>
      <c r="T403" s="65" t="n">
        <v>36.2</v>
      </c>
      <c r="U403" s="62" t="s">
        <v>277</v>
      </c>
      <c r="V403" s="65" t="n">
        <v>0.3</v>
      </c>
      <c r="W403" s="65" t="n">
        <v>23.6</v>
      </c>
      <c r="X403" s="63" t="n">
        <v>0</v>
      </c>
      <c r="Y403" s="62" t="s">
        <v>389</v>
      </c>
      <c r="Z403" s="62" t="s">
        <v>390</v>
      </c>
      <c r="AA403" s="62"/>
      <c r="AB403" s="62"/>
      <c r="AC403" s="65"/>
      <c r="AD403" s="63" t="n">
        <v>3</v>
      </c>
      <c r="AE403" s="63" t="n">
        <v>10</v>
      </c>
      <c r="AF403" s="63" t="n">
        <v>4</v>
      </c>
      <c r="AG403" s="62" t="s">
        <v>389</v>
      </c>
      <c r="AH403" s="62" t="s">
        <v>398</v>
      </c>
      <c r="AI403" s="63" t="n">
        <v>0</v>
      </c>
      <c r="AJ403" s="62" t="s">
        <v>149</v>
      </c>
      <c r="AK403" s="62" t="s">
        <v>402</v>
      </c>
      <c r="AL403" s="62"/>
      <c r="AM403" s="62"/>
      <c r="AN403" s="65"/>
      <c r="AO403" s="62" t="s">
        <v>390</v>
      </c>
      <c r="AP403" s="62"/>
      <c r="AQ403" s="62" t="s">
        <v>390</v>
      </c>
      <c r="AR403" s="66"/>
      <c r="AS403" s="62"/>
      <c r="AT403" s="65"/>
      <c r="AU403" s="62"/>
    </row>
    <row r="404" customFormat="false" ht="15" hidden="false" customHeight="false" outlineLevel="0" collapsed="false">
      <c r="A404" s="62" t="s">
        <v>388</v>
      </c>
      <c r="B404" s="63" t="n">
        <v>2056</v>
      </c>
      <c r="C404" s="64" t="n">
        <v>46310.7953106134</v>
      </c>
      <c r="D404" s="62" t="s">
        <v>73</v>
      </c>
      <c r="E404" s="63" t="n">
        <v>19</v>
      </c>
      <c r="F404" s="62" t="s">
        <v>389</v>
      </c>
      <c r="G404" s="62" t="s">
        <v>390</v>
      </c>
      <c r="H404" s="62" t="s">
        <v>390</v>
      </c>
      <c r="I404" s="62" t="s">
        <v>389</v>
      </c>
      <c r="J404" s="65"/>
      <c r="K404" s="62" t="s">
        <v>275</v>
      </c>
      <c r="L404" s="62" t="s">
        <v>389</v>
      </c>
      <c r="M404" s="62" t="s">
        <v>390</v>
      </c>
      <c r="N404" s="62"/>
      <c r="O404" s="62" t="s">
        <v>389</v>
      </c>
      <c r="P404" s="62" t="s">
        <v>390</v>
      </c>
      <c r="Q404" s="62" t="s">
        <v>390</v>
      </c>
      <c r="R404" s="62" t="s">
        <v>277</v>
      </c>
      <c r="S404" s="62" t="s">
        <v>390</v>
      </c>
      <c r="T404" s="65"/>
      <c r="U404" s="62"/>
      <c r="V404" s="65"/>
      <c r="W404" s="65"/>
      <c r="X404" s="63" t="n">
        <v>0</v>
      </c>
      <c r="Y404" s="62" t="s">
        <v>390</v>
      </c>
      <c r="Z404" s="62" t="s">
        <v>390</v>
      </c>
      <c r="AA404" s="62"/>
      <c r="AB404" s="62"/>
      <c r="AC404" s="65"/>
      <c r="AD404" s="63" t="n">
        <v>1</v>
      </c>
      <c r="AE404" s="63" t="n">
        <v>9</v>
      </c>
      <c r="AF404" s="63" t="n">
        <v>0</v>
      </c>
      <c r="AG404" s="62" t="s">
        <v>390</v>
      </c>
      <c r="AH404" s="62"/>
      <c r="AI404" s="63" t="n">
        <v>0</v>
      </c>
      <c r="AJ404" s="62" t="s">
        <v>147</v>
      </c>
      <c r="AK404" s="62" t="s">
        <v>402</v>
      </c>
      <c r="AL404" s="62"/>
      <c r="AM404" s="62"/>
      <c r="AN404" s="65"/>
      <c r="AO404" s="62" t="s">
        <v>390</v>
      </c>
      <c r="AP404" s="62"/>
      <c r="AQ404" s="62" t="s">
        <v>390</v>
      </c>
      <c r="AR404" s="66"/>
      <c r="AS404" s="62"/>
      <c r="AT404" s="65"/>
      <c r="AU404" s="62" t="s">
        <v>397</v>
      </c>
    </row>
    <row r="405" customFormat="false" ht="15" hidden="false" customHeight="false" outlineLevel="0" collapsed="false">
      <c r="A405" s="62" t="s">
        <v>388</v>
      </c>
      <c r="B405" s="63" t="n">
        <v>2070</v>
      </c>
      <c r="C405" s="64" t="n">
        <v>46310.8259036574</v>
      </c>
      <c r="D405" s="62" t="s">
        <v>73</v>
      </c>
      <c r="E405" s="63" t="n">
        <v>19</v>
      </c>
      <c r="F405" s="62" t="s">
        <v>389</v>
      </c>
      <c r="G405" s="62" t="s">
        <v>389</v>
      </c>
      <c r="H405" s="62" t="s">
        <v>389</v>
      </c>
      <c r="I405" s="62" t="s">
        <v>389</v>
      </c>
      <c r="J405" s="65" t="n">
        <v>0.4</v>
      </c>
      <c r="K405" s="62" t="s">
        <v>277</v>
      </c>
      <c r="L405" s="62" t="s">
        <v>389</v>
      </c>
      <c r="M405" s="62" t="s">
        <v>390</v>
      </c>
      <c r="N405" s="62"/>
      <c r="O405" s="62" t="s">
        <v>389</v>
      </c>
      <c r="P405" s="62" t="s">
        <v>390</v>
      </c>
      <c r="Q405" s="62" t="s">
        <v>390</v>
      </c>
      <c r="R405" s="62" t="s">
        <v>277</v>
      </c>
      <c r="S405" s="62" t="s">
        <v>390</v>
      </c>
      <c r="T405" s="65"/>
      <c r="U405" s="62"/>
      <c r="V405" s="65" t="n">
        <v>3.7</v>
      </c>
      <c r="W405" s="65"/>
      <c r="X405" s="63" t="n">
        <v>1</v>
      </c>
      <c r="Y405" s="62" t="s">
        <v>390</v>
      </c>
      <c r="Z405" s="62" t="s">
        <v>390</v>
      </c>
      <c r="AA405" s="62"/>
      <c r="AB405" s="62"/>
      <c r="AC405" s="65"/>
      <c r="AD405" s="63" t="n">
        <v>2</v>
      </c>
      <c r="AE405" s="63" t="n">
        <v>8</v>
      </c>
      <c r="AF405" s="63" t="n">
        <v>0</v>
      </c>
      <c r="AG405" s="62" t="s">
        <v>390</v>
      </c>
      <c r="AH405" s="62"/>
      <c r="AI405" s="63" t="n">
        <v>0</v>
      </c>
      <c r="AJ405" s="62" t="s">
        <v>148</v>
      </c>
      <c r="AK405" s="62" t="s">
        <v>402</v>
      </c>
      <c r="AL405" s="62"/>
      <c r="AM405" s="62"/>
      <c r="AN405" s="65"/>
      <c r="AO405" s="62" t="s">
        <v>390</v>
      </c>
      <c r="AP405" s="62"/>
      <c r="AQ405" s="62" t="s">
        <v>390</v>
      </c>
      <c r="AR405" s="66"/>
      <c r="AS405" s="62"/>
      <c r="AT405" s="65"/>
      <c r="AU405" s="62" t="s">
        <v>397</v>
      </c>
    </row>
    <row r="406" customFormat="false" ht="15" hidden="false" customHeight="false" outlineLevel="0" collapsed="false">
      <c r="A406" s="62" t="s">
        <v>388</v>
      </c>
      <c r="B406" s="63" t="n">
        <v>2077</v>
      </c>
      <c r="C406" s="64" t="n">
        <v>46310.8462832986</v>
      </c>
      <c r="D406" s="62" t="s">
        <v>73</v>
      </c>
      <c r="E406" s="63" t="n">
        <v>20</v>
      </c>
      <c r="F406" s="62" t="s">
        <v>389</v>
      </c>
      <c r="G406" s="62" t="s">
        <v>390</v>
      </c>
      <c r="H406" s="62" t="s">
        <v>390</v>
      </c>
      <c r="I406" s="62" t="s">
        <v>389</v>
      </c>
      <c r="J406" s="65"/>
      <c r="K406" s="62" t="s">
        <v>275</v>
      </c>
      <c r="L406" s="62" t="s">
        <v>389</v>
      </c>
      <c r="M406" s="62" t="s">
        <v>390</v>
      </c>
      <c r="N406" s="62"/>
      <c r="O406" s="62" t="s">
        <v>389</v>
      </c>
      <c r="P406" s="62" t="s">
        <v>390</v>
      </c>
      <c r="Q406" s="62" t="s">
        <v>390</v>
      </c>
      <c r="R406" s="62" t="s">
        <v>277</v>
      </c>
      <c r="S406" s="62" t="s">
        <v>390</v>
      </c>
      <c r="T406" s="65"/>
      <c r="U406" s="62"/>
      <c r="V406" s="65"/>
      <c r="W406" s="65"/>
      <c r="X406" s="63" t="n">
        <v>0</v>
      </c>
      <c r="Y406" s="62" t="s">
        <v>390</v>
      </c>
      <c r="Z406" s="62" t="s">
        <v>390</v>
      </c>
      <c r="AA406" s="62"/>
      <c r="AB406" s="62"/>
      <c r="AC406" s="65"/>
      <c r="AD406" s="63" t="n">
        <v>1</v>
      </c>
      <c r="AE406" s="63" t="n">
        <v>9</v>
      </c>
      <c r="AF406" s="63" t="n">
        <v>0</v>
      </c>
      <c r="AG406" s="62" t="s">
        <v>390</v>
      </c>
      <c r="AH406" s="62"/>
      <c r="AI406" s="63" t="n">
        <v>0</v>
      </c>
      <c r="AJ406" s="62" t="s">
        <v>147</v>
      </c>
      <c r="AK406" s="62" t="s">
        <v>402</v>
      </c>
      <c r="AL406" s="62"/>
      <c r="AM406" s="62"/>
      <c r="AN406" s="65"/>
      <c r="AO406" s="62" t="s">
        <v>390</v>
      </c>
      <c r="AP406" s="62"/>
      <c r="AQ406" s="62" t="s">
        <v>390</v>
      </c>
      <c r="AR406" s="66"/>
      <c r="AS406" s="62"/>
      <c r="AT406" s="65"/>
      <c r="AU406" s="62" t="s">
        <v>397</v>
      </c>
    </row>
    <row r="407" customFormat="false" ht="15" hidden="false" customHeight="false" outlineLevel="0" collapsed="false">
      <c r="A407" s="62" t="s">
        <v>388</v>
      </c>
      <c r="B407" s="63" t="n">
        <v>2085</v>
      </c>
      <c r="C407" s="64" t="n">
        <v>46310.9018992593</v>
      </c>
      <c r="D407" s="62" t="s">
        <v>73</v>
      </c>
      <c r="E407" s="63" t="n">
        <v>21</v>
      </c>
      <c r="F407" s="62" t="s">
        <v>390</v>
      </c>
      <c r="G407" s="62" t="s">
        <v>390</v>
      </c>
      <c r="H407" s="62" t="s">
        <v>390</v>
      </c>
      <c r="I407" s="62" t="s">
        <v>389</v>
      </c>
      <c r="J407" s="65"/>
      <c r="K407" s="62" t="s">
        <v>275</v>
      </c>
      <c r="L407" s="62" t="s">
        <v>389</v>
      </c>
      <c r="M407" s="62" t="s">
        <v>390</v>
      </c>
      <c r="N407" s="62"/>
      <c r="O407" s="62" t="s">
        <v>390</v>
      </c>
      <c r="P407" s="62" t="s">
        <v>390</v>
      </c>
      <c r="Q407" s="62" t="s">
        <v>390</v>
      </c>
      <c r="R407" s="62" t="s">
        <v>277</v>
      </c>
      <c r="S407" s="62" t="s">
        <v>390</v>
      </c>
      <c r="T407" s="65"/>
      <c r="U407" s="62"/>
      <c r="V407" s="65"/>
      <c r="W407" s="65"/>
      <c r="X407" s="63" t="n">
        <v>0</v>
      </c>
      <c r="Y407" s="62" t="s">
        <v>390</v>
      </c>
      <c r="Z407" s="62" t="s">
        <v>390</v>
      </c>
      <c r="AA407" s="62"/>
      <c r="AB407" s="62"/>
      <c r="AC407" s="65"/>
      <c r="AD407" s="63" t="n">
        <v>1</v>
      </c>
      <c r="AE407" s="63" t="n">
        <v>9</v>
      </c>
      <c r="AF407" s="63" t="n">
        <v>0</v>
      </c>
      <c r="AG407" s="62" t="s">
        <v>390</v>
      </c>
      <c r="AH407" s="62"/>
      <c r="AI407" s="63" t="n">
        <v>0</v>
      </c>
      <c r="AJ407" s="62" t="s">
        <v>147</v>
      </c>
      <c r="AK407" s="62" t="s">
        <v>402</v>
      </c>
      <c r="AL407" s="62"/>
      <c r="AM407" s="62"/>
      <c r="AN407" s="65"/>
      <c r="AO407" s="62" t="s">
        <v>390</v>
      </c>
      <c r="AP407" s="62"/>
      <c r="AQ407" s="62" t="s">
        <v>390</v>
      </c>
      <c r="AR407" s="66"/>
      <c r="AS407" s="62"/>
      <c r="AT407" s="65"/>
      <c r="AU407" s="62" t="s">
        <v>399</v>
      </c>
    </row>
    <row r="408" customFormat="false" ht="15" hidden="false" customHeight="false" outlineLevel="0" collapsed="false">
      <c r="A408" s="62" t="s">
        <v>388</v>
      </c>
      <c r="B408" s="63" t="n">
        <v>2086</v>
      </c>
      <c r="C408" s="64" t="n">
        <v>46310.9098221296</v>
      </c>
      <c r="D408" s="62" t="s">
        <v>73</v>
      </c>
      <c r="E408" s="63" t="n">
        <v>21</v>
      </c>
      <c r="F408" s="62" t="s">
        <v>390</v>
      </c>
      <c r="G408" s="62" t="s">
        <v>389</v>
      </c>
      <c r="H408" s="62" t="s">
        <v>389</v>
      </c>
      <c r="I408" s="62" t="s">
        <v>389</v>
      </c>
      <c r="J408" s="65" t="n">
        <v>0.3</v>
      </c>
      <c r="K408" s="62" t="s">
        <v>278</v>
      </c>
      <c r="L408" s="62" t="s">
        <v>389</v>
      </c>
      <c r="M408" s="62" t="s">
        <v>390</v>
      </c>
      <c r="N408" s="62"/>
      <c r="O408" s="62" t="s">
        <v>390</v>
      </c>
      <c r="P408" s="62" t="s">
        <v>390</v>
      </c>
      <c r="Q408" s="62" t="s">
        <v>390</v>
      </c>
      <c r="R408" s="62" t="s">
        <v>277</v>
      </c>
      <c r="S408" s="62" t="s">
        <v>390</v>
      </c>
      <c r="T408" s="65"/>
      <c r="U408" s="62"/>
      <c r="V408" s="65" t="n">
        <v>9</v>
      </c>
      <c r="W408" s="65"/>
      <c r="X408" s="63" t="n">
        <v>1</v>
      </c>
      <c r="Y408" s="62" t="s">
        <v>390</v>
      </c>
      <c r="Z408" s="62" t="s">
        <v>390</v>
      </c>
      <c r="AA408" s="62"/>
      <c r="AB408" s="62"/>
      <c r="AC408" s="65"/>
      <c r="AD408" s="63" t="n">
        <v>2</v>
      </c>
      <c r="AE408" s="63" t="n">
        <v>8</v>
      </c>
      <c r="AF408" s="63" t="n">
        <v>0</v>
      </c>
      <c r="AG408" s="62" t="s">
        <v>390</v>
      </c>
      <c r="AH408" s="62"/>
      <c r="AI408" s="63" t="n">
        <v>0</v>
      </c>
      <c r="AJ408" s="62" t="s">
        <v>148</v>
      </c>
      <c r="AK408" s="62" t="s">
        <v>402</v>
      </c>
      <c r="AL408" s="62"/>
      <c r="AM408" s="62"/>
      <c r="AN408" s="65"/>
      <c r="AO408" s="62" t="s">
        <v>390</v>
      </c>
      <c r="AP408" s="62"/>
      <c r="AQ408" s="62" t="s">
        <v>390</v>
      </c>
      <c r="AR408" s="66"/>
      <c r="AS408" s="62"/>
      <c r="AT408" s="65"/>
      <c r="AU408" s="62" t="s">
        <v>399</v>
      </c>
    </row>
  </sheetData>
  <autoFilter ref="A1:AU40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I10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7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48" hidden="false" customHeight="true" outlineLevel="0" collapsed="false">
      <c r="A1" s="61" t="s">
        <v>176</v>
      </c>
      <c r="B1" s="61" t="s">
        <v>290</v>
      </c>
      <c r="C1" s="61" t="s">
        <v>423</v>
      </c>
      <c r="D1" s="61" t="s">
        <v>424</v>
      </c>
      <c r="E1" s="61" t="s">
        <v>425</v>
      </c>
      <c r="F1" s="61" t="s">
        <v>426</v>
      </c>
      <c r="G1" s="61" t="s">
        <v>427</v>
      </c>
      <c r="H1" s="61" t="s">
        <v>428</v>
      </c>
      <c r="I1" s="61" t="s">
        <v>429</v>
      </c>
    </row>
    <row r="2" customFormat="false" ht="15" hidden="false" customHeight="false" outlineLevel="0" collapsed="false">
      <c r="A2" s="62" t="s">
        <v>388</v>
      </c>
      <c r="B2" s="63" t="n">
        <v>276</v>
      </c>
      <c r="C2" s="64" t="n">
        <v>46300.5160482523</v>
      </c>
      <c r="D2" s="63" t="n">
        <v>12</v>
      </c>
      <c r="E2" s="62" t="s">
        <v>389</v>
      </c>
      <c r="F2" s="62" t="s">
        <v>430</v>
      </c>
      <c r="G2" s="62" t="s">
        <v>389</v>
      </c>
      <c r="H2" s="65" t="n">
        <v>3.5</v>
      </c>
      <c r="I2" s="62" t="s">
        <v>275</v>
      </c>
    </row>
    <row r="3" customFormat="false" ht="15" hidden="false" customHeight="false" outlineLevel="0" collapsed="false">
      <c r="A3" s="62" t="s">
        <v>388</v>
      </c>
      <c r="B3" s="63" t="n">
        <v>276</v>
      </c>
      <c r="C3" s="64" t="n">
        <v>46300.5183382755</v>
      </c>
      <c r="D3" s="63" t="n">
        <v>12</v>
      </c>
      <c r="E3" s="62" t="s">
        <v>389</v>
      </c>
      <c r="F3" s="62" t="s">
        <v>431</v>
      </c>
      <c r="G3" s="62" t="s">
        <v>389</v>
      </c>
      <c r="H3" s="65" t="n">
        <v>0.2</v>
      </c>
      <c r="I3" s="62" t="s">
        <v>392</v>
      </c>
    </row>
    <row r="4" customFormat="false" ht="15" hidden="false" customHeight="false" outlineLevel="0" collapsed="false">
      <c r="A4" s="62" t="s">
        <v>388</v>
      </c>
      <c r="B4" s="63" t="n">
        <v>276</v>
      </c>
      <c r="C4" s="64" t="n">
        <v>46300.5185698032</v>
      </c>
      <c r="D4" s="63" t="n">
        <v>12</v>
      </c>
      <c r="E4" s="62" t="s">
        <v>389</v>
      </c>
      <c r="F4" s="62" t="s">
        <v>431</v>
      </c>
      <c r="G4" s="62" t="s">
        <v>389</v>
      </c>
      <c r="H4" s="65" t="n">
        <v>0.1</v>
      </c>
      <c r="I4" s="62" t="s">
        <v>392</v>
      </c>
    </row>
    <row r="5" customFormat="false" ht="15" hidden="false" customHeight="false" outlineLevel="0" collapsed="false">
      <c r="A5" s="62" t="s">
        <v>388</v>
      </c>
      <c r="B5" s="63" t="n">
        <v>276</v>
      </c>
      <c r="C5" s="64" t="n">
        <v>46300.5201163542</v>
      </c>
      <c r="D5" s="63" t="n">
        <v>12</v>
      </c>
      <c r="E5" s="62" t="s">
        <v>389</v>
      </c>
      <c r="F5" s="62" t="s">
        <v>431</v>
      </c>
      <c r="G5" s="62" t="s">
        <v>389</v>
      </c>
      <c r="H5" s="65" t="n">
        <v>0.2</v>
      </c>
      <c r="I5" s="62" t="s">
        <v>392</v>
      </c>
    </row>
    <row r="6" customFormat="false" ht="15" hidden="false" customHeight="false" outlineLevel="0" collapsed="false">
      <c r="A6" s="62" t="s">
        <v>388</v>
      </c>
      <c r="B6" s="63" t="n">
        <v>278</v>
      </c>
      <c r="C6" s="64" t="n">
        <v>46300.5212525</v>
      </c>
      <c r="D6" s="63" t="n">
        <v>12</v>
      </c>
      <c r="E6" s="62" t="s">
        <v>389</v>
      </c>
      <c r="F6" s="62" t="s">
        <v>430</v>
      </c>
      <c r="G6" s="62" t="s">
        <v>389</v>
      </c>
      <c r="H6" s="65" t="n">
        <v>3.6</v>
      </c>
      <c r="I6" s="62" t="s">
        <v>275</v>
      </c>
    </row>
    <row r="7" customFormat="false" ht="15" hidden="false" customHeight="false" outlineLevel="0" collapsed="false">
      <c r="A7" s="62" t="s">
        <v>388</v>
      </c>
      <c r="B7" s="63" t="n">
        <v>278</v>
      </c>
      <c r="C7" s="64" t="n">
        <v>46300.523616412</v>
      </c>
      <c r="D7" s="63" t="n">
        <v>12</v>
      </c>
      <c r="E7" s="62" t="s">
        <v>389</v>
      </c>
      <c r="F7" s="62" t="s">
        <v>431</v>
      </c>
      <c r="G7" s="62" t="s">
        <v>389</v>
      </c>
      <c r="H7" s="65" t="n">
        <v>0.2</v>
      </c>
      <c r="I7" s="62" t="s">
        <v>392</v>
      </c>
    </row>
    <row r="8" customFormat="false" ht="15" hidden="false" customHeight="false" outlineLevel="0" collapsed="false">
      <c r="A8" s="62" t="s">
        <v>388</v>
      </c>
      <c r="B8" s="63" t="n">
        <v>278</v>
      </c>
      <c r="C8" s="64" t="n">
        <v>46300.5257227199</v>
      </c>
      <c r="D8" s="63" t="n">
        <v>12</v>
      </c>
      <c r="E8" s="62" t="s">
        <v>389</v>
      </c>
      <c r="F8" s="62" t="s">
        <v>151</v>
      </c>
      <c r="G8" s="62" t="s">
        <v>389</v>
      </c>
      <c r="H8" s="65" t="n">
        <v>0.5</v>
      </c>
      <c r="I8" s="62" t="s">
        <v>392</v>
      </c>
    </row>
    <row r="9" customFormat="false" ht="15" hidden="false" customHeight="false" outlineLevel="0" collapsed="false">
      <c r="A9" s="62" t="s">
        <v>388</v>
      </c>
      <c r="B9" s="63" t="n">
        <v>278</v>
      </c>
      <c r="C9" s="64" t="n">
        <v>46300.5269128472</v>
      </c>
      <c r="D9" s="63" t="n">
        <v>12</v>
      </c>
      <c r="E9" s="62" t="s">
        <v>389</v>
      </c>
      <c r="F9" s="62" t="s">
        <v>151</v>
      </c>
      <c r="G9" s="62" t="s">
        <v>389</v>
      </c>
      <c r="H9" s="65" t="n">
        <v>4584.4</v>
      </c>
      <c r="I9" s="62" t="s">
        <v>275</v>
      </c>
    </row>
    <row r="10" customFormat="false" ht="15" hidden="false" customHeight="false" outlineLevel="0" collapsed="false">
      <c r="A10" s="62" t="s">
        <v>388</v>
      </c>
      <c r="B10" s="63" t="n">
        <v>282</v>
      </c>
      <c r="C10" s="64" t="n">
        <v>46300.5348287037</v>
      </c>
      <c r="D10" s="63" t="n">
        <v>12</v>
      </c>
      <c r="E10" s="62" t="s">
        <v>389</v>
      </c>
      <c r="F10" s="62" t="s">
        <v>430</v>
      </c>
      <c r="G10" s="62" t="s">
        <v>389</v>
      </c>
      <c r="H10" s="65" t="n">
        <v>0.4</v>
      </c>
      <c r="I10" s="62" t="s">
        <v>275</v>
      </c>
    </row>
    <row r="11" customFormat="false" ht="15" hidden="false" customHeight="false" outlineLevel="0" collapsed="false">
      <c r="A11" s="62" t="s">
        <v>388</v>
      </c>
      <c r="B11" s="63" t="n">
        <v>291</v>
      </c>
      <c r="C11" s="64" t="n">
        <v>46300.5717569445</v>
      </c>
      <c r="D11" s="63" t="n">
        <v>13</v>
      </c>
      <c r="E11" s="62" t="s">
        <v>389</v>
      </c>
      <c r="F11" s="62" t="s">
        <v>430</v>
      </c>
      <c r="G11" s="62" t="s">
        <v>389</v>
      </c>
      <c r="H11" s="65" t="n">
        <v>4538</v>
      </c>
      <c r="I11" s="62" t="s">
        <v>275</v>
      </c>
    </row>
    <row r="12" customFormat="false" ht="15" hidden="false" customHeight="false" outlineLevel="0" collapsed="false">
      <c r="A12" s="62" t="s">
        <v>388</v>
      </c>
      <c r="B12" s="63" t="n">
        <v>277</v>
      </c>
      <c r="C12" s="64" t="n">
        <v>46300.5915257176</v>
      </c>
      <c r="D12" s="63" t="n">
        <v>14</v>
      </c>
      <c r="E12" s="62" t="s">
        <v>389</v>
      </c>
      <c r="F12" s="62" t="s">
        <v>431</v>
      </c>
      <c r="G12" s="62" t="s">
        <v>389</v>
      </c>
      <c r="H12" s="65" t="n">
        <v>2.2</v>
      </c>
      <c r="I12" s="62" t="s">
        <v>275</v>
      </c>
    </row>
    <row r="13" customFormat="false" ht="15" hidden="false" customHeight="false" outlineLevel="0" collapsed="false">
      <c r="A13" s="62" t="s">
        <v>388</v>
      </c>
      <c r="B13" s="63" t="n">
        <v>277</v>
      </c>
      <c r="C13" s="64" t="n">
        <v>46300.5923435995</v>
      </c>
      <c r="D13" s="63" t="n">
        <v>14</v>
      </c>
      <c r="E13" s="62" t="s">
        <v>389</v>
      </c>
      <c r="F13" s="62" t="s">
        <v>431</v>
      </c>
      <c r="G13" s="62" t="s">
        <v>389</v>
      </c>
      <c r="H13" s="65" t="n">
        <v>1</v>
      </c>
      <c r="I13" s="62" t="s">
        <v>392</v>
      </c>
    </row>
    <row r="14" customFormat="false" ht="15" hidden="false" customHeight="false" outlineLevel="0" collapsed="false">
      <c r="A14" s="62" t="s">
        <v>388</v>
      </c>
      <c r="B14" s="63" t="n">
        <v>287</v>
      </c>
      <c r="C14" s="64" t="n">
        <v>46300.6017993866</v>
      </c>
      <c r="D14" s="63" t="n">
        <v>14</v>
      </c>
      <c r="E14" s="62" t="s">
        <v>389</v>
      </c>
      <c r="F14" s="62" t="s">
        <v>431</v>
      </c>
      <c r="G14" s="62" t="s">
        <v>389</v>
      </c>
      <c r="H14" s="65" t="n">
        <v>4</v>
      </c>
      <c r="I14" s="62" t="s">
        <v>392</v>
      </c>
    </row>
    <row r="15" customFormat="false" ht="15" hidden="false" customHeight="false" outlineLevel="0" collapsed="false">
      <c r="A15" s="62" t="s">
        <v>388</v>
      </c>
      <c r="B15" s="63" t="n">
        <v>295</v>
      </c>
      <c r="C15" s="64" t="n">
        <v>46300.6128103009</v>
      </c>
      <c r="D15" s="63" t="n">
        <v>14</v>
      </c>
      <c r="E15" s="62" t="s">
        <v>389</v>
      </c>
      <c r="F15" s="62" t="s">
        <v>430</v>
      </c>
      <c r="G15" s="62" t="s">
        <v>389</v>
      </c>
      <c r="H15" s="65" t="n">
        <v>10.7</v>
      </c>
      <c r="I15" s="62" t="s">
        <v>275</v>
      </c>
    </row>
    <row r="16" customFormat="false" ht="15" hidden="false" customHeight="false" outlineLevel="0" collapsed="false">
      <c r="A16" s="62" t="s">
        <v>388</v>
      </c>
      <c r="B16" s="63" t="n">
        <v>296</v>
      </c>
      <c r="C16" s="64" t="n">
        <v>46300.6128360417</v>
      </c>
      <c r="D16" s="63" t="n">
        <v>14</v>
      </c>
      <c r="E16" s="62" t="s">
        <v>389</v>
      </c>
      <c r="F16" s="62" t="s">
        <v>430</v>
      </c>
      <c r="G16" s="62" t="s">
        <v>389</v>
      </c>
      <c r="H16" s="65" t="n">
        <v>32.6</v>
      </c>
      <c r="I16" s="62" t="s">
        <v>275</v>
      </c>
    </row>
    <row r="17" customFormat="false" ht="15" hidden="false" customHeight="false" outlineLevel="0" collapsed="false">
      <c r="A17" s="62" t="s">
        <v>388</v>
      </c>
      <c r="B17" s="63" t="n">
        <v>298</v>
      </c>
      <c r="C17" s="64" t="n">
        <v>46300.6183534144</v>
      </c>
      <c r="D17" s="63" t="n">
        <v>14</v>
      </c>
      <c r="E17" s="62" t="s">
        <v>389</v>
      </c>
      <c r="F17" s="62" t="s">
        <v>430</v>
      </c>
      <c r="G17" s="62" t="s">
        <v>389</v>
      </c>
      <c r="H17" s="65" t="n">
        <v>3.7</v>
      </c>
      <c r="I17" s="62" t="s">
        <v>275</v>
      </c>
    </row>
    <row r="18" customFormat="false" ht="15" hidden="false" customHeight="false" outlineLevel="0" collapsed="false">
      <c r="A18" s="62" t="s">
        <v>388</v>
      </c>
      <c r="B18" s="63" t="n">
        <v>295</v>
      </c>
      <c r="C18" s="64" t="n">
        <v>46300.6198023843</v>
      </c>
      <c r="D18" s="63" t="n">
        <v>14</v>
      </c>
      <c r="E18" s="62" t="s">
        <v>389</v>
      </c>
      <c r="F18" s="62" t="s">
        <v>431</v>
      </c>
      <c r="G18" s="62" t="s">
        <v>389</v>
      </c>
      <c r="H18" s="65" t="n">
        <v>0.6</v>
      </c>
      <c r="I18" s="62" t="s">
        <v>392</v>
      </c>
    </row>
    <row r="19" customFormat="false" ht="15" hidden="false" customHeight="false" outlineLevel="0" collapsed="false">
      <c r="A19" s="62" t="s">
        <v>388</v>
      </c>
      <c r="B19" s="63" t="n">
        <v>295</v>
      </c>
      <c r="C19" s="64" t="n">
        <v>46300.6203711458</v>
      </c>
      <c r="D19" s="63" t="n">
        <v>14</v>
      </c>
      <c r="E19" s="62" t="s">
        <v>389</v>
      </c>
      <c r="F19" s="62" t="s">
        <v>431</v>
      </c>
      <c r="G19" s="62" t="s">
        <v>389</v>
      </c>
      <c r="H19" s="65" t="n">
        <v>1.3</v>
      </c>
      <c r="I19" s="62" t="s">
        <v>392</v>
      </c>
    </row>
    <row r="20" customFormat="false" ht="15" hidden="false" customHeight="false" outlineLevel="0" collapsed="false">
      <c r="A20" s="62" t="s">
        <v>388</v>
      </c>
      <c r="B20" s="63" t="n">
        <v>298</v>
      </c>
      <c r="C20" s="64" t="n">
        <v>46300.6208640394</v>
      </c>
      <c r="D20" s="63" t="n">
        <v>14</v>
      </c>
      <c r="E20" s="62" t="s">
        <v>389</v>
      </c>
      <c r="F20" s="62" t="s">
        <v>431</v>
      </c>
      <c r="G20" s="62" t="s">
        <v>389</v>
      </c>
      <c r="H20" s="65" t="n">
        <v>0.1</v>
      </c>
      <c r="I20" s="62" t="s">
        <v>392</v>
      </c>
    </row>
    <row r="21" customFormat="false" ht="15" hidden="false" customHeight="false" outlineLevel="0" collapsed="false">
      <c r="A21" s="62" t="s">
        <v>388</v>
      </c>
      <c r="B21" s="63" t="n">
        <v>295</v>
      </c>
      <c r="C21" s="64" t="n">
        <v>46300.6231097917</v>
      </c>
      <c r="D21" s="63" t="n">
        <v>14</v>
      </c>
      <c r="E21" s="62" t="s">
        <v>389</v>
      </c>
      <c r="F21" s="62" t="s">
        <v>431</v>
      </c>
      <c r="G21" s="62" t="s">
        <v>389</v>
      </c>
      <c r="H21" s="65" t="n">
        <v>0.9</v>
      </c>
      <c r="I21" s="62" t="s">
        <v>392</v>
      </c>
    </row>
    <row r="22" customFormat="false" ht="15" hidden="false" customHeight="false" outlineLevel="0" collapsed="false">
      <c r="A22" s="62" t="s">
        <v>388</v>
      </c>
      <c r="B22" s="63" t="n">
        <v>298</v>
      </c>
      <c r="C22" s="64" t="n">
        <v>46300.6266603935</v>
      </c>
      <c r="D22" s="63" t="n">
        <v>15</v>
      </c>
      <c r="E22" s="62" t="s">
        <v>389</v>
      </c>
      <c r="F22" s="62" t="s">
        <v>151</v>
      </c>
      <c r="G22" s="62" t="s">
        <v>389</v>
      </c>
      <c r="H22" s="65" t="n">
        <v>0.4</v>
      </c>
      <c r="I22" s="62" t="s">
        <v>392</v>
      </c>
    </row>
    <row r="23" customFormat="false" ht="15" hidden="false" customHeight="false" outlineLevel="0" collapsed="false">
      <c r="A23" s="62" t="s">
        <v>388</v>
      </c>
      <c r="B23" s="63" t="n">
        <v>298</v>
      </c>
      <c r="C23" s="64" t="n">
        <v>46300.6275199884</v>
      </c>
      <c r="D23" s="63" t="n">
        <v>15</v>
      </c>
      <c r="E23" s="62" t="s">
        <v>389</v>
      </c>
      <c r="F23" s="62" t="s">
        <v>151</v>
      </c>
      <c r="G23" s="62" t="s">
        <v>389</v>
      </c>
      <c r="H23" s="65" t="n">
        <v>6.8</v>
      </c>
      <c r="I23" s="62" t="s">
        <v>275</v>
      </c>
    </row>
    <row r="24" customFormat="false" ht="15" hidden="false" customHeight="false" outlineLevel="0" collapsed="false">
      <c r="A24" s="62" t="s">
        <v>388</v>
      </c>
      <c r="B24" s="63" t="n">
        <v>287</v>
      </c>
      <c r="C24" s="64" t="n">
        <v>46300.6295782755</v>
      </c>
      <c r="D24" s="63" t="n">
        <v>15</v>
      </c>
      <c r="E24" s="62" t="s">
        <v>389</v>
      </c>
      <c r="F24" s="62" t="s">
        <v>151</v>
      </c>
      <c r="G24" s="62" t="s">
        <v>389</v>
      </c>
      <c r="H24" s="65" t="n">
        <v>0.6</v>
      </c>
      <c r="I24" s="62" t="s">
        <v>392</v>
      </c>
    </row>
    <row r="25" customFormat="false" ht="15" hidden="false" customHeight="false" outlineLevel="0" collapsed="false">
      <c r="A25" s="62" t="s">
        <v>388</v>
      </c>
      <c r="B25" s="63" t="n">
        <v>298</v>
      </c>
      <c r="C25" s="64" t="n">
        <v>46300.6316078588</v>
      </c>
      <c r="D25" s="63" t="n">
        <v>15</v>
      </c>
      <c r="E25" s="62" t="s">
        <v>389</v>
      </c>
      <c r="F25" s="62" t="s">
        <v>151</v>
      </c>
      <c r="G25" s="62" t="s">
        <v>389</v>
      </c>
      <c r="H25" s="65" t="n">
        <v>0.9</v>
      </c>
      <c r="I25" s="62" t="s">
        <v>392</v>
      </c>
    </row>
    <row r="26" customFormat="false" ht="15" hidden="false" customHeight="false" outlineLevel="0" collapsed="false">
      <c r="A26" s="62" t="s">
        <v>388</v>
      </c>
      <c r="B26" s="63" t="n">
        <v>296</v>
      </c>
      <c r="C26" s="64" t="n">
        <v>46300.6353246991</v>
      </c>
      <c r="D26" s="63" t="n">
        <v>15</v>
      </c>
      <c r="E26" s="62" t="s">
        <v>389</v>
      </c>
      <c r="F26" s="62" t="s">
        <v>431</v>
      </c>
      <c r="G26" s="62" t="s">
        <v>389</v>
      </c>
      <c r="H26" s="65" t="n">
        <v>0.2</v>
      </c>
      <c r="I26" s="62" t="s">
        <v>392</v>
      </c>
    </row>
    <row r="27" customFormat="false" ht="15" hidden="false" customHeight="false" outlineLevel="0" collapsed="false">
      <c r="A27" s="62" t="s">
        <v>388</v>
      </c>
      <c r="B27" s="63" t="n">
        <v>296</v>
      </c>
      <c r="C27" s="64" t="n">
        <v>46300.6366549421</v>
      </c>
      <c r="D27" s="63" t="n">
        <v>15</v>
      </c>
      <c r="E27" s="62" t="s">
        <v>389</v>
      </c>
      <c r="F27" s="62" t="s">
        <v>431</v>
      </c>
      <c r="G27" s="62" t="s">
        <v>389</v>
      </c>
      <c r="H27" s="65" t="n">
        <v>4.3</v>
      </c>
      <c r="I27" s="62" t="s">
        <v>392</v>
      </c>
    </row>
    <row r="28" customFormat="false" ht="15" hidden="false" customHeight="false" outlineLevel="0" collapsed="false">
      <c r="A28" s="62" t="s">
        <v>388</v>
      </c>
      <c r="B28" s="63" t="n">
        <v>307</v>
      </c>
      <c r="C28" s="64" t="n">
        <v>46300.662225463</v>
      </c>
      <c r="D28" s="63" t="n">
        <v>15</v>
      </c>
      <c r="E28" s="62" t="s">
        <v>389</v>
      </c>
      <c r="F28" s="62" t="s">
        <v>430</v>
      </c>
      <c r="G28" s="62" t="s">
        <v>389</v>
      </c>
      <c r="H28" s="65" t="n">
        <v>5859.4</v>
      </c>
      <c r="I28" s="62" t="s">
        <v>275</v>
      </c>
    </row>
    <row r="29" customFormat="false" ht="15" hidden="false" customHeight="false" outlineLevel="0" collapsed="false">
      <c r="A29" s="62" t="s">
        <v>388</v>
      </c>
      <c r="B29" s="63" t="n">
        <v>307</v>
      </c>
      <c r="C29" s="64" t="n">
        <v>46300.6631975463</v>
      </c>
      <c r="D29" s="63" t="n">
        <v>15</v>
      </c>
      <c r="E29" s="62" t="s">
        <v>389</v>
      </c>
      <c r="F29" s="62" t="s">
        <v>431</v>
      </c>
      <c r="G29" s="62" t="s">
        <v>389</v>
      </c>
      <c r="H29" s="65" t="n">
        <v>5858</v>
      </c>
      <c r="I29" s="62" t="s">
        <v>275</v>
      </c>
    </row>
    <row r="30" customFormat="false" ht="15" hidden="false" customHeight="false" outlineLevel="0" collapsed="false">
      <c r="A30" s="62" t="s">
        <v>388</v>
      </c>
      <c r="B30" s="63" t="n">
        <v>313</v>
      </c>
      <c r="C30" s="64" t="n">
        <v>46300.6933600347</v>
      </c>
      <c r="D30" s="63" t="n">
        <v>16</v>
      </c>
      <c r="E30" s="62" t="s">
        <v>389</v>
      </c>
      <c r="F30" s="62" t="s">
        <v>430</v>
      </c>
      <c r="G30" s="62" t="s">
        <v>389</v>
      </c>
      <c r="H30" s="65" t="n">
        <v>14</v>
      </c>
      <c r="I30" s="62" t="s">
        <v>275</v>
      </c>
    </row>
    <row r="31" customFormat="false" ht="15" hidden="false" customHeight="false" outlineLevel="0" collapsed="false">
      <c r="A31" s="62" t="s">
        <v>388</v>
      </c>
      <c r="B31" s="63" t="n">
        <v>313</v>
      </c>
      <c r="C31" s="64" t="n">
        <v>46300.7020130324</v>
      </c>
      <c r="D31" s="63" t="n">
        <v>16</v>
      </c>
      <c r="E31" s="62" t="s">
        <v>389</v>
      </c>
      <c r="F31" s="62" t="s">
        <v>431</v>
      </c>
      <c r="G31" s="62" t="s">
        <v>389</v>
      </c>
      <c r="H31" s="65" t="n">
        <v>1.6</v>
      </c>
      <c r="I31" s="62" t="s">
        <v>392</v>
      </c>
    </row>
    <row r="32" customFormat="false" ht="15" hidden="false" customHeight="false" outlineLevel="0" collapsed="false">
      <c r="A32" s="62" t="s">
        <v>388</v>
      </c>
      <c r="B32" s="63" t="n">
        <v>314</v>
      </c>
      <c r="C32" s="64" t="n">
        <v>46300.7124047222</v>
      </c>
      <c r="D32" s="63" t="n">
        <v>17</v>
      </c>
      <c r="E32" s="62" t="s">
        <v>389</v>
      </c>
      <c r="F32" s="62" t="s">
        <v>430</v>
      </c>
      <c r="G32" s="62" t="s">
        <v>389</v>
      </c>
      <c r="H32" s="65" t="n">
        <v>4343.3</v>
      </c>
      <c r="I32" s="62" t="s">
        <v>275</v>
      </c>
    </row>
    <row r="33" customFormat="false" ht="15" hidden="false" customHeight="false" outlineLevel="0" collapsed="false">
      <c r="A33" s="62" t="s">
        <v>388</v>
      </c>
      <c r="B33" s="63" t="n">
        <v>308</v>
      </c>
      <c r="C33" s="64" t="n">
        <v>46300.722892338</v>
      </c>
      <c r="D33" s="63" t="n">
        <v>17</v>
      </c>
      <c r="E33" s="62" t="s">
        <v>389</v>
      </c>
      <c r="F33" s="62" t="s">
        <v>431</v>
      </c>
      <c r="G33" s="62" t="s">
        <v>389</v>
      </c>
      <c r="H33" s="65" t="n">
        <v>10</v>
      </c>
      <c r="I33" s="62" t="s">
        <v>392</v>
      </c>
    </row>
    <row r="34" customFormat="false" ht="15" hidden="false" customHeight="false" outlineLevel="0" collapsed="false">
      <c r="A34" s="62" t="s">
        <v>388</v>
      </c>
      <c r="B34" s="63" t="n">
        <v>308</v>
      </c>
      <c r="C34" s="64" t="n">
        <v>46300.7311197107</v>
      </c>
      <c r="D34" s="63" t="n">
        <v>17</v>
      </c>
      <c r="E34" s="62" t="s">
        <v>389</v>
      </c>
      <c r="F34" s="62" t="s">
        <v>431</v>
      </c>
      <c r="G34" s="62" t="s">
        <v>389</v>
      </c>
      <c r="H34" s="65" t="n">
        <v>6</v>
      </c>
      <c r="I34" s="62" t="s">
        <v>392</v>
      </c>
    </row>
    <row r="35" customFormat="false" ht="15" hidden="false" customHeight="false" outlineLevel="0" collapsed="false">
      <c r="A35" s="62" t="s">
        <v>388</v>
      </c>
      <c r="B35" s="63" t="n">
        <v>317</v>
      </c>
      <c r="C35" s="64" t="n">
        <v>46300.7488602894</v>
      </c>
      <c r="D35" s="63" t="n">
        <v>17</v>
      </c>
      <c r="E35" s="62" t="s">
        <v>389</v>
      </c>
      <c r="F35" s="62" t="s">
        <v>430</v>
      </c>
      <c r="G35" s="62" t="s">
        <v>389</v>
      </c>
      <c r="H35" s="65" t="n">
        <v>8.1</v>
      </c>
      <c r="I35" s="62" t="s">
        <v>275</v>
      </c>
    </row>
    <row r="36" customFormat="false" ht="15" hidden="false" customHeight="false" outlineLevel="0" collapsed="false">
      <c r="A36" s="62" t="s">
        <v>388</v>
      </c>
      <c r="B36" s="63" t="n">
        <v>317</v>
      </c>
      <c r="C36" s="64" t="n">
        <v>46300.7516020718</v>
      </c>
      <c r="D36" s="63" t="n">
        <v>18</v>
      </c>
      <c r="E36" s="62" t="s">
        <v>389</v>
      </c>
      <c r="F36" s="62" t="s">
        <v>431</v>
      </c>
      <c r="G36" s="62" t="s">
        <v>389</v>
      </c>
      <c r="H36" s="65" t="n">
        <v>4.1</v>
      </c>
      <c r="I36" s="62" t="s">
        <v>392</v>
      </c>
    </row>
    <row r="37" customFormat="false" ht="15" hidden="false" customHeight="false" outlineLevel="0" collapsed="false">
      <c r="A37" s="62" t="s">
        <v>388</v>
      </c>
      <c r="B37" s="63" t="n">
        <v>308</v>
      </c>
      <c r="C37" s="64" t="n">
        <v>46300.7545063889</v>
      </c>
      <c r="D37" s="63" t="n">
        <v>18</v>
      </c>
      <c r="E37" s="62" t="s">
        <v>389</v>
      </c>
      <c r="F37" s="62" t="s">
        <v>151</v>
      </c>
      <c r="G37" s="62" t="s">
        <v>389</v>
      </c>
      <c r="H37" s="65" t="n">
        <v>3.6</v>
      </c>
      <c r="I37" s="62" t="s">
        <v>275</v>
      </c>
    </row>
    <row r="38" customFormat="false" ht="15" hidden="false" customHeight="false" outlineLevel="0" collapsed="false">
      <c r="A38" s="62" t="s">
        <v>388</v>
      </c>
      <c r="B38" s="63" t="n">
        <v>317</v>
      </c>
      <c r="C38" s="64" t="n">
        <v>46300.7559232986</v>
      </c>
      <c r="D38" s="63" t="n">
        <v>18</v>
      </c>
      <c r="E38" s="62" t="s">
        <v>389</v>
      </c>
      <c r="F38" s="62" t="s">
        <v>151</v>
      </c>
      <c r="G38" s="62" t="s">
        <v>389</v>
      </c>
      <c r="H38" s="65" t="n">
        <v>0.7</v>
      </c>
      <c r="I38" s="62" t="s">
        <v>392</v>
      </c>
    </row>
    <row r="39" customFormat="false" ht="15" hidden="false" customHeight="false" outlineLevel="0" collapsed="false">
      <c r="A39" s="62" t="s">
        <v>388</v>
      </c>
      <c r="B39" s="63" t="n">
        <v>317</v>
      </c>
      <c r="C39" s="64" t="n">
        <v>46300.7569608796</v>
      </c>
      <c r="D39" s="63" t="n">
        <v>18</v>
      </c>
      <c r="E39" s="62" t="s">
        <v>389</v>
      </c>
      <c r="F39" s="62" t="s">
        <v>151</v>
      </c>
      <c r="G39" s="62" t="s">
        <v>389</v>
      </c>
      <c r="H39" s="65" t="n">
        <v>0.6</v>
      </c>
      <c r="I39" s="62" t="s">
        <v>392</v>
      </c>
    </row>
    <row r="40" customFormat="false" ht="15" hidden="false" customHeight="false" outlineLevel="0" collapsed="false">
      <c r="A40" s="62" t="s">
        <v>388</v>
      </c>
      <c r="B40" s="63" t="n">
        <v>308</v>
      </c>
      <c r="C40" s="64" t="n">
        <v>46300.7569863426</v>
      </c>
      <c r="D40" s="63" t="n">
        <v>18</v>
      </c>
      <c r="E40" s="62" t="s">
        <v>389</v>
      </c>
      <c r="F40" s="62" t="s">
        <v>151</v>
      </c>
      <c r="G40" s="62" t="s">
        <v>389</v>
      </c>
      <c r="H40" s="65" t="n">
        <v>0.7</v>
      </c>
      <c r="I40" s="62" t="s">
        <v>392</v>
      </c>
    </row>
    <row r="41" customFormat="false" ht="15" hidden="false" customHeight="false" outlineLevel="0" collapsed="false">
      <c r="A41" s="62" t="s">
        <v>388</v>
      </c>
      <c r="B41" s="63" t="n">
        <v>317</v>
      </c>
      <c r="C41" s="64" t="n">
        <v>46300.7590704398</v>
      </c>
      <c r="D41" s="63" t="n">
        <v>18</v>
      </c>
      <c r="E41" s="62" t="s">
        <v>389</v>
      </c>
      <c r="F41" s="62" t="s">
        <v>151</v>
      </c>
      <c r="G41" s="62" t="s">
        <v>389</v>
      </c>
      <c r="H41" s="65" t="n">
        <v>0.7</v>
      </c>
      <c r="I41" s="62" t="s">
        <v>392</v>
      </c>
    </row>
    <row r="42" customFormat="false" ht="15" hidden="false" customHeight="false" outlineLevel="0" collapsed="false">
      <c r="A42" s="62" t="s">
        <v>388</v>
      </c>
      <c r="B42" s="63" t="n">
        <v>317</v>
      </c>
      <c r="C42" s="64" t="n">
        <v>46300.7603789468</v>
      </c>
      <c r="D42" s="63" t="n">
        <v>18</v>
      </c>
      <c r="E42" s="62" t="s">
        <v>389</v>
      </c>
      <c r="F42" s="62" t="s">
        <v>151</v>
      </c>
      <c r="G42" s="62" t="s">
        <v>389</v>
      </c>
      <c r="H42" s="65" t="n">
        <v>0.6</v>
      </c>
      <c r="I42" s="62" t="s">
        <v>392</v>
      </c>
    </row>
    <row r="43" customFormat="false" ht="15" hidden="false" customHeight="false" outlineLevel="0" collapsed="false">
      <c r="A43" s="62" t="s">
        <v>388</v>
      </c>
      <c r="B43" s="63" t="n">
        <v>317</v>
      </c>
      <c r="C43" s="64" t="n">
        <v>46300.7646554282</v>
      </c>
      <c r="D43" s="63" t="n">
        <v>18</v>
      </c>
      <c r="E43" s="62" t="s">
        <v>389</v>
      </c>
      <c r="F43" s="62" t="s">
        <v>151</v>
      </c>
      <c r="G43" s="62" t="s">
        <v>389</v>
      </c>
      <c r="H43" s="65" t="n">
        <v>0.3</v>
      </c>
      <c r="I43" s="62" t="s">
        <v>392</v>
      </c>
    </row>
    <row r="44" customFormat="false" ht="15" hidden="false" customHeight="false" outlineLevel="0" collapsed="false">
      <c r="A44" s="62" t="s">
        <v>388</v>
      </c>
      <c r="B44" s="63" t="n">
        <v>321</v>
      </c>
      <c r="C44" s="64" t="n">
        <v>46300.7653879167</v>
      </c>
      <c r="D44" s="63" t="n">
        <v>18</v>
      </c>
      <c r="E44" s="62" t="s">
        <v>389</v>
      </c>
      <c r="F44" s="62" t="s">
        <v>430</v>
      </c>
      <c r="G44" s="62" t="s">
        <v>389</v>
      </c>
      <c r="H44" s="65" t="n">
        <v>929.2</v>
      </c>
      <c r="I44" s="62" t="s">
        <v>275</v>
      </c>
    </row>
    <row r="45" customFormat="false" ht="15" hidden="false" customHeight="false" outlineLevel="0" collapsed="false">
      <c r="A45" s="62" t="s">
        <v>388</v>
      </c>
      <c r="B45" s="63" t="n">
        <v>317</v>
      </c>
      <c r="C45" s="64" t="n">
        <v>46300.7688248032</v>
      </c>
      <c r="D45" s="63" t="n">
        <v>18</v>
      </c>
      <c r="E45" s="62" t="s">
        <v>389</v>
      </c>
      <c r="F45" s="62" t="s">
        <v>151</v>
      </c>
      <c r="G45" s="62" t="s">
        <v>389</v>
      </c>
      <c r="H45" s="65" t="n">
        <v>2.2</v>
      </c>
      <c r="I45" s="62" t="s">
        <v>275</v>
      </c>
    </row>
    <row r="46" customFormat="false" ht="15" hidden="false" customHeight="false" outlineLevel="0" collapsed="false">
      <c r="A46" s="62" t="s">
        <v>388</v>
      </c>
      <c r="B46" s="63" t="n">
        <v>317</v>
      </c>
      <c r="C46" s="64" t="n">
        <v>46300.7693806944</v>
      </c>
      <c r="D46" s="63" t="n">
        <v>18</v>
      </c>
      <c r="E46" s="62" t="s">
        <v>389</v>
      </c>
      <c r="F46" s="62" t="s">
        <v>151</v>
      </c>
      <c r="G46" s="62" t="s">
        <v>389</v>
      </c>
      <c r="H46" s="65" t="n">
        <v>1.4</v>
      </c>
      <c r="I46" s="62" t="s">
        <v>392</v>
      </c>
    </row>
    <row r="47" customFormat="false" ht="15" hidden="false" customHeight="false" outlineLevel="0" collapsed="false">
      <c r="A47" s="62" t="s">
        <v>388</v>
      </c>
      <c r="B47" s="63" t="n">
        <v>287</v>
      </c>
      <c r="C47" s="64" t="n">
        <v>46300.8692220718</v>
      </c>
      <c r="D47" s="63" t="n">
        <v>20</v>
      </c>
      <c r="E47" s="62" t="s">
        <v>389</v>
      </c>
      <c r="F47" s="62" t="s">
        <v>150</v>
      </c>
      <c r="G47" s="62" t="s">
        <v>389</v>
      </c>
      <c r="H47" s="65" t="n">
        <v>4095.8</v>
      </c>
      <c r="I47" s="62" t="s">
        <v>275</v>
      </c>
    </row>
    <row r="48" customFormat="false" ht="15" hidden="false" customHeight="false" outlineLevel="0" collapsed="false">
      <c r="A48" s="62" t="s">
        <v>388</v>
      </c>
      <c r="B48" s="63" t="n">
        <v>330</v>
      </c>
      <c r="C48" s="64" t="n">
        <v>46300.8799494792</v>
      </c>
      <c r="D48" s="63" t="n">
        <v>21</v>
      </c>
      <c r="E48" s="62" t="s">
        <v>390</v>
      </c>
      <c r="F48" s="62" t="s">
        <v>430</v>
      </c>
      <c r="G48" s="62" t="s">
        <v>389</v>
      </c>
      <c r="H48" s="65" t="n">
        <v>4101.8</v>
      </c>
      <c r="I48" s="62" t="s">
        <v>275</v>
      </c>
    </row>
    <row r="49" customFormat="false" ht="15" hidden="false" customHeight="false" outlineLevel="0" collapsed="false">
      <c r="A49" s="62" t="s">
        <v>388</v>
      </c>
      <c r="B49" s="63" t="n">
        <v>336</v>
      </c>
      <c r="C49" s="64" t="n">
        <v>46300.901382662</v>
      </c>
      <c r="D49" s="63" t="n">
        <v>21</v>
      </c>
      <c r="E49" s="62" t="s">
        <v>390</v>
      </c>
      <c r="F49" s="62" t="s">
        <v>430</v>
      </c>
      <c r="G49" s="62" t="s">
        <v>389</v>
      </c>
      <c r="H49" s="65" t="n">
        <v>5515.3</v>
      </c>
      <c r="I49" s="62" t="s">
        <v>275</v>
      </c>
    </row>
    <row r="50" customFormat="false" ht="15" hidden="false" customHeight="false" outlineLevel="0" collapsed="false">
      <c r="A50" s="62" t="s">
        <v>388</v>
      </c>
      <c r="B50" s="63" t="n">
        <v>348</v>
      </c>
      <c r="C50" s="64" t="n">
        <v>46301.3239302778</v>
      </c>
      <c r="D50" s="63" t="n">
        <v>7</v>
      </c>
      <c r="E50" s="62" t="s">
        <v>390</v>
      </c>
      <c r="F50" s="62" t="s">
        <v>430</v>
      </c>
      <c r="G50" s="62" t="s">
        <v>389</v>
      </c>
      <c r="H50" s="65" t="n">
        <v>25.7</v>
      </c>
      <c r="I50" s="62" t="s">
        <v>275</v>
      </c>
    </row>
    <row r="51" customFormat="false" ht="15" hidden="false" customHeight="false" outlineLevel="0" collapsed="false">
      <c r="A51" s="62" t="s">
        <v>388</v>
      </c>
      <c r="B51" s="63" t="n">
        <v>348</v>
      </c>
      <c r="C51" s="64" t="n">
        <v>46301.3394710995</v>
      </c>
      <c r="D51" s="63" t="n">
        <v>8</v>
      </c>
      <c r="E51" s="62" t="s">
        <v>390</v>
      </c>
      <c r="F51" s="62" t="s">
        <v>431</v>
      </c>
      <c r="G51" s="62" t="s">
        <v>389</v>
      </c>
      <c r="H51" s="65" t="n">
        <v>3.3</v>
      </c>
      <c r="I51" s="62" t="s">
        <v>392</v>
      </c>
    </row>
    <row r="52" customFormat="false" ht="15" hidden="false" customHeight="false" outlineLevel="0" collapsed="false">
      <c r="A52" s="62" t="s">
        <v>388</v>
      </c>
      <c r="B52" s="63" t="n">
        <v>357</v>
      </c>
      <c r="C52" s="64" t="n">
        <v>46301.3510535069</v>
      </c>
      <c r="D52" s="63" t="n">
        <v>8</v>
      </c>
      <c r="E52" s="62" t="s">
        <v>390</v>
      </c>
      <c r="F52" s="62" t="s">
        <v>430</v>
      </c>
      <c r="G52" s="62" t="s">
        <v>389</v>
      </c>
      <c r="H52" s="65" t="n">
        <v>0.4</v>
      </c>
      <c r="I52" s="62" t="s">
        <v>392</v>
      </c>
    </row>
    <row r="53" customFormat="false" ht="15" hidden="false" customHeight="false" outlineLevel="0" collapsed="false">
      <c r="A53" s="62" t="s">
        <v>388</v>
      </c>
      <c r="B53" s="63" t="n">
        <v>350</v>
      </c>
      <c r="C53" s="64" t="n">
        <v>46301.3546028588</v>
      </c>
      <c r="D53" s="63" t="n">
        <v>8</v>
      </c>
      <c r="E53" s="62" t="s">
        <v>390</v>
      </c>
      <c r="F53" s="62" t="s">
        <v>431</v>
      </c>
      <c r="G53" s="62" t="s">
        <v>389</v>
      </c>
      <c r="H53" s="65" t="n">
        <v>0.6</v>
      </c>
      <c r="I53" s="62" t="s">
        <v>392</v>
      </c>
    </row>
    <row r="54" customFormat="false" ht="15" hidden="false" customHeight="false" outlineLevel="0" collapsed="false">
      <c r="A54" s="62" t="s">
        <v>388</v>
      </c>
      <c r="B54" s="63" t="n">
        <v>350</v>
      </c>
      <c r="C54" s="64" t="n">
        <v>46301.3561891204</v>
      </c>
      <c r="D54" s="63" t="n">
        <v>8</v>
      </c>
      <c r="E54" s="62" t="s">
        <v>390</v>
      </c>
      <c r="F54" s="62" t="s">
        <v>431</v>
      </c>
      <c r="G54" s="62" t="s">
        <v>389</v>
      </c>
      <c r="H54" s="65" t="n">
        <v>0.7</v>
      </c>
      <c r="I54" s="62" t="s">
        <v>392</v>
      </c>
    </row>
    <row r="55" customFormat="false" ht="15" hidden="false" customHeight="false" outlineLevel="0" collapsed="false">
      <c r="A55" s="62" t="s">
        <v>388</v>
      </c>
      <c r="B55" s="63" t="n">
        <v>350</v>
      </c>
      <c r="C55" s="64" t="n">
        <v>46301.3634569792</v>
      </c>
      <c r="D55" s="63" t="n">
        <v>8</v>
      </c>
      <c r="E55" s="62" t="s">
        <v>390</v>
      </c>
      <c r="F55" s="62" t="s">
        <v>431</v>
      </c>
      <c r="G55" s="62" t="s">
        <v>389</v>
      </c>
      <c r="H55" s="65" t="n">
        <v>0.8</v>
      </c>
      <c r="I55" s="62" t="s">
        <v>392</v>
      </c>
    </row>
    <row r="56" customFormat="false" ht="15" hidden="false" customHeight="false" outlineLevel="0" collapsed="false">
      <c r="A56" s="62" t="s">
        <v>388</v>
      </c>
      <c r="B56" s="63" t="n">
        <v>359</v>
      </c>
      <c r="C56" s="64" t="n">
        <v>46301.3752859838</v>
      </c>
      <c r="D56" s="63" t="n">
        <v>9</v>
      </c>
      <c r="E56" s="62" t="s">
        <v>389</v>
      </c>
      <c r="F56" s="62" t="s">
        <v>430</v>
      </c>
      <c r="G56" s="62" t="s">
        <v>389</v>
      </c>
      <c r="H56" s="65" t="n">
        <v>8.5</v>
      </c>
      <c r="I56" s="62" t="s">
        <v>275</v>
      </c>
    </row>
    <row r="57" customFormat="false" ht="15" hidden="false" customHeight="false" outlineLevel="0" collapsed="false">
      <c r="A57" s="62" t="s">
        <v>388</v>
      </c>
      <c r="B57" s="63" t="n">
        <v>359</v>
      </c>
      <c r="C57" s="64" t="n">
        <v>46301.3784844792</v>
      </c>
      <c r="D57" s="63" t="n">
        <v>9</v>
      </c>
      <c r="E57" s="62" t="s">
        <v>389</v>
      </c>
      <c r="F57" s="62" t="s">
        <v>431</v>
      </c>
      <c r="G57" s="62" t="s">
        <v>389</v>
      </c>
      <c r="H57" s="65" t="n">
        <v>3.9</v>
      </c>
      <c r="I57" s="62" t="s">
        <v>392</v>
      </c>
    </row>
    <row r="58" customFormat="false" ht="15" hidden="false" customHeight="false" outlineLevel="0" collapsed="false">
      <c r="A58" s="62" t="s">
        <v>388</v>
      </c>
      <c r="B58" s="63" t="n">
        <v>359</v>
      </c>
      <c r="C58" s="64" t="n">
        <v>46301.3865558218</v>
      </c>
      <c r="D58" s="63" t="n">
        <v>9</v>
      </c>
      <c r="E58" s="62" t="s">
        <v>389</v>
      </c>
      <c r="F58" s="62" t="s">
        <v>431</v>
      </c>
      <c r="G58" s="62" t="s">
        <v>389</v>
      </c>
      <c r="H58" s="65" t="n">
        <v>0.2</v>
      </c>
      <c r="I58" s="62" t="s">
        <v>392</v>
      </c>
    </row>
    <row r="59" customFormat="false" ht="15" hidden="false" customHeight="false" outlineLevel="0" collapsed="false">
      <c r="A59" s="62" t="s">
        <v>388</v>
      </c>
      <c r="B59" s="63" t="n">
        <v>359</v>
      </c>
      <c r="C59" s="64" t="n">
        <v>46301.438283912</v>
      </c>
      <c r="D59" s="63" t="n">
        <v>10</v>
      </c>
      <c r="E59" s="62" t="s">
        <v>389</v>
      </c>
      <c r="F59" s="62" t="s">
        <v>151</v>
      </c>
      <c r="G59" s="62" t="s">
        <v>389</v>
      </c>
      <c r="H59" s="65" t="n">
        <v>3.1</v>
      </c>
      <c r="I59" s="62" t="s">
        <v>392</v>
      </c>
    </row>
    <row r="60" customFormat="false" ht="15" hidden="false" customHeight="false" outlineLevel="0" collapsed="false">
      <c r="A60" s="62" t="s">
        <v>388</v>
      </c>
      <c r="B60" s="63" t="n">
        <v>366</v>
      </c>
      <c r="C60" s="64" t="n">
        <v>46301.4402026968</v>
      </c>
      <c r="D60" s="63" t="n">
        <v>10</v>
      </c>
      <c r="E60" s="62" t="s">
        <v>389</v>
      </c>
      <c r="F60" s="62" t="s">
        <v>430</v>
      </c>
      <c r="G60" s="62" t="s">
        <v>389</v>
      </c>
      <c r="H60" s="65" t="n">
        <v>9.4</v>
      </c>
      <c r="I60" s="62" t="s">
        <v>275</v>
      </c>
    </row>
    <row r="61" customFormat="false" ht="15" hidden="false" customHeight="false" outlineLevel="0" collapsed="false">
      <c r="A61" s="62" t="s">
        <v>388</v>
      </c>
      <c r="B61" s="63" t="n">
        <v>366</v>
      </c>
      <c r="C61" s="64" t="n">
        <v>46301.4420470486</v>
      </c>
      <c r="D61" s="63" t="n">
        <v>10</v>
      </c>
      <c r="E61" s="62" t="s">
        <v>389</v>
      </c>
      <c r="F61" s="62" t="s">
        <v>431</v>
      </c>
      <c r="G61" s="62" t="s">
        <v>389</v>
      </c>
      <c r="H61" s="65" t="n">
        <v>6.7</v>
      </c>
      <c r="I61" s="62" t="s">
        <v>275</v>
      </c>
    </row>
    <row r="62" customFormat="false" ht="15" hidden="false" customHeight="false" outlineLevel="0" collapsed="false">
      <c r="A62" s="62" t="s">
        <v>388</v>
      </c>
      <c r="B62" s="63" t="n">
        <v>366</v>
      </c>
      <c r="C62" s="64" t="n">
        <v>46301.4425270255</v>
      </c>
      <c r="D62" s="63" t="n">
        <v>10</v>
      </c>
      <c r="E62" s="62" t="s">
        <v>389</v>
      </c>
      <c r="F62" s="62" t="s">
        <v>431</v>
      </c>
      <c r="G62" s="62" t="s">
        <v>389</v>
      </c>
      <c r="H62" s="65" t="n">
        <v>6</v>
      </c>
      <c r="I62" s="62" t="s">
        <v>392</v>
      </c>
    </row>
    <row r="63" customFormat="false" ht="15" hidden="false" customHeight="false" outlineLevel="0" collapsed="false">
      <c r="A63" s="62" t="s">
        <v>388</v>
      </c>
      <c r="B63" s="63" t="n">
        <v>367</v>
      </c>
      <c r="C63" s="64" t="n">
        <v>46301.445000463</v>
      </c>
      <c r="D63" s="63" t="n">
        <v>10</v>
      </c>
      <c r="E63" s="62" t="s">
        <v>389</v>
      </c>
      <c r="F63" s="62" t="s">
        <v>430</v>
      </c>
      <c r="G63" s="62" t="s">
        <v>389</v>
      </c>
      <c r="H63" s="65" t="n">
        <v>13.2</v>
      </c>
      <c r="I63" s="62" t="s">
        <v>275</v>
      </c>
    </row>
    <row r="64" customFormat="false" ht="15" hidden="false" customHeight="false" outlineLevel="0" collapsed="false">
      <c r="A64" s="62" t="s">
        <v>388</v>
      </c>
      <c r="B64" s="63" t="n">
        <v>367</v>
      </c>
      <c r="C64" s="64" t="n">
        <v>46301.4492632292</v>
      </c>
      <c r="D64" s="63" t="n">
        <v>10</v>
      </c>
      <c r="E64" s="62" t="s">
        <v>389</v>
      </c>
      <c r="F64" s="62" t="s">
        <v>431</v>
      </c>
      <c r="G64" s="62" t="s">
        <v>389</v>
      </c>
      <c r="H64" s="65" t="n">
        <v>7</v>
      </c>
      <c r="I64" s="62" t="s">
        <v>392</v>
      </c>
    </row>
    <row r="65" customFormat="false" ht="15" hidden="false" customHeight="false" outlineLevel="0" collapsed="false">
      <c r="A65" s="62" t="s">
        <v>388</v>
      </c>
      <c r="B65" s="63" t="n">
        <v>366</v>
      </c>
      <c r="C65" s="64" t="n">
        <v>46301.4505127431</v>
      </c>
      <c r="D65" s="63" t="n">
        <v>10</v>
      </c>
      <c r="E65" s="62" t="s">
        <v>389</v>
      </c>
      <c r="F65" s="62" t="s">
        <v>431</v>
      </c>
      <c r="G65" s="62" t="s">
        <v>389</v>
      </c>
      <c r="H65" s="65" t="n">
        <v>0.2</v>
      </c>
      <c r="I65" s="62" t="s">
        <v>392</v>
      </c>
    </row>
    <row r="66" customFormat="false" ht="15" hidden="false" customHeight="false" outlineLevel="0" collapsed="false">
      <c r="A66" s="62" t="s">
        <v>388</v>
      </c>
      <c r="B66" s="63" t="n">
        <v>367</v>
      </c>
      <c r="C66" s="64" t="n">
        <v>46301.455783206</v>
      </c>
      <c r="D66" s="63" t="n">
        <v>10</v>
      </c>
      <c r="E66" s="62" t="s">
        <v>389</v>
      </c>
      <c r="F66" s="62" t="s">
        <v>431</v>
      </c>
      <c r="G66" s="62" t="s">
        <v>389</v>
      </c>
      <c r="H66" s="65" t="n">
        <v>3.9</v>
      </c>
      <c r="I66" s="62" t="s">
        <v>392</v>
      </c>
    </row>
    <row r="67" customFormat="false" ht="15" hidden="false" customHeight="false" outlineLevel="0" collapsed="false">
      <c r="A67" s="62" t="s">
        <v>388</v>
      </c>
      <c r="B67" s="63" t="n">
        <v>370</v>
      </c>
      <c r="C67" s="64" t="n">
        <v>46301.458901412</v>
      </c>
      <c r="D67" s="63" t="n">
        <v>11</v>
      </c>
      <c r="E67" s="62" t="s">
        <v>389</v>
      </c>
      <c r="F67" s="62" t="s">
        <v>430</v>
      </c>
      <c r="G67" s="62" t="s">
        <v>389</v>
      </c>
      <c r="H67" s="65" t="n">
        <v>1315.7</v>
      </c>
      <c r="I67" s="62" t="s">
        <v>275</v>
      </c>
    </row>
    <row r="68" customFormat="false" ht="15" hidden="false" customHeight="false" outlineLevel="0" collapsed="false">
      <c r="A68" s="62" t="s">
        <v>388</v>
      </c>
      <c r="B68" s="63" t="n">
        <v>370</v>
      </c>
      <c r="C68" s="64" t="n">
        <v>46301.4602401389</v>
      </c>
      <c r="D68" s="63" t="n">
        <v>11</v>
      </c>
      <c r="E68" s="62" t="s">
        <v>389</v>
      </c>
      <c r="F68" s="62" t="s">
        <v>431</v>
      </c>
      <c r="G68" s="62" t="s">
        <v>389</v>
      </c>
      <c r="H68" s="65" t="n">
        <v>1313.7</v>
      </c>
      <c r="I68" s="62" t="s">
        <v>392</v>
      </c>
    </row>
    <row r="69" customFormat="false" ht="15" hidden="false" customHeight="false" outlineLevel="0" collapsed="false">
      <c r="A69" s="62" t="s">
        <v>388</v>
      </c>
      <c r="B69" s="63" t="n">
        <v>369</v>
      </c>
      <c r="C69" s="64" t="n">
        <v>46301.4614618171</v>
      </c>
      <c r="D69" s="63" t="n">
        <v>11</v>
      </c>
      <c r="E69" s="62" t="s">
        <v>389</v>
      </c>
      <c r="F69" s="62" t="s">
        <v>430</v>
      </c>
      <c r="G69" s="62" t="s">
        <v>389</v>
      </c>
      <c r="H69" s="65" t="n">
        <v>11.9</v>
      </c>
      <c r="I69" s="62" t="s">
        <v>275</v>
      </c>
    </row>
    <row r="70" customFormat="false" ht="15" hidden="false" customHeight="false" outlineLevel="0" collapsed="false">
      <c r="A70" s="62" t="s">
        <v>388</v>
      </c>
      <c r="B70" s="63" t="n">
        <v>369</v>
      </c>
      <c r="C70" s="64" t="n">
        <v>46301.4695465972</v>
      </c>
      <c r="D70" s="63" t="n">
        <v>11</v>
      </c>
      <c r="E70" s="62" t="s">
        <v>389</v>
      </c>
      <c r="F70" s="62" t="s">
        <v>431</v>
      </c>
      <c r="G70" s="62" t="s">
        <v>389</v>
      </c>
      <c r="H70" s="65" t="n">
        <v>0.2</v>
      </c>
      <c r="I70" s="62" t="s">
        <v>392</v>
      </c>
    </row>
    <row r="71" customFormat="false" ht="15" hidden="false" customHeight="false" outlineLevel="0" collapsed="false">
      <c r="A71" s="62" t="s">
        <v>388</v>
      </c>
      <c r="B71" s="63" t="n">
        <v>369</v>
      </c>
      <c r="C71" s="64" t="n">
        <v>46301.4706563657</v>
      </c>
      <c r="D71" s="63" t="n">
        <v>11</v>
      </c>
      <c r="E71" s="62" t="s">
        <v>389</v>
      </c>
      <c r="F71" s="62" t="s">
        <v>431</v>
      </c>
      <c r="G71" s="62" t="s">
        <v>389</v>
      </c>
      <c r="H71" s="65" t="n">
        <v>0.2</v>
      </c>
      <c r="I71" s="62" t="s">
        <v>392</v>
      </c>
    </row>
    <row r="72" customFormat="false" ht="15" hidden="false" customHeight="false" outlineLevel="0" collapsed="false">
      <c r="A72" s="62" t="s">
        <v>388</v>
      </c>
      <c r="B72" s="63" t="n">
        <v>366</v>
      </c>
      <c r="C72" s="64" t="n">
        <v>46301.4742412732</v>
      </c>
      <c r="D72" s="63" t="n">
        <v>11</v>
      </c>
      <c r="E72" s="62" t="s">
        <v>389</v>
      </c>
      <c r="F72" s="62" t="s">
        <v>431</v>
      </c>
      <c r="G72" s="62" t="s">
        <v>389</v>
      </c>
      <c r="H72" s="65" t="n">
        <v>1.4</v>
      </c>
      <c r="I72" s="62" t="s">
        <v>392</v>
      </c>
    </row>
    <row r="73" customFormat="false" ht="15" hidden="false" customHeight="false" outlineLevel="0" collapsed="false">
      <c r="A73" s="62" t="s">
        <v>388</v>
      </c>
      <c r="B73" s="63" t="n">
        <v>367</v>
      </c>
      <c r="C73" s="64" t="n">
        <v>46301.4807535764</v>
      </c>
      <c r="D73" s="63" t="n">
        <v>11</v>
      </c>
      <c r="E73" s="62" t="s">
        <v>389</v>
      </c>
      <c r="F73" s="62" t="s">
        <v>431</v>
      </c>
      <c r="G73" s="62" t="s">
        <v>389</v>
      </c>
      <c r="H73" s="65" t="n">
        <v>1.7</v>
      </c>
      <c r="I73" s="62" t="s">
        <v>392</v>
      </c>
    </row>
    <row r="74" customFormat="false" ht="15" hidden="false" customHeight="false" outlineLevel="0" collapsed="false">
      <c r="A74" s="62" t="s">
        <v>388</v>
      </c>
      <c r="B74" s="63" t="n">
        <v>376</v>
      </c>
      <c r="C74" s="64" t="n">
        <v>46301.4864873264</v>
      </c>
      <c r="D74" s="63" t="n">
        <v>11</v>
      </c>
      <c r="E74" s="62" t="s">
        <v>389</v>
      </c>
      <c r="F74" s="62" t="s">
        <v>430</v>
      </c>
      <c r="G74" s="62" t="s">
        <v>389</v>
      </c>
      <c r="H74" s="65" t="n">
        <v>2.1</v>
      </c>
      <c r="I74" s="62" t="s">
        <v>275</v>
      </c>
    </row>
    <row r="75" customFormat="false" ht="15" hidden="false" customHeight="false" outlineLevel="0" collapsed="false">
      <c r="A75" s="62" t="s">
        <v>388</v>
      </c>
      <c r="B75" s="63" t="n">
        <v>376</v>
      </c>
      <c r="C75" s="64" t="n">
        <v>46301.4877360532</v>
      </c>
      <c r="D75" s="63" t="n">
        <v>11</v>
      </c>
      <c r="E75" s="62" t="s">
        <v>389</v>
      </c>
      <c r="F75" s="62" t="s">
        <v>431</v>
      </c>
      <c r="G75" s="62" t="s">
        <v>389</v>
      </c>
      <c r="H75" s="65" t="n">
        <v>0.3</v>
      </c>
      <c r="I75" s="62" t="s">
        <v>392</v>
      </c>
    </row>
    <row r="76" customFormat="false" ht="15" hidden="false" customHeight="false" outlineLevel="0" collapsed="false">
      <c r="A76" s="62" t="s">
        <v>388</v>
      </c>
      <c r="B76" s="63" t="n">
        <v>376</v>
      </c>
      <c r="C76" s="64" t="n">
        <v>46301.4921797801</v>
      </c>
      <c r="D76" s="63" t="n">
        <v>11</v>
      </c>
      <c r="E76" s="62" t="s">
        <v>389</v>
      </c>
      <c r="F76" s="62" t="s">
        <v>431</v>
      </c>
      <c r="G76" s="62" t="s">
        <v>389</v>
      </c>
      <c r="H76" s="65" t="n">
        <v>12.1</v>
      </c>
      <c r="I76" s="62" t="s">
        <v>392</v>
      </c>
    </row>
    <row r="77" customFormat="false" ht="15" hidden="false" customHeight="false" outlineLevel="0" collapsed="false">
      <c r="A77" s="62" t="s">
        <v>388</v>
      </c>
      <c r="B77" s="63" t="n">
        <v>366</v>
      </c>
      <c r="C77" s="64" t="n">
        <v>46301.4944029282</v>
      </c>
      <c r="D77" s="63" t="n">
        <v>11</v>
      </c>
      <c r="E77" s="62" t="s">
        <v>389</v>
      </c>
      <c r="F77" s="62" t="s">
        <v>431</v>
      </c>
      <c r="G77" s="62" t="s">
        <v>389</v>
      </c>
      <c r="H77" s="65" t="n">
        <v>6.8</v>
      </c>
      <c r="I77" s="62" t="s">
        <v>392</v>
      </c>
    </row>
    <row r="78" customFormat="false" ht="15" hidden="false" customHeight="false" outlineLevel="0" collapsed="false">
      <c r="A78" s="62" t="s">
        <v>388</v>
      </c>
      <c r="B78" s="63" t="n">
        <v>379</v>
      </c>
      <c r="C78" s="64" t="n">
        <v>46301.494830081</v>
      </c>
      <c r="D78" s="63" t="n">
        <v>11</v>
      </c>
      <c r="E78" s="62" t="s">
        <v>389</v>
      </c>
      <c r="F78" s="62" t="s">
        <v>430</v>
      </c>
      <c r="G78" s="62" t="s">
        <v>389</v>
      </c>
      <c r="H78" s="65" t="n">
        <v>135.5</v>
      </c>
      <c r="I78" s="62" t="s">
        <v>392</v>
      </c>
    </row>
    <row r="79" customFormat="false" ht="15" hidden="false" customHeight="false" outlineLevel="0" collapsed="false">
      <c r="A79" s="62" t="s">
        <v>388</v>
      </c>
      <c r="B79" s="63" t="n">
        <v>348</v>
      </c>
      <c r="C79" s="64" t="n">
        <v>46301.5051321528</v>
      </c>
      <c r="D79" s="63" t="n">
        <v>12</v>
      </c>
      <c r="E79" s="62" t="s">
        <v>389</v>
      </c>
      <c r="F79" s="62" t="s">
        <v>150</v>
      </c>
      <c r="G79" s="62" t="s">
        <v>389</v>
      </c>
      <c r="H79" s="65" t="n">
        <v>2.2</v>
      </c>
      <c r="I79" s="62" t="s">
        <v>392</v>
      </c>
    </row>
    <row r="80" customFormat="false" ht="15" hidden="false" customHeight="false" outlineLevel="0" collapsed="false">
      <c r="A80" s="62" t="s">
        <v>388</v>
      </c>
      <c r="B80" s="63" t="n">
        <v>366</v>
      </c>
      <c r="C80" s="64" t="n">
        <v>46301.5073220833</v>
      </c>
      <c r="D80" s="63" t="n">
        <v>12</v>
      </c>
      <c r="E80" s="62" t="s">
        <v>389</v>
      </c>
      <c r="F80" s="62" t="s">
        <v>431</v>
      </c>
      <c r="G80" s="62" t="s">
        <v>389</v>
      </c>
      <c r="H80" s="65" t="n">
        <v>0.9</v>
      </c>
      <c r="I80" s="62" t="s">
        <v>392</v>
      </c>
    </row>
    <row r="81" customFormat="false" ht="15" hidden="false" customHeight="false" outlineLevel="0" collapsed="false">
      <c r="A81" s="62" t="s">
        <v>388</v>
      </c>
      <c r="B81" s="63" t="n">
        <v>388</v>
      </c>
      <c r="C81" s="64" t="n">
        <v>46301.5171267824</v>
      </c>
      <c r="D81" s="63" t="n">
        <v>12</v>
      </c>
      <c r="E81" s="62" t="s">
        <v>389</v>
      </c>
      <c r="F81" s="62" t="s">
        <v>430</v>
      </c>
      <c r="G81" s="62" t="s">
        <v>389</v>
      </c>
      <c r="H81" s="65" t="n">
        <v>5.8</v>
      </c>
      <c r="I81" s="62" t="s">
        <v>275</v>
      </c>
    </row>
    <row r="82" customFormat="false" ht="15" hidden="false" customHeight="false" outlineLevel="0" collapsed="false">
      <c r="A82" s="62" t="s">
        <v>388</v>
      </c>
      <c r="B82" s="63" t="n">
        <v>388</v>
      </c>
      <c r="C82" s="64" t="n">
        <v>46301.5202756481</v>
      </c>
      <c r="D82" s="63" t="n">
        <v>12</v>
      </c>
      <c r="E82" s="62" t="s">
        <v>389</v>
      </c>
      <c r="F82" s="62" t="s">
        <v>431</v>
      </c>
      <c r="G82" s="62" t="s">
        <v>389</v>
      </c>
      <c r="H82" s="65" t="n">
        <v>1.3</v>
      </c>
      <c r="I82" s="62" t="s">
        <v>392</v>
      </c>
    </row>
    <row r="83" customFormat="false" ht="15" hidden="false" customHeight="false" outlineLevel="0" collapsed="false">
      <c r="A83" s="62" t="s">
        <v>388</v>
      </c>
      <c r="B83" s="63" t="n">
        <v>366</v>
      </c>
      <c r="C83" s="64" t="n">
        <v>46301.5217951968</v>
      </c>
      <c r="D83" s="63" t="n">
        <v>12</v>
      </c>
      <c r="E83" s="62" t="s">
        <v>389</v>
      </c>
      <c r="F83" s="62" t="s">
        <v>431</v>
      </c>
      <c r="G83" s="62" t="s">
        <v>389</v>
      </c>
      <c r="H83" s="65" t="n">
        <v>5.7</v>
      </c>
      <c r="I83" s="62" t="s">
        <v>275</v>
      </c>
    </row>
    <row r="84" customFormat="false" ht="15" hidden="false" customHeight="false" outlineLevel="0" collapsed="false">
      <c r="A84" s="62" t="s">
        <v>388</v>
      </c>
      <c r="B84" s="63" t="n">
        <v>398</v>
      </c>
      <c r="C84" s="64" t="n">
        <v>46301.5292906829</v>
      </c>
      <c r="D84" s="63" t="n">
        <v>12</v>
      </c>
      <c r="E84" s="62" t="s">
        <v>389</v>
      </c>
      <c r="F84" s="62" t="s">
        <v>430</v>
      </c>
      <c r="G84" s="62" t="s">
        <v>390</v>
      </c>
      <c r="H84" s="65"/>
      <c r="I84" s="62" t="s">
        <v>275</v>
      </c>
    </row>
    <row r="85" customFormat="false" ht="15" hidden="false" customHeight="false" outlineLevel="0" collapsed="false">
      <c r="A85" s="62" t="s">
        <v>388</v>
      </c>
      <c r="B85" s="63" t="n">
        <v>404</v>
      </c>
      <c r="C85" s="64" t="n">
        <v>46301.5376178472</v>
      </c>
      <c r="D85" s="63" t="n">
        <v>12</v>
      </c>
      <c r="E85" s="62" t="s">
        <v>389</v>
      </c>
      <c r="F85" s="62" t="s">
        <v>430</v>
      </c>
      <c r="G85" s="62" t="s">
        <v>390</v>
      </c>
      <c r="H85" s="65"/>
      <c r="I85" s="62" t="s">
        <v>275</v>
      </c>
    </row>
    <row r="86" customFormat="false" ht="15" hidden="false" customHeight="false" outlineLevel="0" collapsed="false">
      <c r="A86" s="62" t="s">
        <v>388</v>
      </c>
      <c r="B86" s="63" t="n">
        <v>406</v>
      </c>
      <c r="C86" s="64" t="n">
        <v>46301.5479469792</v>
      </c>
      <c r="D86" s="63" t="n">
        <v>13</v>
      </c>
      <c r="E86" s="62" t="s">
        <v>389</v>
      </c>
      <c r="F86" s="62" t="s">
        <v>430</v>
      </c>
      <c r="G86" s="62" t="s">
        <v>390</v>
      </c>
      <c r="H86" s="65"/>
      <c r="I86" s="62" t="s">
        <v>275</v>
      </c>
    </row>
    <row r="87" customFormat="false" ht="15" hidden="false" customHeight="false" outlineLevel="0" collapsed="false">
      <c r="A87" s="62" t="s">
        <v>388</v>
      </c>
      <c r="B87" s="63" t="n">
        <v>407</v>
      </c>
      <c r="C87" s="64" t="n">
        <v>46301.5483911111</v>
      </c>
      <c r="D87" s="63" t="n">
        <v>13</v>
      </c>
      <c r="E87" s="62" t="s">
        <v>389</v>
      </c>
      <c r="F87" s="62" t="s">
        <v>430</v>
      </c>
      <c r="G87" s="62" t="s">
        <v>389</v>
      </c>
      <c r="H87" s="65" t="n">
        <v>4582.4</v>
      </c>
      <c r="I87" s="62" t="s">
        <v>275</v>
      </c>
    </row>
    <row r="88" customFormat="false" ht="15" hidden="false" customHeight="false" outlineLevel="0" collapsed="false">
      <c r="A88" s="62" t="s">
        <v>388</v>
      </c>
      <c r="B88" s="63" t="n">
        <v>407</v>
      </c>
      <c r="C88" s="64" t="n">
        <v>46301.5492412384</v>
      </c>
      <c r="D88" s="63" t="n">
        <v>13</v>
      </c>
      <c r="E88" s="62" t="s">
        <v>389</v>
      </c>
      <c r="F88" s="62" t="s">
        <v>431</v>
      </c>
      <c r="G88" s="62" t="s">
        <v>389</v>
      </c>
      <c r="H88" s="65" t="n">
        <v>4581.2</v>
      </c>
      <c r="I88" s="62" t="s">
        <v>275</v>
      </c>
    </row>
    <row r="89" customFormat="false" ht="15" hidden="false" customHeight="false" outlineLevel="0" collapsed="false">
      <c r="A89" s="62" t="s">
        <v>388</v>
      </c>
      <c r="B89" s="63" t="n">
        <v>413</v>
      </c>
      <c r="C89" s="64" t="n">
        <v>46301.5767383449</v>
      </c>
      <c r="D89" s="63" t="n">
        <v>13</v>
      </c>
      <c r="E89" s="62" t="s">
        <v>389</v>
      </c>
      <c r="F89" s="62" t="s">
        <v>430</v>
      </c>
      <c r="G89" s="62" t="s">
        <v>389</v>
      </c>
      <c r="H89" s="65" t="n">
        <v>4542</v>
      </c>
      <c r="I89" s="62" t="s">
        <v>275</v>
      </c>
    </row>
    <row r="90" customFormat="false" ht="15" hidden="false" customHeight="false" outlineLevel="0" collapsed="false">
      <c r="A90" s="62" t="s">
        <v>388</v>
      </c>
      <c r="B90" s="63" t="n">
        <v>417</v>
      </c>
      <c r="C90" s="64" t="n">
        <v>46301.5962231944</v>
      </c>
      <c r="D90" s="63" t="n">
        <v>14</v>
      </c>
      <c r="E90" s="62" t="s">
        <v>389</v>
      </c>
      <c r="F90" s="62" t="s">
        <v>430</v>
      </c>
      <c r="G90" s="62" t="s">
        <v>389</v>
      </c>
      <c r="H90" s="65" t="n">
        <v>10.5</v>
      </c>
      <c r="I90" s="62" t="s">
        <v>275</v>
      </c>
    </row>
    <row r="91" customFormat="false" ht="15" hidden="false" customHeight="false" outlineLevel="0" collapsed="false">
      <c r="A91" s="62" t="s">
        <v>388</v>
      </c>
      <c r="B91" s="63" t="n">
        <v>417</v>
      </c>
      <c r="C91" s="64" t="n">
        <v>46301.6029627546</v>
      </c>
      <c r="D91" s="63" t="n">
        <v>14</v>
      </c>
      <c r="E91" s="62" t="s">
        <v>389</v>
      </c>
      <c r="F91" s="62" t="s">
        <v>431</v>
      </c>
      <c r="G91" s="62" t="s">
        <v>389</v>
      </c>
      <c r="H91" s="65" t="n">
        <v>0.8</v>
      </c>
      <c r="I91" s="62" t="s">
        <v>392</v>
      </c>
    </row>
    <row r="92" customFormat="false" ht="15" hidden="false" customHeight="false" outlineLevel="0" collapsed="false">
      <c r="A92" s="62" t="s">
        <v>388</v>
      </c>
      <c r="B92" s="63" t="n">
        <v>417</v>
      </c>
      <c r="C92" s="64" t="n">
        <v>46301.6086003588</v>
      </c>
      <c r="D92" s="63" t="n">
        <v>14</v>
      </c>
      <c r="E92" s="62" t="s">
        <v>389</v>
      </c>
      <c r="F92" s="62" t="s">
        <v>151</v>
      </c>
      <c r="G92" s="62" t="s">
        <v>389</v>
      </c>
      <c r="H92" s="65" t="n">
        <v>0.8</v>
      </c>
      <c r="I92" s="62" t="s">
        <v>392</v>
      </c>
    </row>
    <row r="93" customFormat="false" ht="15" hidden="false" customHeight="false" outlineLevel="0" collapsed="false">
      <c r="A93" s="62" t="s">
        <v>388</v>
      </c>
      <c r="B93" s="63" t="n">
        <v>422</v>
      </c>
      <c r="C93" s="64" t="n">
        <v>46301.623915463</v>
      </c>
      <c r="D93" s="63" t="n">
        <v>14</v>
      </c>
      <c r="E93" s="62" t="s">
        <v>389</v>
      </c>
      <c r="F93" s="62" t="s">
        <v>430</v>
      </c>
      <c r="G93" s="62" t="s">
        <v>389</v>
      </c>
      <c r="H93" s="65" t="n">
        <v>4470.6</v>
      </c>
      <c r="I93" s="62" t="s">
        <v>275</v>
      </c>
    </row>
    <row r="94" customFormat="false" ht="15" hidden="false" customHeight="false" outlineLevel="0" collapsed="false">
      <c r="A94" s="62" t="s">
        <v>388</v>
      </c>
      <c r="B94" s="63" t="n">
        <v>423</v>
      </c>
      <c r="C94" s="64" t="n">
        <v>46301.6270575116</v>
      </c>
      <c r="D94" s="63" t="n">
        <v>15</v>
      </c>
      <c r="E94" s="62" t="s">
        <v>389</v>
      </c>
      <c r="F94" s="62" t="s">
        <v>430</v>
      </c>
      <c r="G94" s="62" t="s">
        <v>389</v>
      </c>
      <c r="H94" s="65" t="n">
        <v>7.2</v>
      </c>
      <c r="I94" s="62" t="s">
        <v>275</v>
      </c>
    </row>
    <row r="95" customFormat="false" ht="15" hidden="false" customHeight="false" outlineLevel="0" collapsed="false">
      <c r="A95" s="62" t="s">
        <v>388</v>
      </c>
      <c r="B95" s="63" t="n">
        <v>423</v>
      </c>
      <c r="C95" s="64" t="n">
        <v>46301.6303353472</v>
      </c>
      <c r="D95" s="63" t="n">
        <v>15</v>
      </c>
      <c r="E95" s="62" t="s">
        <v>389</v>
      </c>
      <c r="F95" s="62" t="s">
        <v>431</v>
      </c>
      <c r="G95" s="62" t="s">
        <v>389</v>
      </c>
      <c r="H95" s="65" t="n">
        <v>2.5</v>
      </c>
      <c r="I95" s="62" t="s">
        <v>392</v>
      </c>
    </row>
    <row r="96" customFormat="false" ht="15" hidden="false" customHeight="false" outlineLevel="0" collapsed="false">
      <c r="A96" s="62" t="s">
        <v>388</v>
      </c>
      <c r="B96" s="63" t="n">
        <v>366</v>
      </c>
      <c r="C96" s="64" t="n">
        <v>46301.6493341319</v>
      </c>
      <c r="D96" s="63" t="n">
        <v>15</v>
      </c>
      <c r="E96" s="62" t="s">
        <v>389</v>
      </c>
      <c r="F96" s="62" t="s">
        <v>150</v>
      </c>
      <c r="G96" s="62" t="s">
        <v>389</v>
      </c>
      <c r="H96" s="65" t="n">
        <v>0.6</v>
      </c>
      <c r="I96" s="62" t="s">
        <v>392</v>
      </c>
    </row>
    <row r="97" customFormat="false" ht="15" hidden="false" customHeight="false" outlineLevel="0" collapsed="false">
      <c r="A97" s="62" t="s">
        <v>388</v>
      </c>
      <c r="B97" s="63" t="n">
        <v>430</v>
      </c>
      <c r="C97" s="64" t="n">
        <v>46301.6519782986</v>
      </c>
      <c r="D97" s="63" t="n">
        <v>15</v>
      </c>
      <c r="E97" s="62" t="s">
        <v>389</v>
      </c>
      <c r="F97" s="62" t="s">
        <v>430</v>
      </c>
      <c r="G97" s="62" t="s">
        <v>389</v>
      </c>
      <c r="H97" s="65" t="n">
        <v>0.6</v>
      </c>
      <c r="I97" s="62" t="s">
        <v>392</v>
      </c>
    </row>
    <row r="98" customFormat="false" ht="15" hidden="false" customHeight="false" outlineLevel="0" collapsed="false">
      <c r="A98" s="62" t="s">
        <v>388</v>
      </c>
      <c r="B98" s="63" t="n">
        <v>430</v>
      </c>
      <c r="C98" s="64" t="n">
        <v>46301.6568343171</v>
      </c>
      <c r="D98" s="63" t="n">
        <v>15</v>
      </c>
      <c r="E98" s="62" t="s">
        <v>389</v>
      </c>
      <c r="F98" s="62" t="s">
        <v>430</v>
      </c>
      <c r="G98" s="62" t="s">
        <v>389</v>
      </c>
      <c r="H98" s="65" t="n">
        <v>1.3</v>
      </c>
      <c r="I98" s="62" t="s">
        <v>392</v>
      </c>
    </row>
    <row r="99" customFormat="false" ht="15" hidden="false" customHeight="false" outlineLevel="0" collapsed="false">
      <c r="A99" s="62" t="s">
        <v>388</v>
      </c>
      <c r="B99" s="63" t="n">
        <v>430</v>
      </c>
      <c r="C99" s="64" t="n">
        <v>46301.6583893634</v>
      </c>
      <c r="D99" s="63" t="n">
        <v>15</v>
      </c>
      <c r="E99" s="62" t="s">
        <v>389</v>
      </c>
      <c r="F99" s="62" t="s">
        <v>430</v>
      </c>
      <c r="G99" s="62" t="s">
        <v>389</v>
      </c>
      <c r="H99" s="65" t="n">
        <v>2.2</v>
      </c>
      <c r="I99" s="62" t="s">
        <v>392</v>
      </c>
    </row>
    <row r="100" customFormat="false" ht="15" hidden="false" customHeight="false" outlineLevel="0" collapsed="false">
      <c r="A100" s="62" t="s">
        <v>388</v>
      </c>
      <c r="B100" s="63" t="n">
        <v>433</v>
      </c>
      <c r="C100" s="64" t="n">
        <v>46301.663881713</v>
      </c>
      <c r="D100" s="63" t="n">
        <v>15</v>
      </c>
      <c r="E100" s="62" t="s">
        <v>389</v>
      </c>
      <c r="F100" s="62" t="s">
        <v>430</v>
      </c>
      <c r="G100" s="62" t="s">
        <v>389</v>
      </c>
      <c r="H100" s="65" t="n">
        <v>6</v>
      </c>
      <c r="I100" s="62" t="s">
        <v>275</v>
      </c>
    </row>
    <row r="101" customFormat="false" ht="15" hidden="false" customHeight="false" outlineLevel="0" collapsed="false">
      <c r="A101" s="62" t="s">
        <v>388</v>
      </c>
      <c r="B101" s="63" t="n">
        <v>433</v>
      </c>
      <c r="C101" s="64" t="n">
        <v>46301.6677640741</v>
      </c>
      <c r="D101" s="63" t="n">
        <v>16</v>
      </c>
      <c r="E101" s="62" t="s">
        <v>389</v>
      </c>
      <c r="F101" s="62" t="s">
        <v>431</v>
      </c>
      <c r="G101" s="62" t="s">
        <v>389</v>
      </c>
      <c r="H101" s="65" t="n">
        <v>0.4</v>
      </c>
      <c r="I101" s="62" t="s">
        <v>392</v>
      </c>
    </row>
    <row r="102" customFormat="false" ht="15" hidden="false" customHeight="false" outlineLevel="0" collapsed="false">
      <c r="A102" s="62" t="s">
        <v>388</v>
      </c>
      <c r="B102" s="63" t="n">
        <v>435</v>
      </c>
      <c r="C102" s="64" t="n">
        <v>46301.6751735532</v>
      </c>
      <c r="D102" s="63" t="n">
        <v>16</v>
      </c>
      <c r="E102" s="62" t="s">
        <v>389</v>
      </c>
      <c r="F102" s="62" t="s">
        <v>430</v>
      </c>
      <c r="G102" s="62" t="s">
        <v>389</v>
      </c>
      <c r="H102" s="65" t="n">
        <v>3.6</v>
      </c>
      <c r="I102" s="62" t="s">
        <v>275</v>
      </c>
    </row>
    <row r="103" customFormat="false" ht="15" hidden="false" customHeight="false" outlineLevel="0" collapsed="false">
      <c r="A103" s="62" t="s">
        <v>388</v>
      </c>
      <c r="B103" s="63" t="n">
        <v>435</v>
      </c>
      <c r="C103" s="64" t="n">
        <v>46301.6774284954</v>
      </c>
      <c r="D103" s="63" t="n">
        <v>16</v>
      </c>
      <c r="E103" s="62" t="s">
        <v>389</v>
      </c>
      <c r="F103" s="62" t="s">
        <v>431</v>
      </c>
      <c r="G103" s="62" t="s">
        <v>389</v>
      </c>
      <c r="H103" s="65" t="n">
        <v>0.3</v>
      </c>
      <c r="I103" s="62" t="s">
        <v>392</v>
      </c>
    </row>
    <row r="104" customFormat="false" ht="15" hidden="false" customHeight="false" outlineLevel="0" collapsed="false">
      <c r="A104" s="62" t="s">
        <v>388</v>
      </c>
      <c r="B104" s="63" t="n">
        <v>435</v>
      </c>
      <c r="C104" s="64" t="n">
        <v>46301.6781471991</v>
      </c>
      <c r="D104" s="63" t="n">
        <v>16</v>
      </c>
      <c r="E104" s="62" t="s">
        <v>389</v>
      </c>
      <c r="F104" s="62" t="s">
        <v>431</v>
      </c>
      <c r="G104" s="62" t="s">
        <v>389</v>
      </c>
      <c r="H104" s="65" t="n">
        <v>2.8</v>
      </c>
      <c r="I104" s="62" t="s">
        <v>392</v>
      </c>
    </row>
    <row r="105" customFormat="false" ht="15" hidden="false" customHeight="false" outlineLevel="0" collapsed="false">
      <c r="A105" s="62" t="s">
        <v>388</v>
      </c>
      <c r="B105" s="63" t="n">
        <v>438</v>
      </c>
      <c r="C105" s="64" t="n">
        <v>46301.6958968634</v>
      </c>
      <c r="D105" s="63" t="n">
        <v>16</v>
      </c>
      <c r="E105" s="62" t="s">
        <v>389</v>
      </c>
      <c r="F105" s="62" t="s">
        <v>430</v>
      </c>
      <c r="G105" s="62" t="s">
        <v>389</v>
      </c>
      <c r="H105" s="65" t="n">
        <v>11.3</v>
      </c>
      <c r="I105" s="62" t="s">
        <v>275</v>
      </c>
    </row>
    <row r="106" customFormat="false" ht="15" hidden="false" customHeight="false" outlineLevel="0" collapsed="false">
      <c r="A106" s="62" t="s">
        <v>388</v>
      </c>
      <c r="B106" s="63" t="n">
        <v>440</v>
      </c>
      <c r="C106" s="64" t="n">
        <v>46301.7010517245</v>
      </c>
      <c r="D106" s="63" t="n">
        <v>16</v>
      </c>
      <c r="E106" s="62" t="s">
        <v>389</v>
      </c>
      <c r="F106" s="62" t="s">
        <v>430</v>
      </c>
      <c r="G106" s="62" t="s">
        <v>389</v>
      </c>
      <c r="H106" s="65" t="n">
        <v>4250.2</v>
      </c>
      <c r="I106" s="62" t="s">
        <v>275</v>
      </c>
    </row>
    <row r="107" customFormat="false" ht="15" hidden="false" customHeight="false" outlineLevel="0" collapsed="false">
      <c r="A107" s="62" t="s">
        <v>388</v>
      </c>
      <c r="B107" s="63" t="n">
        <v>438</v>
      </c>
      <c r="C107" s="64" t="n">
        <v>46301.7012408218</v>
      </c>
      <c r="D107" s="63" t="n">
        <v>16</v>
      </c>
      <c r="E107" s="62" t="s">
        <v>389</v>
      </c>
      <c r="F107" s="62" t="s">
        <v>431</v>
      </c>
      <c r="G107" s="62" t="s">
        <v>389</v>
      </c>
      <c r="H107" s="65" t="n">
        <v>3.6</v>
      </c>
      <c r="I107" s="62" t="s">
        <v>392</v>
      </c>
    </row>
    <row r="108" customFormat="false" ht="15" hidden="false" customHeight="false" outlineLevel="0" collapsed="false">
      <c r="A108" s="62" t="s">
        <v>388</v>
      </c>
      <c r="B108" s="63" t="n">
        <v>442</v>
      </c>
      <c r="C108" s="64" t="n">
        <v>46301.7041048727</v>
      </c>
      <c r="D108" s="63" t="n">
        <v>16</v>
      </c>
      <c r="E108" s="62" t="s">
        <v>389</v>
      </c>
      <c r="F108" s="62" t="s">
        <v>430</v>
      </c>
      <c r="G108" s="62" t="s">
        <v>389</v>
      </c>
      <c r="H108" s="65" t="n">
        <v>2977</v>
      </c>
      <c r="I108" s="62" t="s">
        <v>275</v>
      </c>
    </row>
    <row r="109" customFormat="false" ht="15" hidden="false" customHeight="false" outlineLevel="0" collapsed="false">
      <c r="A109" s="62" t="s">
        <v>388</v>
      </c>
      <c r="B109" s="63" t="n">
        <v>430</v>
      </c>
      <c r="C109" s="64" t="n">
        <v>46301.7122921528</v>
      </c>
      <c r="D109" s="63" t="n">
        <v>17</v>
      </c>
      <c r="E109" s="62" t="s">
        <v>389</v>
      </c>
      <c r="F109" s="62" t="s">
        <v>430</v>
      </c>
      <c r="G109" s="62" t="s">
        <v>389</v>
      </c>
      <c r="H109" s="65" t="n">
        <v>5.1</v>
      </c>
      <c r="I109" s="62" t="s">
        <v>392</v>
      </c>
    </row>
    <row r="110" customFormat="false" ht="15" hidden="false" customHeight="false" outlineLevel="0" collapsed="false">
      <c r="A110" s="62" t="s">
        <v>388</v>
      </c>
      <c r="B110" s="63" t="n">
        <v>430</v>
      </c>
      <c r="C110" s="64" t="n">
        <v>46301.7205622107</v>
      </c>
      <c r="D110" s="63" t="n">
        <v>17</v>
      </c>
      <c r="E110" s="62" t="s">
        <v>389</v>
      </c>
      <c r="F110" s="62" t="s">
        <v>430</v>
      </c>
      <c r="G110" s="62" t="s">
        <v>389</v>
      </c>
      <c r="H110" s="65" t="n">
        <v>4.8</v>
      </c>
      <c r="I110" s="62" t="s">
        <v>275</v>
      </c>
    </row>
    <row r="111" customFormat="false" ht="15" hidden="false" customHeight="false" outlineLevel="0" collapsed="false">
      <c r="A111" s="62" t="s">
        <v>388</v>
      </c>
      <c r="B111" s="63" t="n">
        <v>430</v>
      </c>
      <c r="C111" s="64" t="n">
        <v>46301.7217809606</v>
      </c>
      <c r="D111" s="63" t="n">
        <v>17</v>
      </c>
      <c r="E111" s="62" t="s">
        <v>389</v>
      </c>
      <c r="F111" s="62" t="s">
        <v>151</v>
      </c>
      <c r="G111" s="62" t="s">
        <v>389</v>
      </c>
      <c r="H111" s="65" t="n">
        <v>3</v>
      </c>
      <c r="I111" s="62" t="s">
        <v>392</v>
      </c>
    </row>
    <row r="112" customFormat="false" ht="15" hidden="false" customHeight="false" outlineLevel="0" collapsed="false">
      <c r="A112" s="62" t="s">
        <v>388</v>
      </c>
      <c r="B112" s="63" t="n">
        <v>450</v>
      </c>
      <c r="C112" s="64" t="n">
        <v>46301.7358194676</v>
      </c>
      <c r="D112" s="63" t="n">
        <v>17</v>
      </c>
      <c r="E112" s="62" t="s">
        <v>389</v>
      </c>
      <c r="F112" s="62" t="s">
        <v>430</v>
      </c>
      <c r="G112" s="62" t="s">
        <v>389</v>
      </c>
      <c r="H112" s="65" t="n">
        <v>11.6</v>
      </c>
      <c r="I112" s="62" t="s">
        <v>275</v>
      </c>
    </row>
    <row r="113" customFormat="false" ht="15" hidden="false" customHeight="false" outlineLevel="0" collapsed="false">
      <c r="A113" s="62" t="s">
        <v>388</v>
      </c>
      <c r="B113" s="63" t="n">
        <v>450</v>
      </c>
      <c r="C113" s="64" t="n">
        <v>46301.7422245602</v>
      </c>
      <c r="D113" s="63" t="n">
        <v>17</v>
      </c>
      <c r="E113" s="62" t="s">
        <v>389</v>
      </c>
      <c r="F113" s="62" t="s">
        <v>431</v>
      </c>
      <c r="G113" s="62" t="s">
        <v>389</v>
      </c>
      <c r="H113" s="65" t="n">
        <v>2.4</v>
      </c>
      <c r="I113" s="62" t="s">
        <v>392</v>
      </c>
    </row>
    <row r="114" customFormat="false" ht="15" hidden="false" customHeight="false" outlineLevel="0" collapsed="false">
      <c r="A114" s="62" t="s">
        <v>388</v>
      </c>
      <c r="B114" s="63" t="n">
        <v>450</v>
      </c>
      <c r="C114" s="64" t="n">
        <v>46301.759639537</v>
      </c>
      <c r="D114" s="63" t="n">
        <v>18</v>
      </c>
      <c r="E114" s="62" t="s">
        <v>389</v>
      </c>
      <c r="F114" s="62" t="s">
        <v>151</v>
      </c>
      <c r="G114" s="62" t="s">
        <v>389</v>
      </c>
      <c r="H114" s="65" t="n">
        <v>172</v>
      </c>
      <c r="I114" s="62" t="s">
        <v>275</v>
      </c>
    </row>
    <row r="115" customFormat="false" ht="15" hidden="false" customHeight="false" outlineLevel="0" collapsed="false">
      <c r="A115" s="62" t="s">
        <v>388</v>
      </c>
      <c r="B115" s="63" t="n">
        <v>455</v>
      </c>
      <c r="C115" s="64" t="n">
        <v>46301.7712237963</v>
      </c>
      <c r="D115" s="63" t="n">
        <v>18</v>
      </c>
      <c r="E115" s="62" t="s">
        <v>389</v>
      </c>
      <c r="F115" s="62" t="s">
        <v>430</v>
      </c>
      <c r="G115" s="62" t="s">
        <v>389</v>
      </c>
      <c r="H115" s="65" t="n">
        <v>14.3</v>
      </c>
      <c r="I115" s="62" t="s">
        <v>275</v>
      </c>
    </row>
    <row r="116" customFormat="false" ht="15" hidden="false" customHeight="false" outlineLevel="0" collapsed="false">
      <c r="A116" s="62" t="s">
        <v>388</v>
      </c>
      <c r="B116" s="63" t="n">
        <v>455</v>
      </c>
      <c r="C116" s="64" t="n">
        <v>46301.7799509259</v>
      </c>
      <c r="D116" s="63" t="n">
        <v>18</v>
      </c>
      <c r="E116" s="62" t="s">
        <v>389</v>
      </c>
      <c r="F116" s="62" t="s">
        <v>431</v>
      </c>
      <c r="G116" s="62" t="s">
        <v>389</v>
      </c>
      <c r="H116" s="65" t="n">
        <v>1.7</v>
      </c>
      <c r="I116" s="62" t="s">
        <v>392</v>
      </c>
    </row>
    <row r="117" customFormat="false" ht="15" hidden="false" customHeight="false" outlineLevel="0" collapsed="false">
      <c r="A117" s="62" t="s">
        <v>388</v>
      </c>
      <c r="B117" s="63" t="n">
        <v>348</v>
      </c>
      <c r="C117" s="64" t="n">
        <v>46301.7956846412</v>
      </c>
      <c r="D117" s="63" t="n">
        <v>19</v>
      </c>
      <c r="E117" s="62" t="s">
        <v>389</v>
      </c>
      <c r="F117" s="62" t="s">
        <v>150</v>
      </c>
      <c r="G117" s="62" t="s">
        <v>389</v>
      </c>
      <c r="H117" s="65" t="n">
        <v>1.3</v>
      </c>
      <c r="I117" s="62" t="s">
        <v>392</v>
      </c>
    </row>
    <row r="118" customFormat="false" ht="15" hidden="false" customHeight="false" outlineLevel="0" collapsed="false">
      <c r="A118" s="62" t="s">
        <v>388</v>
      </c>
      <c r="B118" s="63" t="n">
        <v>459</v>
      </c>
      <c r="C118" s="64" t="n">
        <v>46301.7963908449</v>
      </c>
      <c r="D118" s="63" t="n">
        <v>19</v>
      </c>
      <c r="E118" s="62" t="s">
        <v>389</v>
      </c>
      <c r="F118" s="62" t="s">
        <v>430</v>
      </c>
      <c r="G118" s="62" t="s">
        <v>389</v>
      </c>
      <c r="H118" s="65" t="n">
        <v>4.6</v>
      </c>
      <c r="I118" s="62" t="s">
        <v>275</v>
      </c>
    </row>
    <row r="119" customFormat="false" ht="15" hidden="false" customHeight="false" outlineLevel="0" collapsed="false">
      <c r="A119" s="62" t="s">
        <v>388</v>
      </c>
      <c r="B119" s="63" t="n">
        <v>459</v>
      </c>
      <c r="C119" s="64" t="n">
        <v>46301.799410706</v>
      </c>
      <c r="D119" s="63" t="n">
        <v>19</v>
      </c>
      <c r="E119" s="62" t="s">
        <v>389</v>
      </c>
      <c r="F119" s="62" t="s">
        <v>431</v>
      </c>
      <c r="G119" s="62" t="s">
        <v>389</v>
      </c>
      <c r="H119" s="65" t="n">
        <v>0.3</v>
      </c>
      <c r="I119" s="62" t="s">
        <v>392</v>
      </c>
    </row>
    <row r="120" customFormat="false" ht="15" hidden="false" customHeight="false" outlineLevel="0" collapsed="false">
      <c r="A120" s="62" t="s">
        <v>388</v>
      </c>
      <c r="B120" s="63" t="n">
        <v>461</v>
      </c>
      <c r="C120" s="64" t="n">
        <v>46301.8139866782</v>
      </c>
      <c r="D120" s="63" t="n">
        <v>19</v>
      </c>
      <c r="E120" s="62" t="s">
        <v>389</v>
      </c>
      <c r="F120" s="62" t="s">
        <v>430</v>
      </c>
      <c r="G120" s="62" t="s">
        <v>389</v>
      </c>
      <c r="H120" s="65" t="n">
        <v>5.2</v>
      </c>
      <c r="I120" s="62" t="s">
        <v>275</v>
      </c>
    </row>
    <row r="121" customFormat="false" ht="15" hidden="false" customHeight="false" outlineLevel="0" collapsed="false">
      <c r="A121" s="62" t="s">
        <v>388</v>
      </c>
      <c r="B121" s="63" t="n">
        <v>461</v>
      </c>
      <c r="C121" s="64" t="n">
        <v>46301.8167784028</v>
      </c>
      <c r="D121" s="63" t="n">
        <v>19</v>
      </c>
      <c r="E121" s="62" t="s">
        <v>389</v>
      </c>
      <c r="F121" s="62" t="s">
        <v>431</v>
      </c>
      <c r="G121" s="62" t="s">
        <v>389</v>
      </c>
      <c r="H121" s="65" t="n">
        <v>1.2</v>
      </c>
      <c r="I121" s="62" t="s">
        <v>392</v>
      </c>
    </row>
    <row r="122" customFormat="false" ht="15" hidden="false" customHeight="false" outlineLevel="0" collapsed="false">
      <c r="A122" s="62" t="s">
        <v>388</v>
      </c>
      <c r="B122" s="63" t="n">
        <v>461</v>
      </c>
      <c r="C122" s="64" t="n">
        <v>46301.8237688542</v>
      </c>
      <c r="D122" s="63" t="n">
        <v>19</v>
      </c>
      <c r="E122" s="62" t="s">
        <v>389</v>
      </c>
      <c r="F122" s="62" t="s">
        <v>431</v>
      </c>
      <c r="G122" s="62" t="s">
        <v>389</v>
      </c>
      <c r="H122" s="65" t="n">
        <v>0.4</v>
      </c>
      <c r="I122" s="62" t="s">
        <v>392</v>
      </c>
    </row>
    <row r="123" customFormat="false" ht="15" hidden="false" customHeight="false" outlineLevel="0" collapsed="false">
      <c r="A123" s="62" t="s">
        <v>388</v>
      </c>
      <c r="B123" s="63" t="n">
        <v>461</v>
      </c>
      <c r="C123" s="64" t="n">
        <v>46301.8243019444</v>
      </c>
      <c r="D123" s="63" t="n">
        <v>19</v>
      </c>
      <c r="E123" s="62" t="s">
        <v>389</v>
      </c>
      <c r="F123" s="62" t="s">
        <v>431</v>
      </c>
      <c r="G123" s="62" t="s">
        <v>389</v>
      </c>
      <c r="H123" s="65" t="n">
        <v>3.5</v>
      </c>
      <c r="I123" s="62" t="s">
        <v>392</v>
      </c>
    </row>
    <row r="124" customFormat="false" ht="15" hidden="false" customHeight="false" outlineLevel="0" collapsed="false">
      <c r="A124" s="62" t="s">
        <v>388</v>
      </c>
      <c r="B124" s="63" t="n">
        <v>461</v>
      </c>
      <c r="C124" s="64" t="n">
        <v>46301.8310072685</v>
      </c>
      <c r="D124" s="63" t="n">
        <v>19</v>
      </c>
      <c r="E124" s="62" t="s">
        <v>389</v>
      </c>
      <c r="F124" s="62" t="s">
        <v>151</v>
      </c>
      <c r="G124" s="62" t="s">
        <v>389</v>
      </c>
      <c r="H124" s="65" t="n">
        <v>2.1</v>
      </c>
      <c r="I124" s="62" t="s">
        <v>392</v>
      </c>
    </row>
    <row r="125" customFormat="false" ht="15" hidden="false" customHeight="false" outlineLevel="0" collapsed="false">
      <c r="A125" s="62" t="s">
        <v>388</v>
      </c>
      <c r="B125" s="63" t="n">
        <v>474</v>
      </c>
      <c r="C125" s="64" t="n">
        <v>46301.8536670602</v>
      </c>
      <c r="D125" s="63" t="n">
        <v>20</v>
      </c>
      <c r="E125" s="62" t="s">
        <v>389</v>
      </c>
      <c r="F125" s="62" t="s">
        <v>430</v>
      </c>
      <c r="G125" s="62" t="s">
        <v>389</v>
      </c>
      <c r="H125" s="65" t="n">
        <v>4030.7</v>
      </c>
      <c r="I125" s="62" t="s">
        <v>275</v>
      </c>
    </row>
    <row r="126" customFormat="false" ht="15" hidden="false" customHeight="false" outlineLevel="0" collapsed="false">
      <c r="A126" s="62" t="s">
        <v>388</v>
      </c>
      <c r="B126" s="63" t="n">
        <v>477</v>
      </c>
      <c r="C126" s="64" t="n">
        <v>46301.859558912</v>
      </c>
      <c r="D126" s="63" t="n">
        <v>20</v>
      </c>
      <c r="E126" s="62" t="s">
        <v>389</v>
      </c>
      <c r="F126" s="62" t="s">
        <v>430</v>
      </c>
      <c r="G126" s="62" t="s">
        <v>389</v>
      </c>
      <c r="H126" s="65" t="n">
        <v>16.6</v>
      </c>
      <c r="I126" s="62" t="s">
        <v>392</v>
      </c>
    </row>
    <row r="127" customFormat="false" ht="15" hidden="false" customHeight="false" outlineLevel="0" collapsed="false">
      <c r="A127" s="62" t="s">
        <v>388</v>
      </c>
      <c r="B127" s="63" t="n">
        <v>478</v>
      </c>
      <c r="C127" s="64" t="n">
        <v>46301.8682367708</v>
      </c>
      <c r="D127" s="63" t="n">
        <v>20</v>
      </c>
      <c r="E127" s="62" t="s">
        <v>389</v>
      </c>
      <c r="F127" s="62" t="s">
        <v>430</v>
      </c>
      <c r="G127" s="62" t="s">
        <v>389</v>
      </c>
      <c r="H127" s="65" t="n">
        <v>19.9</v>
      </c>
      <c r="I127" s="62" t="s">
        <v>275</v>
      </c>
    </row>
    <row r="128" customFormat="false" ht="15" hidden="false" customHeight="false" outlineLevel="0" collapsed="false">
      <c r="A128" s="62" t="s">
        <v>388</v>
      </c>
      <c r="B128" s="63" t="n">
        <v>478</v>
      </c>
      <c r="C128" s="64" t="n">
        <v>46301.8818114468</v>
      </c>
      <c r="D128" s="63" t="n">
        <v>21</v>
      </c>
      <c r="E128" s="62" t="s">
        <v>390</v>
      </c>
      <c r="F128" s="62" t="s">
        <v>431</v>
      </c>
      <c r="G128" s="62" t="s">
        <v>389</v>
      </c>
      <c r="H128" s="65" t="n">
        <v>0.4</v>
      </c>
      <c r="I128" s="62" t="s">
        <v>392</v>
      </c>
    </row>
    <row r="129" customFormat="false" ht="15" hidden="false" customHeight="false" outlineLevel="0" collapsed="false">
      <c r="A129" s="62" t="s">
        <v>388</v>
      </c>
      <c r="B129" s="63" t="n">
        <v>484</v>
      </c>
      <c r="C129" s="64" t="n">
        <v>46301.903033044</v>
      </c>
      <c r="D129" s="63" t="n">
        <v>21</v>
      </c>
      <c r="E129" s="62" t="s">
        <v>390</v>
      </c>
      <c r="F129" s="62" t="s">
        <v>430</v>
      </c>
      <c r="G129" s="62" t="s">
        <v>389</v>
      </c>
      <c r="H129" s="65" t="n">
        <v>4.1</v>
      </c>
      <c r="I129" s="62" t="s">
        <v>275</v>
      </c>
    </row>
    <row r="130" customFormat="false" ht="15" hidden="false" customHeight="false" outlineLevel="0" collapsed="false">
      <c r="A130" s="62" t="s">
        <v>388</v>
      </c>
      <c r="B130" s="63" t="n">
        <v>484</v>
      </c>
      <c r="C130" s="64" t="n">
        <v>46301.905414294</v>
      </c>
      <c r="D130" s="63" t="n">
        <v>21</v>
      </c>
      <c r="E130" s="62" t="s">
        <v>390</v>
      </c>
      <c r="F130" s="62" t="s">
        <v>431</v>
      </c>
      <c r="G130" s="62" t="s">
        <v>389</v>
      </c>
      <c r="H130" s="65" t="n">
        <v>0.7</v>
      </c>
      <c r="I130" s="62" t="s">
        <v>392</v>
      </c>
    </row>
    <row r="131" customFormat="false" ht="15" hidden="false" customHeight="false" outlineLevel="0" collapsed="false">
      <c r="A131" s="62" t="s">
        <v>388</v>
      </c>
      <c r="B131" s="63" t="n">
        <v>484</v>
      </c>
      <c r="C131" s="64" t="n">
        <v>46301.9060872107</v>
      </c>
      <c r="D131" s="63" t="n">
        <v>21</v>
      </c>
      <c r="E131" s="62" t="s">
        <v>390</v>
      </c>
      <c r="F131" s="62" t="s">
        <v>431</v>
      </c>
      <c r="G131" s="62" t="s">
        <v>389</v>
      </c>
      <c r="H131" s="65" t="n">
        <v>1.1</v>
      </c>
      <c r="I131" s="62" t="s">
        <v>392</v>
      </c>
    </row>
    <row r="132" customFormat="false" ht="15" hidden="false" customHeight="false" outlineLevel="0" collapsed="false">
      <c r="A132" s="62" t="s">
        <v>388</v>
      </c>
      <c r="B132" s="63" t="n">
        <v>484</v>
      </c>
      <c r="C132" s="64" t="n">
        <v>46301.908475</v>
      </c>
      <c r="D132" s="63" t="n">
        <v>21</v>
      </c>
      <c r="E132" s="62" t="s">
        <v>390</v>
      </c>
      <c r="F132" s="62" t="s">
        <v>151</v>
      </c>
      <c r="G132" s="62" t="s">
        <v>389</v>
      </c>
      <c r="H132" s="65" t="n">
        <v>3.8</v>
      </c>
      <c r="I132" s="62" t="s">
        <v>392</v>
      </c>
    </row>
    <row r="133" customFormat="false" ht="15" hidden="false" customHeight="false" outlineLevel="0" collapsed="false">
      <c r="A133" s="62" t="s">
        <v>388</v>
      </c>
      <c r="B133" s="63" t="n">
        <v>487</v>
      </c>
      <c r="C133" s="64" t="n">
        <v>46301.909743287</v>
      </c>
      <c r="D133" s="63" t="n">
        <v>21</v>
      </c>
      <c r="E133" s="62" t="s">
        <v>390</v>
      </c>
      <c r="F133" s="62" t="s">
        <v>430</v>
      </c>
      <c r="G133" s="62" t="s">
        <v>389</v>
      </c>
      <c r="H133" s="65" t="n">
        <v>38.6</v>
      </c>
      <c r="I133" s="62" t="s">
        <v>275</v>
      </c>
    </row>
    <row r="134" customFormat="false" ht="15" hidden="false" customHeight="false" outlineLevel="0" collapsed="false">
      <c r="A134" s="62" t="s">
        <v>388</v>
      </c>
      <c r="B134" s="63" t="n">
        <v>487</v>
      </c>
      <c r="C134" s="64" t="n">
        <v>46301.9152352546</v>
      </c>
      <c r="D134" s="63" t="n">
        <v>21</v>
      </c>
      <c r="E134" s="62" t="s">
        <v>390</v>
      </c>
      <c r="F134" s="62" t="s">
        <v>431</v>
      </c>
      <c r="G134" s="62" t="s">
        <v>389</v>
      </c>
      <c r="H134" s="65" t="n">
        <v>30.7</v>
      </c>
      <c r="I134" s="62" t="s">
        <v>392</v>
      </c>
    </row>
    <row r="135" customFormat="false" ht="15" hidden="false" customHeight="false" outlineLevel="0" collapsed="false">
      <c r="A135" s="62" t="s">
        <v>388</v>
      </c>
      <c r="B135" s="63" t="n">
        <v>489</v>
      </c>
      <c r="C135" s="64" t="n">
        <v>46301.9191808449</v>
      </c>
      <c r="D135" s="63" t="n">
        <v>22</v>
      </c>
      <c r="E135" s="62" t="s">
        <v>390</v>
      </c>
      <c r="F135" s="62" t="s">
        <v>430</v>
      </c>
      <c r="G135" s="62" t="s">
        <v>389</v>
      </c>
      <c r="H135" s="65" t="n">
        <v>3923.8</v>
      </c>
      <c r="I135" s="62" t="s">
        <v>275</v>
      </c>
    </row>
    <row r="136" customFormat="false" ht="15" hidden="false" customHeight="false" outlineLevel="0" collapsed="false">
      <c r="A136" s="62" t="s">
        <v>388</v>
      </c>
      <c r="B136" s="63" t="n">
        <v>492</v>
      </c>
      <c r="C136" s="64" t="n">
        <v>46301.9350360648</v>
      </c>
      <c r="D136" s="63" t="n">
        <v>22</v>
      </c>
      <c r="E136" s="62" t="s">
        <v>390</v>
      </c>
      <c r="F136" s="62" t="s">
        <v>430</v>
      </c>
      <c r="G136" s="62" t="s">
        <v>389</v>
      </c>
      <c r="H136" s="65" t="n">
        <v>3901.6</v>
      </c>
      <c r="I136" s="62" t="s">
        <v>275</v>
      </c>
    </row>
    <row r="137" customFormat="false" ht="15" hidden="false" customHeight="false" outlineLevel="0" collapsed="false">
      <c r="A137" s="62" t="s">
        <v>388</v>
      </c>
      <c r="B137" s="63" t="n">
        <v>503</v>
      </c>
      <c r="C137" s="64" t="n">
        <v>46301.9756910301</v>
      </c>
      <c r="D137" s="63" t="n">
        <v>23</v>
      </c>
      <c r="E137" s="62" t="s">
        <v>390</v>
      </c>
      <c r="F137" s="62" t="s">
        <v>430</v>
      </c>
      <c r="G137" s="62" t="s">
        <v>389</v>
      </c>
      <c r="H137" s="65" t="n">
        <v>3834.2</v>
      </c>
      <c r="I137" s="62" t="s">
        <v>275</v>
      </c>
    </row>
    <row r="138" customFormat="false" ht="15" hidden="false" customHeight="false" outlineLevel="0" collapsed="false">
      <c r="A138" s="62" t="s">
        <v>388</v>
      </c>
      <c r="B138" s="63" t="n">
        <v>507</v>
      </c>
      <c r="C138" s="64" t="n">
        <v>46301.9837685648</v>
      </c>
      <c r="D138" s="63" t="n">
        <v>23</v>
      </c>
      <c r="E138" s="62" t="s">
        <v>390</v>
      </c>
      <c r="F138" s="62" t="s">
        <v>430</v>
      </c>
      <c r="G138" s="62" t="s">
        <v>389</v>
      </c>
      <c r="H138" s="65" t="n">
        <v>3823.3</v>
      </c>
      <c r="I138" s="62" t="s">
        <v>275</v>
      </c>
    </row>
    <row r="139" customFormat="false" ht="15" hidden="false" customHeight="false" outlineLevel="0" collapsed="false">
      <c r="A139" s="62" t="s">
        <v>388</v>
      </c>
      <c r="B139" s="63" t="n">
        <v>510</v>
      </c>
      <c r="C139" s="64" t="n">
        <v>46301.9943329398</v>
      </c>
      <c r="D139" s="63" t="n">
        <v>23</v>
      </c>
      <c r="E139" s="62" t="s">
        <v>390</v>
      </c>
      <c r="F139" s="62" t="s">
        <v>430</v>
      </c>
      <c r="G139" s="62" t="s">
        <v>389</v>
      </c>
      <c r="H139" s="65" t="n">
        <v>438.5</v>
      </c>
      <c r="I139" s="62" t="s">
        <v>275</v>
      </c>
    </row>
    <row r="140" customFormat="false" ht="15" hidden="false" customHeight="false" outlineLevel="0" collapsed="false">
      <c r="A140" s="62" t="s">
        <v>388</v>
      </c>
      <c r="B140" s="63" t="n">
        <v>516</v>
      </c>
      <c r="C140" s="64" t="n">
        <v>46302.1081048611</v>
      </c>
      <c r="D140" s="63" t="n">
        <v>2</v>
      </c>
      <c r="E140" s="62" t="s">
        <v>390</v>
      </c>
      <c r="F140" s="62" t="s">
        <v>430</v>
      </c>
      <c r="G140" s="62" t="s">
        <v>389</v>
      </c>
      <c r="H140" s="65" t="n">
        <v>3645.3</v>
      </c>
      <c r="I140" s="62" t="s">
        <v>275</v>
      </c>
    </row>
    <row r="141" customFormat="false" ht="15" hidden="false" customHeight="false" outlineLevel="0" collapsed="false">
      <c r="A141" s="62" t="s">
        <v>388</v>
      </c>
      <c r="B141" s="63" t="n">
        <v>510</v>
      </c>
      <c r="C141" s="64" t="n">
        <v>46302.2986151505</v>
      </c>
      <c r="D141" s="63" t="n">
        <v>7</v>
      </c>
      <c r="E141" s="62" t="s">
        <v>390</v>
      </c>
      <c r="F141" s="62" t="s">
        <v>431</v>
      </c>
      <c r="G141" s="62" t="s">
        <v>389</v>
      </c>
      <c r="H141" s="65" t="n">
        <v>0.3</v>
      </c>
      <c r="I141" s="62" t="s">
        <v>392</v>
      </c>
    </row>
    <row r="142" customFormat="false" ht="15" hidden="false" customHeight="false" outlineLevel="0" collapsed="false">
      <c r="A142" s="62" t="s">
        <v>388</v>
      </c>
      <c r="B142" s="63" t="n">
        <v>510</v>
      </c>
      <c r="C142" s="64" t="n">
        <v>46302.2989732292</v>
      </c>
      <c r="D142" s="63" t="n">
        <v>7</v>
      </c>
      <c r="E142" s="62" t="s">
        <v>390</v>
      </c>
      <c r="F142" s="62" t="s">
        <v>431</v>
      </c>
      <c r="G142" s="62" t="s">
        <v>389</v>
      </c>
      <c r="H142" s="65" t="n">
        <v>0.1</v>
      </c>
      <c r="I142" s="62" t="s">
        <v>392</v>
      </c>
    </row>
    <row r="143" customFormat="false" ht="15" hidden="false" customHeight="false" outlineLevel="0" collapsed="false">
      <c r="A143" s="62" t="s">
        <v>388</v>
      </c>
      <c r="B143" s="63" t="n">
        <v>530</v>
      </c>
      <c r="C143" s="64" t="n">
        <v>46302.317262257</v>
      </c>
      <c r="D143" s="63" t="n">
        <v>7</v>
      </c>
      <c r="E143" s="62" t="s">
        <v>390</v>
      </c>
      <c r="F143" s="62" t="s">
        <v>430</v>
      </c>
      <c r="G143" s="62" t="s">
        <v>389</v>
      </c>
      <c r="H143" s="65" t="n">
        <v>3355.2</v>
      </c>
      <c r="I143" s="62" t="s">
        <v>275</v>
      </c>
    </row>
    <row r="144" customFormat="false" ht="15" hidden="false" customHeight="false" outlineLevel="0" collapsed="false">
      <c r="A144" s="62" t="s">
        <v>388</v>
      </c>
      <c r="B144" s="63" t="n">
        <v>477</v>
      </c>
      <c r="C144" s="64" t="n">
        <v>46302.3472703125</v>
      </c>
      <c r="D144" s="63" t="n">
        <v>8</v>
      </c>
      <c r="E144" s="62" t="s">
        <v>390</v>
      </c>
      <c r="F144" s="62" t="s">
        <v>430</v>
      </c>
      <c r="G144" s="62" t="s">
        <v>389</v>
      </c>
      <c r="H144" s="65" t="n">
        <v>176.5</v>
      </c>
      <c r="I144" s="62" t="s">
        <v>392</v>
      </c>
    </row>
    <row r="145" customFormat="false" ht="15" hidden="false" customHeight="false" outlineLevel="0" collapsed="false">
      <c r="A145" s="62" t="s">
        <v>388</v>
      </c>
      <c r="B145" s="63" t="n">
        <v>370</v>
      </c>
      <c r="C145" s="64" t="n">
        <v>46302.3729823495</v>
      </c>
      <c r="D145" s="63" t="n">
        <v>8</v>
      </c>
      <c r="E145" s="62" t="s">
        <v>390</v>
      </c>
      <c r="F145" s="62" t="s">
        <v>431</v>
      </c>
      <c r="G145" s="62" t="s">
        <v>389</v>
      </c>
      <c r="H145" s="65" t="n">
        <v>4.1</v>
      </c>
      <c r="I145" s="62" t="s">
        <v>392</v>
      </c>
    </row>
    <row r="146" customFormat="false" ht="15" hidden="false" customHeight="false" outlineLevel="0" collapsed="false">
      <c r="A146" s="62" t="s">
        <v>388</v>
      </c>
      <c r="B146" s="63" t="n">
        <v>417</v>
      </c>
      <c r="C146" s="64" t="n">
        <v>46302.3794895139</v>
      </c>
      <c r="D146" s="63" t="n">
        <v>9</v>
      </c>
      <c r="E146" s="62" t="s">
        <v>389</v>
      </c>
      <c r="F146" s="62" t="s">
        <v>150</v>
      </c>
      <c r="G146" s="62" t="s">
        <v>389</v>
      </c>
      <c r="H146" s="65" t="n">
        <v>8.3</v>
      </c>
      <c r="I146" s="62" t="s">
        <v>392</v>
      </c>
    </row>
    <row r="147" customFormat="false" ht="15" hidden="false" customHeight="false" outlineLevel="0" collapsed="false">
      <c r="A147" s="62" t="s">
        <v>388</v>
      </c>
      <c r="B147" s="63" t="n">
        <v>551</v>
      </c>
      <c r="C147" s="64" t="n">
        <v>46302.383969537</v>
      </c>
      <c r="D147" s="63" t="n">
        <v>9</v>
      </c>
      <c r="E147" s="62" t="s">
        <v>389</v>
      </c>
      <c r="F147" s="62" t="s">
        <v>430</v>
      </c>
      <c r="G147" s="62" t="s">
        <v>389</v>
      </c>
      <c r="H147" s="65" t="n">
        <v>24.5</v>
      </c>
      <c r="I147" s="62" t="s">
        <v>275</v>
      </c>
    </row>
    <row r="148" customFormat="false" ht="15" hidden="false" customHeight="false" outlineLevel="0" collapsed="false">
      <c r="A148" s="62" t="s">
        <v>388</v>
      </c>
      <c r="B148" s="63" t="n">
        <v>551</v>
      </c>
      <c r="C148" s="64" t="n">
        <v>46302.3866652778</v>
      </c>
      <c r="D148" s="63" t="n">
        <v>9</v>
      </c>
      <c r="E148" s="62" t="s">
        <v>389</v>
      </c>
      <c r="F148" s="62" t="s">
        <v>431</v>
      </c>
      <c r="G148" s="62" t="s">
        <v>389</v>
      </c>
      <c r="H148" s="65" t="n">
        <v>20.6</v>
      </c>
      <c r="I148" s="62" t="s">
        <v>392</v>
      </c>
    </row>
    <row r="149" customFormat="false" ht="15" hidden="false" customHeight="false" outlineLevel="0" collapsed="false">
      <c r="A149" s="62" t="s">
        <v>388</v>
      </c>
      <c r="B149" s="63" t="n">
        <v>551</v>
      </c>
      <c r="C149" s="64" t="n">
        <v>46302.4054016898</v>
      </c>
      <c r="D149" s="63" t="n">
        <v>9</v>
      </c>
      <c r="E149" s="62" t="s">
        <v>389</v>
      </c>
      <c r="F149" s="62" t="s">
        <v>431</v>
      </c>
      <c r="G149" s="62" t="s">
        <v>389</v>
      </c>
      <c r="H149" s="65" t="n">
        <v>0.7</v>
      </c>
      <c r="I149" s="62" t="s">
        <v>392</v>
      </c>
    </row>
    <row r="150" customFormat="false" ht="15" hidden="false" customHeight="false" outlineLevel="0" collapsed="false">
      <c r="A150" s="62" t="s">
        <v>388</v>
      </c>
      <c r="B150" s="63" t="n">
        <v>568</v>
      </c>
      <c r="C150" s="64" t="n">
        <v>46302.4264098032</v>
      </c>
      <c r="D150" s="63" t="n">
        <v>10</v>
      </c>
      <c r="E150" s="62" t="s">
        <v>389</v>
      </c>
      <c r="F150" s="62" t="s">
        <v>430</v>
      </c>
      <c r="G150" s="62" t="s">
        <v>389</v>
      </c>
      <c r="H150" s="65" t="n">
        <v>5</v>
      </c>
      <c r="I150" s="62" t="s">
        <v>275</v>
      </c>
    </row>
    <row r="151" customFormat="false" ht="15" hidden="false" customHeight="false" outlineLevel="0" collapsed="false">
      <c r="A151" s="62" t="s">
        <v>388</v>
      </c>
      <c r="B151" s="63" t="n">
        <v>570</v>
      </c>
      <c r="C151" s="64" t="n">
        <v>46302.4271825116</v>
      </c>
      <c r="D151" s="63" t="n">
        <v>10</v>
      </c>
      <c r="E151" s="62" t="s">
        <v>389</v>
      </c>
      <c r="F151" s="62" t="s">
        <v>430</v>
      </c>
      <c r="G151" s="62" t="s">
        <v>389</v>
      </c>
      <c r="H151" s="65" t="n">
        <v>460.1</v>
      </c>
      <c r="I151" s="62" t="s">
        <v>275</v>
      </c>
    </row>
    <row r="152" customFormat="false" ht="15" hidden="false" customHeight="false" outlineLevel="0" collapsed="false">
      <c r="A152" s="62" t="s">
        <v>388</v>
      </c>
      <c r="B152" s="63" t="n">
        <v>568</v>
      </c>
      <c r="C152" s="64" t="n">
        <v>46302.4287221065</v>
      </c>
      <c r="D152" s="63" t="n">
        <v>10</v>
      </c>
      <c r="E152" s="62" t="s">
        <v>389</v>
      </c>
      <c r="F152" s="62" t="s">
        <v>431</v>
      </c>
      <c r="G152" s="62" t="s">
        <v>389</v>
      </c>
      <c r="H152" s="65" t="n">
        <v>1.7</v>
      </c>
      <c r="I152" s="62" t="s">
        <v>392</v>
      </c>
    </row>
    <row r="153" customFormat="false" ht="15" hidden="false" customHeight="false" outlineLevel="0" collapsed="false">
      <c r="A153" s="62" t="s">
        <v>388</v>
      </c>
      <c r="B153" s="63" t="n">
        <v>568</v>
      </c>
      <c r="C153" s="64" t="n">
        <v>46302.4304792477</v>
      </c>
      <c r="D153" s="63" t="n">
        <v>10</v>
      </c>
      <c r="E153" s="62" t="s">
        <v>389</v>
      </c>
      <c r="F153" s="62" t="s">
        <v>431</v>
      </c>
      <c r="G153" s="62" t="s">
        <v>389</v>
      </c>
      <c r="H153" s="65" t="n">
        <v>3.8</v>
      </c>
      <c r="I153" s="62" t="s">
        <v>392</v>
      </c>
    </row>
    <row r="154" customFormat="false" ht="15" hidden="false" customHeight="false" outlineLevel="0" collapsed="false">
      <c r="A154" s="62" t="s">
        <v>388</v>
      </c>
      <c r="B154" s="63" t="n">
        <v>572</v>
      </c>
      <c r="C154" s="64" t="n">
        <v>46302.4326860764</v>
      </c>
      <c r="D154" s="63" t="n">
        <v>10</v>
      </c>
      <c r="E154" s="62" t="s">
        <v>389</v>
      </c>
      <c r="F154" s="62" t="s">
        <v>430</v>
      </c>
      <c r="G154" s="62" t="s">
        <v>389</v>
      </c>
      <c r="H154" s="65" t="n">
        <v>10.3</v>
      </c>
      <c r="I154" s="62" t="s">
        <v>275</v>
      </c>
    </row>
    <row r="155" customFormat="false" ht="15" hidden="false" customHeight="false" outlineLevel="0" collapsed="false">
      <c r="A155" s="62" t="s">
        <v>388</v>
      </c>
      <c r="B155" s="63" t="n">
        <v>572</v>
      </c>
      <c r="C155" s="64" t="n">
        <v>46302.4355158912</v>
      </c>
      <c r="D155" s="63" t="n">
        <v>10</v>
      </c>
      <c r="E155" s="62" t="s">
        <v>389</v>
      </c>
      <c r="F155" s="62" t="s">
        <v>431</v>
      </c>
      <c r="G155" s="62" t="s">
        <v>389</v>
      </c>
      <c r="H155" s="65" t="n">
        <v>6.2</v>
      </c>
      <c r="I155" s="62" t="s">
        <v>392</v>
      </c>
    </row>
    <row r="156" customFormat="false" ht="15" hidden="false" customHeight="false" outlineLevel="0" collapsed="false">
      <c r="A156" s="62" t="s">
        <v>388</v>
      </c>
      <c r="B156" s="63" t="n">
        <v>568</v>
      </c>
      <c r="C156" s="64" t="n">
        <v>46302.4365435764</v>
      </c>
      <c r="D156" s="63" t="n">
        <v>10</v>
      </c>
      <c r="E156" s="62" t="s">
        <v>389</v>
      </c>
      <c r="F156" s="62" t="s">
        <v>431</v>
      </c>
      <c r="G156" s="62" t="s">
        <v>389</v>
      </c>
      <c r="H156" s="65" t="n">
        <v>4.4</v>
      </c>
      <c r="I156" s="62" t="s">
        <v>392</v>
      </c>
    </row>
    <row r="157" customFormat="false" ht="15" hidden="false" customHeight="false" outlineLevel="0" collapsed="false">
      <c r="A157" s="62" t="s">
        <v>388</v>
      </c>
      <c r="B157" s="63" t="n">
        <v>572</v>
      </c>
      <c r="C157" s="64" t="n">
        <v>46302.4407522222</v>
      </c>
      <c r="D157" s="63" t="n">
        <v>10</v>
      </c>
      <c r="E157" s="62" t="s">
        <v>389</v>
      </c>
      <c r="F157" s="62" t="s">
        <v>431</v>
      </c>
      <c r="G157" s="62" t="s">
        <v>389</v>
      </c>
      <c r="H157" s="65" t="n">
        <v>2.5</v>
      </c>
      <c r="I157" s="62" t="s">
        <v>392</v>
      </c>
    </row>
    <row r="158" customFormat="false" ht="15" hidden="false" customHeight="false" outlineLevel="0" collapsed="false">
      <c r="A158" s="62" t="s">
        <v>388</v>
      </c>
      <c r="B158" s="63" t="n">
        <v>575</v>
      </c>
      <c r="C158" s="64" t="n">
        <v>46302.4414267593</v>
      </c>
      <c r="D158" s="63" t="n">
        <v>10</v>
      </c>
      <c r="E158" s="62" t="s">
        <v>389</v>
      </c>
      <c r="F158" s="62" t="s">
        <v>430</v>
      </c>
      <c r="G158" s="62" t="s">
        <v>389</v>
      </c>
      <c r="H158" s="65" t="n">
        <v>25.3</v>
      </c>
      <c r="I158" s="62" t="s">
        <v>275</v>
      </c>
    </row>
    <row r="159" customFormat="false" ht="15" hidden="false" customHeight="false" outlineLevel="0" collapsed="false">
      <c r="A159" s="62" t="s">
        <v>388</v>
      </c>
      <c r="B159" s="63" t="n">
        <v>575</v>
      </c>
      <c r="C159" s="64" t="n">
        <v>46302.4532840162</v>
      </c>
      <c r="D159" s="63" t="n">
        <v>10</v>
      </c>
      <c r="E159" s="62" t="s">
        <v>389</v>
      </c>
      <c r="F159" s="62" t="s">
        <v>431</v>
      </c>
      <c r="G159" s="62" t="s">
        <v>389</v>
      </c>
      <c r="H159" s="65" t="n">
        <v>8.2</v>
      </c>
      <c r="I159" s="62" t="s">
        <v>392</v>
      </c>
    </row>
    <row r="160" customFormat="false" ht="15" hidden="false" customHeight="false" outlineLevel="0" collapsed="false">
      <c r="A160" s="62" t="s">
        <v>388</v>
      </c>
      <c r="B160" s="63" t="n">
        <v>579</v>
      </c>
      <c r="C160" s="64" t="n">
        <v>46302.4609353588</v>
      </c>
      <c r="D160" s="63" t="n">
        <v>11</v>
      </c>
      <c r="E160" s="62" t="s">
        <v>389</v>
      </c>
      <c r="F160" s="62" t="s">
        <v>430</v>
      </c>
      <c r="G160" s="62" t="s">
        <v>389</v>
      </c>
      <c r="H160" s="65" t="n">
        <v>3306.2</v>
      </c>
      <c r="I160" s="62" t="s">
        <v>275</v>
      </c>
    </row>
    <row r="161" customFormat="false" ht="15" hidden="false" customHeight="false" outlineLevel="0" collapsed="false">
      <c r="A161" s="62" t="s">
        <v>388</v>
      </c>
      <c r="B161" s="63" t="n">
        <v>580</v>
      </c>
      <c r="C161" s="64" t="n">
        <v>46302.4639479282</v>
      </c>
      <c r="D161" s="63" t="n">
        <v>11</v>
      </c>
      <c r="E161" s="62" t="s">
        <v>389</v>
      </c>
      <c r="F161" s="62" t="s">
        <v>430</v>
      </c>
      <c r="G161" s="62" t="s">
        <v>389</v>
      </c>
      <c r="H161" s="65" t="n">
        <v>3302.5</v>
      </c>
      <c r="I161" s="62" t="s">
        <v>275</v>
      </c>
    </row>
    <row r="162" customFormat="false" ht="15" hidden="false" customHeight="false" outlineLevel="0" collapsed="false">
      <c r="A162" s="62" t="s">
        <v>388</v>
      </c>
      <c r="B162" s="63" t="n">
        <v>581</v>
      </c>
      <c r="C162" s="64" t="n">
        <v>46302.4641351042</v>
      </c>
      <c r="D162" s="63" t="n">
        <v>11</v>
      </c>
      <c r="E162" s="62" t="s">
        <v>389</v>
      </c>
      <c r="F162" s="62" t="s">
        <v>430</v>
      </c>
      <c r="G162" s="62" t="s">
        <v>389</v>
      </c>
      <c r="H162" s="65" t="n">
        <v>3302.6</v>
      </c>
      <c r="I162" s="62" t="s">
        <v>275</v>
      </c>
    </row>
    <row r="163" customFormat="false" ht="15" hidden="false" customHeight="false" outlineLevel="0" collapsed="false">
      <c r="A163" s="62" t="s">
        <v>388</v>
      </c>
      <c r="B163" s="63" t="n">
        <v>585</v>
      </c>
      <c r="C163" s="64" t="n">
        <v>46302.4771345602</v>
      </c>
      <c r="D163" s="63" t="n">
        <v>11</v>
      </c>
      <c r="E163" s="62" t="s">
        <v>389</v>
      </c>
      <c r="F163" s="62" t="s">
        <v>430</v>
      </c>
      <c r="G163" s="62" t="s">
        <v>389</v>
      </c>
      <c r="H163" s="65" t="n">
        <v>5</v>
      </c>
      <c r="I163" s="62" t="s">
        <v>275</v>
      </c>
    </row>
    <row r="164" customFormat="false" ht="15" hidden="false" customHeight="false" outlineLevel="0" collapsed="false">
      <c r="A164" s="62" t="s">
        <v>388</v>
      </c>
      <c r="B164" s="63" t="n">
        <v>585</v>
      </c>
      <c r="C164" s="64" t="n">
        <v>46302.4804409838</v>
      </c>
      <c r="D164" s="63" t="n">
        <v>11</v>
      </c>
      <c r="E164" s="62" t="s">
        <v>389</v>
      </c>
      <c r="F164" s="62" t="s">
        <v>431</v>
      </c>
      <c r="G164" s="62" t="s">
        <v>389</v>
      </c>
      <c r="H164" s="65" t="n">
        <v>0.3</v>
      </c>
      <c r="I164" s="62" t="s">
        <v>392</v>
      </c>
    </row>
    <row r="165" customFormat="false" ht="15" hidden="false" customHeight="false" outlineLevel="0" collapsed="false">
      <c r="A165" s="62" t="s">
        <v>388</v>
      </c>
      <c r="B165" s="63" t="n">
        <v>586</v>
      </c>
      <c r="C165" s="64" t="n">
        <v>46302.4833827083</v>
      </c>
      <c r="D165" s="63" t="n">
        <v>11</v>
      </c>
      <c r="E165" s="62" t="s">
        <v>389</v>
      </c>
      <c r="F165" s="62" t="s">
        <v>430</v>
      </c>
      <c r="G165" s="62" t="s">
        <v>389</v>
      </c>
      <c r="H165" s="65" t="n">
        <v>179.2</v>
      </c>
      <c r="I165" s="62" t="s">
        <v>275</v>
      </c>
    </row>
    <row r="166" customFormat="false" ht="15" hidden="false" customHeight="false" outlineLevel="0" collapsed="false">
      <c r="A166" s="62" t="s">
        <v>388</v>
      </c>
      <c r="B166" s="63" t="n">
        <v>477</v>
      </c>
      <c r="C166" s="64" t="n">
        <v>46302.502891875</v>
      </c>
      <c r="D166" s="63" t="n">
        <v>12</v>
      </c>
      <c r="E166" s="62" t="s">
        <v>389</v>
      </c>
      <c r="F166" s="62" t="s">
        <v>430</v>
      </c>
      <c r="G166" s="62" t="s">
        <v>389</v>
      </c>
      <c r="H166" s="65" t="n">
        <v>1.3</v>
      </c>
      <c r="I166" s="62" t="s">
        <v>392</v>
      </c>
    </row>
    <row r="167" customFormat="false" ht="15" hidden="false" customHeight="false" outlineLevel="0" collapsed="false">
      <c r="A167" s="62" t="s">
        <v>388</v>
      </c>
      <c r="B167" s="63" t="n">
        <v>477</v>
      </c>
      <c r="C167" s="64" t="n">
        <v>46302.5096216319</v>
      </c>
      <c r="D167" s="63" t="n">
        <v>12</v>
      </c>
      <c r="E167" s="62" t="s">
        <v>389</v>
      </c>
      <c r="F167" s="62" t="s">
        <v>430</v>
      </c>
      <c r="G167" s="62" t="s">
        <v>389</v>
      </c>
      <c r="H167" s="65" t="n">
        <v>0.4</v>
      </c>
      <c r="I167" s="62" t="s">
        <v>392</v>
      </c>
    </row>
    <row r="168" customFormat="false" ht="15" hidden="false" customHeight="false" outlineLevel="0" collapsed="false">
      <c r="A168" s="62" t="s">
        <v>388</v>
      </c>
      <c r="B168" s="63" t="n">
        <v>585</v>
      </c>
      <c r="C168" s="64" t="n">
        <v>46302.5099360648</v>
      </c>
      <c r="D168" s="63" t="n">
        <v>12</v>
      </c>
      <c r="E168" s="62" t="s">
        <v>389</v>
      </c>
      <c r="F168" s="62" t="s">
        <v>151</v>
      </c>
      <c r="G168" s="62" t="s">
        <v>389</v>
      </c>
      <c r="H168" s="65" t="n">
        <v>9</v>
      </c>
      <c r="I168" s="62" t="s">
        <v>392</v>
      </c>
    </row>
    <row r="169" customFormat="false" ht="15" hidden="false" customHeight="false" outlineLevel="0" collapsed="false">
      <c r="A169" s="62" t="s">
        <v>388</v>
      </c>
      <c r="B169" s="63" t="n">
        <v>477</v>
      </c>
      <c r="C169" s="64" t="n">
        <v>46302.5100609144</v>
      </c>
      <c r="D169" s="63" t="n">
        <v>12</v>
      </c>
      <c r="E169" s="62" t="s">
        <v>389</v>
      </c>
      <c r="F169" s="62" t="s">
        <v>430</v>
      </c>
      <c r="G169" s="62" t="s">
        <v>389</v>
      </c>
      <c r="H169" s="65" t="n">
        <v>4.4</v>
      </c>
      <c r="I169" s="62" t="s">
        <v>392</v>
      </c>
    </row>
    <row r="170" customFormat="false" ht="15" hidden="false" customHeight="false" outlineLevel="0" collapsed="false">
      <c r="A170" s="62" t="s">
        <v>388</v>
      </c>
      <c r="B170" s="63" t="n">
        <v>592</v>
      </c>
      <c r="C170" s="64" t="n">
        <v>46302.510145081</v>
      </c>
      <c r="D170" s="63" t="n">
        <v>12</v>
      </c>
      <c r="E170" s="62" t="s">
        <v>389</v>
      </c>
      <c r="F170" s="62" t="s">
        <v>430</v>
      </c>
      <c r="G170" s="62" t="s">
        <v>389</v>
      </c>
      <c r="H170" s="65" t="n">
        <v>3244.9</v>
      </c>
      <c r="I170" s="62" t="s">
        <v>275</v>
      </c>
    </row>
    <row r="171" customFormat="false" ht="15" hidden="false" customHeight="false" outlineLevel="0" collapsed="false">
      <c r="A171" s="62" t="s">
        <v>388</v>
      </c>
      <c r="B171" s="63" t="n">
        <v>590</v>
      </c>
      <c r="C171" s="64" t="n">
        <v>46302.5102881134</v>
      </c>
      <c r="D171" s="63" t="n">
        <v>12</v>
      </c>
      <c r="E171" s="62" t="s">
        <v>389</v>
      </c>
      <c r="F171" s="62" t="s">
        <v>430</v>
      </c>
      <c r="G171" s="62" t="s">
        <v>389</v>
      </c>
      <c r="H171" s="65" t="n">
        <v>1477.5</v>
      </c>
      <c r="I171" s="62" t="s">
        <v>275</v>
      </c>
    </row>
    <row r="172" customFormat="false" ht="15" hidden="false" customHeight="false" outlineLevel="0" collapsed="false">
      <c r="A172" s="62" t="s">
        <v>388</v>
      </c>
      <c r="B172" s="63" t="n">
        <v>585</v>
      </c>
      <c r="C172" s="64" t="n">
        <v>46302.5163349769</v>
      </c>
      <c r="D172" s="63" t="n">
        <v>12</v>
      </c>
      <c r="E172" s="62" t="s">
        <v>389</v>
      </c>
      <c r="F172" s="62" t="s">
        <v>151</v>
      </c>
      <c r="G172" s="62" t="s">
        <v>389</v>
      </c>
      <c r="H172" s="65" t="n">
        <v>0.4</v>
      </c>
      <c r="I172" s="62" t="s">
        <v>392</v>
      </c>
    </row>
    <row r="173" customFormat="false" ht="15" hidden="false" customHeight="false" outlineLevel="0" collapsed="false">
      <c r="A173" s="62" t="s">
        <v>388</v>
      </c>
      <c r="B173" s="63" t="n">
        <v>477</v>
      </c>
      <c r="C173" s="64" t="n">
        <v>46302.5191764583</v>
      </c>
      <c r="D173" s="63" t="n">
        <v>12</v>
      </c>
      <c r="E173" s="62" t="s">
        <v>389</v>
      </c>
      <c r="F173" s="62" t="s">
        <v>407</v>
      </c>
      <c r="G173" s="62" t="s">
        <v>389</v>
      </c>
      <c r="H173" s="65" t="n">
        <v>13.6</v>
      </c>
      <c r="I173" s="62" t="s">
        <v>392</v>
      </c>
    </row>
    <row r="174" customFormat="false" ht="15" hidden="false" customHeight="false" outlineLevel="0" collapsed="false">
      <c r="A174" s="62" t="s">
        <v>388</v>
      </c>
      <c r="B174" s="63" t="n">
        <v>601</v>
      </c>
      <c r="C174" s="64" t="n">
        <v>46302.533819537</v>
      </c>
      <c r="D174" s="63" t="n">
        <v>12</v>
      </c>
      <c r="E174" s="62" t="s">
        <v>389</v>
      </c>
      <c r="F174" s="62" t="s">
        <v>430</v>
      </c>
      <c r="G174" s="62" t="s">
        <v>389</v>
      </c>
      <c r="H174" s="65" t="n">
        <v>24.5</v>
      </c>
      <c r="I174" s="62" t="s">
        <v>275</v>
      </c>
    </row>
    <row r="175" customFormat="false" ht="15" hidden="false" customHeight="false" outlineLevel="0" collapsed="false">
      <c r="A175" s="62" t="s">
        <v>388</v>
      </c>
      <c r="B175" s="63" t="n">
        <v>601</v>
      </c>
      <c r="C175" s="64" t="n">
        <v>46302.5386054861</v>
      </c>
      <c r="D175" s="63" t="n">
        <v>12</v>
      </c>
      <c r="E175" s="62" t="s">
        <v>389</v>
      </c>
      <c r="F175" s="62" t="s">
        <v>431</v>
      </c>
      <c r="G175" s="62" t="s">
        <v>389</v>
      </c>
      <c r="H175" s="65" t="n">
        <v>17.6</v>
      </c>
      <c r="I175" s="62" t="s">
        <v>392</v>
      </c>
    </row>
    <row r="176" customFormat="false" ht="15" hidden="false" customHeight="false" outlineLevel="0" collapsed="false">
      <c r="A176" s="62" t="s">
        <v>388</v>
      </c>
      <c r="B176" s="63" t="n">
        <v>367</v>
      </c>
      <c r="C176" s="64" t="n">
        <v>46302.544482037</v>
      </c>
      <c r="D176" s="63" t="n">
        <v>13</v>
      </c>
      <c r="E176" s="62" t="s">
        <v>389</v>
      </c>
      <c r="F176" s="62" t="s">
        <v>150</v>
      </c>
      <c r="G176" s="62" t="s">
        <v>389</v>
      </c>
      <c r="H176" s="65" t="n">
        <v>9.6</v>
      </c>
      <c r="I176" s="62" t="s">
        <v>392</v>
      </c>
    </row>
    <row r="177" customFormat="false" ht="15" hidden="false" customHeight="false" outlineLevel="0" collapsed="false">
      <c r="A177" s="62" t="s">
        <v>388</v>
      </c>
      <c r="B177" s="63" t="n">
        <v>417</v>
      </c>
      <c r="C177" s="64" t="n">
        <v>46302.5450835417</v>
      </c>
      <c r="D177" s="63" t="n">
        <v>13</v>
      </c>
      <c r="E177" s="62" t="s">
        <v>389</v>
      </c>
      <c r="F177" s="62" t="s">
        <v>150</v>
      </c>
      <c r="G177" s="62" t="s">
        <v>389</v>
      </c>
      <c r="H177" s="65" t="n">
        <v>2.9</v>
      </c>
      <c r="I177" s="62" t="s">
        <v>392</v>
      </c>
    </row>
    <row r="178" customFormat="false" ht="15" hidden="false" customHeight="false" outlineLevel="0" collapsed="false">
      <c r="A178" s="62" t="s">
        <v>388</v>
      </c>
      <c r="B178" s="63" t="n">
        <v>620</v>
      </c>
      <c r="C178" s="64" t="n">
        <v>46302.5864798843</v>
      </c>
      <c r="D178" s="63" t="n">
        <v>14</v>
      </c>
      <c r="E178" s="62" t="s">
        <v>389</v>
      </c>
      <c r="F178" s="62" t="s">
        <v>430</v>
      </c>
      <c r="G178" s="62" t="s">
        <v>389</v>
      </c>
      <c r="H178" s="65" t="n">
        <v>4.5</v>
      </c>
      <c r="I178" s="62" t="s">
        <v>275</v>
      </c>
    </row>
    <row r="179" customFormat="false" ht="15" hidden="false" customHeight="false" outlineLevel="0" collapsed="false">
      <c r="A179" s="62" t="s">
        <v>388</v>
      </c>
      <c r="B179" s="63" t="n">
        <v>620</v>
      </c>
      <c r="C179" s="64" t="n">
        <v>46302.5894024769</v>
      </c>
      <c r="D179" s="63" t="n">
        <v>14</v>
      </c>
      <c r="E179" s="62" t="s">
        <v>389</v>
      </c>
      <c r="F179" s="62" t="s">
        <v>431</v>
      </c>
      <c r="G179" s="62" t="s">
        <v>389</v>
      </c>
      <c r="H179" s="65" t="n">
        <v>0.3</v>
      </c>
      <c r="I179" s="62" t="s">
        <v>392</v>
      </c>
    </row>
    <row r="180" customFormat="false" ht="15" hidden="false" customHeight="false" outlineLevel="0" collapsed="false">
      <c r="A180" s="62" t="s">
        <v>388</v>
      </c>
      <c r="B180" s="63" t="n">
        <v>586</v>
      </c>
      <c r="C180" s="64" t="n">
        <v>46302.6075834028</v>
      </c>
      <c r="D180" s="63" t="n">
        <v>14</v>
      </c>
      <c r="E180" s="62" t="s">
        <v>389</v>
      </c>
      <c r="F180" s="62" t="s">
        <v>150</v>
      </c>
      <c r="G180" s="62" t="s">
        <v>389</v>
      </c>
      <c r="H180" s="65" t="n">
        <v>0.3</v>
      </c>
      <c r="I180" s="62" t="s">
        <v>392</v>
      </c>
    </row>
    <row r="181" customFormat="false" ht="15" hidden="false" customHeight="false" outlineLevel="0" collapsed="false">
      <c r="A181" s="62" t="s">
        <v>388</v>
      </c>
      <c r="B181" s="63" t="n">
        <v>586</v>
      </c>
      <c r="C181" s="64" t="n">
        <v>46302.6096688079</v>
      </c>
      <c r="D181" s="63" t="n">
        <v>14</v>
      </c>
      <c r="E181" s="62" t="s">
        <v>389</v>
      </c>
      <c r="F181" s="62" t="s">
        <v>150</v>
      </c>
      <c r="G181" s="62" t="s">
        <v>389</v>
      </c>
      <c r="H181" s="65" t="n">
        <v>1</v>
      </c>
      <c r="I181" s="62" t="s">
        <v>392</v>
      </c>
    </row>
    <row r="182" customFormat="false" ht="15" hidden="false" customHeight="false" outlineLevel="0" collapsed="false">
      <c r="A182" s="62" t="s">
        <v>388</v>
      </c>
      <c r="B182" s="63" t="n">
        <v>586</v>
      </c>
      <c r="C182" s="64" t="n">
        <v>46302.612672257</v>
      </c>
      <c r="D182" s="63" t="n">
        <v>14</v>
      </c>
      <c r="E182" s="62" t="s">
        <v>389</v>
      </c>
      <c r="F182" s="62" t="s">
        <v>150</v>
      </c>
      <c r="G182" s="62" t="s">
        <v>389</v>
      </c>
      <c r="H182" s="65" t="n">
        <v>1.4</v>
      </c>
      <c r="I182" s="62" t="s">
        <v>392</v>
      </c>
    </row>
    <row r="183" customFormat="false" ht="15" hidden="false" customHeight="false" outlineLevel="0" collapsed="false">
      <c r="A183" s="62" t="s">
        <v>388</v>
      </c>
      <c r="B183" s="63" t="n">
        <v>636</v>
      </c>
      <c r="C183" s="64" t="n">
        <v>46302.6254855671</v>
      </c>
      <c r="D183" s="63" t="n">
        <v>15</v>
      </c>
      <c r="E183" s="62" t="s">
        <v>389</v>
      </c>
      <c r="F183" s="62" t="s">
        <v>430</v>
      </c>
      <c r="G183" s="62" t="s">
        <v>389</v>
      </c>
      <c r="H183" s="65" t="n">
        <v>2788.5</v>
      </c>
      <c r="I183" s="62" t="s">
        <v>275</v>
      </c>
    </row>
    <row r="184" customFormat="false" ht="15" hidden="false" customHeight="false" outlineLevel="0" collapsed="false">
      <c r="A184" s="62" t="s">
        <v>388</v>
      </c>
      <c r="B184" s="63" t="n">
        <v>417</v>
      </c>
      <c r="C184" s="64" t="n">
        <v>46302.6274944907</v>
      </c>
      <c r="D184" s="63" t="n">
        <v>15</v>
      </c>
      <c r="E184" s="62" t="s">
        <v>389</v>
      </c>
      <c r="F184" s="62" t="s">
        <v>150</v>
      </c>
      <c r="G184" s="62" t="s">
        <v>389</v>
      </c>
      <c r="H184" s="65" t="n">
        <v>1.3</v>
      </c>
      <c r="I184" s="62" t="s">
        <v>392</v>
      </c>
    </row>
    <row r="185" customFormat="false" ht="15" hidden="false" customHeight="false" outlineLevel="0" collapsed="false">
      <c r="A185" s="62" t="s">
        <v>388</v>
      </c>
      <c r="B185" s="63" t="n">
        <v>628</v>
      </c>
      <c r="C185" s="64" t="n">
        <v>46302.6369086806</v>
      </c>
      <c r="D185" s="63" t="n">
        <v>15</v>
      </c>
      <c r="E185" s="62" t="s">
        <v>389</v>
      </c>
      <c r="F185" s="62" t="s">
        <v>431</v>
      </c>
      <c r="G185" s="62" t="s">
        <v>389</v>
      </c>
      <c r="H185" s="65" t="n">
        <v>18.2</v>
      </c>
      <c r="I185" s="62" t="s">
        <v>392</v>
      </c>
    </row>
    <row r="186" customFormat="false" ht="15" hidden="false" customHeight="false" outlineLevel="0" collapsed="false">
      <c r="A186" s="62" t="s">
        <v>388</v>
      </c>
      <c r="B186" s="63" t="n">
        <v>642</v>
      </c>
      <c r="C186" s="64" t="n">
        <v>46302.6441555903</v>
      </c>
      <c r="D186" s="63" t="n">
        <v>15</v>
      </c>
      <c r="E186" s="62" t="s">
        <v>389</v>
      </c>
      <c r="F186" s="62" t="s">
        <v>430</v>
      </c>
      <c r="G186" s="62" t="s">
        <v>389</v>
      </c>
      <c r="H186" s="65" t="n">
        <v>14</v>
      </c>
      <c r="I186" s="62" t="s">
        <v>275</v>
      </c>
    </row>
    <row r="187" customFormat="false" ht="15" hidden="false" customHeight="false" outlineLevel="0" collapsed="false">
      <c r="A187" s="62" t="s">
        <v>388</v>
      </c>
      <c r="B187" s="63" t="n">
        <v>642</v>
      </c>
      <c r="C187" s="64" t="n">
        <v>46302.6508978241</v>
      </c>
      <c r="D187" s="63" t="n">
        <v>15</v>
      </c>
      <c r="E187" s="62" t="s">
        <v>389</v>
      </c>
      <c r="F187" s="62" t="s">
        <v>431</v>
      </c>
      <c r="G187" s="62" t="s">
        <v>389</v>
      </c>
      <c r="H187" s="65" t="n">
        <v>4.2</v>
      </c>
      <c r="I187" s="62" t="s">
        <v>392</v>
      </c>
    </row>
    <row r="188" customFormat="false" ht="15" hidden="false" customHeight="false" outlineLevel="0" collapsed="false">
      <c r="A188" s="62" t="s">
        <v>388</v>
      </c>
      <c r="B188" s="63" t="n">
        <v>628</v>
      </c>
      <c r="C188" s="64" t="n">
        <v>46302.661716794</v>
      </c>
      <c r="D188" s="63" t="n">
        <v>15</v>
      </c>
      <c r="E188" s="62" t="s">
        <v>389</v>
      </c>
      <c r="F188" s="62" t="s">
        <v>151</v>
      </c>
      <c r="G188" s="62" t="s">
        <v>389</v>
      </c>
      <c r="H188" s="65" t="n">
        <v>2.6</v>
      </c>
      <c r="I188" s="62" t="s">
        <v>392</v>
      </c>
    </row>
    <row r="189" customFormat="false" ht="15" hidden="false" customHeight="false" outlineLevel="0" collapsed="false">
      <c r="A189" s="62" t="s">
        <v>388</v>
      </c>
      <c r="B189" s="63" t="n">
        <v>642</v>
      </c>
      <c r="C189" s="64" t="n">
        <v>46302.6669226505</v>
      </c>
      <c r="D189" s="63" t="n">
        <v>16</v>
      </c>
      <c r="E189" s="62" t="s">
        <v>389</v>
      </c>
      <c r="F189" s="62" t="s">
        <v>151</v>
      </c>
      <c r="G189" s="62" t="s">
        <v>389</v>
      </c>
      <c r="H189" s="65" t="n">
        <v>6977.7</v>
      </c>
      <c r="I189" s="62" t="s">
        <v>275</v>
      </c>
    </row>
    <row r="190" customFormat="false" ht="15" hidden="false" customHeight="false" outlineLevel="0" collapsed="false">
      <c r="A190" s="62" t="s">
        <v>388</v>
      </c>
      <c r="B190" s="63" t="n">
        <v>651</v>
      </c>
      <c r="C190" s="64" t="n">
        <v>46302.6715684144</v>
      </c>
      <c r="D190" s="63" t="n">
        <v>16</v>
      </c>
      <c r="E190" s="62" t="s">
        <v>389</v>
      </c>
      <c r="F190" s="62" t="s">
        <v>430</v>
      </c>
      <c r="G190" s="62" t="s">
        <v>389</v>
      </c>
      <c r="H190" s="65" t="n">
        <v>8</v>
      </c>
      <c r="I190" s="62" t="s">
        <v>275</v>
      </c>
    </row>
    <row r="191" customFormat="false" ht="15" hidden="false" customHeight="false" outlineLevel="0" collapsed="false">
      <c r="A191" s="62" t="s">
        <v>388</v>
      </c>
      <c r="B191" s="63" t="n">
        <v>651</v>
      </c>
      <c r="C191" s="64" t="n">
        <v>46302.6753134838</v>
      </c>
      <c r="D191" s="63" t="n">
        <v>16</v>
      </c>
      <c r="E191" s="62" t="s">
        <v>389</v>
      </c>
      <c r="F191" s="62" t="s">
        <v>431</v>
      </c>
      <c r="G191" s="62" t="s">
        <v>389</v>
      </c>
      <c r="H191" s="65" t="n">
        <v>2.6</v>
      </c>
      <c r="I191" s="62" t="s">
        <v>392</v>
      </c>
    </row>
    <row r="192" customFormat="false" ht="15" hidden="false" customHeight="false" outlineLevel="0" collapsed="false">
      <c r="A192" s="62" t="s">
        <v>388</v>
      </c>
      <c r="B192" s="63" t="n">
        <v>651</v>
      </c>
      <c r="C192" s="64" t="n">
        <v>46302.6802680556</v>
      </c>
      <c r="D192" s="63" t="n">
        <v>16</v>
      </c>
      <c r="E192" s="62" t="s">
        <v>389</v>
      </c>
      <c r="F192" s="62" t="s">
        <v>431</v>
      </c>
      <c r="G192" s="62" t="s">
        <v>389</v>
      </c>
      <c r="H192" s="65" t="n">
        <v>0.9</v>
      </c>
      <c r="I192" s="62" t="s">
        <v>392</v>
      </c>
    </row>
    <row r="193" customFormat="false" ht="15" hidden="false" customHeight="false" outlineLevel="0" collapsed="false">
      <c r="A193" s="62" t="s">
        <v>388</v>
      </c>
      <c r="B193" s="63" t="n">
        <v>651</v>
      </c>
      <c r="C193" s="64" t="n">
        <v>46302.6816987616</v>
      </c>
      <c r="D193" s="63" t="n">
        <v>16</v>
      </c>
      <c r="E193" s="62" t="s">
        <v>389</v>
      </c>
      <c r="F193" s="62" t="s">
        <v>151</v>
      </c>
      <c r="G193" s="62" t="s">
        <v>389</v>
      </c>
      <c r="H193" s="65" t="n">
        <v>8</v>
      </c>
      <c r="I193" s="62" t="s">
        <v>275</v>
      </c>
    </row>
    <row r="194" customFormat="false" ht="15" hidden="false" customHeight="false" outlineLevel="0" collapsed="false">
      <c r="A194" s="62" t="s">
        <v>388</v>
      </c>
      <c r="B194" s="63" t="n">
        <v>651</v>
      </c>
      <c r="C194" s="64" t="n">
        <v>46302.6867307176</v>
      </c>
      <c r="D194" s="63" t="n">
        <v>16</v>
      </c>
      <c r="E194" s="62" t="s">
        <v>389</v>
      </c>
      <c r="F194" s="62" t="s">
        <v>151</v>
      </c>
      <c r="G194" s="62" t="s">
        <v>389</v>
      </c>
      <c r="H194" s="65" t="n">
        <v>0.7</v>
      </c>
      <c r="I194" s="62" t="s">
        <v>392</v>
      </c>
    </row>
    <row r="195" customFormat="false" ht="15" hidden="false" customHeight="false" outlineLevel="0" collapsed="false">
      <c r="A195" s="62" t="s">
        <v>388</v>
      </c>
      <c r="B195" s="63" t="n">
        <v>660</v>
      </c>
      <c r="C195" s="64" t="n">
        <v>46302.7038463426</v>
      </c>
      <c r="D195" s="63" t="n">
        <v>16</v>
      </c>
      <c r="E195" s="62" t="s">
        <v>389</v>
      </c>
      <c r="F195" s="62" t="s">
        <v>430</v>
      </c>
      <c r="G195" s="62" t="s">
        <v>389</v>
      </c>
      <c r="H195" s="65" t="n">
        <v>2974.4</v>
      </c>
      <c r="I195" s="62" t="s">
        <v>275</v>
      </c>
    </row>
    <row r="196" customFormat="false" ht="15" hidden="false" customHeight="false" outlineLevel="0" collapsed="false">
      <c r="A196" s="62" t="s">
        <v>388</v>
      </c>
      <c r="B196" s="63" t="n">
        <v>651</v>
      </c>
      <c r="C196" s="64" t="n">
        <v>46302.7064566088</v>
      </c>
      <c r="D196" s="63" t="n">
        <v>16</v>
      </c>
      <c r="E196" s="62" t="s">
        <v>389</v>
      </c>
      <c r="F196" s="62" t="s">
        <v>151</v>
      </c>
      <c r="G196" s="62" t="s">
        <v>389</v>
      </c>
      <c r="H196" s="65" t="n">
        <v>5.4</v>
      </c>
      <c r="I196" s="62" t="s">
        <v>275</v>
      </c>
    </row>
    <row r="197" customFormat="false" ht="15" hidden="false" customHeight="false" outlineLevel="0" collapsed="false">
      <c r="A197" s="62" t="s">
        <v>388</v>
      </c>
      <c r="B197" s="63" t="n">
        <v>651</v>
      </c>
      <c r="C197" s="64" t="n">
        <v>46302.7099890046</v>
      </c>
      <c r="D197" s="63" t="n">
        <v>17</v>
      </c>
      <c r="E197" s="62" t="s">
        <v>389</v>
      </c>
      <c r="F197" s="62" t="s">
        <v>151</v>
      </c>
      <c r="G197" s="62" t="s">
        <v>389</v>
      </c>
      <c r="H197" s="65" t="n">
        <v>0.4</v>
      </c>
      <c r="I197" s="62" t="s">
        <v>392</v>
      </c>
    </row>
    <row r="198" customFormat="false" ht="15" hidden="false" customHeight="false" outlineLevel="0" collapsed="false">
      <c r="A198" s="62" t="s">
        <v>388</v>
      </c>
      <c r="B198" s="63" t="n">
        <v>663</v>
      </c>
      <c r="C198" s="64" t="n">
        <v>46302.7192198611</v>
      </c>
      <c r="D198" s="63" t="n">
        <v>17</v>
      </c>
      <c r="E198" s="62" t="s">
        <v>389</v>
      </c>
      <c r="F198" s="62" t="s">
        <v>430</v>
      </c>
      <c r="G198" s="62" t="s">
        <v>389</v>
      </c>
      <c r="H198" s="65" t="n">
        <v>6.8</v>
      </c>
      <c r="I198" s="62" t="s">
        <v>275</v>
      </c>
    </row>
    <row r="199" customFormat="false" ht="15" hidden="false" customHeight="false" outlineLevel="0" collapsed="false">
      <c r="A199" s="62" t="s">
        <v>388</v>
      </c>
      <c r="B199" s="63" t="n">
        <v>663</v>
      </c>
      <c r="C199" s="64" t="n">
        <v>46302.7226837847</v>
      </c>
      <c r="D199" s="63" t="n">
        <v>17</v>
      </c>
      <c r="E199" s="62" t="s">
        <v>389</v>
      </c>
      <c r="F199" s="62" t="s">
        <v>431</v>
      </c>
      <c r="G199" s="62" t="s">
        <v>389</v>
      </c>
      <c r="H199" s="65" t="n">
        <v>1.8</v>
      </c>
      <c r="I199" s="62" t="s">
        <v>392</v>
      </c>
    </row>
    <row r="200" customFormat="false" ht="15" hidden="false" customHeight="false" outlineLevel="0" collapsed="false">
      <c r="A200" s="62" t="s">
        <v>388</v>
      </c>
      <c r="B200" s="63" t="n">
        <v>663</v>
      </c>
      <c r="C200" s="64" t="n">
        <v>46302.725389757</v>
      </c>
      <c r="D200" s="63" t="n">
        <v>17</v>
      </c>
      <c r="E200" s="62" t="s">
        <v>389</v>
      </c>
      <c r="F200" s="62" t="s">
        <v>431</v>
      </c>
      <c r="G200" s="62" t="s">
        <v>389</v>
      </c>
      <c r="H200" s="65" t="n">
        <v>1.8</v>
      </c>
      <c r="I200" s="62" t="s">
        <v>392</v>
      </c>
    </row>
    <row r="201" customFormat="false" ht="15" hidden="false" customHeight="false" outlineLevel="0" collapsed="false">
      <c r="A201" s="62" t="s">
        <v>388</v>
      </c>
      <c r="B201" s="63" t="n">
        <v>670</v>
      </c>
      <c r="C201" s="64" t="n">
        <v>46302.7301543287</v>
      </c>
      <c r="D201" s="63" t="n">
        <v>17</v>
      </c>
      <c r="E201" s="62" t="s">
        <v>389</v>
      </c>
      <c r="F201" s="62" t="s">
        <v>430</v>
      </c>
      <c r="G201" s="62" t="s">
        <v>389</v>
      </c>
      <c r="H201" s="65" t="n">
        <v>4.6</v>
      </c>
      <c r="I201" s="62" t="s">
        <v>275</v>
      </c>
    </row>
    <row r="202" customFormat="false" ht="15" hidden="false" customHeight="false" outlineLevel="0" collapsed="false">
      <c r="A202" s="62" t="s">
        <v>388</v>
      </c>
      <c r="B202" s="63" t="n">
        <v>670</v>
      </c>
      <c r="C202" s="64" t="n">
        <v>46302.732153588</v>
      </c>
      <c r="D202" s="63" t="n">
        <v>17</v>
      </c>
      <c r="E202" s="62" t="s">
        <v>389</v>
      </c>
      <c r="F202" s="62" t="s">
        <v>431</v>
      </c>
      <c r="G202" s="62" t="s">
        <v>389</v>
      </c>
      <c r="H202" s="65" t="n">
        <v>1.7</v>
      </c>
      <c r="I202" s="62" t="s">
        <v>392</v>
      </c>
    </row>
    <row r="203" customFormat="false" ht="15" hidden="false" customHeight="false" outlineLevel="0" collapsed="false">
      <c r="A203" s="62" t="s">
        <v>388</v>
      </c>
      <c r="B203" s="63" t="n">
        <v>670</v>
      </c>
      <c r="C203" s="64" t="n">
        <v>46302.7430415394</v>
      </c>
      <c r="D203" s="63" t="n">
        <v>17</v>
      </c>
      <c r="E203" s="62" t="s">
        <v>389</v>
      </c>
      <c r="F203" s="62" t="s">
        <v>431</v>
      </c>
      <c r="G203" s="62" t="s">
        <v>389</v>
      </c>
      <c r="H203" s="65" t="n">
        <v>6.6</v>
      </c>
      <c r="I203" s="62" t="s">
        <v>392</v>
      </c>
    </row>
    <row r="204" customFormat="false" ht="15" hidden="false" customHeight="false" outlineLevel="0" collapsed="false">
      <c r="A204" s="62" t="s">
        <v>388</v>
      </c>
      <c r="B204" s="63" t="n">
        <v>570</v>
      </c>
      <c r="C204" s="64" t="n">
        <v>46302.7438915046</v>
      </c>
      <c r="D204" s="63" t="n">
        <v>17</v>
      </c>
      <c r="E204" s="62" t="s">
        <v>389</v>
      </c>
      <c r="F204" s="62" t="s">
        <v>150</v>
      </c>
      <c r="G204" s="62" t="s">
        <v>389</v>
      </c>
      <c r="H204" s="65" t="n">
        <v>4.1</v>
      </c>
      <c r="I204" s="62" t="s">
        <v>392</v>
      </c>
    </row>
    <row r="205" customFormat="false" ht="15" hidden="false" customHeight="false" outlineLevel="0" collapsed="false">
      <c r="A205" s="62" t="s">
        <v>388</v>
      </c>
      <c r="B205" s="63" t="n">
        <v>670</v>
      </c>
      <c r="C205" s="64" t="n">
        <v>46302.7522276852</v>
      </c>
      <c r="D205" s="63" t="n">
        <v>18</v>
      </c>
      <c r="E205" s="62" t="s">
        <v>389</v>
      </c>
      <c r="F205" s="62" t="s">
        <v>151</v>
      </c>
      <c r="G205" s="62" t="s">
        <v>389</v>
      </c>
      <c r="H205" s="65" t="n">
        <v>6.1</v>
      </c>
      <c r="I205" s="62" t="s">
        <v>275</v>
      </c>
    </row>
    <row r="206" customFormat="false" ht="15" hidden="false" customHeight="false" outlineLevel="0" collapsed="false">
      <c r="A206" s="62" t="s">
        <v>388</v>
      </c>
      <c r="B206" s="63" t="n">
        <v>670</v>
      </c>
      <c r="C206" s="64" t="n">
        <v>46302.7554314583</v>
      </c>
      <c r="D206" s="63" t="n">
        <v>18</v>
      </c>
      <c r="E206" s="62" t="s">
        <v>389</v>
      </c>
      <c r="F206" s="62" t="s">
        <v>151</v>
      </c>
      <c r="G206" s="62" t="s">
        <v>389</v>
      </c>
      <c r="H206" s="65" t="n">
        <v>1.5</v>
      </c>
      <c r="I206" s="62" t="s">
        <v>392</v>
      </c>
    </row>
    <row r="207" customFormat="false" ht="15" hidden="false" customHeight="false" outlineLevel="0" collapsed="false">
      <c r="A207" s="62" t="s">
        <v>388</v>
      </c>
      <c r="B207" s="63" t="n">
        <v>682</v>
      </c>
      <c r="C207" s="64" t="n">
        <v>46302.7557739352</v>
      </c>
      <c r="D207" s="63" t="n">
        <v>18</v>
      </c>
      <c r="E207" s="62" t="s">
        <v>389</v>
      </c>
      <c r="F207" s="62" t="s">
        <v>430</v>
      </c>
      <c r="G207" s="62" t="s">
        <v>389</v>
      </c>
      <c r="H207" s="65" t="n">
        <v>3.4</v>
      </c>
      <c r="I207" s="62" t="s">
        <v>275</v>
      </c>
    </row>
    <row r="208" customFormat="false" ht="15" hidden="false" customHeight="false" outlineLevel="0" collapsed="false">
      <c r="A208" s="62" t="s">
        <v>388</v>
      </c>
      <c r="B208" s="63" t="n">
        <v>682</v>
      </c>
      <c r="C208" s="64" t="n">
        <v>46302.7570304282</v>
      </c>
      <c r="D208" s="63" t="n">
        <v>18</v>
      </c>
      <c r="E208" s="62" t="s">
        <v>389</v>
      </c>
      <c r="F208" s="62" t="s">
        <v>431</v>
      </c>
      <c r="G208" s="62" t="s">
        <v>389</v>
      </c>
      <c r="H208" s="65" t="n">
        <v>1.6</v>
      </c>
      <c r="I208" s="62" t="s">
        <v>275</v>
      </c>
    </row>
    <row r="209" customFormat="false" ht="15" hidden="false" customHeight="false" outlineLevel="0" collapsed="false">
      <c r="A209" s="62" t="s">
        <v>388</v>
      </c>
      <c r="B209" s="63" t="n">
        <v>682</v>
      </c>
      <c r="C209" s="64" t="n">
        <v>46302.7580004977</v>
      </c>
      <c r="D209" s="63" t="n">
        <v>18</v>
      </c>
      <c r="E209" s="62" t="s">
        <v>389</v>
      </c>
      <c r="F209" s="62" t="s">
        <v>431</v>
      </c>
      <c r="G209" s="62" t="s">
        <v>389</v>
      </c>
      <c r="H209" s="65" t="n">
        <v>0.2</v>
      </c>
      <c r="I209" s="62" t="s">
        <v>392</v>
      </c>
    </row>
    <row r="210" customFormat="false" ht="15" hidden="false" customHeight="false" outlineLevel="0" collapsed="false">
      <c r="A210" s="62" t="s">
        <v>388</v>
      </c>
      <c r="B210" s="63" t="n">
        <v>659</v>
      </c>
      <c r="C210" s="64" t="n">
        <v>46302.7972500926</v>
      </c>
      <c r="D210" s="63" t="n">
        <v>19</v>
      </c>
      <c r="E210" s="62" t="s">
        <v>389</v>
      </c>
      <c r="F210" s="62" t="s">
        <v>431</v>
      </c>
      <c r="G210" s="62" t="s">
        <v>389</v>
      </c>
      <c r="H210" s="65" t="n">
        <v>17.4</v>
      </c>
      <c r="I210" s="62" t="s">
        <v>275</v>
      </c>
    </row>
    <row r="211" customFormat="false" ht="15" hidden="false" customHeight="false" outlineLevel="0" collapsed="false">
      <c r="A211" s="62" t="s">
        <v>388</v>
      </c>
      <c r="B211" s="63" t="n">
        <v>670</v>
      </c>
      <c r="C211" s="64" t="n">
        <v>46302.7973546528</v>
      </c>
      <c r="D211" s="63" t="n">
        <v>19</v>
      </c>
      <c r="E211" s="62" t="s">
        <v>389</v>
      </c>
      <c r="F211" s="62" t="s">
        <v>152</v>
      </c>
      <c r="G211" s="62" t="s">
        <v>389</v>
      </c>
      <c r="H211" s="65" t="n">
        <v>8.1</v>
      </c>
      <c r="I211" s="62" t="s">
        <v>392</v>
      </c>
    </row>
    <row r="212" customFormat="false" ht="15" hidden="false" customHeight="false" outlineLevel="0" collapsed="false">
      <c r="A212" s="62" t="s">
        <v>388</v>
      </c>
      <c r="B212" s="63" t="n">
        <v>705</v>
      </c>
      <c r="C212" s="64" t="n">
        <v>46302.8033367361</v>
      </c>
      <c r="D212" s="63" t="n">
        <v>19</v>
      </c>
      <c r="E212" s="62" t="s">
        <v>389</v>
      </c>
      <c r="F212" s="62" t="s">
        <v>430</v>
      </c>
      <c r="G212" s="62" t="s">
        <v>389</v>
      </c>
      <c r="H212" s="65" t="n">
        <v>8.3</v>
      </c>
      <c r="I212" s="62" t="s">
        <v>275</v>
      </c>
    </row>
    <row r="213" customFormat="false" ht="15" hidden="false" customHeight="false" outlineLevel="0" collapsed="false">
      <c r="A213" s="62" t="s">
        <v>388</v>
      </c>
      <c r="B213" s="63" t="n">
        <v>670</v>
      </c>
      <c r="C213" s="64" t="n">
        <v>46302.8041489352</v>
      </c>
      <c r="D213" s="63" t="n">
        <v>19</v>
      </c>
      <c r="E213" s="62" t="s">
        <v>389</v>
      </c>
      <c r="F213" s="62" t="s">
        <v>152</v>
      </c>
      <c r="G213" s="62" t="s">
        <v>389</v>
      </c>
      <c r="H213" s="65" t="n">
        <v>0.5</v>
      </c>
      <c r="I213" s="62" t="s">
        <v>392</v>
      </c>
    </row>
    <row r="214" customFormat="false" ht="15" hidden="false" customHeight="false" outlineLevel="0" collapsed="false">
      <c r="A214" s="62" t="s">
        <v>388</v>
      </c>
      <c r="B214" s="63" t="n">
        <v>705</v>
      </c>
      <c r="C214" s="64" t="n">
        <v>46302.805634537</v>
      </c>
      <c r="D214" s="63" t="n">
        <v>19</v>
      </c>
      <c r="E214" s="62" t="s">
        <v>389</v>
      </c>
      <c r="F214" s="62" t="s">
        <v>431</v>
      </c>
      <c r="G214" s="62" t="s">
        <v>389</v>
      </c>
      <c r="H214" s="65" t="n">
        <v>5</v>
      </c>
      <c r="I214" s="62" t="s">
        <v>392</v>
      </c>
    </row>
    <row r="215" customFormat="false" ht="15" hidden="false" customHeight="false" outlineLevel="0" collapsed="false">
      <c r="A215" s="62" t="s">
        <v>388</v>
      </c>
      <c r="B215" s="63" t="n">
        <v>713</v>
      </c>
      <c r="C215" s="64" t="n">
        <v>46302.8177048032</v>
      </c>
      <c r="D215" s="63" t="n">
        <v>19</v>
      </c>
      <c r="E215" s="62" t="s">
        <v>389</v>
      </c>
      <c r="F215" s="62" t="s">
        <v>430</v>
      </c>
      <c r="G215" s="62" t="s">
        <v>389</v>
      </c>
      <c r="H215" s="65" t="n">
        <v>6654.8</v>
      </c>
      <c r="I215" s="62" t="s">
        <v>275</v>
      </c>
    </row>
    <row r="216" customFormat="false" ht="15" hidden="false" customHeight="false" outlineLevel="0" collapsed="false">
      <c r="A216" s="62" t="s">
        <v>388</v>
      </c>
      <c r="B216" s="63" t="n">
        <v>720</v>
      </c>
      <c r="C216" s="64" t="n">
        <v>46302.8518802431</v>
      </c>
      <c r="D216" s="63" t="n">
        <v>20</v>
      </c>
      <c r="E216" s="62" t="s">
        <v>389</v>
      </c>
      <c r="F216" s="62" t="s">
        <v>430</v>
      </c>
      <c r="G216" s="62" t="s">
        <v>389</v>
      </c>
      <c r="H216" s="65" t="n">
        <v>765.5</v>
      </c>
      <c r="I216" s="62" t="s">
        <v>275</v>
      </c>
    </row>
    <row r="217" customFormat="false" ht="15" hidden="false" customHeight="false" outlineLevel="0" collapsed="false">
      <c r="A217" s="62" t="s">
        <v>388</v>
      </c>
      <c r="B217" s="63" t="n">
        <v>721</v>
      </c>
      <c r="C217" s="64" t="n">
        <v>46302.8576971412</v>
      </c>
      <c r="D217" s="63" t="n">
        <v>20</v>
      </c>
      <c r="E217" s="62" t="s">
        <v>389</v>
      </c>
      <c r="F217" s="62" t="s">
        <v>430</v>
      </c>
      <c r="G217" s="62" t="s">
        <v>389</v>
      </c>
      <c r="H217" s="65" t="n">
        <v>14.8</v>
      </c>
      <c r="I217" s="62" t="s">
        <v>275</v>
      </c>
    </row>
    <row r="218" customFormat="false" ht="15" hidden="false" customHeight="false" outlineLevel="0" collapsed="false">
      <c r="A218" s="62" t="s">
        <v>388</v>
      </c>
      <c r="B218" s="63" t="n">
        <v>723</v>
      </c>
      <c r="C218" s="64" t="n">
        <v>46302.8590655556</v>
      </c>
      <c r="D218" s="63" t="n">
        <v>20</v>
      </c>
      <c r="E218" s="62" t="s">
        <v>389</v>
      </c>
      <c r="F218" s="62" t="s">
        <v>430</v>
      </c>
      <c r="G218" s="62" t="s">
        <v>389</v>
      </c>
      <c r="H218" s="65" t="n">
        <v>15.6</v>
      </c>
      <c r="I218" s="62" t="s">
        <v>275</v>
      </c>
    </row>
    <row r="219" customFormat="false" ht="15" hidden="false" customHeight="false" outlineLevel="0" collapsed="false">
      <c r="A219" s="62" t="s">
        <v>388</v>
      </c>
      <c r="B219" s="63" t="n">
        <v>721</v>
      </c>
      <c r="C219" s="64" t="n">
        <v>46302.8658355208</v>
      </c>
      <c r="D219" s="63" t="n">
        <v>20</v>
      </c>
      <c r="E219" s="62" t="s">
        <v>389</v>
      </c>
      <c r="F219" s="62" t="s">
        <v>431</v>
      </c>
      <c r="G219" s="62" t="s">
        <v>389</v>
      </c>
      <c r="H219" s="65" t="n">
        <v>3.1</v>
      </c>
      <c r="I219" s="62" t="s">
        <v>392</v>
      </c>
    </row>
    <row r="220" customFormat="false" ht="15" hidden="false" customHeight="false" outlineLevel="0" collapsed="false">
      <c r="A220" s="62" t="s">
        <v>388</v>
      </c>
      <c r="B220" s="63" t="n">
        <v>723</v>
      </c>
      <c r="C220" s="64" t="n">
        <v>46302.8673437847</v>
      </c>
      <c r="D220" s="63" t="n">
        <v>20</v>
      </c>
      <c r="E220" s="62" t="s">
        <v>389</v>
      </c>
      <c r="F220" s="62" t="s">
        <v>431</v>
      </c>
      <c r="G220" s="62" t="s">
        <v>389</v>
      </c>
      <c r="H220" s="65" t="n">
        <v>3.7</v>
      </c>
      <c r="I220" s="62" t="s">
        <v>392</v>
      </c>
    </row>
    <row r="221" customFormat="false" ht="15" hidden="false" customHeight="false" outlineLevel="0" collapsed="false">
      <c r="A221" s="62" t="s">
        <v>388</v>
      </c>
      <c r="B221" s="63" t="n">
        <v>725</v>
      </c>
      <c r="C221" s="64" t="n">
        <v>46302.8693279514</v>
      </c>
      <c r="D221" s="63" t="n">
        <v>20</v>
      </c>
      <c r="E221" s="62" t="s">
        <v>389</v>
      </c>
      <c r="F221" s="62" t="s">
        <v>430</v>
      </c>
      <c r="G221" s="62" t="s">
        <v>389</v>
      </c>
      <c r="H221" s="65" t="n">
        <v>5450</v>
      </c>
      <c r="I221" s="62" t="s">
        <v>275</v>
      </c>
    </row>
    <row r="222" customFormat="false" ht="15" hidden="false" customHeight="false" outlineLevel="0" collapsed="false">
      <c r="A222" s="62" t="s">
        <v>388</v>
      </c>
      <c r="B222" s="63" t="n">
        <v>723</v>
      </c>
      <c r="C222" s="64" t="n">
        <v>46302.8726268287</v>
      </c>
      <c r="D222" s="63" t="n">
        <v>20</v>
      </c>
      <c r="E222" s="62" t="s">
        <v>389</v>
      </c>
      <c r="F222" s="62" t="s">
        <v>151</v>
      </c>
      <c r="G222" s="62" t="s">
        <v>389</v>
      </c>
      <c r="H222" s="65" t="n">
        <v>1.2</v>
      </c>
      <c r="I222" s="62" t="s">
        <v>392</v>
      </c>
    </row>
    <row r="223" customFormat="false" ht="15" hidden="false" customHeight="false" outlineLevel="0" collapsed="false">
      <c r="A223" s="62" t="s">
        <v>388</v>
      </c>
      <c r="B223" s="63" t="n">
        <v>723</v>
      </c>
      <c r="C223" s="64" t="n">
        <v>46302.875174213</v>
      </c>
      <c r="D223" s="63" t="n">
        <v>21</v>
      </c>
      <c r="E223" s="62" t="s">
        <v>390</v>
      </c>
      <c r="F223" s="62" t="s">
        <v>151</v>
      </c>
      <c r="G223" s="62" t="s">
        <v>389</v>
      </c>
      <c r="H223" s="65" t="n">
        <v>5</v>
      </c>
      <c r="I223" s="62" t="s">
        <v>275</v>
      </c>
    </row>
    <row r="224" customFormat="false" ht="15" hidden="false" customHeight="false" outlineLevel="0" collapsed="false">
      <c r="A224" s="62" t="s">
        <v>388</v>
      </c>
      <c r="B224" s="63" t="n">
        <v>723</v>
      </c>
      <c r="C224" s="64" t="n">
        <v>46302.8773554745</v>
      </c>
      <c r="D224" s="63" t="n">
        <v>21</v>
      </c>
      <c r="E224" s="62" t="s">
        <v>390</v>
      </c>
      <c r="F224" s="62" t="s">
        <v>151</v>
      </c>
      <c r="G224" s="62" t="s">
        <v>389</v>
      </c>
      <c r="H224" s="65" t="n">
        <v>1.8</v>
      </c>
      <c r="I224" s="62" t="s">
        <v>392</v>
      </c>
    </row>
    <row r="225" customFormat="false" ht="15" hidden="false" customHeight="false" outlineLevel="0" collapsed="false">
      <c r="A225" s="62" t="s">
        <v>388</v>
      </c>
      <c r="B225" s="63" t="n">
        <v>721</v>
      </c>
      <c r="C225" s="64" t="n">
        <v>46302.8845383218</v>
      </c>
      <c r="D225" s="63" t="n">
        <v>21</v>
      </c>
      <c r="E225" s="62" t="s">
        <v>390</v>
      </c>
      <c r="F225" s="62" t="s">
        <v>151</v>
      </c>
      <c r="G225" s="62" t="s">
        <v>389</v>
      </c>
      <c r="H225" s="65" t="n">
        <v>0.3</v>
      </c>
      <c r="I225" s="62" t="s">
        <v>392</v>
      </c>
    </row>
    <row r="226" customFormat="false" ht="15" hidden="false" customHeight="false" outlineLevel="0" collapsed="false">
      <c r="A226" s="62" t="s">
        <v>388</v>
      </c>
      <c r="B226" s="63" t="n">
        <v>721</v>
      </c>
      <c r="C226" s="64" t="n">
        <v>46302.885962338</v>
      </c>
      <c r="D226" s="63" t="n">
        <v>21</v>
      </c>
      <c r="E226" s="62" t="s">
        <v>390</v>
      </c>
      <c r="F226" s="62" t="s">
        <v>151</v>
      </c>
      <c r="G226" s="62" t="s">
        <v>389</v>
      </c>
      <c r="H226" s="65" t="n">
        <v>1.8</v>
      </c>
      <c r="I226" s="62" t="s">
        <v>392</v>
      </c>
    </row>
    <row r="227" customFormat="false" ht="15" hidden="false" customHeight="false" outlineLevel="0" collapsed="false">
      <c r="A227" s="62" t="s">
        <v>388</v>
      </c>
      <c r="B227" s="63" t="n">
        <v>730</v>
      </c>
      <c r="C227" s="64" t="n">
        <v>46302.8861273148</v>
      </c>
      <c r="D227" s="63" t="n">
        <v>21</v>
      </c>
      <c r="E227" s="62" t="s">
        <v>390</v>
      </c>
      <c r="F227" s="62" t="s">
        <v>430</v>
      </c>
      <c r="G227" s="62" t="s">
        <v>389</v>
      </c>
      <c r="H227" s="65" t="n">
        <v>24.6</v>
      </c>
      <c r="I227" s="62" t="s">
        <v>275</v>
      </c>
    </row>
    <row r="228" customFormat="false" ht="15" hidden="false" customHeight="false" outlineLevel="0" collapsed="false">
      <c r="A228" s="62" t="s">
        <v>388</v>
      </c>
      <c r="B228" s="63" t="n">
        <v>730</v>
      </c>
      <c r="C228" s="64" t="n">
        <v>46302.8966908681</v>
      </c>
      <c r="D228" s="63" t="n">
        <v>21</v>
      </c>
      <c r="E228" s="62" t="s">
        <v>390</v>
      </c>
      <c r="F228" s="62" t="s">
        <v>431</v>
      </c>
      <c r="G228" s="62" t="s">
        <v>389</v>
      </c>
      <c r="H228" s="65" t="n">
        <v>9.4</v>
      </c>
      <c r="I228" s="62" t="s">
        <v>392</v>
      </c>
    </row>
    <row r="229" customFormat="false" ht="15" hidden="false" customHeight="false" outlineLevel="0" collapsed="false">
      <c r="A229" s="62" t="s">
        <v>388</v>
      </c>
      <c r="B229" s="63" t="n">
        <v>730</v>
      </c>
      <c r="C229" s="64" t="n">
        <v>46302.9069721296</v>
      </c>
      <c r="D229" s="63" t="n">
        <v>21</v>
      </c>
      <c r="E229" s="62" t="s">
        <v>390</v>
      </c>
      <c r="F229" s="62" t="s">
        <v>151</v>
      </c>
      <c r="G229" s="62" t="s">
        <v>389</v>
      </c>
      <c r="H229" s="65" t="n">
        <v>6.9</v>
      </c>
      <c r="I229" s="62" t="s">
        <v>275</v>
      </c>
    </row>
    <row r="230" customFormat="false" ht="15" hidden="false" customHeight="false" outlineLevel="0" collapsed="false">
      <c r="A230" s="62" t="s">
        <v>388</v>
      </c>
      <c r="B230" s="63" t="n">
        <v>730</v>
      </c>
      <c r="C230" s="64" t="n">
        <v>46302.909690081</v>
      </c>
      <c r="D230" s="63" t="n">
        <v>21</v>
      </c>
      <c r="E230" s="62" t="s">
        <v>390</v>
      </c>
      <c r="F230" s="62" t="s">
        <v>151</v>
      </c>
      <c r="G230" s="62" t="s">
        <v>389</v>
      </c>
      <c r="H230" s="65" t="n">
        <v>3</v>
      </c>
      <c r="I230" s="62" t="s">
        <v>392</v>
      </c>
    </row>
    <row r="231" customFormat="false" ht="15" hidden="false" customHeight="false" outlineLevel="0" collapsed="false">
      <c r="A231" s="62" t="s">
        <v>388</v>
      </c>
      <c r="B231" s="63" t="n">
        <v>740</v>
      </c>
      <c r="C231" s="64" t="n">
        <v>46302.9105782755</v>
      </c>
      <c r="D231" s="63" t="n">
        <v>21</v>
      </c>
      <c r="E231" s="62" t="s">
        <v>390</v>
      </c>
      <c r="F231" s="62" t="s">
        <v>430</v>
      </c>
      <c r="G231" s="62" t="s">
        <v>389</v>
      </c>
      <c r="H231" s="65" t="n">
        <v>2.2</v>
      </c>
      <c r="I231" s="62" t="s">
        <v>392</v>
      </c>
    </row>
    <row r="232" customFormat="false" ht="15" hidden="false" customHeight="false" outlineLevel="0" collapsed="false">
      <c r="A232" s="62" t="s">
        <v>388</v>
      </c>
      <c r="B232" s="63" t="n">
        <v>740</v>
      </c>
      <c r="C232" s="64" t="n">
        <v>46302.9126467245</v>
      </c>
      <c r="D232" s="63" t="n">
        <v>21</v>
      </c>
      <c r="E232" s="62" t="s">
        <v>390</v>
      </c>
      <c r="F232" s="62" t="s">
        <v>430</v>
      </c>
      <c r="G232" s="62" t="s">
        <v>389</v>
      </c>
      <c r="H232" s="65" t="n">
        <v>1.1</v>
      </c>
      <c r="I232" s="62" t="s">
        <v>392</v>
      </c>
    </row>
    <row r="233" customFormat="false" ht="15" hidden="false" customHeight="false" outlineLevel="0" collapsed="false">
      <c r="A233" s="62" t="s">
        <v>388</v>
      </c>
      <c r="B233" s="63" t="n">
        <v>740</v>
      </c>
      <c r="C233" s="64" t="n">
        <v>46302.9146925579</v>
      </c>
      <c r="D233" s="63" t="n">
        <v>21</v>
      </c>
      <c r="E233" s="62" t="s">
        <v>390</v>
      </c>
      <c r="F233" s="62" t="s">
        <v>430</v>
      </c>
      <c r="G233" s="62" t="s">
        <v>389</v>
      </c>
      <c r="H233" s="65" t="n">
        <v>655.7</v>
      </c>
      <c r="I233" s="62" t="s">
        <v>275</v>
      </c>
    </row>
    <row r="234" customFormat="false" ht="15" hidden="false" customHeight="false" outlineLevel="0" collapsed="false">
      <c r="A234" s="62" t="s">
        <v>388</v>
      </c>
      <c r="B234" s="63" t="n">
        <v>730</v>
      </c>
      <c r="C234" s="64" t="n">
        <v>46302.9154966667</v>
      </c>
      <c r="D234" s="63" t="n">
        <v>21</v>
      </c>
      <c r="E234" s="62" t="s">
        <v>390</v>
      </c>
      <c r="F234" s="62" t="s">
        <v>152</v>
      </c>
      <c r="G234" s="62" t="s">
        <v>389</v>
      </c>
      <c r="H234" s="65" t="n">
        <v>2.1</v>
      </c>
      <c r="I234" s="62" t="s">
        <v>392</v>
      </c>
    </row>
    <row r="235" customFormat="false" ht="15" hidden="false" customHeight="false" outlineLevel="0" collapsed="false">
      <c r="A235" s="62" t="s">
        <v>388</v>
      </c>
      <c r="B235" s="63" t="n">
        <v>730</v>
      </c>
      <c r="C235" s="64" t="n">
        <v>46302.9175727199</v>
      </c>
      <c r="D235" s="63" t="n">
        <v>22</v>
      </c>
      <c r="E235" s="62" t="s">
        <v>390</v>
      </c>
      <c r="F235" s="62" t="s">
        <v>152</v>
      </c>
      <c r="G235" s="62" t="s">
        <v>389</v>
      </c>
      <c r="H235" s="65" t="n">
        <v>0.3</v>
      </c>
      <c r="I235" s="62" t="s">
        <v>392</v>
      </c>
    </row>
    <row r="236" customFormat="false" ht="15" hidden="false" customHeight="false" outlineLevel="0" collapsed="false">
      <c r="A236" s="62" t="s">
        <v>388</v>
      </c>
      <c r="B236" s="63" t="n">
        <v>730</v>
      </c>
      <c r="C236" s="64" t="n">
        <v>46302.9214806829</v>
      </c>
      <c r="D236" s="63" t="n">
        <v>22</v>
      </c>
      <c r="E236" s="62" t="s">
        <v>390</v>
      </c>
      <c r="F236" s="62" t="s">
        <v>152</v>
      </c>
      <c r="G236" s="62" t="s">
        <v>389</v>
      </c>
      <c r="H236" s="65" t="n">
        <v>555</v>
      </c>
      <c r="I236" s="62" t="s">
        <v>275</v>
      </c>
    </row>
    <row r="237" customFormat="false" ht="15" hidden="false" customHeight="false" outlineLevel="0" collapsed="false">
      <c r="A237" s="62" t="s">
        <v>388</v>
      </c>
      <c r="B237" s="63" t="n">
        <v>742</v>
      </c>
      <c r="C237" s="64" t="n">
        <v>46302.9228727083</v>
      </c>
      <c r="D237" s="63" t="n">
        <v>22</v>
      </c>
      <c r="E237" s="62" t="s">
        <v>390</v>
      </c>
      <c r="F237" s="62" t="s">
        <v>430</v>
      </c>
      <c r="G237" s="62" t="s">
        <v>389</v>
      </c>
      <c r="H237" s="65" t="n">
        <v>721.1</v>
      </c>
      <c r="I237" s="62" t="s">
        <v>275</v>
      </c>
    </row>
    <row r="238" customFormat="false" ht="15" hidden="false" customHeight="false" outlineLevel="0" collapsed="false">
      <c r="A238" s="62" t="s">
        <v>388</v>
      </c>
      <c r="B238" s="63" t="n">
        <v>745</v>
      </c>
      <c r="C238" s="64" t="n">
        <v>46302.9386882292</v>
      </c>
      <c r="D238" s="63" t="n">
        <v>22</v>
      </c>
      <c r="E238" s="62" t="s">
        <v>390</v>
      </c>
      <c r="F238" s="62" t="s">
        <v>430</v>
      </c>
      <c r="G238" s="62" t="s">
        <v>389</v>
      </c>
      <c r="H238" s="65" t="n">
        <v>5320.3</v>
      </c>
      <c r="I238" s="62" t="s">
        <v>275</v>
      </c>
    </row>
    <row r="239" customFormat="false" ht="15" hidden="false" customHeight="false" outlineLevel="0" collapsed="false">
      <c r="A239" s="62" t="s">
        <v>388</v>
      </c>
      <c r="B239" s="63" t="n">
        <v>730</v>
      </c>
      <c r="C239" s="64" t="n">
        <v>46302.9440193634</v>
      </c>
      <c r="D239" s="63" t="n">
        <v>22</v>
      </c>
      <c r="E239" s="62" t="s">
        <v>390</v>
      </c>
      <c r="F239" s="62" t="s">
        <v>152</v>
      </c>
      <c r="G239" s="62" t="s">
        <v>389</v>
      </c>
      <c r="H239" s="65" t="n">
        <v>522.6</v>
      </c>
      <c r="I239" s="62" t="s">
        <v>392</v>
      </c>
    </row>
    <row r="240" customFormat="false" ht="15" hidden="false" customHeight="false" outlineLevel="0" collapsed="false">
      <c r="A240" s="62" t="s">
        <v>388</v>
      </c>
      <c r="B240" s="63" t="n">
        <v>752</v>
      </c>
      <c r="C240" s="64" t="n">
        <v>46302.971111794</v>
      </c>
      <c r="D240" s="63" t="n">
        <v>23</v>
      </c>
      <c r="E240" s="62" t="s">
        <v>390</v>
      </c>
      <c r="F240" s="62" t="s">
        <v>430</v>
      </c>
      <c r="G240" s="62" t="s">
        <v>389</v>
      </c>
      <c r="H240" s="65" t="n">
        <v>647.8</v>
      </c>
      <c r="I240" s="62" t="s">
        <v>275</v>
      </c>
    </row>
    <row r="241" customFormat="false" ht="15" hidden="false" customHeight="false" outlineLevel="0" collapsed="false">
      <c r="A241" s="62" t="s">
        <v>388</v>
      </c>
      <c r="B241" s="63" t="n">
        <v>754</v>
      </c>
      <c r="C241" s="64" t="n">
        <v>46302.9844381366</v>
      </c>
      <c r="D241" s="63" t="n">
        <v>23</v>
      </c>
      <c r="E241" s="62" t="s">
        <v>390</v>
      </c>
      <c r="F241" s="62" t="s">
        <v>430</v>
      </c>
      <c r="G241" s="62" t="s">
        <v>389</v>
      </c>
      <c r="H241" s="65" t="n">
        <v>477.3</v>
      </c>
      <c r="I241" s="62" t="s">
        <v>275</v>
      </c>
    </row>
    <row r="242" customFormat="false" ht="15" hidden="false" customHeight="false" outlineLevel="0" collapsed="false">
      <c r="A242" s="62" t="s">
        <v>388</v>
      </c>
      <c r="B242" s="63" t="n">
        <v>757</v>
      </c>
      <c r="C242" s="64" t="n">
        <v>46302.9932547454</v>
      </c>
      <c r="D242" s="63" t="n">
        <v>23</v>
      </c>
      <c r="E242" s="62" t="s">
        <v>390</v>
      </c>
      <c r="F242" s="62" t="s">
        <v>430</v>
      </c>
      <c r="G242" s="62" t="s">
        <v>389</v>
      </c>
      <c r="H242" s="65" t="n">
        <v>5248</v>
      </c>
      <c r="I242" s="62" t="s">
        <v>275</v>
      </c>
    </row>
    <row r="243" customFormat="false" ht="15" hidden="false" customHeight="false" outlineLevel="0" collapsed="false">
      <c r="A243" s="62" t="s">
        <v>388</v>
      </c>
      <c r="B243" s="63" t="n">
        <v>762</v>
      </c>
      <c r="C243" s="64" t="n">
        <v>46303.1965199537</v>
      </c>
      <c r="D243" s="63" t="n">
        <v>4</v>
      </c>
      <c r="E243" s="62" t="s">
        <v>390</v>
      </c>
      <c r="F243" s="62" t="s">
        <v>431</v>
      </c>
      <c r="G243" s="62" t="s">
        <v>389</v>
      </c>
      <c r="H243" s="65" t="n">
        <v>167.2</v>
      </c>
      <c r="I243" s="62" t="s">
        <v>392</v>
      </c>
    </row>
    <row r="244" customFormat="false" ht="15" hidden="false" customHeight="false" outlineLevel="0" collapsed="false">
      <c r="A244" s="62" t="s">
        <v>388</v>
      </c>
      <c r="B244" s="63" t="n">
        <v>767</v>
      </c>
      <c r="C244" s="64" t="n">
        <v>46303.2277357639</v>
      </c>
      <c r="D244" s="63" t="n">
        <v>5</v>
      </c>
      <c r="E244" s="62" t="s">
        <v>390</v>
      </c>
      <c r="F244" s="62" t="s">
        <v>430</v>
      </c>
      <c r="G244" s="62" t="s">
        <v>389</v>
      </c>
      <c r="H244" s="65" t="n">
        <v>4911.8</v>
      </c>
      <c r="I244" s="62" t="s">
        <v>275</v>
      </c>
    </row>
    <row r="245" customFormat="false" ht="15" hidden="false" customHeight="false" outlineLevel="0" collapsed="false">
      <c r="A245" s="62" t="s">
        <v>388</v>
      </c>
      <c r="B245" s="63" t="n">
        <v>772</v>
      </c>
      <c r="C245" s="64" t="n">
        <v>46303.267499213</v>
      </c>
      <c r="D245" s="63" t="n">
        <v>6</v>
      </c>
      <c r="E245" s="62" t="s">
        <v>390</v>
      </c>
      <c r="F245" s="62" t="s">
        <v>430</v>
      </c>
      <c r="G245" s="62" t="s">
        <v>389</v>
      </c>
      <c r="H245" s="65" t="n">
        <v>99.3</v>
      </c>
      <c r="I245" s="62" t="s">
        <v>275</v>
      </c>
    </row>
    <row r="246" customFormat="false" ht="15" hidden="false" customHeight="false" outlineLevel="0" collapsed="false">
      <c r="A246" s="62" t="s">
        <v>388</v>
      </c>
      <c r="B246" s="63" t="n">
        <v>776</v>
      </c>
      <c r="C246" s="64" t="n">
        <v>46303.2946615857</v>
      </c>
      <c r="D246" s="63" t="n">
        <v>7</v>
      </c>
      <c r="E246" s="62" t="s">
        <v>390</v>
      </c>
      <c r="F246" s="62" t="s">
        <v>430</v>
      </c>
      <c r="G246" s="62" t="s">
        <v>389</v>
      </c>
      <c r="H246" s="65" t="n">
        <v>53.4</v>
      </c>
      <c r="I246" s="62" t="s">
        <v>275</v>
      </c>
    </row>
    <row r="247" customFormat="false" ht="15" hidden="false" customHeight="false" outlineLevel="0" collapsed="false">
      <c r="A247" s="62" t="s">
        <v>388</v>
      </c>
      <c r="B247" s="63" t="n">
        <v>754</v>
      </c>
      <c r="C247" s="64" t="n">
        <v>46303.3137948148</v>
      </c>
      <c r="D247" s="63" t="n">
        <v>7</v>
      </c>
      <c r="E247" s="62" t="s">
        <v>390</v>
      </c>
      <c r="F247" s="62" t="s">
        <v>431</v>
      </c>
      <c r="G247" s="62" t="s">
        <v>389</v>
      </c>
      <c r="H247" s="65" t="n">
        <v>3</v>
      </c>
      <c r="I247" s="62" t="s">
        <v>392</v>
      </c>
    </row>
    <row r="248" customFormat="false" ht="15" hidden="false" customHeight="false" outlineLevel="0" collapsed="false">
      <c r="A248" s="62" t="s">
        <v>388</v>
      </c>
      <c r="B248" s="63" t="n">
        <v>754</v>
      </c>
      <c r="C248" s="64" t="n">
        <v>46303.3160598843</v>
      </c>
      <c r="D248" s="63" t="n">
        <v>7</v>
      </c>
      <c r="E248" s="62" t="s">
        <v>390</v>
      </c>
      <c r="F248" s="62" t="s">
        <v>431</v>
      </c>
      <c r="G248" s="62" t="s">
        <v>389</v>
      </c>
      <c r="H248" s="65" t="n">
        <v>3.3</v>
      </c>
      <c r="I248" s="62" t="s">
        <v>392</v>
      </c>
    </row>
    <row r="249" customFormat="false" ht="15" hidden="false" customHeight="false" outlineLevel="0" collapsed="false">
      <c r="A249" s="62" t="s">
        <v>388</v>
      </c>
      <c r="B249" s="63" t="n">
        <v>754</v>
      </c>
      <c r="C249" s="64" t="n">
        <v>46303.3227196528</v>
      </c>
      <c r="D249" s="63" t="n">
        <v>7</v>
      </c>
      <c r="E249" s="62" t="s">
        <v>390</v>
      </c>
      <c r="F249" s="62" t="s">
        <v>151</v>
      </c>
      <c r="G249" s="62" t="s">
        <v>389</v>
      </c>
      <c r="H249" s="65" t="n">
        <v>5.5</v>
      </c>
      <c r="I249" s="62" t="s">
        <v>392</v>
      </c>
    </row>
    <row r="250" customFormat="false" ht="15" hidden="false" customHeight="false" outlineLevel="0" collapsed="false">
      <c r="A250" s="62" t="s">
        <v>388</v>
      </c>
      <c r="B250" s="63" t="n">
        <v>776</v>
      </c>
      <c r="C250" s="64" t="n">
        <v>46303.325206412</v>
      </c>
      <c r="D250" s="63" t="n">
        <v>7</v>
      </c>
      <c r="E250" s="62" t="s">
        <v>390</v>
      </c>
      <c r="F250" s="62" t="s">
        <v>431</v>
      </c>
      <c r="G250" s="62" t="s">
        <v>389</v>
      </c>
      <c r="H250" s="65" t="n">
        <v>9.4</v>
      </c>
      <c r="I250" s="62" t="s">
        <v>392</v>
      </c>
    </row>
    <row r="251" customFormat="false" ht="15" hidden="false" customHeight="false" outlineLevel="0" collapsed="false">
      <c r="A251" s="62" t="s">
        <v>388</v>
      </c>
      <c r="B251" s="63" t="n">
        <v>772</v>
      </c>
      <c r="C251" s="64" t="n">
        <v>46303.3314697454</v>
      </c>
      <c r="D251" s="63" t="n">
        <v>7</v>
      </c>
      <c r="E251" s="62" t="s">
        <v>390</v>
      </c>
      <c r="F251" s="62" t="s">
        <v>431</v>
      </c>
      <c r="G251" s="62" t="s">
        <v>389</v>
      </c>
      <c r="H251" s="65" t="n">
        <v>7.2</v>
      </c>
      <c r="I251" s="62" t="s">
        <v>392</v>
      </c>
    </row>
    <row r="252" customFormat="false" ht="15" hidden="false" customHeight="false" outlineLevel="0" collapsed="false">
      <c r="A252" s="62" t="s">
        <v>388</v>
      </c>
      <c r="B252" s="63" t="n">
        <v>754</v>
      </c>
      <c r="C252" s="64" t="n">
        <v>46303.3317875579</v>
      </c>
      <c r="D252" s="63" t="n">
        <v>7</v>
      </c>
      <c r="E252" s="62" t="s">
        <v>390</v>
      </c>
      <c r="F252" s="62" t="s">
        <v>151</v>
      </c>
      <c r="G252" s="62" t="s">
        <v>389</v>
      </c>
      <c r="H252" s="65" t="n">
        <v>6.5</v>
      </c>
      <c r="I252" s="62" t="s">
        <v>392</v>
      </c>
    </row>
    <row r="253" customFormat="false" ht="15" hidden="false" customHeight="false" outlineLevel="0" collapsed="false">
      <c r="A253" s="62" t="s">
        <v>388</v>
      </c>
      <c r="B253" s="63" t="n">
        <v>776</v>
      </c>
      <c r="C253" s="64" t="n">
        <v>46303.3325273958</v>
      </c>
      <c r="D253" s="63" t="n">
        <v>7</v>
      </c>
      <c r="E253" s="62" t="s">
        <v>390</v>
      </c>
      <c r="F253" s="62" t="s">
        <v>431</v>
      </c>
      <c r="G253" s="62" t="s">
        <v>389</v>
      </c>
      <c r="H253" s="65" t="n">
        <v>2.6</v>
      </c>
      <c r="I253" s="62" t="s">
        <v>392</v>
      </c>
    </row>
    <row r="254" customFormat="false" ht="15" hidden="false" customHeight="false" outlineLevel="0" collapsed="false">
      <c r="A254" s="62" t="s">
        <v>388</v>
      </c>
      <c r="B254" s="63" t="n">
        <v>772</v>
      </c>
      <c r="C254" s="64" t="n">
        <v>46303.3374457176</v>
      </c>
      <c r="D254" s="63" t="n">
        <v>8</v>
      </c>
      <c r="E254" s="62" t="s">
        <v>390</v>
      </c>
      <c r="F254" s="62" t="s">
        <v>431</v>
      </c>
      <c r="G254" s="62" t="s">
        <v>389</v>
      </c>
      <c r="H254" s="65" t="n">
        <v>3.1</v>
      </c>
      <c r="I254" s="62" t="s">
        <v>392</v>
      </c>
    </row>
    <row r="255" customFormat="false" ht="15" hidden="false" customHeight="false" outlineLevel="0" collapsed="false">
      <c r="A255" s="62" t="s">
        <v>388</v>
      </c>
      <c r="B255" s="63" t="n">
        <v>754</v>
      </c>
      <c r="C255" s="64" t="n">
        <v>46303.3407584028</v>
      </c>
      <c r="D255" s="63" t="n">
        <v>8</v>
      </c>
      <c r="E255" s="62" t="s">
        <v>390</v>
      </c>
      <c r="F255" s="62" t="s">
        <v>151</v>
      </c>
      <c r="G255" s="62" t="s">
        <v>389</v>
      </c>
      <c r="H255" s="65" t="n">
        <v>4</v>
      </c>
      <c r="I255" s="62" t="s">
        <v>392</v>
      </c>
    </row>
    <row r="256" customFormat="false" ht="15" hidden="false" customHeight="false" outlineLevel="0" collapsed="false">
      <c r="A256" s="62" t="s">
        <v>388</v>
      </c>
      <c r="B256" s="63" t="n">
        <v>772</v>
      </c>
      <c r="C256" s="64" t="n">
        <v>46303.3432167593</v>
      </c>
      <c r="D256" s="63" t="n">
        <v>8</v>
      </c>
      <c r="E256" s="62" t="s">
        <v>390</v>
      </c>
      <c r="F256" s="62" t="s">
        <v>151</v>
      </c>
      <c r="G256" s="62" t="s">
        <v>389</v>
      </c>
      <c r="H256" s="65" t="n">
        <v>6.9</v>
      </c>
      <c r="I256" s="62" t="s">
        <v>275</v>
      </c>
    </row>
    <row r="257" customFormat="false" ht="15" hidden="false" customHeight="false" outlineLevel="0" collapsed="false">
      <c r="A257" s="62" t="s">
        <v>388</v>
      </c>
      <c r="B257" s="63" t="n">
        <v>772</v>
      </c>
      <c r="C257" s="64" t="n">
        <v>46303.3438952431</v>
      </c>
      <c r="D257" s="63" t="n">
        <v>8</v>
      </c>
      <c r="E257" s="62" t="s">
        <v>390</v>
      </c>
      <c r="F257" s="62" t="s">
        <v>151</v>
      </c>
      <c r="G257" s="62" t="s">
        <v>389</v>
      </c>
      <c r="H257" s="65" t="n">
        <v>5.9</v>
      </c>
      <c r="I257" s="62" t="s">
        <v>392</v>
      </c>
    </row>
    <row r="258" customFormat="false" ht="15" hidden="false" customHeight="false" outlineLevel="0" collapsed="false">
      <c r="A258" s="62" t="s">
        <v>388</v>
      </c>
      <c r="B258" s="63" t="n">
        <v>776</v>
      </c>
      <c r="C258" s="64" t="n">
        <v>46303.3484922917</v>
      </c>
      <c r="D258" s="63" t="n">
        <v>8</v>
      </c>
      <c r="E258" s="62" t="s">
        <v>390</v>
      </c>
      <c r="F258" s="62" t="s">
        <v>431</v>
      </c>
      <c r="G258" s="62" t="s">
        <v>389</v>
      </c>
      <c r="H258" s="65" t="n">
        <v>3.2</v>
      </c>
      <c r="I258" s="62" t="s">
        <v>392</v>
      </c>
    </row>
    <row r="259" customFormat="false" ht="15" hidden="false" customHeight="false" outlineLevel="0" collapsed="false">
      <c r="A259" s="62" t="s">
        <v>388</v>
      </c>
      <c r="B259" s="63" t="n">
        <v>772</v>
      </c>
      <c r="C259" s="64" t="n">
        <v>46303.3491794097</v>
      </c>
      <c r="D259" s="63" t="n">
        <v>8</v>
      </c>
      <c r="E259" s="62" t="s">
        <v>390</v>
      </c>
      <c r="F259" s="62" t="s">
        <v>151</v>
      </c>
      <c r="G259" s="62" t="s">
        <v>389</v>
      </c>
      <c r="H259" s="65" t="n">
        <v>74.9</v>
      </c>
      <c r="I259" s="62" t="s">
        <v>392</v>
      </c>
    </row>
    <row r="260" customFormat="false" ht="15" hidden="false" customHeight="false" outlineLevel="0" collapsed="false">
      <c r="A260" s="62" t="s">
        <v>388</v>
      </c>
      <c r="B260" s="63" t="n">
        <v>776</v>
      </c>
      <c r="C260" s="64" t="n">
        <v>46303.3509275116</v>
      </c>
      <c r="D260" s="63" t="n">
        <v>8</v>
      </c>
      <c r="E260" s="62" t="s">
        <v>390</v>
      </c>
      <c r="F260" s="62" t="s">
        <v>431</v>
      </c>
      <c r="G260" s="62" t="s">
        <v>389</v>
      </c>
      <c r="H260" s="65" t="n">
        <v>1.9</v>
      </c>
      <c r="I260" s="62" t="s">
        <v>392</v>
      </c>
    </row>
    <row r="261" customFormat="false" ht="15" hidden="false" customHeight="false" outlineLevel="0" collapsed="false">
      <c r="A261" s="62" t="s">
        <v>388</v>
      </c>
      <c r="B261" s="63" t="n">
        <v>776</v>
      </c>
      <c r="C261" s="64" t="n">
        <v>46303.3537332407</v>
      </c>
      <c r="D261" s="63" t="n">
        <v>8</v>
      </c>
      <c r="E261" s="62" t="s">
        <v>390</v>
      </c>
      <c r="F261" s="62" t="s">
        <v>431</v>
      </c>
      <c r="G261" s="62" t="s">
        <v>389</v>
      </c>
      <c r="H261" s="65" t="n">
        <v>0.5</v>
      </c>
      <c r="I261" s="62" t="s">
        <v>392</v>
      </c>
    </row>
    <row r="262" customFormat="false" ht="15" hidden="false" customHeight="false" outlineLevel="0" collapsed="false">
      <c r="A262" s="62" t="s">
        <v>388</v>
      </c>
      <c r="B262" s="63" t="n">
        <v>776</v>
      </c>
      <c r="C262" s="64" t="n">
        <v>46303.3541315162</v>
      </c>
      <c r="D262" s="63" t="n">
        <v>8</v>
      </c>
      <c r="E262" s="62" t="s">
        <v>390</v>
      </c>
      <c r="F262" s="62" t="s">
        <v>431</v>
      </c>
      <c r="G262" s="62" t="s">
        <v>389</v>
      </c>
      <c r="H262" s="65" t="n">
        <v>1.2</v>
      </c>
      <c r="I262" s="62" t="s">
        <v>392</v>
      </c>
    </row>
    <row r="263" customFormat="false" ht="15" hidden="false" customHeight="false" outlineLevel="0" collapsed="false">
      <c r="A263" s="62" t="s">
        <v>388</v>
      </c>
      <c r="B263" s="63" t="n">
        <v>776</v>
      </c>
      <c r="C263" s="64" t="n">
        <v>46303.3607544329</v>
      </c>
      <c r="D263" s="63" t="n">
        <v>8</v>
      </c>
      <c r="E263" s="62" t="s">
        <v>390</v>
      </c>
      <c r="F263" s="62" t="s">
        <v>431</v>
      </c>
      <c r="G263" s="62" t="s">
        <v>389</v>
      </c>
      <c r="H263" s="65" t="n">
        <v>2</v>
      </c>
      <c r="I263" s="62" t="s">
        <v>392</v>
      </c>
    </row>
    <row r="264" customFormat="false" ht="15" hidden="false" customHeight="false" outlineLevel="0" collapsed="false">
      <c r="A264" s="62" t="s">
        <v>388</v>
      </c>
      <c r="B264" s="63" t="n">
        <v>740</v>
      </c>
      <c r="C264" s="64" t="n">
        <v>46303.367548125</v>
      </c>
      <c r="D264" s="63" t="n">
        <v>8</v>
      </c>
      <c r="E264" s="62" t="s">
        <v>390</v>
      </c>
      <c r="F264" s="62" t="s">
        <v>150</v>
      </c>
      <c r="G264" s="62" t="s">
        <v>389</v>
      </c>
      <c r="H264" s="65" t="n">
        <v>3.6</v>
      </c>
      <c r="I264" s="62" t="s">
        <v>392</v>
      </c>
    </row>
    <row r="265" customFormat="false" ht="15" hidden="false" customHeight="false" outlineLevel="0" collapsed="false">
      <c r="A265" s="62" t="s">
        <v>388</v>
      </c>
      <c r="B265" s="63" t="n">
        <v>720</v>
      </c>
      <c r="C265" s="64" t="n">
        <v>46303.3825118287</v>
      </c>
      <c r="D265" s="63" t="n">
        <v>9</v>
      </c>
      <c r="E265" s="62" t="s">
        <v>389</v>
      </c>
      <c r="F265" s="62" t="s">
        <v>150</v>
      </c>
      <c r="G265" s="62" t="s">
        <v>389</v>
      </c>
      <c r="H265" s="65" t="n">
        <v>1.4</v>
      </c>
      <c r="I265" s="62" t="s">
        <v>392</v>
      </c>
    </row>
    <row r="266" customFormat="false" ht="15" hidden="false" customHeight="false" outlineLevel="0" collapsed="false">
      <c r="A266" s="62" t="s">
        <v>388</v>
      </c>
      <c r="B266" s="63" t="n">
        <v>467</v>
      </c>
      <c r="C266" s="64" t="n">
        <v>46303.3833570718</v>
      </c>
      <c r="D266" s="63" t="n">
        <v>9</v>
      </c>
      <c r="E266" s="62" t="s">
        <v>389</v>
      </c>
      <c r="F266" s="62" t="s">
        <v>150</v>
      </c>
      <c r="G266" s="62" t="s">
        <v>389</v>
      </c>
      <c r="H266" s="65" t="n">
        <v>1</v>
      </c>
      <c r="I266" s="62" t="s">
        <v>392</v>
      </c>
    </row>
    <row r="267" customFormat="false" ht="15" hidden="false" customHeight="false" outlineLevel="0" collapsed="false">
      <c r="A267" s="62" t="s">
        <v>388</v>
      </c>
      <c r="B267" s="63" t="n">
        <v>467</v>
      </c>
      <c r="C267" s="64" t="n">
        <v>46303.3844739468</v>
      </c>
      <c r="D267" s="63" t="n">
        <v>9</v>
      </c>
      <c r="E267" s="62" t="s">
        <v>389</v>
      </c>
      <c r="F267" s="62" t="s">
        <v>150</v>
      </c>
      <c r="G267" s="62" t="s">
        <v>389</v>
      </c>
      <c r="H267" s="65" t="n">
        <v>0.4</v>
      </c>
      <c r="I267" s="62" t="s">
        <v>392</v>
      </c>
    </row>
    <row r="268" customFormat="false" ht="15" hidden="false" customHeight="false" outlineLevel="0" collapsed="false">
      <c r="A268" s="62" t="s">
        <v>388</v>
      </c>
      <c r="B268" s="63" t="n">
        <v>720</v>
      </c>
      <c r="C268" s="64" t="n">
        <v>46303.3845609375</v>
      </c>
      <c r="D268" s="63" t="n">
        <v>9</v>
      </c>
      <c r="E268" s="62" t="s">
        <v>389</v>
      </c>
      <c r="F268" s="62" t="s">
        <v>150</v>
      </c>
      <c r="G268" s="62" t="s">
        <v>389</v>
      </c>
      <c r="H268" s="65" t="n">
        <v>2.2</v>
      </c>
      <c r="I268" s="62" t="s">
        <v>392</v>
      </c>
    </row>
    <row r="269" customFormat="false" ht="15" hidden="false" customHeight="false" outlineLevel="0" collapsed="false">
      <c r="A269" s="62" t="s">
        <v>388</v>
      </c>
      <c r="B269" s="63" t="n">
        <v>467</v>
      </c>
      <c r="C269" s="64" t="n">
        <v>46303.38499</v>
      </c>
      <c r="D269" s="63" t="n">
        <v>9</v>
      </c>
      <c r="E269" s="62" t="s">
        <v>389</v>
      </c>
      <c r="F269" s="62" t="s">
        <v>150</v>
      </c>
      <c r="G269" s="62" t="s">
        <v>389</v>
      </c>
      <c r="H269" s="65" t="n">
        <v>0.5</v>
      </c>
      <c r="I269" s="62" t="s">
        <v>392</v>
      </c>
    </row>
    <row r="270" customFormat="false" ht="15" hidden="false" customHeight="false" outlineLevel="0" collapsed="false">
      <c r="A270" s="62" t="s">
        <v>388</v>
      </c>
      <c r="B270" s="63" t="n">
        <v>467</v>
      </c>
      <c r="C270" s="64" t="n">
        <v>46303.3862216898</v>
      </c>
      <c r="D270" s="63" t="n">
        <v>9</v>
      </c>
      <c r="E270" s="62" t="s">
        <v>389</v>
      </c>
      <c r="F270" s="62" t="s">
        <v>150</v>
      </c>
      <c r="G270" s="62" t="s">
        <v>389</v>
      </c>
      <c r="H270" s="65" t="n">
        <v>3.2</v>
      </c>
      <c r="I270" s="62" t="s">
        <v>392</v>
      </c>
    </row>
    <row r="271" customFormat="false" ht="15" hidden="false" customHeight="false" outlineLevel="0" collapsed="false">
      <c r="A271" s="62" t="s">
        <v>388</v>
      </c>
      <c r="B271" s="63" t="n">
        <v>720</v>
      </c>
      <c r="C271" s="64" t="n">
        <v>46303.3907850116</v>
      </c>
      <c r="D271" s="63" t="n">
        <v>9</v>
      </c>
      <c r="E271" s="62" t="s">
        <v>389</v>
      </c>
      <c r="F271" s="62" t="s">
        <v>150</v>
      </c>
      <c r="G271" s="62" t="s">
        <v>389</v>
      </c>
      <c r="H271" s="65" t="n">
        <v>4.3</v>
      </c>
      <c r="I271" s="62" t="s">
        <v>392</v>
      </c>
    </row>
    <row r="272" customFormat="false" ht="15" hidden="false" customHeight="false" outlineLevel="0" collapsed="false">
      <c r="A272" s="62" t="s">
        <v>388</v>
      </c>
      <c r="B272" s="63" t="n">
        <v>720</v>
      </c>
      <c r="C272" s="64" t="n">
        <v>46303.3948204977</v>
      </c>
      <c r="D272" s="63" t="n">
        <v>9</v>
      </c>
      <c r="E272" s="62" t="s">
        <v>389</v>
      </c>
      <c r="F272" s="62" t="s">
        <v>150</v>
      </c>
      <c r="G272" s="62" t="s">
        <v>389</v>
      </c>
      <c r="H272" s="65" t="n">
        <v>1.8</v>
      </c>
      <c r="I272" s="62" t="s">
        <v>392</v>
      </c>
    </row>
    <row r="273" customFormat="false" ht="15" hidden="false" customHeight="false" outlineLevel="0" collapsed="false">
      <c r="A273" s="62" t="s">
        <v>388</v>
      </c>
      <c r="B273" s="63" t="n">
        <v>740</v>
      </c>
      <c r="C273" s="64" t="n">
        <v>46303.3997477083</v>
      </c>
      <c r="D273" s="63" t="n">
        <v>9</v>
      </c>
      <c r="E273" s="62" t="s">
        <v>389</v>
      </c>
      <c r="F273" s="62" t="s">
        <v>150</v>
      </c>
      <c r="G273" s="62" t="s">
        <v>389</v>
      </c>
      <c r="H273" s="65" t="n">
        <v>3.3</v>
      </c>
      <c r="I273" s="62" t="s">
        <v>392</v>
      </c>
    </row>
    <row r="274" customFormat="false" ht="15" hidden="false" customHeight="false" outlineLevel="0" collapsed="false">
      <c r="A274" s="62" t="s">
        <v>388</v>
      </c>
      <c r="B274" s="63" t="n">
        <v>772</v>
      </c>
      <c r="C274" s="64" t="n">
        <v>46303.4050209954</v>
      </c>
      <c r="D274" s="63" t="n">
        <v>9</v>
      </c>
      <c r="E274" s="62" t="s">
        <v>389</v>
      </c>
      <c r="F274" s="62" t="s">
        <v>151</v>
      </c>
      <c r="G274" s="62" t="s">
        <v>389</v>
      </c>
      <c r="H274" s="65" t="n">
        <v>1.1</v>
      </c>
      <c r="I274" s="62" t="s">
        <v>392</v>
      </c>
    </row>
    <row r="275" customFormat="false" ht="15" hidden="false" customHeight="false" outlineLevel="0" collapsed="false">
      <c r="A275" s="62" t="s">
        <v>388</v>
      </c>
      <c r="B275" s="63" t="n">
        <v>740</v>
      </c>
      <c r="C275" s="64" t="n">
        <v>46303.4078848032</v>
      </c>
      <c r="D275" s="63" t="n">
        <v>9</v>
      </c>
      <c r="E275" s="62" t="s">
        <v>389</v>
      </c>
      <c r="F275" s="62" t="s">
        <v>150</v>
      </c>
      <c r="G275" s="62" t="s">
        <v>389</v>
      </c>
      <c r="H275" s="65" t="n">
        <v>3.5</v>
      </c>
      <c r="I275" s="62" t="s">
        <v>392</v>
      </c>
    </row>
    <row r="276" customFormat="false" ht="15" hidden="false" customHeight="false" outlineLevel="0" collapsed="false">
      <c r="A276" s="62" t="s">
        <v>388</v>
      </c>
      <c r="B276" s="63" t="n">
        <v>752</v>
      </c>
      <c r="C276" s="64" t="n">
        <v>46303.4195711111</v>
      </c>
      <c r="D276" s="63" t="n">
        <v>10</v>
      </c>
      <c r="E276" s="62" t="s">
        <v>389</v>
      </c>
      <c r="F276" s="62" t="s">
        <v>150</v>
      </c>
      <c r="G276" s="62" t="s">
        <v>389</v>
      </c>
      <c r="H276" s="65" t="n">
        <v>2</v>
      </c>
      <c r="I276" s="62" t="s">
        <v>392</v>
      </c>
    </row>
    <row r="277" customFormat="false" ht="15" hidden="false" customHeight="false" outlineLevel="0" collapsed="false">
      <c r="A277" s="62" t="s">
        <v>388</v>
      </c>
      <c r="B277" s="63" t="n">
        <v>752</v>
      </c>
      <c r="C277" s="64" t="n">
        <v>46303.4212012037</v>
      </c>
      <c r="D277" s="63" t="n">
        <v>10</v>
      </c>
      <c r="E277" s="62" t="s">
        <v>389</v>
      </c>
      <c r="F277" s="62" t="s">
        <v>150</v>
      </c>
      <c r="G277" s="62" t="s">
        <v>389</v>
      </c>
      <c r="H277" s="65" t="n">
        <v>1.2</v>
      </c>
      <c r="I277" s="62" t="s">
        <v>392</v>
      </c>
    </row>
    <row r="278" customFormat="false" ht="15" hidden="false" customHeight="false" outlineLevel="0" collapsed="false">
      <c r="A278" s="62" t="s">
        <v>388</v>
      </c>
      <c r="B278" s="63" t="n">
        <v>742</v>
      </c>
      <c r="C278" s="64" t="n">
        <v>46303.4220558796</v>
      </c>
      <c r="D278" s="63" t="n">
        <v>10</v>
      </c>
      <c r="E278" s="62" t="s">
        <v>389</v>
      </c>
      <c r="F278" s="62" t="s">
        <v>150</v>
      </c>
      <c r="G278" s="62" t="s">
        <v>389</v>
      </c>
      <c r="H278" s="65" t="n">
        <v>2.2</v>
      </c>
      <c r="I278" s="62" t="s">
        <v>392</v>
      </c>
    </row>
    <row r="279" customFormat="false" ht="15" hidden="false" customHeight="false" outlineLevel="0" collapsed="false">
      <c r="A279" s="62" t="s">
        <v>388</v>
      </c>
      <c r="B279" s="63" t="n">
        <v>752</v>
      </c>
      <c r="C279" s="64" t="n">
        <v>46303.4245120139</v>
      </c>
      <c r="D279" s="63" t="n">
        <v>10</v>
      </c>
      <c r="E279" s="62" t="s">
        <v>389</v>
      </c>
      <c r="F279" s="62" t="s">
        <v>150</v>
      </c>
      <c r="G279" s="62" t="s">
        <v>389</v>
      </c>
      <c r="H279" s="65" t="n">
        <v>2.3</v>
      </c>
      <c r="I279" s="62" t="s">
        <v>392</v>
      </c>
    </row>
    <row r="280" customFormat="false" ht="15" hidden="false" customHeight="false" outlineLevel="0" collapsed="false">
      <c r="A280" s="62" t="s">
        <v>388</v>
      </c>
      <c r="B280" s="63" t="n">
        <v>752</v>
      </c>
      <c r="C280" s="64" t="n">
        <v>46303.4266674769</v>
      </c>
      <c r="D280" s="63" t="n">
        <v>10</v>
      </c>
      <c r="E280" s="62" t="s">
        <v>389</v>
      </c>
      <c r="F280" s="62" t="s">
        <v>150</v>
      </c>
      <c r="G280" s="62" t="s">
        <v>389</v>
      </c>
      <c r="H280" s="65" t="n">
        <v>0.2</v>
      </c>
      <c r="I280" s="62" t="s">
        <v>392</v>
      </c>
    </row>
    <row r="281" customFormat="false" ht="15" hidden="false" customHeight="false" outlineLevel="0" collapsed="false">
      <c r="A281" s="62" t="s">
        <v>388</v>
      </c>
      <c r="B281" s="63" t="n">
        <v>742</v>
      </c>
      <c r="C281" s="64" t="n">
        <v>46303.4288478009</v>
      </c>
      <c r="D281" s="63" t="n">
        <v>10</v>
      </c>
      <c r="E281" s="62" t="s">
        <v>389</v>
      </c>
      <c r="F281" s="62" t="s">
        <v>150</v>
      </c>
      <c r="G281" s="62" t="s">
        <v>389</v>
      </c>
      <c r="H281" s="65" t="n">
        <v>0.6</v>
      </c>
      <c r="I281" s="62" t="s">
        <v>392</v>
      </c>
    </row>
    <row r="282" customFormat="false" ht="15" hidden="false" customHeight="false" outlineLevel="0" collapsed="false">
      <c r="A282" s="62" t="s">
        <v>388</v>
      </c>
      <c r="B282" s="63" t="n">
        <v>817</v>
      </c>
      <c r="C282" s="64" t="n">
        <v>46303.4304833565</v>
      </c>
      <c r="D282" s="63" t="n">
        <v>10</v>
      </c>
      <c r="E282" s="62" t="s">
        <v>389</v>
      </c>
      <c r="F282" s="62" t="s">
        <v>430</v>
      </c>
      <c r="G282" s="62" t="s">
        <v>389</v>
      </c>
      <c r="H282" s="65" t="n">
        <v>25.7</v>
      </c>
      <c r="I282" s="62" t="s">
        <v>275</v>
      </c>
    </row>
    <row r="283" customFormat="false" ht="15" hidden="false" customHeight="false" outlineLevel="0" collapsed="false">
      <c r="A283" s="62" t="s">
        <v>388</v>
      </c>
      <c r="B283" s="63" t="n">
        <v>822</v>
      </c>
      <c r="C283" s="64" t="n">
        <v>46303.4361396991</v>
      </c>
      <c r="D283" s="63" t="n">
        <v>10</v>
      </c>
      <c r="E283" s="62" t="s">
        <v>389</v>
      </c>
      <c r="F283" s="62" t="s">
        <v>430</v>
      </c>
      <c r="G283" s="62" t="s">
        <v>389</v>
      </c>
      <c r="H283" s="65" t="n">
        <v>191.8</v>
      </c>
      <c r="I283" s="62" t="s">
        <v>275</v>
      </c>
    </row>
    <row r="284" customFormat="false" ht="15" hidden="false" customHeight="false" outlineLevel="0" collapsed="false">
      <c r="A284" s="62" t="s">
        <v>388</v>
      </c>
      <c r="B284" s="63" t="n">
        <v>827</v>
      </c>
      <c r="C284" s="64" t="n">
        <v>46303.4442040278</v>
      </c>
      <c r="D284" s="63" t="n">
        <v>10</v>
      </c>
      <c r="E284" s="62" t="s">
        <v>389</v>
      </c>
      <c r="F284" s="62" t="s">
        <v>430</v>
      </c>
      <c r="G284" s="62" t="s">
        <v>389</v>
      </c>
      <c r="H284" s="65" t="n">
        <v>6.4</v>
      </c>
      <c r="I284" s="62" t="s">
        <v>392</v>
      </c>
    </row>
    <row r="285" customFormat="false" ht="15" hidden="false" customHeight="false" outlineLevel="0" collapsed="false">
      <c r="A285" s="62" t="s">
        <v>388</v>
      </c>
      <c r="B285" s="63" t="n">
        <v>817</v>
      </c>
      <c r="C285" s="64" t="n">
        <v>46303.4443851852</v>
      </c>
      <c r="D285" s="63" t="n">
        <v>10</v>
      </c>
      <c r="E285" s="62" t="s">
        <v>389</v>
      </c>
      <c r="F285" s="62" t="s">
        <v>431</v>
      </c>
      <c r="G285" s="62" t="s">
        <v>389</v>
      </c>
      <c r="H285" s="65" t="n">
        <v>5.7</v>
      </c>
      <c r="I285" s="62" t="s">
        <v>392</v>
      </c>
    </row>
    <row r="286" customFormat="false" ht="15" hidden="false" customHeight="false" outlineLevel="0" collapsed="false">
      <c r="A286" s="62" t="s">
        <v>388</v>
      </c>
      <c r="B286" s="63" t="n">
        <v>800</v>
      </c>
      <c r="C286" s="64" t="n">
        <v>46303.4460886227</v>
      </c>
      <c r="D286" s="63" t="n">
        <v>10</v>
      </c>
      <c r="E286" s="62" t="s">
        <v>389</v>
      </c>
      <c r="F286" s="62" t="s">
        <v>431</v>
      </c>
      <c r="G286" s="62" t="s">
        <v>389</v>
      </c>
      <c r="H286" s="65" t="n">
        <v>7.7</v>
      </c>
      <c r="I286" s="62" t="s">
        <v>392</v>
      </c>
    </row>
    <row r="287" customFormat="false" ht="15" hidden="false" customHeight="false" outlineLevel="0" collapsed="false">
      <c r="A287" s="62" t="s">
        <v>388</v>
      </c>
      <c r="B287" s="63" t="n">
        <v>817</v>
      </c>
      <c r="C287" s="64" t="n">
        <v>46303.462717581</v>
      </c>
      <c r="D287" s="63" t="n">
        <v>11</v>
      </c>
      <c r="E287" s="62" t="s">
        <v>389</v>
      </c>
      <c r="F287" s="62" t="s">
        <v>431</v>
      </c>
      <c r="G287" s="62" t="s">
        <v>389</v>
      </c>
      <c r="H287" s="65" t="n">
        <v>1.4</v>
      </c>
      <c r="I287" s="62" t="s">
        <v>392</v>
      </c>
    </row>
    <row r="288" customFormat="false" ht="15" hidden="false" customHeight="false" outlineLevel="0" collapsed="false">
      <c r="A288" s="62" t="s">
        <v>388</v>
      </c>
      <c r="B288" s="63" t="n">
        <v>836</v>
      </c>
      <c r="C288" s="64" t="n">
        <v>46303.4697965278</v>
      </c>
      <c r="D288" s="63" t="n">
        <v>11</v>
      </c>
      <c r="E288" s="62" t="s">
        <v>389</v>
      </c>
      <c r="F288" s="62" t="s">
        <v>430</v>
      </c>
      <c r="G288" s="62" t="s">
        <v>389</v>
      </c>
      <c r="H288" s="65" t="n">
        <v>12.6</v>
      </c>
      <c r="I288" s="62" t="s">
        <v>275</v>
      </c>
    </row>
    <row r="289" customFormat="false" ht="15" hidden="false" customHeight="false" outlineLevel="0" collapsed="false">
      <c r="A289" s="62" t="s">
        <v>388</v>
      </c>
      <c r="B289" s="63" t="n">
        <v>835</v>
      </c>
      <c r="C289" s="64" t="n">
        <v>46303.470577338</v>
      </c>
      <c r="D289" s="63" t="n">
        <v>11</v>
      </c>
      <c r="E289" s="62" t="s">
        <v>389</v>
      </c>
      <c r="F289" s="62" t="s">
        <v>430</v>
      </c>
      <c r="G289" s="62" t="s">
        <v>389</v>
      </c>
      <c r="H289" s="65" t="n">
        <v>7.8</v>
      </c>
      <c r="I289" s="62" t="s">
        <v>275</v>
      </c>
    </row>
    <row r="290" customFormat="false" ht="15" hidden="false" customHeight="false" outlineLevel="0" collapsed="false">
      <c r="A290" s="62" t="s">
        <v>388</v>
      </c>
      <c r="B290" s="63" t="n">
        <v>835</v>
      </c>
      <c r="C290" s="64" t="n">
        <v>46303.4737170139</v>
      </c>
      <c r="D290" s="63" t="n">
        <v>11</v>
      </c>
      <c r="E290" s="62" t="s">
        <v>389</v>
      </c>
      <c r="F290" s="62" t="s">
        <v>431</v>
      </c>
      <c r="G290" s="62" t="s">
        <v>389</v>
      </c>
      <c r="H290" s="65" t="n">
        <v>3.3</v>
      </c>
      <c r="I290" s="62" t="s">
        <v>392</v>
      </c>
    </row>
    <row r="291" customFormat="false" ht="15" hidden="false" customHeight="false" outlineLevel="0" collapsed="false">
      <c r="A291" s="62" t="s">
        <v>388</v>
      </c>
      <c r="B291" s="63" t="n">
        <v>836</v>
      </c>
      <c r="C291" s="64" t="n">
        <v>46303.4738254514</v>
      </c>
      <c r="D291" s="63" t="n">
        <v>11</v>
      </c>
      <c r="E291" s="62" t="s">
        <v>389</v>
      </c>
      <c r="F291" s="62" t="s">
        <v>431</v>
      </c>
      <c r="G291" s="62" t="s">
        <v>389</v>
      </c>
      <c r="H291" s="65" t="n">
        <v>6.8</v>
      </c>
      <c r="I291" s="62" t="s">
        <v>392</v>
      </c>
    </row>
    <row r="292" customFormat="false" ht="15" hidden="false" customHeight="false" outlineLevel="0" collapsed="false">
      <c r="A292" s="62" t="s">
        <v>388</v>
      </c>
      <c r="B292" s="63" t="n">
        <v>836</v>
      </c>
      <c r="C292" s="64" t="n">
        <v>46303.4787354282</v>
      </c>
      <c r="D292" s="63" t="n">
        <v>11</v>
      </c>
      <c r="E292" s="62" t="s">
        <v>389</v>
      </c>
      <c r="F292" s="62" t="s">
        <v>431</v>
      </c>
      <c r="G292" s="62" t="s">
        <v>389</v>
      </c>
      <c r="H292" s="65" t="n">
        <v>10.4</v>
      </c>
      <c r="I292" s="62" t="s">
        <v>392</v>
      </c>
    </row>
    <row r="293" customFormat="false" ht="15" hidden="false" customHeight="false" outlineLevel="0" collapsed="false">
      <c r="A293" s="62" t="s">
        <v>388</v>
      </c>
      <c r="B293" s="63" t="n">
        <v>752</v>
      </c>
      <c r="C293" s="64" t="n">
        <v>46303.4800618403</v>
      </c>
      <c r="D293" s="63" t="n">
        <v>11</v>
      </c>
      <c r="E293" s="62" t="s">
        <v>389</v>
      </c>
      <c r="F293" s="62" t="s">
        <v>150</v>
      </c>
      <c r="G293" s="62" t="s">
        <v>389</v>
      </c>
      <c r="H293" s="65" t="n">
        <v>5</v>
      </c>
      <c r="I293" s="62" t="s">
        <v>392</v>
      </c>
    </row>
    <row r="294" customFormat="false" ht="15" hidden="false" customHeight="false" outlineLevel="0" collapsed="false">
      <c r="A294" s="62" t="s">
        <v>388</v>
      </c>
      <c r="B294" s="63" t="n">
        <v>827</v>
      </c>
      <c r="C294" s="64" t="n">
        <v>46303.4812349769</v>
      </c>
      <c r="D294" s="63" t="n">
        <v>11</v>
      </c>
      <c r="E294" s="62" t="s">
        <v>389</v>
      </c>
      <c r="F294" s="62" t="s">
        <v>430</v>
      </c>
      <c r="G294" s="62" t="s">
        <v>389</v>
      </c>
      <c r="H294" s="65" t="n">
        <v>111.4</v>
      </c>
      <c r="I294" s="62" t="s">
        <v>275</v>
      </c>
    </row>
    <row r="295" customFormat="false" ht="15" hidden="false" customHeight="false" outlineLevel="0" collapsed="false">
      <c r="A295" s="62" t="s">
        <v>388</v>
      </c>
      <c r="B295" s="63" t="n">
        <v>835</v>
      </c>
      <c r="C295" s="64" t="n">
        <v>46303.4832369792</v>
      </c>
      <c r="D295" s="63" t="n">
        <v>11</v>
      </c>
      <c r="E295" s="62" t="s">
        <v>389</v>
      </c>
      <c r="F295" s="62" t="s">
        <v>431</v>
      </c>
      <c r="G295" s="62" t="s">
        <v>389</v>
      </c>
      <c r="H295" s="65" t="n">
        <v>0.1</v>
      </c>
      <c r="I295" s="62" t="s">
        <v>392</v>
      </c>
    </row>
    <row r="296" customFormat="false" ht="15" hidden="false" customHeight="false" outlineLevel="0" collapsed="false">
      <c r="A296" s="62" t="s">
        <v>388</v>
      </c>
      <c r="B296" s="63" t="n">
        <v>836</v>
      </c>
      <c r="C296" s="64" t="n">
        <v>46303.4961834491</v>
      </c>
      <c r="D296" s="63" t="n">
        <v>11</v>
      </c>
      <c r="E296" s="62" t="s">
        <v>389</v>
      </c>
      <c r="F296" s="62" t="s">
        <v>151</v>
      </c>
      <c r="G296" s="62" t="s">
        <v>389</v>
      </c>
      <c r="H296" s="65" t="n">
        <v>5636.2</v>
      </c>
      <c r="I296" s="62" t="s">
        <v>275</v>
      </c>
    </row>
    <row r="297" customFormat="false" ht="15" hidden="false" customHeight="false" outlineLevel="0" collapsed="false">
      <c r="A297" s="62" t="s">
        <v>388</v>
      </c>
      <c r="B297" s="63" t="n">
        <v>845</v>
      </c>
      <c r="C297" s="64" t="n">
        <v>46303.500504213</v>
      </c>
      <c r="D297" s="63" t="n">
        <v>12</v>
      </c>
      <c r="E297" s="62" t="s">
        <v>389</v>
      </c>
      <c r="F297" s="62" t="s">
        <v>430</v>
      </c>
      <c r="G297" s="62" t="s">
        <v>389</v>
      </c>
      <c r="H297" s="65" t="n">
        <v>7.3</v>
      </c>
      <c r="I297" s="62" t="s">
        <v>275</v>
      </c>
    </row>
    <row r="298" customFormat="false" ht="15" hidden="false" customHeight="false" outlineLevel="0" collapsed="false">
      <c r="A298" s="62" t="s">
        <v>388</v>
      </c>
      <c r="B298" s="63" t="n">
        <v>762</v>
      </c>
      <c r="C298" s="64" t="n">
        <v>46303.5020644792</v>
      </c>
      <c r="D298" s="63" t="n">
        <v>12</v>
      </c>
      <c r="E298" s="62" t="s">
        <v>389</v>
      </c>
      <c r="F298" s="62" t="s">
        <v>150</v>
      </c>
      <c r="G298" s="62" t="s">
        <v>389</v>
      </c>
      <c r="H298" s="65" t="n">
        <v>4.6</v>
      </c>
      <c r="I298" s="62" t="s">
        <v>392</v>
      </c>
    </row>
    <row r="299" customFormat="false" ht="15" hidden="false" customHeight="false" outlineLevel="0" collapsed="false">
      <c r="A299" s="62" t="s">
        <v>388</v>
      </c>
      <c r="B299" s="63" t="n">
        <v>845</v>
      </c>
      <c r="C299" s="64" t="n">
        <v>46303.5031873495</v>
      </c>
      <c r="D299" s="63" t="n">
        <v>12</v>
      </c>
      <c r="E299" s="62" t="s">
        <v>389</v>
      </c>
      <c r="F299" s="62" t="s">
        <v>431</v>
      </c>
      <c r="G299" s="62" t="s">
        <v>389</v>
      </c>
      <c r="H299" s="65" t="n">
        <v>3.4</v>
      </c>
      <c r="I299" s="62" t="s">
        <v>392</v>
      </c>
    </row>
    <row r="300" customFormat="false" ht="15" hidden="false" customHeight="false" outlineLevel="0" collapsed="false">
      <c r="A300" s="62" t="s">
        <v>388</v>
      </c>
      <c r="B300" s="63" t="n">
        <v>845</v>
      </c>
      <c r="C300" s="64" t="n">
        <v>46303.50634625</v>
      </c>
      <c r="D300" s="63" t="n">
        <v>12</v>
      </c>
      <c r="E300" s="62" t="s">
        <v>389</v>
      </c>
      <c r="F300" s="62" t="s">
        <v>431</v>
      </c>
      <c r="G300" s="62" t="s">
        <v>389</v>
      </c>
      <c r="H300" s="65" t="n">
        <v>2.3</v>
      </c>
      <c r="I300" s="62" t="s">
        <v>392</v>
      </c>
    </row>
    <row r="301" customFormat="false" ht="15" hidden="false" customHeight="false" outlineLevel="0" collapsed="false">
      <c r="A301" s="62" t="s">
        <v>388</v>
      </c>
      <c r="B301" s="63" t="n">
        <v>851</v>
      </c>
      <c r="C301" s="64" t="n">
        <v>46303.5128616551</v>
      </c>
      <c r="D301" s="63" t="n">
        <v>12</v>
      </c>
      <c r="E301" s="62" t="s">
        <v>389</v>
      </c>
      <c r="F301" s="62" t="s">
        <v>430</v>
      </c>
      <c r="G301" s="62" t="s">
        <v>389</v>
      </c>
      <c r="H301" s="65" t="n">
        <v>5629.5</v>
      </c>
      <c r="I301" s="62" t="s">
        <v>275</v>
      </c>
    </row>
    <row r="302" customFormat="false" ht="15" hidden="false" customHeight="false" outlineLevel="0" collapsed="false">
      <c r="A302" s="62" t="s">
        <v>388</v>
      </c>
      <c r="B302" s="63" t="n">
        <v>852</v>
      </c>
      <c r="C302" s="64" t="n">
        <v>46303.5178165162</v>
      </c>
      <c r="D302" s="63" t="n">
        <v>12</v>
      </c>
      <c r="E302" s="62" t="s">
        <v>389</v>
      </c>
      <c r="F302" s="62" t="s">
        <v>430</v>
      </c>
      <c r="G302" s="62" t="s">
        <v>389</v>
      </c>
      <c r="H302" s="65" t="n">
        <v>5623.1</v>
      </c>
      <c r="I302" s="62" t="s">
        <v>275</v>
      </c>
    </row>
    <row r="303" customFormat="false" ht="15" hidden="false" customHeight="false" outlineLevel="0" collapsed="false">
      <c r="A303" s="62" t="s">
        <v>388</v>
      </c>
      <c r="B303" s="63" t="n">
        <v>762</v>
      </c>
      <c r="C303" s="64" t="n">
        <v>46303.5202348727</v>
      </c>
      <c r="D303" s="63" t="n">
        <v>12</v>
      </c>
      <c r="E303" s="62" t="s">
        <v>389</v>
      </c>
      <c r="F303" s="62" t="s">
        <v>150</v>
      </c>
      <c r="G303" s="62" t="s">
        <v>389</v>
      </c>
      <c r="H303" s="65" t="n">
        <v>6</v>
      </c>
      <c r="I303" s="62" t="s">
        <v>392</v>
      </c>
    </row>
    <row r="304" customFormat="false" ht="15" hidden="false" customHeight="false" outlineLevel="0" collapsed="false">
      <c r="A304" s="62" t="s">
        <v>388</v>
      </c>
      <c r="B304" s="63" t="n">
        <v>590</v>
      </c>
      <c r="C304" s="64" t="n">
        <v>46303.5356379051</v>
      </c>
      <c r="D304" s="63" t="n">
        <v>12</v>
      </c>
      <c r="E304" s="62" t="s">
        <v>389</v>
      </c>
      <c r="F304" s="62" t="s">
        <v>150</v>
      </c>
      <c r="G304" s="62" t="s">
        <v>389</v>
      </c>
      <c r="H304" s="65" t="n">
        <v>1</v>
      </c>
      <c r="I304" s="62" t="s">
        <v>392</v>
      </c>
    </row>
    <row r="305" customFormat="false" ht="15" hidden="false" customHeight="false" outlineLevel="0" collapsed="false">
      <c r="A305" s="62" t="s">
        <v>388</v>
      </c>
      <c r="B305" s="63" t="n">
        <v>754</v>
      </c>
      <c r="C305" s="64" t="n">
        <v>46303.5423700116</v>
      </c>
      <c r="D305" s="63" t="n">
        <v>13</v>
      </c>
      <c r="E305" s="62" t="s">
        <v>389</v>
      </c>
      <c r="F305" s="62" t="s">
        <v>150</v>
      </c>
      <c r="G305" s="62" t="s">
        <v>389</v>
      </c>
      <c r="H305" s="65" t="n">
        <v>0.3</v>
      </c>
      <c r="I305" s="62" t="s">
        <v>392</v>
      </c>
    </row>
    <row r="306" customFormat="false" ht="15" hidden="false" customHeight="false" outlineLevel="0" collapsed="false">
      <c r="A306" s="62" t="s">
        <v>388</v>
      </c>
      <c r="B306" s="63" t="n">
        <v>754</v>
      </c>
      <c r="C306" s="64" t="n">
        <v>46303.5469000116</v>
      </c>
      <c r="D306" s="63" t="n">
        <v>13</v>
      </c>
      <c r="E306" s="62" t="s">
        <v>389</v>
      </c>
      <c r="F306" s="62" t="s">
        <v>150</v>
      </c>
      <c r="G306" s="62" t="s">
        <v>389</v>
      </c>
      <c r="H306" s="65" t="n">
        <v>0.3</v>
      </c>
      <c r="I306" s="62" t="s">
        <v>392</v>
      </c>
    </row>
    <row r="307" customFormat="false" ht="15" hidden="false" customHeight="false" outlineLevel="0" collapsed="false">
      <c r="A307" s="62" t="s">
        <v>388</v>
      </c>
      <c r="B307" s="63" t="n">
        <v>367</v>
      </c>
      <c r="C307" s="64" t="n">
        <v>46303.5486354051</v>
      </c>
      <c r="D307" s="63" t="n">
        <v>13</v>
      </c>
      <c r="E307" s="62" t="s">
        <v>389</v>
      </c>
      <c r="F307" s="62" t="s">
        <v>150</v>
      </c>
      <c r="G307" s="62" t="s">
        <v>389</v>
      </c>
      <c r="H307" s="65" t="n">
        <v>6.8</v>
      </c>
      <c r="I307" s="62" t="s">
        <v>392</v>
      </c>
    </row>
    <row r="308" customFormat="false" ht="15" hidden="false" customHeight="false" outlineLevel="0" collapsed="false">
      <c r="A308" s="62" t="s">
        <v>388</v>
      </c>
      <c r="B308" s="63" t="n">
        <v>827</v>
      </c>
      <c r="C308" s="64" t="n">
        <v>46303.5525709491</v>
      </c>
      <c r="D308" s="63" t="n">
        <v>13</v>
      </c>
      <c r="E308" s="62" t="s">
        <v>389</v>
      </c>
      <c r="F308" s="62" t="s">
        <v>431</v>
      </c>
      <c r="G308" s="62" t="s">
        <v>389</v>
      </c>
      <c r="H308" s="65" t="n">
        <v>8.7</v>
      </c>
      <c r="I308" s="62" t="s">
        <v>392</v>
      </c>
    </row>
    <row r="309" customFormat="false" ht="15" hidden="false" customHeight="false" outlineLevel="0" collapsed="false">
      <c r="A309" s="62" t="s">
        <v>388</v>
      </c>
      <c r="B309" s="63" t="n">
        <v>822</v>
      </c>
      <c r="C309" s="64" t="n">
        <v>46303.5642693403</v>
      </c>
      <c r="D309" s="63" t="n">
        <v>13</v>
      </c>
      <c r="E309" s="62" t="s">
        <v>389</v>
      </c>
      <c r="F309" s="62" t="s">
        <v>150</v>
      </c>
      <c r="G309" s="62" t="s">
        <v>389</v>
      </c>
      <c r="H309" s="65" t="n">
        <v>7.3</v>
      </c>
      <c r="I309" s="62" t="s">
        <v>392</v>
      </c>
    </row>
    <row r="310" customFormat="false" ht="15" hidden="false" customHeight="false" outlineLevel="0" collapsed="false">
      <c r="A310" s="62" t="s">
        <v>388</v>
      </c>
      <c r="B310" s="63" t="n">
        <v>754</v>
      </c>
      <c r="C310" s="64" t="n">
        <v>46303.5666824884</v>
      </c>
      <c r="D310" s="63" t="n">
        <v>13</v>
      </c>
      <c r="E310" s="62" t="s">
        <v>389</v>
      </c>
      <c r="F310" s="62" t="s">
        <v>150</v>
      </c>
      <c r="G310" s="62" t="s">
        <v>389</v>
      </c>
      <c r="H310" s="65" t="n">
        <v>1.5</v>
      </c>
      <c r="I310" s="62" t="s">
        <v>392</v>
      </c>
    </row>
    <row r="311" customFormat="false" ht="15" hidden="false" customHeight="false" outlineLevel="0" collapsed="false">
      <c r="A311" s="62" t="s">
        <v>388</v>
      </c>
      <c r="B311" s="63" t="n">
        <v>825</v>
      </c>
      <c r="C311" s="64" t="n">
        <v>46303.5688503472</v>
      </c>
      <c r="D311" s="63" t="n">
        <v>13</v>
      </c>
      <c r="E311" s="62" t="s">
        <v>389</v>
      </c>
      <c r="F311" s="62" t="s">
        <v>150</v>
      </c>
      <c r="G311" s="62" t="s">
        <v>389</v>
      </c>
      <c r="H311" s="65" t="n">
        <v>1</v>
      </c>
      <c r="I311" s="62" t="s">
        <v>392</v>
      </c>
    </row>
    <row r="312" customFormat="false" ht="15" hidden="false" customHeight="false" outlineLevel="0" collapsed="false">
      <c r="A312" s="62" t="s">
        <v>388</v>
      </c>
      <c r="B312" s="63" t="n">
        <v>825</v>
      </c>
      <c r="C312" s="64" t="n">
        <v>46303.5795470602</v>
      </c>
      <c r="D312" s="63" t="n">
        <v>13</v>
      </c>
      <c r="E312" s="62" t="s">
        <v>389</v>
      </c>
      <c r="F312" s="62" t="s">
        <v>150</v>
      </c>
      <c r="G312" s="62" t="s">
        <v>389</v>
      </c>
      <c r="H312" s="65" t="n">
        <v>4.3</v>
      </c>
      <c r="I312" s="62" t="s">
        <v>275</v>
      </c>
    </row>
    <row r="313" customFormat="false" ht="15" hidden="false" customHeight="false" outlineLevel="0" collapsed="false">
      <c r="A313" s="62" t="s">
        <v>388</v>
      </c>
      <c r="B313" s="63" t="n">
        <v>754</v>
      </c>
      <c r="C313" s="64" t="n">
        <v>46303.5806081019</v>
      </c>
      <c r="D313" s="63" t="n">
        <v>13</v>
      </c>
      <c r="E313" s="62" t="s">
        <v>389</v>
      </c>
      <c r="F313" s="62" t="s">
        <v>150</v>
      </c>
      <c r="G313" s="62" t="s">
        <v>389</v>
      </c>
      <c r="H313" s="65" t="n">
        <v>1.7</v>
      </c>
      <c r="I313" s="62" t="s">
        <v>392</v>
      </c>
    </row>
    <row r="314" customFormat="false" ht="15" hidden="false" customHeight="false" outlineLevel="0" collapsed="false">
      <c r="A314" s="62" t="s">
        <v>388</v>
      </c>
      <c r="B314" s="63" t="n">
        <v>825</v>
      </c>
      <c r="C314" s="64" t="n">
        <v>46303.5822813773</v>
      </c>
      <c r="D314" s="63" t="n">
        <v>13</v>
      </c>
      <c r="E314" s="62" t="s">
        <v>389</v>
      </c>
      <c r="F314" s="62" t="s">
        <v>151</v>
      </c>
      <c r="G314" s="62" t="s">
        <v>389</v>
      </c>
      <c r="H314" s="65" t="n">
        <v>0.4</v>
      </c>
      <c r="I314" s="62" t="s">
        <v>392</v>
      </c>
    </row>
    <row r="315" customFormat="false" ht="15" hidden="false" customHeight="false" outlineLevel="0" collapsed="false">
      <c r="A315" s="62" t="s">
        <v>388</v>
      </c>
      <c r="B315" s="63" t="n">
        <v>754</v>
      </c>
      <c r="C315" s="64" t="n">
        <v>46303.5850383333</v>
      </c>
      <c r="D315" s="63" t="n">
        <v>14</v>
      </c>
      <c r="E315" s="62" t="s">
        <v>389</v>
      </c>
      <c r="F315" s="62" t="s">
        <v>150</v>
      </c>
      <c r="G315" s="62" t="s">
        <v>389</v>
      </c>
      <c r="H315" s="65" t="n">
        <v>0.3</v>
      </c>
      <c r="I315" s="62" t="s">
        <v>392</v>
      </c>
    </row>
    <row r="316" customFormat="false" ht="15" hidden="false" customHeight="false" outlineLevel="0" collapsed="false">
      <c r="A316" s="62" t="s">
        <v>388</v>
      </c>
      <c r="B316" s="63" t="n">
        <v>825</v>
      </c>
      <c r="C316" s="64" t="n">
        <v>46303.5852349537</v>
      </c>
      <c r="D316" s="63" t="n">
        <v>14</v>
      </c>
      <c r="E316" s="62" t="s">
        <v>389</v>
      </c>
      <c r="F316" s="62" t="s">
        <v>151</v>
      </c>
      <c r="G316" s="62" t="s">
        <v>389</v>
      </c>
      <c r="H316" s="65" t="n">
        <v>0.2</v>
      </c>
      <c r="I316" s="62" t="s">
        <v>392</v>
      </c>
    </row>
    <row r="317" customFormat="false" ht="15" hidden="false" customHeight="false" outlineLevel="0" collapsed="false">
      <c r="A317" s="62" t="s">
        <v>388</v>
      </c>
      <c r="B317" s="63" t="n">
        <v>754</v>
      </c>
      <c r="C317" s="64" t="n">
        <v>46303.585359132</v>
      </c>
      <c r="D317" s="63" t="n">
        <v>14</v>
      </c>
      <c r="E317" s="62" t="s">
        <v>389</v>
      </c>
      <c r="F317" s="62" t="s">
        <v>150</v>
      </c>
      <c r="G317" s="62" t="s">
        <v>389</v>
      </c>
      <c r="H317" s="65" t="n">
        <v>4.6</v>
      </c>
      <c r="I317" s="62" t="s">
        <v>392</v>
      </c>
    </row>
    <row r="318" customFormat="false" ht="15" hidden="false" customHeight="false" outlineLevel="0" collapsed="false">
      <c r="A318" s="62" t="s">
        <v>388</v>
      </c>
      <c r="B318" s="63" t="n">
        <v>825</v>
      </c>
      <c r="C318" s="64" t="n">
        <v>46303.5878236227</v>
      </c>
      <c r="D318" s="63" t="n">
        <v>14</v>
      </c>
      <c r="E318" s="62" t="s">
        <v>389</v>
      </c>
      <c r="F318" s="62" t="s">
        <v>152</v>
      </c>
      <c r="G318" s="62" t="s">
        <v>389</v>
      </c>
      <c r="H318" s="65" t="n">
        <v>0.8</v>
      </c>
      <c r="I318" s="62" t="s">
        <v>392</v>
      </c>
    </row>
    <row r="319" customFormat="false" ht="15" hidden="false" customHeight="false" outlineLevel="0" collapsed="false">
      <c r="A319" s="62" t="s">
        <v>388</v>
      </c>
      <c r="B319" s="63" t="n">
        <v>874</v>
      </c>
      <c r="C319" s="64" t="n">
        <v>46303.5959690625</v>
      </c>
      <c r="D319" s="63" t="n">
        <v>14</v>
      </c>
      <c r="E319" s="62" t="s">
        <v>389</v>
      </c>
      <c r="F319" s="62" t="s">
        <v>430</v>
      </c>
      <c r="G319" s="62" t="s">
        <v>389</v>
      </c>
      <c r="H319" s="65" t="n">
        <v>5628.5</v>
      </c>
      <c r="I319" s="62" t="s">
        <v>275</v>
      </c>
    </row>
    <row r="320" customFormat="false" ht="15" hidden="false" customHeight="false" outlineLevel="0" collapsed="false">
      <c r="A320" s="62" t="s">
        <v>388</v>
      </c>
      <c r="B320" s="63" t="n">
        <v>880</v>
      </c>
      <c r="C320" s="64" t="n">
        <v>46303.6255381482</v>
      </c>
      <c r="D320" s="63" t="n">
        <v>15</v>
      </c>
      <c r="E320" s="62" t="s">
        <v>389</v>
      </c>
      <c r="F320" s="62" t="s">
        <v>430</v>
      </c>
      <c r="G320" s="62" t="s">
        <v>389</v>
      </c>
      <c r="H320" s="65" t="n">
        <v>39.2</v>
      </c>
      <c r="I320" s="62" t="s">
        <v>275</v>
      </c>
    </row>
    <row r="321" customFormat="false" ht="15" hidden="false" customHeight="false" outlineLevel="0" collapsed="false">
      <c r="A321" s="62" t="s">
        <v>388</v>
      </c>
      <c r="B321" s="63" t="n">
        <v>882</v>
      </c>
      <c r="C321" s="64" t="n">
        <v>46303.6339950579</v>
      </c>
      <c r="D321" s="63" t="n">
        <v>15</v>
      </c>
      <c r="E321" s="62" t="s">
        <v>389</v>
      </c>
      <c r="F321" s="62" t="s">
        <v>430</v>
      </c>
      <c r="G321" s="62" t="s">
        <v>389</v>
      </c>
      <c r="H321" s="65" t="n">
        <v>9</v>
      </c>
      <c r="I321" s="62" t="s">
        <v>275</v>
      </c>
    </row>
    <row r="322" customFormat="false" ht="15" hidden="false" customHeight="false" outlineLevel="0" collapsed="false">
      <c r="A322" s="62" t="s">
        <v>388</v>
      </c>
      <c r="B322" s="63" t="n">
        <v>880</v>
      </c>
      <c r="C322" s="64" t="n">
        <v>46303.6377399537</v>
      </c>
      <c r="D322" s="63" t="n">
        <v>15</v>
      </c>
      <c r="E322" s="62" t="s">
        <v>389</v>
      </c>
      <c r="F322" s="62" t="s">
        <v>431</v>
      </c>
      <c r="G322" s="62" t="s">
        <v>389</v>
      </c>
      <c r="H322" s="65" t="n">
        <v>21.6</v>
      </c>
      <c r="I322" s="62" t="s">
        <v>392</v>
      </c>
    </row>
    <row r="323" customFormat="false" ht="15" hidden="false" customHeight="false" outlineLevel="0" collapsed="false">
      <c r="A323" s="62" t="s">
        <v>388</v>
      </c>
      <c r="B323" s="63" t="n">
        <v>882</v>
      </c>
      <c r="C323" s="64" t="n">
        <v>46303.6397065394</v>
      </c>
      <c r="D323" s="63" t="n">
        <v>15</v>
      </c>
      <c r="E323" s="62" t="s">
        <v>389</v>
      </c>
      <c r="F323" s="62" t="s">
        <v>431</v>
      </c>
      <c r="G323" s="62" t="s">
        <v>389</v>
      </c>
      <c r="H323" s="65" t="n">
        <v>0.8</v>
      </c>
      <c r="I323" s="62" t="s">
        <v>392</v>
      </c>
    </row>
    <row r="324" customFormat="false" ht="15" hidden="false" customHeight="false" outlineLevel="0" collapsed="false">
      <c r="A324" s="62" t="s">
        <v>388</v>
      </c>
      <c r="B324" s="63" t="n">
        <v>882</v>
      </c>
      <c r="C324" s="64" t="n">
        <v>46303.6404013542</v>
      </c>
      <c r="D324" s="63" t="n">
        <v>15</v>
      </c>
      <c r="E324" s="62" t="s">
        <v>389</v>
      </c>
      <c r="F324" s="62" t="s">
        <v>431</v>
      </c>
      <c r="G324" s="62" t="s">
        <v>389</v>
      </c>
      <c r="H324" s="65" t="n">
        <v>6.3</v>
      </c>
      <c r="I324" s="62" t="s">
        <v>392</v>
      </c>
    </row>
    <row r="325" customFormat="false" ht="15" hidden="false" customHeight="false" outlineLevel="0" collapsed="false">
      <c r="A325" s="62" t="s">
        <v>388</v>
      </c>
      <c r="B325" s="63" t="n">
        <v>882</v>
      </c>
      <c r="C325" s="64" t="n">
        <v>46303.6569182407</v>
      </c>
      <c r="D325" s="63" t="n">
        <v>15</v>
      </c>
      <c r="E325" s="62" t="s">
        <v>389</v>
      </c>
      <c r="F325" s="62" t="s">
        <v>151</v>
      </c>
      <c r="G325" s="62" t="s">
        <v>389</v>
      </c>
      <c r="H325" s="65" t="n">
        <v>1.1</v>
      </c>
      <c r="I325" s="62" t="s">
        <v>392</v>
      </c>
    </row>
    <row r="326" customFormat="false" ht="15" hidden="false" customHeight="false" outlineLevel="0" collapsed="false">
      <c r="A326" s="62" t="s">
        <v>388</v>
      </c>
      <c r="B326" s="63" t="n">
        <v>891</v>
      </c>
      <c r="C326" s="64" t="n">
        <v>46303.6912688542</v>
      </c>
      <c r="D326" s="63" t="n">
        <v>16</v>
      </c>
      <c r="E326" s="62" t="s">
        <v>389</v>
      </c>
      <c r="F326" s="62" t="s">
        <v>431</v>
      </c>
      <c r="G326" s="62" t="s">
        <v>389</v>
      </c>
      <c r="H326" s="65" t="n">
        <v>0.5</v>
      </c>
      <c r="I326" s="62" t="s">
        <v>392</v>
      </c>
    </row>
    <row r="327" customFormat="false" ht="15" hidden="false" customHeight="false" outlineLevel="0" collapsed="false">
      <c r="A327" s="62" t="s">
        <v>388</v>
      </c>
      <c r="B327" s="63" t="n">
        <v>891</v>
      </c>
      <c r="C327" s="64" t="n">
        <v>46303.6925694444</v>
      </c>
      <c r="D327" s="63" t="n">
        <v>16</v>
      </c>
      <c r="E327" s="62" t="s">
        <v>389</v>
      </c>
      <c r="F327" s="62" t="s">
        <v>431</v>
      </c>
      <c r="G327" s="62" t="s">
        <v>389</v>
      </c>
      <c r="H327" s="65" t="n">
        <v>0.8</v>
      </c>
      <c r="I327" s="62" t="s">
        <v>392</v>
      </c>
    </row>
    <row r="328" customFormat="false" ht="15" hidden="false" customHeight="false" outlineLevel="0" collapsed="false">
      <c r="A328" s="62" t="s">
        <v>388</v>
      </c>
      <c r="B328" s="63" t="n">
        <v>896</v>
      </c>
      <c r="C328" s="64" t="n">
        <v>46303.6961713195</v>
      </c>
      <c r="D328" s="63" t="n">
        <v>16</v>
      </c>
      <c r="E328" s="62" t="s">
        <v>389</v>
      </c>
      <c r="F328" s="62" t="s">
        <v>430</v>
      </c>
      <c r="G328" s="62" t="s">
        <v>389</v>
      </c>
      <c r="H328" s="65" t="n">
        <v>5484.9</v>
      </c>
      <c r="I328" s="62" t="s">
        <v>275</v>
      </c>
    </row>
    <row r="329" customFormat="false" ht="15" hidden="false" customHeight="false" outlineLevel="0" collapsed="false">
      <c r="A329" s="62" t="s">
        <v>388</v>
      </c>
      <c r="B329" s="63" t="n">
        <v>901</v>
      </c>
      <c r="C329" s="64" t="n">
        <v>46303.7063322801</v>
      </c>
      <c r="D329" s="63" t="n">
        <v>16</v>
      </c>
      <c r="E329" s="62" t="s">
        <v>389</v>
      </c>
      <c r="F329" s="62" t="s">
        <v>430</v>
      </c>
      <c r="G329" s="62" t="s">
        <v>389</v>
      </c>
      <c r="H329" s="65" t="n">
        <v>2997.2</v>
      </c>
      <c r="I329" s="62" t="s">
        <v>275</v>
      </c>
    </row>
    <row r="330" customFormat="false" ht="15" hidden="false" customHeight="false" outlineLevel="0" collapsed="false">
      <c r="A330" s="62" t="s">
        <v>388</v>
      </c>
      <c r="B330" s="63" t="n">
        <v>880</v>
      </c>
      <c r="C330" s="64" t="n">
        <v>46303.7252877546</v>
      </c>
      <c r="D330" s="63" t="n">
        <v>17</v>
      </c>
      <c r="E330" s="62" t="s">
        <v>389</v>
      </c>
      <c r="F330" s="62" t="s">
        <v>151</v>
      </c>
      <c r="G330" s="62" t="s">
        <v>389</v>
      </c>
      <c r="H330" s="65" t="n">
        <v>0.8</v>
      </c>
      <c r="I330" s="62" t="s">
        <v>392</v>
      </c>
    </row>
    <row r="331" customFormat="false" ht="15" hidden="false" customHeight="false" outlineLevel="0" collapsed="false">
      <c r="A331" s="62" t="s">
        <v>388</v>
      </c>
      <c r="B331" s="63" t="n">
        <v>880</v>
      </c>
      <c r="C331" s="64" t="n">
        <v>46303.7323137847</v>
      </c>
      <c r="D331" s="63" t="n">
        <v>17</v>
      </c>
      <c r="E331" s="62" t="s">
        <v>389</v>
      </c>
      <c r="F331" s="62" t="s">
        <v>151</v>
      </c>
      <c r="G331" s="62" t="s">
        <v>389</v>
      </c>
      <c r="H331" s="65" t="n">
        <v>2</v>
      </c>
      <c r="I331" s="62" t="s">
        <v>392</v>
      </c>
    </row>
    <row r="332" customFormat="false" ht="15" hidden="false" customHeight="false" outlineLevel="0" collapsed="false">
      <c r="A332" s="62" t="s">
        <v>388</v>
      </c>
      <c r="B332" s="63" t="n">
        <v>906</v>
      </c>
      <c r="C332" s="64" t="n">
        <v>46303.7385526042</v>
      </c>
      <c r="D332" s="63" t="n">
        <v>17</v>
      </c>
      <c r="E332" s="62" t="s">
        <v>389</v>
      </c>
      <c r="F332" s="62" t="s">
        <v>430</v>
      </c>
      <c r="G332" s="62" t="s">
        <v>389</v>
      </c>
      <c r="H332" s="65" t="n">
        <v>5.3</v>
      </c>
      <c r="I332" s="62" t="s">
        <v>275</v>
      </c>
    </row>
    <row r="333" customFormat="false" ht="15" hidden="false" customHeight="false" outlineLevel="0" collapsed="false">
      <c r="A333" s="62" t="s">
        <v>388</v>
      </c>
      <c r="B333" s="63" t="n">
        <v>906</v>
      </c>
      <c r="C333" s="64" t="n">
        <v>46303.7419460764</v>
      </c>
      <c r="D333" s="63" t="n">
        <v>17</v>
      </c>
      <c r="E333" s="62" t="s">
        <v>389</v>
      </c>
      <c r="F333" s="62" t="s">
        <v>431</v>
      </c>
      <c r="G333" s="62" t="s">
        <v>389</v>
      </c>
      <c r="H333" s="65" t="n">
        <v>0.4</v>
      </c>
      <c r="I333" s="62" t="s">
        <v>392</v>
      </c>
    </row>
    <row r="334" customFormat="false" ht="15" hidden="false" customHeight="false" outlineLevel="0" collapsed="false">
      <c r="A334" s="62" t="s">
        <v>388</v>
      </c>
      <c r="B334" s="63" t="n">
        <v>910</v>
      </c>
      <c r="C334" s="64" t="n">
        <v>46303.7520300232</v>
      </c>
      <c r="D334" s="63" t="n">
        <v>18</v>
      </c>
      <c r="E334" s="62" t="s">
        <v>389</v>
      </c>
      <c r="F334" s="62" t="s">
        <v>430</v>
      </c>
      <c r="G334" s="62" t="s">
        <v>389</v>
      </c>
      <c r="H334" s="65" t="n">
        <v>9.7</v>
      </c>
      <c r="I334" s="62" t="s">
        <v>275</v>
      </c>
    </row>
    <row r="335" customFormat="false" ht="15" hidden="false" customHeight="false" outlineLevel="0" collapsed="false">
      <c r="A335" s="62" t="s">
        <v>388</v>
      </c>
      <c r="B335" s="63" t="n">
        <v>910</v>
      </c>
      <c r="C335" s="64" t="n">
        <v>46303.7555372917</v>
      </c>
      <c r="D335" s="63" t="n">
        <v>18</v>
      </c>
      <c r="E335" s="62" t="s">
        <v>389</v>
      </c>
      <c r="F335" s="62" t="s">
        <v>431</v>
      </c>
      <c r="G335" s="62" t="s">
        <v>389</v>
      </c>
      <c r="H335" s="65" t="n">
        <v>4.7</v>
      </c>
      <c r="I335" s="62" t="s">
        <v>275</v>
      </c>
    </row>
    <row r="336" customFormat="false" ht="15" hidden="false" customHeight="false" outlineLevel="0" collapsed="false">
      <c r="A336" s="62" t="s">
        <v>388</v>
      </c>
      <c r="B336" s="63" t="n">
        <v>910</v>
      </c>
      <c r="C336" s="64" t="n">
        <v>46303.7566490162</v>
      </c>
      <c r="D336" s="63" t="n">
        <v>18</v>
      </c>
      <c r="E336" s="62" t="s">
        <v>389</v>
      </c>
      <c r="F336" s="62" t="s">
        <v>431</v>
      </c>
      <c r="G336" s="62" t="s">
        <v>389</v>
      </c>
      <c r="H336" s="65" t="n">
        <v>3.1</v>
      </c>
      <c r="I336" s="62" t="s">
        <v>392</v>
      </c>
    </row>
    <row r="337" customFormat="false" ht="15" hidden="false" customHeight="false" outlineLevel="0" collapsed="false">
      <c r="A337" s="62" t="s">
        <v>388</v>
      </c>
      <c r="B337" s="63" t="n">
        <v>880</v>
      </c>
      <c r="C337" s="64" t="n">
        <v>46303.7615932523</v>
      </c>
      <c r="D337" s="63" t="n">
        <v>18</v>
      </c>
      <c r="E337" s="62" t="s">
        <v>389</v>
      </c>
      <c r="F337" s="62" t="s">
        <v>152</v>
      </c>
      <c r="G337" s="62" t="s">
        <v>389</v>
      </c>
      <c r="H337" s="65" t="n">
        <v>0.7</v>
      </c>
      <c r="I337" s="62" t="s">
        <v>392</v>
      </c>
    </row>
    <row r="338" customFormat="false" ht="15" hidden="false" customHeight="false" outlineLevel="0" collapsed="false">
      <c r="A338" s="62" t="s">
        <v>388</v>
      </c>
      <c r="B338" s="63" t="n">
        <v>366</v>
      </c>
      <c r="C338" s="64" t="n">
        <v>46303.7642254282</v>
      </c>
      <c r="D338" s="63" t="n">
        <v>18</v>
      </c>
      <c r="E338" s="62" t="s">
        <v>389</v>
      </c>
      <c r="F338" s="62" t="s">
        <v>150</v>
      </c>
      <c r="G338" s="62" t="s">
        <v>389</v>
      </c>
      <c r="H338" s="65" t="n">
        <v>1.1</v>
      </c>
      <c r="I338" s="62" t="s">
        <v>392</v>
      </c>
    </row>
    <row r="339" customFormat="false" ht="15" hidden="false" customHeight="false" outlineLevel="0" collapsed="false">
      <c r="A339" s="62" t="s">
        <v>388</v>
      </c>
      <c r="B339" s="63" t="n">
        <v>910</v>
      </c>
      <c r="C339" s="64" t="n">
        <v>46303.765105162</v>
      </c>
      <c r="D339" s="63" t="n">
        <v>18</v>
      </c>
      <c r="E339" s="62" t="s">
        <v>389</v>
      </c>
      <c r="F339" s="62" t="s">
        <v>151</v>
      </c>
      <c r="G339" s="62" t="s">
        <v>389</v>
      </c>
      <c r="H339" s="65" t="n">
        <v>5.2</v>
      </c>
      <c r="I339" s="62" t="s">
        <v>392</v>
      </c>
    </row>
    <row r="340" customFormat="false" ht="15" hidden="false" customHeight="false" outlineLevel="0" collapsed="false">
      <c r="A340" s="62" t="s">
        <v>388</v>
      </c>
      <c r="B340" s="63" t="n">
        <v>366</v>
      </c>
      <c r="C340" s="64" t="n">
        <v>46303.7658287732</v>
      </c>
      <c r="D340" s="63" t="n">
        <v>18</v>
      </c>
      <c r="E340" s="62" t="s">
        <v>389</v>
      </c>
      <c r="F340" s="62" t="s">
        <v>150</v>
      </c>
      <c r="G340" s="62" t="s">
        <v>389</v>
      </c>
      <c r="H340" s="65" t="n">
        <v>1.8</v>
      </c>
      <c r="I340" s="62" t="s">
        <v>392</v>
      </c>
    </row>
    <row r="341" customFormat="false" ht="15" hidden="false" customHeight="false" outlineLevel="0" collapsed="false">
      <c r="A341" s="62" t="s">
        <v>388</v>
      </c>
      <c r="B341" s="63" t="n">
        <v>915</v>
      </c>
      <c r="C341" s="64" t="n">
        <v>46303.7659313889</v>
      </c>
      <c r="D341" s="63" t="n">
        <v>18</v>
      </c>
      <c r="E341" s="62" t="s">
        <v>389</v>
      </c>
      <c r="F341" s="62" t="s">
        <v>430</v>
      </c>
      <c r="G341" s="62" t="s">
        <v>389</v>
      </c>
      <c r="H341" s="65" t="n">
        <v>10</v>
      </c>
      <c r="I341" s="62" t="s">
        <v>275</v>
      </c>
    </row>
    <row r="342" customFormat="false" ht="15" hidden="false" customHeight="false" outlineLevel="0" collapsed="false">
      <c r="A342" s="62" t="s">
        <v>388</v>
      </c>
      <c r="B342" s="63" t="n">
        <v>915</v>
      </c>
      <c r="C342" s="64" t="n">
        <v>46303.7675494444</v>
      </c>
      <c r="D342" s="63" t="n">
        <v>18</v>
      </c>
      <c r="E342" s="62" t="s">
        <v>389</v>
      </c>
      <c r="F342" s="62" t="s">
        <v>431</v>
      </c>
      <c r="G342" s="62" t="s">
        <v>389</v>
      </c>
      <c r="H342" s="65" t="n">
        <v>7.6</v>
      </c>
      <c r="I342" s="62" t="s">
        <v>275</v>
      </c>
    </row>
    <row r="343" customFormat="false" ht="15" hidden="false" customHeight="false" outlineLevel="0" collapsed="false">
      <c r="A343" s="62" t="s">
        <v>388</v>
      </c>
      <c r="B343" s="63" t="n">
        <v>915</v>
      </c>
      <c r="C343" s="64" t="n">
        <v>46303.7684024537</v>
      </c>
      <c r="D343" s="63" t="n">
        <v>18</v>
      </c>
      <c r="E343" s="62" t="s">
        <v>389</v>
      </c>
      <c r="F343" s="62" t="s">
        <v>431</v>
      </c>
      <c r="G343" s="62" t="s">
        <v>389</v>
      </c>
      <c r="H343" s="65" t="n">
        <v>6.4</v>
      </c>
      <c r="I343" s="62" t="s">
        <v>392</v>
      </c>
    </row>
    <row r="344" customFormat="false" ht="15" hidden="false" customHeight="false" outlineLevel="0" collapsed="false">
      <c r="A344" s="62" t="s">
        <v>388</v>
      </c>
      <c r="B344" s="63" t="n">
        <v>366</v>
      </c>
      <c r="C344" s="64" t="n">
        <v>46303.7689709838</v>
      </c>
      <c r="D344" s="63" t="n">
        <v>18</v>
      </c>
      <c r="E344" s="62" t="s">
        <v>389</v>
      </c>
      <c r="F344" s="62" t="s">
        <v>150</v>
      </c>
      <c r="G344" s="62" t="s">
        <v>389</v>
      </c>
      <c r="H344" s="65" t="n">
        <v>1.3</v>
      </c>
      <c r="I344" s="62" t="s">
        <v>392</v>
      </c>
    </row>
    <row r="345" customFormat="false" ht="15" hidden="false" customHeight="false" outlineLevel="0" collapsed="false">
      <c r="A345" s="62" t="s">
        <v>388</v>
      </c>
      <c r="B345" s="63" t="n">
        <v>915</v>
      </c>
      <c r="C345" s="64" t="n">
        <v>46303.7747277662</v>
      </c>
      <c r="D345" s="63" t="n">
        <v>18</v>
      </c>
      <c r="E345" s="62" t="s">
        <v>389</v>
      </c>
      <c r="F345" s="62" t="s">
        <v>151</v>
      </c>
      <c r="G345" s="62" t="s">
        <v>389</v>
      </c>
      <c r="H345" s="65" t="n">
        <v>5.4</v>
      </c>
      <c r="I345" s="62" t="s">
        <v>275</v>
      </c>
    </row>
    <row r="346" customFormat="false" ht="15" hidden="false" customHeight="false" outlineLevel="0" collapsed="false">
      <c r="A346" s="62" t="s">
        <v>388</v>
      </c>
      <c r="B346" s="63" t="n">
        <v>915</v>
      </c>
      <c r="C346" s="64" t="n">
        <v>46303.7762100695</v>
      </c>
      <c r="D346" s="63" t="n">
        <v>18</v>
      </c>
      <c r="E346" s="62" t="s">
        <v>389</v>
      </c>
      <c r="F346" s="62" t="s">
        <v>151</v>
      </c>
      <c r="G346" s="62" t="s">
        <v>389</v>
      </c>
      <c r="H346" s="65" t="n">
        <v>3.3</v>
      </c>
      <c r="I346" s="62" t="s">
        <v>392</v>
      </c>
    </row>
    <row r="347" customFormat="false" ht="15" hidden="false" customHeight="false" outlineLevel="0" collapsed="false">
      <c r="A347" s="62" t="s">
        <v>388</v>
      </c>
      <c r="B347" s="63" t="n">
        <v>915</v>
      </c>
      <c r="C347" s="64" t="n">
        <v>46303.7789562037</v>
      </c>
      <c r="D347" s="63" t="n">
        <v>18</v>
      </c>
      <c r="E347" s="62" t="s">
        <v>389</v>
      </c>
      <c r="F347" s="62" t="s">
        <v>151</v>
      </c>
      <c r="G347" s="62" t="s">
        <v>389</v>
      </c>
      <c r="H347" s="65" t="n">
        <v>1.6</v>
      </c>
      <c r="I347" s="62" t="s">
        <v>392</v>
      </c>
    </row>
    <row r="348" customFormat="false" ht="15" hidden="false" customHeight="false" outlineLevel="0" collapsed="false">
      <c r="A348" s="62" t="s">
        <v>388</v>
      </c>
      <c r="B348" s="63" t="n">
        <v>915</v>
      </c>
      <c r="C348" s="64" t="n">
        <v>46303.7805566088</v>
      </c>
      <c r="D348" s="63" t="n">
        <v>18</v>
      </c>
      <c r="E348" s="62" t="s">
        <v>389</v>
      </c>
      <c r="F348" s="62" t="s">
        <v>151</v>
      </c>
      <c r="G348" s="62" t="s">
        <v>389</v>
      </c>
      <c r="H348" s="65" t="n">
        <v>4.8</v>
      </c>
      <c r="I348" s="62" t="s">
        <v>392</v>
      </c>
    </row>
    <row r="349" customFormat="false" ht="15" hidden="false" customHeight="false" outlineLevel="0" collapsed="false">
      <c r="A349" s="62" t="s">
        <v>388</v>
      </c>
      <c r="B349" s="63" t="n">
        <v>892</v>
      </c>
      <c r="C349" s="64" t="n">
        <v>46303.803370544</v>
      </c>
      <c r="D349" s="63" t="n">
        <v>19</v>
      </c>
      <c r="E349" s="62" t="s">
        <v>389</v>
      </c>
      <c r="F349" s="62" t="s">
        <v>150</v>
      </c>
      <c r="G349" s="62" t="s">
        <v>389</v>
      </c>
      <c r="H349" s="65" t="n">
        <v>0.7</v>
      </c>
      <c r="I349" s="62" t="s">
        <v>392</v>
      </c>
    </row>
    <row r="350" customFormat="false" ht="15" hidden="false" customHeight="false" outlineLevel="0" collapsed="false">
      <c r="A350" s="62" t="s">
        <v>388</v>
      </c>
      <c r="B350" s="63" t="n">
        <v>287</v>
      </c>
      <c r="C350" s="64" t="n">
        <v>46303.8260643866</v>
      </c>
      <c r="D350" s="63" t="n">
        <v>19</v>
      </c>
      <c r="E350" s="62" t="s">
        <v>389</v>
      </c>
      <c r="F350" s="62" t="s">
        <v>391</v>
      </c>
      <c r="G350" s="62" t="s">
        <v>390</v>
      </c>
      <c r="H350" s="65"/>
      <c r="I350" s="62" t="s">
        <v>432</v>
      </c>
    </row>
    <row r="351" customFormat="false" ht="15" hidden="false" customHeight="false" outlineLevel="0" collapsed="false">
      <c r="A351" s="62" t="s">
        <v>388</v>
      </c>
      <c r="B351" s="63" t="n">
        <v>937</v>
      </c>
      <c r="C351" s="64" t="n">
        <v>46303.8664420023</v>
      </c>
      <c r="D351" s="63" t="n">
        <v>20</v>
      </c>
      <c r="E351" s="62" t="s">
        <v>389</v>
      </c>
      <c r="F351" s="62" t="s">
        <v>430</v>
      </c>
      <c r="G351" s="62" t="s">
        <v>389</v>
      </c>
      <c r="H351" s="65" t="n">
        <v>4.8</v>
      </c>
      <c r="I351" s="62" t="s">
        <v>275</v>
      </c>
    </row>
    <row r="352" customFormat="false" ht="15" hidden="false" customHeight="false" outlineLevel="0" collapsed="false">
      <c r="A352" s="62" t="s">
        <v>388</v>
      </c>
      <c r="B352" s="63" t="n">
        <v>590</v>
      </c>
      <c r="C352" s="64" t="n">
        <v>46303.8671616782</v>
      </c>
      <c r="D352" s="63" t="n">
        <v>20</v>
      </c>
      <c r="E352" s="62" t="s">
        <v>389</v>
      </c>
      <c r="F352" s="62" t="s">
        <v>150</v>
      </c>
      <c r="G352" s="62" t="s">
        <v>389</v>
      </c>
      <c r="H352" s="65" t="n">
        <v>5070.3</v>
      </c>
      <c r="I352" s="62" t="s">
        <v>275</v>
      </c>
    </row>
    <row r="353" customFormat="false" ht="15" hidden="false" customHeight="false" outlineLevel="0" collapsed="false">
      <c r="A353" s="62" t="s">
        <v>388</v>
      </c>
      <c r="B353" s="63" t="n">
        <v>937</v>
      </c>
      <c r="C353" s="64" t="n">
        <v>46303.8687102431</v>
      </c>
      <c r="D353" s="63" t="n">
        <v>20</v>
      </c>
      <c r="E353" s="62" t="s">
        <v>389</v>
      </c>
      <c r="F353" s="62" t="s">
        <v>431</v>
      </c>
      <c r="G353" s="62" t="s">
        <v>389</v>
      </c>
      <c r="H353" s="65" t="n">
        <v>1.5</v>
      </c>
      <c r="I353" s="62" t="s">
        <v>392</v>
      </c>
    </row>
    <row r="354" customFormat="false" ht="15" hidden="false" customHeight="false" outlineLevel="0" collapsed="false">
      <c r="A354" s="62" t="s">
        <v>388</v>
      </c>
      <c r="B354" s="63" t="n">
        <v>937</v>
      </c>
      <c r="C354" s="64" t="n">
        <v>46303.8702377083</v>
      </c>
      <c r="D354" s="63" t="n">
        <v>20</v>
      </c>
      <c r="E354" s="62" t="s">
        <v>389</v>
      </c>
      <c r="F354" s="62" t="s">
        <v>431</v>
      </c>
      <c r="G354" s="62" t="s">
        <v>389</v>
      </c>
      <c r="H354" s="65" t="n">
        <v>1.1</v>
      </c>
      <c r="I354" s="62" t="s">
        <v>392</v>
      </c>
    </row>
    <row r="355" customFormat="false" ht="15" hidden="false" customHeight="false" outlineLevel="0" collapsed="false">
      <c r="A355" s="62" t="s">
        <v>388</v>
      </c>
      <c r="B355" s="63" t="n">
        <v>937</v>
      </c>
      <c r="C355" s="64" t="n">
        <v>46303.8726847569</v>
      </c>
      <c r="D355" s="63" t="n">
        <v>20</v>
      </c>
      <c r="E355" s="62" t="s">
        <v>389</v>
      </c>
      <c r="F355" s="62" t="s">
        <v>431</v>
      </c>
      <c r="G355" s="62" t="s">
        <v>389</v>
      </c>
      <c r="H355" s="65" t="n">
        <v>0.3</v>
      </c>
      <c r="I355" s="62" t="s">
        <v>392</v>
      </c>
    </row>
    <row r="356" customFormat="false" ht="15" hidden="false" customHeight="false" outlineLevel="0" collapsed="false">
      <c r="A356" s="62" t="s">
        <v>388</v>
      </c>
      <c r="B356" s="63" t="n">
        <v>937</v>
      </c>
      <c r="C356" s="64" t="n">
        <v>46303.8763451389</v>
      </c>
      <c r="D356" s="63" t="n">
        <v>21</v>
      </c>
      <c r="E356" s="62" t="s">
        <v>390</v>
      </c>
      <c r="F356" s="62" t="s">
        <v>431</v>
      </c>
      <c r="G356" s="62" t="s">
        <v>389</v>
      </c>
      <c r="H356" s="65" t="n">
        <v>11.6</v>
      </c>
      <c r="I356" s="62" t="s">
        <v>392</v>
      </c>
    </row>
    <row r="357" customFormat="false" ht="15" hidden="false" customHeight="false" outlineLevel="0" collapsed="false">
      <c r="A357" s="62" t="s">
        <v>388</v>
      </c>
      <c r="B357" s="63" t="n">
        <v>937</v>
      </c>
      <c r="C357" s="64" t="n">
        <v>46303.8851484607</v>
      </c>
      <c r="D357" s="63" t="n">
        <v>21</v>
      </c>
      <c r="E357" s="62" t="s">
        <v>390</v>
      </c>
      <c r="F357" s="62" t="s">
        <v>431</v>
      </c>
      <c r="G357" s="62" t="s">
        <v>389</v>
      </c>
      <c r="H357" s="65" t="n">
        <v>1.2</v>
      </c>
      <c r="I357" s="62" t="s">
        <v>392</v>
      </c>
    </row>
    <row r="358" customFormat="false" ht="15" hidden="false" customHeight="false" outlineLevel="0" collapsed="false">
      <c r="A358" s="62" t="s">
        <v>388</v>
      </c>
      <c r="B358" s="63" t="n">
        <v>944</v>
      </c>
      <c r="C358" s="64" t="n">
        <v>46303.8873137384</v>
      </c>
      <c r="D358" s="63" t="n">
        <v>21</v>
      </c>
      <c r="E358" s="62" t="s">
        <v>390</v>
      </c>
      <c r="F358" s="62" t="s">
        <v>430</v>
      </c>
      <c r="G358" s="62" t="s">
        <v>389</v>
      </c>
      <c r="H358" s="65" t="n">
        <v>3776</v>
      </c>
      <c r="I358" s="62" t="s">
        <v>275</v>
      </c>
    </row>
    <row r="359" customFormat="false" ht="15" hidden="false" customHeight="false" outlineLevel="0" collapsed="false">
      <c r="A359" s="62" t="s">
        <v>388</v>
      </c>
      <c r="B359" s="63" t="n">
        <v>959</v>
      </c>
      <c r="C359" s="64" t="n">
        <v>46304.0037027662</v>
      </c>
      <c r="D359" s="63" t="n">
        <v>0</v>
      </c>
      <c r="E359" s="62" t="s">
        <v>390</v>
      </c>
      <c r="F359" s="62" t="s">
        <v>430</v>
      </c>
      <c r="G359" s="62" t="s">
        <v>389</v>
      </c>
      <c r="H359" s="65" t="n">
        <v>3603.3</v>
      </c>
      <c r="I359" s="62" t="s">
        <v>275</v>
      </c>
    </row>
    <row r="360" customFormat="false" ht="15" hidden="false" customHeight="false" outlineLevel="0" collapsed="false">
      <c r="A360" s="62" t="s">
        <v>388</v>
      </c>
      <c r="B360" s="63" t="n">
        <v>961</v>
      </c>
      <c r="C360" s="64" t="n">
        <v>46304.0882607986</v>
      </c>
      <c r="D360" s="63" t="n">
        <v>2</v>
      </c>
      <c r="E360" s="62" t="s">
        <v>390</v>
      </c>
      <c r="F360" s="62" t="s">
        <v>431</v>
      </c>
      <c r="G360" s="62" t="s">
        <v>389</v>
      </c>
      <c r="H360" s="65" t="n">
        <v>311</v>
      </c>
      <c r="I360" s="62" t="s">
        <v>392</v>
      </c>
    </row>
    <row r="361" customFormat="false" ht="15" hidden="false" customHeight="false" outlineLevel="0" collapsed="false">
      <c r="A361" s="62" t="s">
        <v>388</v>
      </c>
      <c r="B361" s="63" t="n">
        <v>973</v>
      </c>
      <c r="C361" s="64" t="n">
        <v>46304.3095780208</v>
      </c>
      <c r="D361" s="63" t="n">
        <v>7</v>
      </c>
      <c r="E361" s="62" t="s">
        <v>390</v>
      </c>
      <c r="F361" s="62" t="s">
        <v>430</v>
      </c>
      <c r="G361" s="62" t="s">
        <v>389</v>
      </c>
      <c r="H361" s="65" t="n">
        <v>6.4</v>
      </c>
      <c r="I361" s="62" t="s">
        <v>275</v>
      </c>
    </row>
    <row r="362" customFormat="false" ht="15" hidden="false" customHeight="false" outlineLevel="0" collapsed="false">
      <c r="A362" s="62" t="s">
        <v>388</v>
      </c>
      <c r="B362" s="63" t="n">
        <v>973</v>
      </c>
      <c r="C362" s="64" t="n">
        <v>46304.3120179051</v>
      </c>
      <c r="D362" s="63" t="n">
        <v>7</v>
      </c>
      <c r="E362" s="62" t="s">
        <v>390</v>
      </c>
      <c r="F362" s="62" t="s">
        <v>431</v>
      </c>
      <c r="G362" s="62" t="s">
        <v>389</v>
      </c>
      <c r="H362" s="65" t="n">
        <v>2.9</v>
      </c>
      <c r="I362" s="62" t="s">
        <v>275</v>
      </c>
    </row>
    <row r="363" customFormat="false" ht="15" hidden="false" customHeight="false" outlineLevel="0" collapsed="false">
      <c r="A363" s="62" t="s">
        <v>388</v>
      </c>
      <c r="B363" s="63" t="n">
        <v>973</v>
      </c>
      <c r="C363" s="64" t="n">
        <v>46304.3137799769</v>
      </c>
      <c r="D363" s="63" t="n">
        <v>7</v>
      </c>
      <c r="E363" s="62" t="s">
        <v>390</v>
      </c>
      <c r="F363" s="62" t="s">
        <v>431</v>
      </c>
      <c r="G363" s="62" t="s">
        <v>389</v>
      </c>
      <c r="H363" s="65" t="n">
        <v>0.4</v>
      </c>
      <c r="I363" s="62" t="s">
        <v>392</v>
      </c>
    </row>
    <row r="364" customFormat="false" ht="15" hidden="false" customHeight="false" outlineLevel="0" collapsed="false">
      <c r="A364" s="62" t="s">
        <v>388</v>
      </c>
      <c r="B364" s="63" t="n">
        <v>973</v>
      </c>
      <c r="C364" s="64" t="n">
        <v>46304.3340555556</v>
      </c>
      <c r="D364" s="63" t="n">
        <v>8</v>
      </c>
      <c r="E364" s="62" t="s">
        <v>390</v>
      </c>
      <c r="F364" s="62" t="s">
        <v>431</v>
      </c>
      <c r="G364" s="62" t="s">
        <v>389</v>
      </c>
      <c r="H364" s="65" t="n">
        <v>0.8</v>
      </c>
      <c r="I364" s="62" t="s">
        <v>392</v>
      </c>
    </row>
    <row r="365" customFormat="false" ht="15" hidden="false" customHeight="false" outlineLevel="0" collapsed="false">
      <c r="A365" s="62" t="s">
        <v>388</v>
      </c>
      <c r="B365" s="63" t="n">
        <v>973</v>
      </c>
      <c r="C365" s="64" t="n">
        <v>46304.3352411921</v>
      </c>
      <c r="D365" s="63" t="n">
        <v>8</v>
      </c>
      <c r="E365" s="62" t="s">
        <v>390</v>
      </c>
      <c r="F365" s="62" t="s">
        <v>431</v>
      </c>
      <c r="G365" s="62" t="s">
        <v>389</v>
      </c>
      <c r="H365" s="65" t="n">
        <v>0.9</v>
      </c>
      <c r="I365" s="62" t="s">
        <v>392</v>
      </c>
    </row>
    <row r="366" customFormat="false" ht="15" hidden="false" customHeight="false" outlineLevel="0" collapsed="false">
      <c r="A366" s="62" t="s">
        <v>388</v>
      </c>
      <c r="B366" s="63" t="n">
        <v>827</v>
      </c>
      <c r="C366" s="64" t="n">
        <v>46304.335531794</v>
      </c>
      <c r="D366" s="63" t="n">
        <v>8</v>
      </c>
      <c r="E366" s="62" t="s">
        <v>390</v>
      </c>
      <c r="F366" s="62" t="s">
        <v>150</v>
      </c>
      <c r="G366" s="62" t="s">
        <v>389</v>
      </c>
      <c r="H366" s="65" t="n">
        <v>8</v>
      </c>
      <c r="I366" s="62" t="s">
        <v>392</v>
      </c>
    </row>
    <row r="367" customFormat="false" ht="15" hidden="false" customHeight="false" outlineLevel="0" collapsed="false">
      <c r="A367" s="62" t="s">
        <v>388</v>
      </c>
      <c r="B367" s="63" t="n">
        <v>991</v>
      </c>
      <c r="C367" s="64" t="n">
        <v>46304.3442270718</v>
      </c>
      <c r="D367" s="63" t="n">
        <v>8</v>
      </c>
      <c r="E367" s="62" t="s">
        <v>390</v>
      </c>
      <c r="F367" s="62" t="s">
        <v>430</v>
      </c>
      <c r="G367" s="62" t="s">
        <v>389</v>
      </c>
      <c r="H367" s="65" t="n">
        <v>3153.3</v>
      </c>
      <c r="I367" s="62" t="s">
        <v>275</v>
      </c>
    </row>
    <row r="368" customFormat="false" ht="15" hidden="false" customHeight="false" outlineLevel="0" collapsed="false">
      <c r="A368" s="62" t="s">
        <v>388</v>
      </c>
      <c r="B368" s="63" t="n">
        <v>761</v>
      </c>
      <c r="C368" s="64" t="n">
        <v>46304.3821799421</v>
      </c>
      <c r="D368" s="63" t="n">
        <v>9</v>
      </c>
      <c r="E368" s="62" t="s">
        <v>389</v>
      </c>
      <c r="F368" s="62" t="s">
        <v>150</v>
      </c>
      <c r="G368" s="62" t="s">
        <v>389</v>
      </c>
      <c r="H368" s="65" t="n">
        <v>0.5</v>
      </c>
      <c r="I368" s="62" t="s">
        <v>392</v>
      </c>
    </row>
    <row r="369" customFormat="false" ht="15" hidden="false" customHeight="false" outlineLevel="0" collapsed="false">
      <c r="A369" s="62" t="s">
        <v>388</v>
      </c>
      <c r="B369" s="63" t="n">
        <v>761</v>
      </c>
      <c r="C369" s="64" t="n">
        <v>46304.3858469329</v>
      </c>
      <c r="D369" s="63" t="n">
        <v>9</v>
      </c>
      <c r="E369" s="62" t="s">
        <v>389</v>
      </c>
      <c r="F369" s="62" t="s">
        <v>150</v>
      </c>
      <c r="G369" s="62" t="s">
        <v>389</v>
      </c>
      <c r="H369" s="65" t="n">
        <v>3263.2</v>
      </c>
      <c r="I369" s="62" t="s">
        <v>275</v>
      </c>
    </row>
    <row r="370" customFormat="false" ht="15" hidden="false" customHeight="false" outlineLevel="0" collapsed="false">
      <c r="A370" s="62" t="s">
        <v>388</v>
      </c>
      <c r="B370" s="63" t="n">
        <v>803</v>
      </c>
      <c r="C370" s="64" t="n">
        <v>46304.3961781597</v>
      </c>
      <c r="D370" s="63" t="n">
        <v>9</v>
      </c>
      <c r="E370" s="62" t="s">
        <v>389</v>
      </c>
      <c r="F370" s="62" t="s">
        <v>150</v>
      </c>
      <c r="G370" s="62" t="s">
        <v>389</v>
      </c>
      <c r="H370" s="65" t="n">
        <v>6.5</v>
      </c>
      <c r="I370" s="62" t="s">
        <v>392</v>
      </c>
    </row>
    <row r="371" customFormat="false" ht="15" hidden="false" customHeight="false" outlineLevel="0" collapsed="false">
      <c r="A371" s="62" t="s">
        <v>388</v>
      </c>
      <c r="B371" s="63" t="n">
        <v>1001</v>
      </c>
      <c r="C371" s="64" t="n">
        <v>46304.3993487153</v>
      </c>
      <c r="D371" s="63" t="n">
        <v>9</v>
      </c>
      <c r="E371" s="62" t="s">
        <v>389</v>
      </c>
      <c r="F371" s="62" t="s">
        <v>430</v>
      </c>
      <c r="G371" s="62" t="s">
        <v>389</v>
      </c>
      <c r="H371" s="65" t="n">
        <v>3.2</v>
      </c>
      <c r="I371" s="62" t="s">
        <v>392</v>
      </c>
    </row>
    <row r="372" customFormat="false" ht="15" hidden="false" customHeight="false" outlineLevel="0" collapsed="false">
      <c r="A372" s="62" t="s">
        <v>388</v>
      </c>
      <c r="B372" s="63" t="n">
        <v>348</v>
      </c>
      <c r="C372" s="64" t="n">
        <v>46304.4119748727</v>
      </c>
      <c r="D372" s="63" t="n">
        <v>9</v>
      </c>
      <c r="E372" s="62" t="s">
        <v>389</v>
      </c>
      <c r="F372" s="62" t="s">
        <v>150</v>
      </c>
      <c r="G372" s="62" t="s">
        <v>389</v>
      </c>
      <c r="H372" s="65" t="n">
        <v>1.5</v>
      </c>
      <c r="I372" s="62" t="s">
        <v>392</v>
      </c>
    </row>
    <row r="373" customFormat="false" ht="15" hidden="false" customHeight="false" outlineLevel="0" collapsed="false">
      <c r="A373" s="62" t="s">
        <v>388</v>
      </c>
      <c r="B373" s="63" t="n">
        <v>1007</v>
      </c>
      <c r="C373" s="64" t="n">
        <v>46304.4282156713</v>
      </c>
      <c r="D373" s="63" t="n">
        <v>10</v>
      </c>
      <c r="E373" s="62" t="s">
        <v>389</v>
      </c>
      <c r="F373" s="62" t="s">
        <v>430</v>
      </c>
      <c r="G373" s="62" t="s">
        <v>389</v>
      </c>
      <c r="H373" s="65" t="n">
        <v>7.3</v>
      </c>
      <c r="I373" s="62" t="s">
        <v>275</v>
      </c>
    </row>
    <row r="374" customFormat="false" ht="15" hidden="false" customHeight="false" outlineLevel="0" collapsed="false">
      <c r="A374" s="62" t="s">
        <v>388</v>
      </c>
      <c r="B374" s="63" t="n">
        <v>1007</v>
      </c>
      <c r="C374" s="64" t="n">
        <v>46304.4307447801</v>
      </c>
      <c r="D374" s="63" t="n">
        <v>10</v>
      </c>
      <c r="E374" s="62" t="s">
        <v>389</v>
      </c>
      <c r="F374" s="62" t="s">
        <v>431</v>
      </c>
      <c r="G374" s="62" t="s">
        <v>389</v>
      </c>
      <c r="H374" s="65" t="n">
        <v>3.6</v>
      </c>
      <c r="I374" s="62" t="s">
        <v>392</v>
      </c>
    </row>
    <row r="375" customFormat="false" ht="15" hidden="false" customHeight="false" outlineLevel="0" collapsed="false">
      <c r="A375" s="62" t="s">
        <v>388</v>
      </c>
      <c r="B375" s="63" t="n">
        <v>366</v>
      </c>
      <c r="C375" s="64" t="n">
        <v>46304.4358842361</v>
      </c>
      <c r="D375" s="63" t="n">
        <v>10</v>
      </c>
      <c r="E375" s="62" t="s">
        <v>389</v>
      </c>
      <c r="F375" s="62" t="s">
        <v>150</v>
      </c>
      <c r="G375" s="62" t="s">
        <v>389</v>
      </c>
      <c r="H375" s="65" t="n">
        <v>1.5</v>
      </c>
      <c r="I375" s="62" t="s">
        <v>392</v>
      </c>
    </row>
    <row r="376" customFormat="false" ht="15" hidden="false" customHeight="false" outlineLevel="0" collapsed="false">
      <c r="A376" s="62" t="s">
        <v>388</v>
      </c>
      <c r="B376" s="63" t="n">
        <v>366</v>
      </c>
      <c r="C376" s="64" t="n">
        <v>46304.437399919</v>
      </c>
      <c r="D376" s="63" t="n">
        <v>10</v>
      </c>
      <c r="E376" s="62" t="s">
        <v>389</v>
      </c>
      <c r="F376" s="62" t="s">
        <v>150</v>
      </c>
      <c r="G376" s="62" t="s">
        <v>389</v>
      </c>
      <c r="H376" s="65" t="n">
        <v>0.9</v>
      </c>
      <c r="I376" s="62" t="s">
        <v>392</v>
      </c>
    </row>
    <row r="377" customFormat="false" ht="15" hidden="false" customHeight="false" outlineLevel="0" collapsed="false">
      <c r="A377" s="62" t="s">
        <v>388</v>
      </c>
      <c r="B377" s="63" t="n">
        <v>366</v>
      </c>
      <c r="C377" s="64" t="n">
        <v>46304.4391974653</v>
      </c>
      <c r="D377" s="63" t="n">
        <v>10</v>
      </c>
      <c r="E377" s="62" t="s">
        <v>389</v>
      </c>
      <c r="F377" s="62" t="s">
        <v>150</v>
      </c>
      <c r="G377" s="62" t="s">
        <v>389</v>
      </c>
      <c r="H377" s="65" t="n">
        <v>1.6</v>
      </c>
      <c r="I377" s="62" t="s">
        <v>392</v>
      </c>
    </row>
    <row r="378" customFormat="false" ht="15" hidden="false" customHeight="false" outlineLevel="0" collapsed="false">
      <c r="A378" s="62" t="s">
        <v>388</v>
      </c>
      <c r="B378" s="63" t="n">
        <v>366</v>
      </c>
      <c r="C378" s="64" t="n">
        <v>46304.4446442824</v>
      </c>
      <c r="D378" s="63" t="n">
        <v>10</v>
      </c>
      <c r="E378" s="62" t="s">
        <v>389</v>
      </c>
      <c r="F378" s="62" t="s">
        <v>150</v>
      </c>
      <c r="G378" s="62" t="s">
        <v>389</v>
      </c>
      <c r="H378" s="65" t="n">
        <v>1.3</v>
      </c>
      <c r="I378" s="62" t="s">
        <v>392</v>
      </c>
    </row>
    <row r="379" customFormat="false" ht="15" hidden="false" customHeight="false" outlineLevel="0" collapsed="false">
      <c r="A379" s="62" t="s">
        <v>388</v>
      </c>
      <c r="B379" s="63" t="n">
        <v>366</v>
      </c>
      <c r="C379" s="64" t="n">
        <v>46304.4459365625</v>
      </c>
      <c r="D379" s="63" t="n">
        <v>10</v>
      </c>
      <c r="E379" s="62" t="s">
        <v>389</v>
      </c>
      <c r="F379" s="62" t="s">
        <v>150</v>
      </c>
      <c r="G379" s="62" t="s">
        <v>389</v>
      </c>
      <c r="H379" s="65" t="n">
        <v>2</v>
      </c>
      <c r="I379" s="62" t="s">
        <v>392</v>
      </c>
    </row>
    <row r="380" customFormat="false" ht="15" hidden="false" customHeight="false" outlineLevel="0" collapsed="false">
      <c r="A380" s="62" t="s">
        <v>388</v>
      </c>
      <c r="B380" s="63" t="n">
        <v>1014</v>
      </c>
      <c r="C380" s="64" t="n">
        <v>46304.4492350463</v>
      </c>
      <c r="D380" s="63" t="n">
        <v>10</v>
      </c>
      <c r="E380" s="62" t="s">
        <v>389</v>
      </c>
      <c r="F380" s="62" t="s">
        <v>430</v>
      </c>
      <c r="G380" s="62" t="s">
        <v>389</v>
      </c>
      <c r="H380" s="65" t="n">
        <v>8.5</v>
      </c>
      <c r="I380" s="62" t="s">
        <v>275</v>
      </c>
    </row>
    <row r="381" customFormat="false" ht="15" hidden="false" customHeight="false" outlineLevel="0" collapsed="false">
      <c r="A381" s="62" t="s">
        <v>388</v>
      </c>
      <c r="B381" s="63" t="n">
        <v>366</v>
      </c>
      <c r="C381" s="64" t="n">
        <v>46304.4493285185</v>
      </c>
      <c r="D381" s="63" t="n">
        <v>10</v>
      </c>
      <c r="E381" s="62" t="s">
        <v>389</v>
      </c>
      <c r="F381" s="62" t="s">
        <v>150</v>
      </c>
      <c r="G381" s="62" t="s">
        <v>389</v>
      </c>
      <c r="H381" s="65" t="n">
        <v>6.3</v>
      </c>
      <c r="I381" s="62" t="s">
        <v>392</v>
      </c>
    </row>
    <row r="382" customFormat="false" ht="15" hidden="false" customHeight="false" outlineLevel="0" collapsed="false">
      <c r="A382" s="62" t="s">
        <v>388</v>
      </c>
      <c r="B382" s="63" t="n">
        <v>1014</v>
      </c>
      <c r="C382" s="64" t="n">
        <v>46304.4545785069</v>
      </c>
      <c r="D382" s="63" t="n">
        <v>10</v>
      </c>
      <c r="E382" s="62" t="s">
        <v>389</v>
      </c>
      <c r="F382" s="62" t="s">
        <v>431</v>
      </c>
      <c r="G382" s="62" t="s">
        <v>389</v>
      </c>
      <c r="H382" s="65" t="n">
        <v>0.8</v>
      </c>
      <c r="I382" s="62" t="s">
        <v>392</v>
      </c>
    </row>
    <row r="383" customFormat="false" ht="15" hidden="false" customHeight="false" outlineLevel="0" collapsed="false">
      <c r="A383" s="62" t="s">
        <v>388</v>
      </c>
      <c r="B383" s="63" t="n">
        <v>366</v>
      </c>
      <c r="C383" s="64" t="n">
        <v>46304.4591158681</v>
      </c>
      <c r="D383" s="63" t="n">
        <v>11</v>
      </c>
      <c r="E383" s="62" t="s">
        <v>389</v>
      </c>
      <c r="F383" s="62" t="s">
        <v>150</v>
      </c>
      <c r="G383" s="62" t="s">
        <v>389</v>
      </c>
      <c r="H383" s="65" t="n">
        <v>2.9</v>
      </c>
      <c r="I383" s="62" t="s">
        <v>392</v>
      </c>
    </row>
    <row r="384" customFormat="false" ht="15" hidden="false" customHeight="false" outlineLevel="0" collapsed="false">
      <c r="A384" s="62" t="s">
        <v>388</v>
      </c>
      <c r="B384" s="63" t="n">
        <v>366</v>
      </c>
      <c r="C384" s="64" t="n">
        <v>46304.4616638773</v>
      </c>
      <c r="D384" s="63" t="n">
        <v>11</v>
      </c>
      <c r="E384" s="62" t="s">
        <v>389</v>
      </c>
      <c r="F384" s="62" t="s">
        <v>150</v>
      </c>
      <c r="G384" s="62" t="s">
        <v>389</v>
      </c>
      <c r="H384" s="65" t="n">
        <v>2.8</v>
      </c>
      <c r="I384" s="62" t="s">
        <v>392</v>
      </c>
    </row>
    <row r="385" customFormat="false" ht="15" hidden="false" customHeight="false" outlineLevel="0" collapsed="false">
      <c r="A385" s="62" t="s">
        <v>388</v>
      </c>
      <c r="B385" s="63" t="n">
        <v>1014</v>
      </c>
      <c r="C385" s="64" t="n">
        <v>46304.4631379514</v>
      </c>
      <c r="D385" s="63" t="n">
        <v>11</v>
      </c>
      <c r="E385" s="62" t="s">
        <v>389</v>
      </c>
      <c r="F385" s="62" t="s">
        <v>431</v>
      </c>
      <c r="G385" s="62" t="s">
        <v>389</v>
      </c>
      <c r="H385" s="65" t="n">
        <v>3.2</v>
      </c>
      <c r="I385" s="62" t="s">
        <v>392</v>
      </c>
    </row>
    <row r="386" customFormat="false" ht="15" hidden="false" customHeight="false" outlineLevel="0" collapsed="false">
      <c r="A386" s="62" t="s">
        <v>388</v>
      </c>
      <c r="B386" s="63" t="n">
        <v>366</v>
      </c>
      <c r="C386" s="64" t="n">
        <v>46304.4639718171</v>
      </c>
      <c r="D386" s="63" t="n">
        <v>11</v>
      </c>
      <c r="E386" s="62" t="s">
        <v>389</v>
      </c>
      <c r="F386" s="62" t="s">
        <v>150</v>
      </c>
      <c r="G386" s="62" t="s">
        <v>389</v>
      </c>
      <c r="H386" s="65" t="n">
        <v>0.9</v>
      </c>
      <c r="I386" s="62" t="s">
        <v>392</v>
      </c>
    </row>
    <row r="387" customFormat="false" ht="15" hidden="false" customHeight="false" outlineLevel="0" collapsed="false">
      <c r="A387" s="62" t="s">
        <v>388</v>
      </c>
      <c r="B387" s="63" t="n">
        <v>1019</v>
      </c>
      <c r="C387" s="64" t="n">
        <v>46304.4681785185</v>
      </c>
      <c r="D387" s="63" t="n">
        <v>11</v>
      </c>
      <c r="E387" s="62" t="s">
        <v>389</v>
      </c>
      <c r="F387" s="62" t="s">
        <v>430</v>
      </c>
      <c r="G387" s="62" t="s">
        <v>389</v>
      </c>
      <c r="H387" s="65" t="n">
        <v>2975.9</v>
      </c>
      <c r="I387" s="62" t="s">
        <v>275</v>
      </c>
    </row>
    <row r="388" customFormat="false" ht="15" hidden="false" customHeight="false" outlineLevel="0" collapsed="false">
      <c r="A388" s="62" t="s">
        <v>388</v>
      </c>
      <c r="B388" s="63" t="n">
        <v>366</v>
      </c>
      <c r="C388" s="64" t="n">
        <v>46304.47672375</v>
      </c>
      <c r="D388" s="63" t="n">
        <v>11</v>
      </c>
      <c r="E388" s="62" t="s">
        <v>389</v>
      </c>
      <c r="F388" s="62" t="s">
        <v>150</v>
      </c>
      <c r="G388" s="62" t="s">
        <v>389</v>
      </c>
      <c r="H388" s="65" t="n">
        <v>3.9</v>
      </c>
      <c r="I388" s="62" t="s">
        <v>392</v>
      </c>
    </row>
    <row r="389" customFormat="false" ht="15" hidden="false" customHeight="false" outlineLevel="0" collapsed="false">
      <c r="A389" s="62" t="s">
        <v>388</v>
      </c>
      <c r="B389" s="63" t="n">
        <v>973</v>
      </c>
      <c r="C389" s="64" t="n">
        <v>46304.481256632</v>
      </c>
      <c r="D389" s="63" t="n">
        <v>11</v>
      </c>
      <c r="E389" s="62" t="s">
        <v>389</v>
      </c>
      <c r="F389" s="62" t="s">
        <v>150</v>
      </c>
      <c r="G389" s="62" t="s">
        <v>389</v>
      </c>
      <c r="H389" s="65" t="n">
        <v>1.8</v>
      </c>
      <c r="I389" s="62" t="s">
        <v>392</v>
      </c>
    </row>
    <row r="390" customFormat="false" ht="15" hidden="false" customHeight="false" outlineLevel="0" collapsed="false">
      <c r="A390" s="62" t="s">
        <v>388</v>
      </c>
      <c r="B390" s="63" t="n">
        <v>366</v>
      </c>
      <c r="C390" s="64" t="n">
        <v>46304.4814232639</v>
      </c>
      <c r="D390" s="63" t="n">
        <v>11</v>
      </c>
      <c r="E390" s="62" t="s">
        <v>389</v>
      </c>
      <c r="F390" s="62" t="s">
        <v>150</v>
      </c>
      <c r="G390" s="62" t="s">
        <v>389</v>
      </c>
      <c r="H390" s="65" t="n">
        <v>0.8</v>
      </c>
      <c r="I390" s="62" t="s">
        <v>392</v>
      </c>
    </row>
    <row r="391" customFormat="false" ht="15" hidden="false" customHeight="false" outlineLevel="0" collapsed="false">
      <c r="A391" s="62" t="s">
        <v>388</v>
      </c>
      <c r="B391" s="63" t="n">
        <v>366</v>
      </c>
      <c r="C391" s="64" t="n">
        <v>46304.4825946296</v>
      </c>
      <c r="D391" s="63" t="n">
        <v>11</v>
      </c>
      <c r="E391" s="62" t="s">
        <v>389</v>
      </c>
      <c r="F391" s="62" t="s">
        <v>150</v>
      </c>
      <c r="G391" s="62" t="s">
        <v>389</v>
      </c>
      <c r="H391" s="65" t="n">
        <v>1.6</v>
      </c>
      <c r="I391" s="62" t="s">
        <v>392</v>
      </c>
    </row>
    <row r="392" customFormat="false" ht="15" hidden="false" customHeight="false" outlineLevel="0" collapsed="false">
      <c r="A392" s="62" t="s">
        <v>388</v>
      </c>
      <c r="B392" s="63" t="n">
        <v>1007</v>
      </c>
      <c r="C392" s="64" t="n">
        <v>46304.4963195602</v>
      </c>
      <c r="D392" s="63" t="n">
        <v>11</v>
      </c>
      <c r="E392" s="62" t="s">
        <v>389</v>
      </c>
      <c r="F392" s="62" t="s">
        <v>431</v>
      </c>
      <c r="G392" s="62" t="s">
        <v>389</v>
      </c>
      <c r="H392" s="65" t="n">
        <v>1.1</v>
      </c>
      <c r="I392" s="62" t="s">
        <v>392</v>
      </c>
    </row>
    <row r="393" customFormat="false" ht="15" hidden="false" customHeight="false" outlineLevel="0" collapsed="false">
      <c r="A393" s="62" t="s">
        <v>388</v>
      </c>
      <c r="B393" s="63" t="n">
        <v>366</v>
      </c>
      <c r="C393" s="64" t="n">
        <v>46304.5043729167</v>
      </c>
      <c r="D393" s="63" t="n">
        <v>12</v>
      </c>
      <c r="E393" s="62" t="s">
        <v>389</v>
      </c>
      <c r="F393" s="62" t="s">
        <v>150</v>
      </c>
      <c r="G393" s="62" t="s">
        <v>389</v>
      </c>
      <c r="H393" s="65" t="n">
        <v>3.7</v>
      </c>
      <c r="I393" s="62" t="s">
        <v>392</v>
      </c>
    </row>
    <row r="394" customFormat="false" ht="15" hidden="false" customHeight="false" outlineLevel="0" collapsed="false">
      <c r="A394" s="62" t="s">
        <v>388</v>
      </c>
      <c r="B394" s="63" t="n">
        <v>366</v>
      </c>
      <c r="C394" s="64" t="n">
        <v>46304.5472968634</v>
      </c>
      <c r="D394" s="63" t="n">
        <v>13</v>
      </c>
      <c r="E394" s="62" t="s">
        <v>389</v>
      </c>
      <c r="F394" s="62" t="s">
        <v>150</v>
      </c>
      <c r="G394" s="62" t="s">
        <v>389</v>
      </c>
      <c r="H394" s="65" t="n">
        <v>2</v>
      </c>
      <c r="I394" s="62" t="s">
        <v>392</v>
      </c>
    </row>
    <row r="395" customFormat="false" ht="15" hidden="false" customHeight="false" outlineLevel="0" collapsed="false">
      <c r="A395" s="62" t="s">
        <v>388</v>
      </c>
      <c r="B395" s="63" t="n">
        <v>1043</v>
      </c>
      <c r="C395" s="64" t="n">
        <v>46304.5696833912</v>
      </c>
      <c r="D395" s="63" t="n">
        <v>13</v>
      </c>
      <c r="E395" s="62" t="s">
        <v>389</v>
      </c>
      <c r="F395" s="62" t="s">
        <v>430</v>
      </c>
      <c r="G395" s="62" t="s">
        <v>389</v>
      </c>
      <c r="H395" s="65" t="n">
        <v>9.7</v>
      </c>
      <c r="I395" s="62" t="s">
        <v>275</v>
      </c>
    </row>
    <row r="396" customFormat="false" ht="15" hidden="false" customHeight="false" outlineLevel="0" collapsed="false">
      <c r="A396" s="62" t="s">
        <v>388</v>
      </c>
      <c r="B396" s="63" t="n">
        <v>1043</v>
      </c>
      <c r="C396" s="64" t="n">
        <v>46304.5758950579</v>
      </c>
      <c r="D396" s="63" t="n">
        <v>13</v>
      </c>
      <c r="E396" s="62" t="s">
        <v>389</v>
      </c>
      <c r="F396" s="62" t="s">
        <v>431</v>
      </c>
      <c r="G396" s="62" t="s">
        <v>389</v>
      </c>
      <c r="H396" s="65" t="n">
        <v>0.8</v>
      </c>
      <c r="I396" s="62" t="s">
        <v>392</v>
      </c>
    </row>
    <row r="397" customFormat="false" ht="15" hidden="false" customHeight="false" outlineLevel="0" collapsed="false">
      <c r="A397" s="62" t="s">
        <v>388</v>
      </c>
      <c r="B397" s="63" t="n">
        <v>1043</v>
      </c>
      <c r="C397" s="64" t="n">
        <v>46304.578003912</v>
      </c>
      <c r="D397" s="63" t="n">
        <v>13</v>
      </c>
      <c r="E397" s="62" t="s">
        <v>389</v>
      </c>
      <c r="F397" s="62" t="s">
        <v>431</v>
      </c>
      <c r="G397" s="62" t="s">
        <v>389</v>
      </c>
      <c r="H397" s="65" t="n">
        <v>0.5</v>
      </c>
      <c r="I397" s="62" t="s">
        <v>392</v>
      </c>
    </row>
    <row r="398" customFormat="false" ht="15" hidden="false" customHeight="false" outlineLevel="0" collapsed="false">
      <c r="A398" s="62" t="s">
        <v>388</v>
      </c>
      <c r="B398" s="63" t="n">
        <v>1043</v>
      </c>
      <c r="C398" s="64" t="n">
        <v>46304.5841780671</v>
      </c>
      <c r="D398" s="63" t="n">
        <v>14</v>
      </c>
      <c r="E398" s="62" t="s">
        <v>389</v>
      </c>
      <c r="F398" s="62" t="s">
        <v>151</v>
      </c>
      <c r="G398" s="62" t="s">
        <v>389</v>
      </c>
      <c r="H398" s="65" t="n">
        <v>0.9</v>
      </c>
      <c r="I398" s="62" t="s">
        <v>392</v>
      </c>
    </row>
    <row r="399" customFormat="false" ht="15" hidden="false" customHeight="false" outlineLevel="0" collapsed="false">
      <c r="A399" s="62" t="s">
        <v>388</v>
      </c>
      <c r="B399" s="63" t="n">
        <v>366</v>
      </c>
      <c r="C399" s="64" t="n">
        <v>46304.5899021991</v>
      </c>
      <c r="D399" s="63" t="n">
        <v>14</v>
      </c>
      <c r="E399" s="62" t="s">
        <v>389</v>
      </c>
      <c r="F399" s="62" t="s">
        <v>150</v>
      </c>
      <c r="G399" s="62" t="s">
        <v>389</v>
      </c>
      <c r="H399" s="65" t="n">
        <v>4.1</v>
      </c>
      <c r="I399" s="62" t="s">
        <v>392</v>
      </c>
    </row>
    <row r="400" customFormat="false" ht="15" hidden="false" customHeight="false" outlineLevel="0" collapsed="false">
      <c r="A400" s="62" t="s">
        <v>388</v>
      </c>
      <c r="B400" s="63" t="n">
        <v>666</v>
      </c>
      <c r="C400" s="64" t="n">
        <v>46304.5900740394</v>
      </c>
      <c r="D400" s="63" t="n">
        <v>14</v>
      </c>
      <c r="E400" s="62" t="s">
        <v>389</v>
      </c>
      <c r="F400" s="62" t="s">
        <v>150</v>
      </c>
      <c r="G400" s="62" t="s">
        <v>389</v>
      </c>
      <c r="H400" s="65" t="n">
        <v>3.1</v>
      </c>
      <c r="I400" s="62" t="s">
        <v>392</v>
      </c>
    </row>
    <row r="401" customFormat="false" ht="15" hidden="false" customHeight="false" outlineLevel="0" collapsed="false">
      <c r="A401" s="62" t="s">
        <v>388</v>
      </c>
      <c r="B401" s="63" t="n">
        <v>366</v>
      </c>
      <c r="C401" s="64" t="n">
        <v>46304.5934080556</v>
      </c>
      <c r="D401" s="63" t="n">
        <v>14</v>
      </c>
      <c r="E401" s="62" t="s">
        <v>389</v>
      </c>
      <c r="F401" s="62" t="s">
        <v>150</v>
      </c>
      <c r="G401" s="62" t="s">
        <v>389</v>
      </c>
      <c r="H401" s="65" t="n">
        <v>1.7</v>
      </c>
      <c r="I401" s="62" t="s">
        <v>392</v>
      </c>
    </row>
    <row r="402" customFormat="false" ht="15" hidden="false" customHeight="false" outlineLevel="0" collapsed="false">
      <c r="A402" s="62" t="s">
        <v>388</v>
      </c>
      <c r="B402" s="63" t="n">
        <v>348</v>
      </c>
      <c r="C402" s="64" t="n">
        <v>46304.6057327431</v>
      </c>
      <c r="D402" s="63" t="n">
        <v>14</v>
      </c>
      <c r="E402" s="62" t="s">
        <v>389</v>
      </c>
      <c r="F402" s="62" t="s">
        <v>150</v>
      </c>
      <c r="G402" s="62" t="s">
        <v>389</v>
      </c>
      <c r="H402" s="65" t="n">
        <v>0.5</v>
      </c>
      <c r="I402" s="62" t="s">
        <v>392</v>
      </c>
    </row>
    <row r="403" customFormat="false" ht="15" hidden="false" customHeight="false" outlineLevel="0" collapsed="false">
      <c r="A403" s="62" t="s">
        <v>388</v>
      </c>
      <c r="B403" s="63" t="n">
        <v>348</v>
      </c>
      <c r="C403" s="64" t="n">
        <v>46304.6137416435</v>
      </c>
      <c r="D403" s="63" t="n">
        <v>14</v>
      </c>
      <c r="E403" s="62" t="s">
        <v>389</v>
      </c>
      <c r="F403" s="62" t="s">
        <v>152</v>
      </c>
      <c r="G403" s="62" t="s">
        <v>389</v>
      </c>
      <c r="H403" s="65" t="n">
        <v>0.3</v>
      </c>
      <c r="I403" s="62" t="s">
        <v>392</v>
      </c>
    </row>
    <row r="404" customFormat="false" ht="15" hidden="false" customHeight="false" outlineLevel="0" collapsed="false">
      <c r="A404" s="62" t="s">
        <v>388</v>
      </c>
      <c r="B404" s="63" t="n">
        <v>1072</v>
      </c>
      <c r="C404" s="64" t="n">
        <v>46304.6863695023</v>
      </c>
      <c r="D404" s="63" t="n">
        <v>16</v>
      </c>
      <c r="E404" s="62" t="s">
        <v>389</v>
      </c>
      <c r="F404" s="62" t="s">
        <v>430</v>
      </c>
      <c r="G404" s="62" t="s">
        <v>389</v>
      </c>
      <c r="H404" s="65" t="n">
        <v>14.7</v>
      </c>
      <c r="I404" s="62" t="s">
        <v>275</v>
      </c>
    </row>
    <row r="405" customFormat="false" ht="15" hidden="false" customHeight="false" outlineLevel="0" collapsed="false">
      <c r="A405" s="62" t="s">
        <v>388</v>
      </c>
      <c r="B405" s="63" t="n">
        <v>1073</v>
      </c>
      <c r="C405" s="64" t="n">
        <v>46304.6898043056</v>
      </c>
      <c r="D405" s="63" t="n">
        <v>16</v>
      </c>
      <c r="E405" s="62" t="s">
        <v>389</v>
      </c>
      <c r="F405" s="62" t="s">
        <v>430</v>
      </c>
      <c r="G405" s="62" t="s">
        <v>389</v>
      </c>
      <c r="H405" s="65" t="n">
        <v>1219.2</v>
      </c>
      <c r="I405" s="62" t="s">
        <v>275</v>
      </c>
    </row>
    <row r="406" customFormat="false" ht="15" hidden="false" customHeight="false" outlineLevel="0" collapsed="false">
      <c r="A406" s="62" t="s">
        <v>388</v>
      </c>
      <c r="B406" s="63" t="n">
        <v>1072</v>
      </c>
      <c r="C406" s="64" t="n">
        <v>46304.6964081019</v>
      </c>
      <c r="D406" s="63" t="n">
        <v>16</v>
      </c>
      <c r="E406" s="62" t="s">
        <v>389</v>
      </c>
      <c r="F406" s="62" t="s">
        <v>431</v>
      </c>
      <c r="G406" s="62" t="s">
        <v>389</v>
      </c>
      <c r="H406" s="65" t="n">
        <v>0.3</v>
      </c>
      <c r="I406" s="62" t="s">
        <v>392</v>
      </c>
    </row>
    <row r="407" customFormat="false" ht="15" hidden="false" customHeight="false" outlineLevel="0" collapsed="false">
      <c r="A407" s="62" t="s">
        <v>388</v>
      </c>
      <c r="B407" s="63" t="n">
        <v>1072</v>
      </c>
      <c r="C407" s="64" t="n">
        <v>46304.696759456</v>
      </c>
      <c r="D407" s="63" t="n">
        <v>16</v>
      </c>
      <c r="E407" s="62" t="s">
        <v>389</v>
      </c>
      <c r="F407" s="62" t="s">
        <v>431</v>
      </c>
      <c r="G407" s="62" t="s">
        <v>389</v>
      </c>
      <c r="H407" s="65" t="n">
        <v>1.6</v>
      </c>
      <c r="I407" s="62" t="s">
        <v>392</v>
      </c>
    </row>
    <row r="408" customFormat="false" ht="15" hidden="false" customHeight="false" outlineLevel="0" collapsed="false">
      <c r="A408" s="62" t="s">
        <v>388</v>
      </c>
      <c r="B408" s="63" t="n">
        <v>1072</v>
      </c>
      <c r="C408" s="64" t="n">
        <v>46304.7001390162</v>
      </c>
      <c r="D408" s="63" t="n">
        <v>16</v>
      </c>
      <c r="E408" s="62" t="s">
        <v>389</v>
      </c>
      <c r="F408" s="62" t="s">
        <v>151</v>
      </c>
      <c r="G408" s="62" t="s">
        <v>389</v>
      </c>
      <c r="H408" s="65" t="n">
        <v>1.3</v>
      </c>
      <c r="I408" s="62" t="s">
        <v>392</v>
      </c>
    </row>
    <row r="409" customFormat="false" ht="15" hidden="false" customHeight="false" outlineLevel="0" collapsed="false">
      <c r="A409" s="62" t="s">
        <v>388</v>
      </c>
      <c r="B409" s="63" t="n">
        <v>1072</v>
      </c>
      <c r="C409" s="64" t="n">
        <v>46304.7013508796</v>
      </c>
      <c r="D409" s="63" t="n">
        <v>16</v>
      </c>
      <c r="E409" s="62" t="s">
        <v>389</v>
      </c>
      <c r="F409" s="62" t="s">
        <v>151</v>
      </c>
      <c r="G409" s="62" t="s">
        <v>389</v>
      </c>
      <c r="H409" s="65" t="n">
        <v>1203.1</v>
      </c>
      <c r="I409" s="62" t="s">
        <v>275</v>
      </c>
    </row>
    <row r="410" customFormat="false" ht="15" hidden="false" customHeight="false" outlineLevel="0" collapsed="false">
      <c r="A410" s="62" t="s">
        <v>388</v>
      </c>
      <c r="B410" s="63" t="n">
        <v>1082</v>
      </c>
      <c r="C410" s="64" t="n">
        <v>46304.7347496528</v>
      </c>
      <c r="D410" s="63" t="n">
        <v>17</v>
      </c>
      <c r="E410" s="62" t="s">
        <v>389</v>
      </c>
      <c r="F410" s="62" t="s">
        <v>430</v>
      </c>
      <c r="G410" s="62" t="s">
        <v>389</v>
      </c>
      <c r="H410" s="65" t="n">
        <v>78.7</v>
      </c>
      <c r="I410" s="62" t="s">
        <v>275</v>
      </c>
    </row>
    <row r="411" customFormat="false" ht="15" hidden="false" customHeight="false" outlineLevel="0" collapsed="false">
      <c r="A411" s="62" t="s">
        <v>388</v>
      </c>
      <c r="B411" s="63" t="n">
        <v>666</v>
      </c>
      <c r="C411" s="64" t="n">
        <v>46304.7357933449</v>
      </c>
      <c r="D411" s="63" t="n">
        <v>17</v>
      </c>
      <c r="E411" s="62" t="s">
        <v>389</v>
      </c>
      <c r="F411" s="62" t="s">
        <v>150</v>
      </c>
      <c r="G411" s="62" t="s">
        <v>389</v>
      </c>
      <c r="H411" s="65" t="n">
        <v>2.3</v>
      </c>
      <c r="I411" s="62" t="s">
        <v>392</v>
      </c>
    </row>
    <row r="412" customFormat="false" ht="15" hidden="false" customHeight="false" outlineLevel="0" collapsed="false">
      <c r="A412" s="62" t="s">
        <v>388</v>
      </c>
      <c r="B412" s="63" t="n">
        <v>1082</v>
      </c>
      <c r="C412" s="64" t="n">
        <v>46304.7368211806</v>
      </c>
      <c r="D412" s="63" t="n">
        <v>17</v>
      </c>
      <c r="E412" s="62" t="s">
        <v>389</v>
      </c>
      <c r="F412" s="62" t="s">
        <v>431</v>
      </c>
      <c r="G412" s="62" t="s">
        <v>389</v>
      </c>
      <c r="H412" s="65" t="n">
        <v>75.7</v>
      </c>
      <c r="I412" s="62" t="s">
        <v>275</v>
      </c>
    </row>
    <row r="413" customFormat="false" ht="15" hidden="false" customHeight="false" outlineLevel="0" collapsed="false">
      <c r="A413" s="62" t="s">
        <v>388</v>
      </c>
      <c r="B413" s="63" t="n">
        <v>666</v>
      </c>
      <c r="C413" s="64" t="n">
        <v>46304.7446873032</v>
      </c>
      <c r="D413" s="63" t="n">
        <v>17</v>
      </c>
      <c r="E413" s="62" t="s">
        <v>389</v>
      </c>
      <c r="F413" s="62" t="s">
        <v>150</v>
      </c>
      <c r="G413" s="62" t="s">
        <v>389</v>
      </c>
      <c r="H413" s="65" t="n">
        <v>4.6</v>
      </c>
      <c r="I413" s="62" t="s">
        <v>392</v>
      </c>
    </row>
    <row r="414" customFormat="false" ht="15" hidden="false" customHeight="false" outlineLevel="0" collapsed="false">
      <c r="A414" s="62" t="s">
        <v>388</v>
      </c>
      <c r="B414" s="63" t="n">
        <v>762</v>
      </c>
      <c r="C414" s="64" t="n">
        <v>46304.7737777546</v>
      </c>
      <c r="D414" s="63" t="n">
        <v>18</v>
      </c>
      <c r="E414" s="62" t="s">
        <v>389</v>
      </c>
      <c r="F414" s="62" t="s">
        <v>150</v>
      </c>
      <c r="G414" s="62" t="s">
        <v>389</v>
      </c>
      <c r="H414" s="65" t="n">
        <v>0.7</v>
      </c>
      <c r="I414" s="62" t="s">
        <v>392</v>
      </c>
    </row>
    <row r="415" customFormat="false" ht="15" hidden="false" customHeight="false" outlineLevel="0" collapsed="false">
      <c r="A415" s="62" t="s">
        <v>388</v>
      </c>
      <c r="B415" s="63" t="n">
        <v>1100</v>
      </c>
      <c r="C415" s="64" t="n">
        <v>46304.7782505093</v>
      </c>
      <c r="D415" s="63" t="n">
        <v>18</v>
      </c>
      <c r="E415" s="62" t="s">
        <v>389</v>
      </c>
      <c r="F415" s="62" t="s">
        <v>430</v>
      </c>
      <c r="G415" s="62" t="s">
        <v>389</v>
      </c>
      <c r="H415" s="65" t="n">
        <v>5.5</v>
      </c>
      <c r="I415" s="62" t="s">
        <v>275</v>
      </c>
    </row>
    <row r="416" customFormat="false" ht="15" hidden="false" customHeight="false" outlineLevel="0" collapsed="false">
      <c r="A416" s="62" t="s">
        <v>388</v>
      </c>
      <c r="B416" s="63" t="n">
        <v>1100</v>
      </c>
      <c r="C416" s="64" t="n">
        <v>46304.7806932986</v>
      </c>
      <c r="D416" s="63" t="n">
        <v>18</v>
      </c>
      <c r="E416" s="62" t="s">
        <v>389</v>
      </c>
      <c r="F416" s="62" t="s">
        <v>431</v>
      </c>
      <c r="G416" s="62" t="s">
        <v>389</v>
      </c>
      <c r="H416" s="65" t="n">
        <v>2</v>
      </c>
      <c r="I416" s="62" t="s">
        <v>392</v>
      </c>
    </row>
    <row r="417" customFormat="false" ht="15" hidden="false" customHeight="false" outlineLevel="0" collapsed="false">
      <c r="A417" s="62" t="s">
        <v>388</v>
      </c>
      <c r="B417" s="63" t="n">
        <v>1082</v>
      </c>
      <c r="C417" s="64" t="n">
        <v>46304.7869346528</v>
      </c>
      <c r="D417" s="63" t="n">
        <v>18</v>
      </c>
      <c r="E417" s="62" t="s">
        <v>389</v>
      </c>
      <c r="F417" s="62" t="s">
        <v>431</v>
      </c>
      <c r="G417" s="62" t="s">
        <v>389</v>
      </c>
      <c r="H417" s="65" t="n">
        <v>3.6</v>
      </c>
      <c r="I417" s="62" t="s">
        <v>392</v>
      </c>
    </row>
    <row r="418" customFormat="false" ht="15" hidden="false" customHeight="false" outlineLevel="0" collapsed="false">
      <c r="A418" s="62" t="s">
        <v>388</v>
      </c>
      <c r="B418" s="63" t="n">
        <v>336</v>
      </c>
      <c r="C418" s="64" t="n">
        <v>46304.8347690857</v>
      </c>
      <c r="D418" s="63" t="n">
        <v>20</v>
      </c>
      <c r="E418" s="62" t="s">
        <v>389</v>
      </c>
      <c r="F418" s="62" t="s">
        <v>391</v>
      </c>
      <c r="G418" s="62" t="s">
        <v>390</v>
      </c>
      <c r="H418" s="65"/>
      <c r="I418" s="62" t="s">
        <v>432</v>
      </c>
    </row>
    <row r="419" customFormat="false" ht="15" hidden="false" customHeight="false" outlineLevel="0" collapsed="false">
      <c r="A419" s="62" t="s">
        <v>388</v>
      </c>
      <c r="B419" s="63" t="n">
        <v>762</v>
      </c>
      <c r="C419" s="64" t="n">
        <v>46304.8363891782</v>
      </c>
      <c r="D419" s="63" t="n">
        <v>20</v>
      </c>
      <c r="E419" s="62" t="s">
        <v>389</v>
      </c>
      <c r="F419" s="62" t="s">
        <v>150</v>
      </c>
      <c r="G419" s="62" t="s">
        <v>389</v>
      </c>
      <c r="H419" s="65" t="n">
        <v>57.2</v>
      </c>
      <c r="I419" s="62" t="s">
        <v>392</v>
      </c>
    </row>
    <row r="420" customFormat="false" ht="15" hidden="false" customHeight="false" outlineLevel="0" collapsed="false">
      <c r="A420" s="62" t="s">
        <v>388</v>
      </c>
      <c r="B420" s="63" t="n">
        <v>1109</v>
      </c>
      <c r="C420" s="64" t="n">
        <v>46304.8426854051</v>
      </c>
      <c r="D420" s="63" t="n">
        <v>20</v>
      </c>
      <c r="E420" s="62" t="s">
        <v>389</v>
      </c>
      <c r="F420" s="62" t="s">
        <v>430</v>
      </c>
      <c r="G420" s="62" t="s">
        <v>389</v>
      </c>
      <c r="H420" s="65" t="n">
        <v>3845.1</v>
      </c>
      <c r="I420" s="62" t="s">
        <v>275</v>
      </c>
    </row>
    <row r="421" customFormat="false" ht="15" hidden="false" customHeight="false" outlineLevel="0" collapsed="false">
      <c r="A421" s="62" t="s">
        <v>388</v>
      </c>
      <c r="B421" s="63" t="n">
        <v>1106</v>
      </c>
      <c r="C421" s="64" t="n">
        <v>46304.8432610417</v>
      </c>
      <c r="D421" s="63" t="n">
        <v>20</v>
      </c>
      <c r="E421" s="62" t="s">
        <v>389</v>
      </c>
      <c r="F421" s="62" t="s">
        <v>431</v>
      </c>
      <c r="G421" s="62" t="s">
        <v>389</v>
      </c>
      <c r="H421" s="65" t="n">
        <v>2.2</v>
      </c>
      <c r="I421" s="62" t="s">
        <v>392</v>
      </c>
    </row>
    <row r="422" customFormat="false" ht="15" hidden="false" customHeight="false" outlineLevel="0" collapsed="false">
      <c r="A422" s="62" t="s">
        <v>388</v>
      </c>
      <c r="B422" s="63" t="n">
        <v>348</v>
      </c>
      <c r="C422" s="64" t="n">
        <v>46304.8516382755</v>
      </c>
      <c r="D422" s="63" t="n">
        <v>20</v>
      </c>
      <c r="E422" s="62" t="s">
        <v>389</v>
      </c>
      <c r="F422" s="62" t="s">
        <v>152</v>
      </c>
      <c r="G422" s="62" t="s">
        <v>389</v>
      </c>
      <c r="H422" s="65" t="n">
        <v>34.3</v>
      </c>
      <c r="I422" s="62" t="s">
        <v>392</v>
      </c>
    </row>
    <row r="423" customFormat="false" ht="15" hidden="false" customHeight="false" outlineLevel="0" collapsed="false">
      <c r="A423" s="62" t="s">
        <v>388</v>
      </c>
      <c r="B423" s="63" t="n">
        <v>1112</v>
      </c>
      <c r="C423" s="64" t="n">
        <v>46304.8746690046</v>
      </c>
      <c r="D423" s="63" t="n">
        <v>20</v>
      </c>
      <c r="E423" s="62" t="s">
        <v>389</v>
      </c>
      <c r="F423" s="62" t="s">
        <v>430</v>
      </c>
      <c r="G423" s="62" t="s">
        <v>389</v>
      </c>
      <c r="H423" s="65" t="n">
        <v>8.8</v>
      </c>
      <c r="I423" s="62" t="s">
        <v>275</v>
      </c>
    </row>
    <row r="424" customFormat="false" ht="15" hidden="false" customHeight="false" outlineLevel="0" collapsed="false">
      <c r="A424" s="62" t="s">
        <v>388</v>
      </c>
      <c r="B424" s="63" t="n">
        <v>1112</v>
      </c>
      <c r="C424" s="64" t="n">
        <v>46304.8773288542</v>
      </c>
      <c r="D424" s="63" t="n">
        <v>21</v>
      </c>
      <c r="E424" s="62" t="s">
        <v>390</v>
      </c>
      <c r="F424" s="62" t="s">
        <v>431</v>
      </c>
      <c r="G424" s="62" t="s">
        <v>389</v>
      </c>
      <c r="H424" s="65" t="n">
        <v>4.9</v>
      </c>
      <c r="I424" s="62" t="s">
        <v>275</v>
      </c>
    </row>
    <row r="425" customFormat="false" ht="15" hidden="false" customHeight="false" outlineLevel="0" collapsed="false">
      <c r="A425" s="62" t="s">
        <v>388</v>
      </c>
      <c r="B425" s="63" t="n">
        <v>1112</v>
      </c>
      <c r="C425" s="64" t="n">
        <v>46304.8773619907</v>
      </c>
      <c r="D425" s="63" t="n">
        <v>21</v>
      </c>
      <c r="E425" s="62" t="s">
        <v>390</v>
      </c>
      <c r="F425" s="62" t="s">
        <v>431</v>
      </c>
      <c r="G425" s="62" t="s">
        <v>389</v>
      </c>
      <c r="H425" s="65" t="n">
        <v>4.9</v>
      </c>
      <c r="I425" s="62" t="s">
        <v>392</v>
      </c>
    </row>
    <row r="426" customFormat="false" ht="15" hidden="false" customHeight="false" outlineLevel="0" collapsed="false">
      <c r="A426" s="62" t="s">
        <v>388</v>
      </c>
      <c r="B426" s="63" t="n">
        <v>1122</v>
      </c>
      <c r="C426" s="64" t="n">
        <v>46304.9242436458</v>
      </c>
      <c r="D426" s="63" t="n">
        <v>22</v>
      </c>
      <c r="E426" s="62" t="s">
        <v>390</v>
      </c>
      <c r="F426" s="62" t="s">
        <v>430</v>
      </c>
      <c r="G426" s="62" t="s">
        <v>389</v>
      </c>
      <c r="H426" s="65" t="n">
        <v>576.3</v>
      </c>
      <c r="I426" s="62" t="s">
        <v>275</v>
      </c>
    </row>
    <row r="427" customFormat="false" ht="15" hidden="false" customHeight="false" outlineLevel="0" collapsed="false">
      <c r="A427" s="62" t="s">
        <v>388</v>
      </c>
      <c r="B427" s="63" t="n">
        <v>1122</v>
      </c>
      <c r="C427" s="64" t="n">
        <v>46304.9265106944</v>
      </c>
      <c r="D427" s="63" t="n">
        <v>22</v>
      </c>
      <c r="E427" s="62" t="s">
        <v>390</v>
      </c>
      <c r="F427" s="62" t="s">
        <v>431</v>
      </c>
      <c r="G427" s="62" t="s">
        <v>389</v>
      </c>
      <c r="H427" s="65" t="n">
        <v>573</v>
      </c>
      <c r="I427" s="62" t="s">
        <v>392</v>
      </c>
    </row>
    <row r="428" customFormat="false" ht="15" hidden="false" customHeight="false" outlineLevel="0" collapsed="false">
      <c r="A428" s="62" t="s">
        <v>388</v>
      </c>
      <c r="B428" s="63" t="n">
        <v>1131</v>
      </c>
      <c r="C428" s="64" t="n">
        <v>46304.992975706</v>
      </c>
      <c r="D428" s="63" t="n">
        <v>23</v>
      </c>
      <c r="E428" s="62" t="s">
        <v>390</v>
      </c>
      <c r="F428" s="62" t="s">
        <v>430</v>
      </c>
      <c r="G428" s="62" t="s">
        <v>389</v>
      </c>
      <c r="H428" s="65" t="n">
        <v>506.6</v>
      </c>
      <c r="I428" s="62" t="s">
        <v>275</v>
      </c>
    </row>
    <row r="429" customFormat="false" ht="15" hidden="false" customHeight="false" outlineLevel="0" collapsed="false">
      <c r="A429" s="62" t="s">
        <v>388</v>
      </c>
      <c r="B429" s="63" t="n">
        <v>1137</v>
      </c>
      <c r="C429" s="64" t="n">
        <v>46305.1958031713</v>
      </c>
      <c r="D429" s="63" t="n">
        <v>4</v>
      </c>
      <c r="E429" s="62" t="s">
        <v>390</v>
      </c>
      <c r="F429" s="62" t="s">
        <v>430</v>
      </c>
      <c r="G429" s="62" t="s">
        <v>389</v>
      </c>
      <c r="H429" s="65" t="n">
        <v>230.2</v>
      </c>
      <c r="I429" s="62" t="s">
        <v>275</v>
      </c>
    </row>
    <row r="430" customFormat="false" ht="15" hidden="false" customHeight="false" outlineLevel="0" collapsed="false">
      <c r="A430" s="62" t="s">
        <v>388</v>
      </c>
      <c r="B430" s="63" t="n">
        <v>1142</v>
      </c>
      <c r="C430" s="64" t="n">
        <v>46305.2619634028</v>
      </c>
      <c r="D430" s="63" t="n">
        <v>6</v>
      </c>
      <c r="E430" s="62" t="s">
        <v>390</v>
      </c>
      <c r="F430" s="62" t="s">
        <v>430</v>
      </c>
      <c r="G430" s="62" t="s">
        <v>389</v>
      </c>
      <c r="H430" s="65" t="n">
        <v>3243.3</v>
      </c>
      <c r="I430" s="62" t="s">
        <v>275</v>
      </c>
    </row>
    <row r="431" customFormat="false" ht="15" hidden="false" customHeight="false" outlineLevel="0" collapsed="false">
      <c r="A431" s="62" t="s">
        <v>388</v>
      </c>
      <c r="B431" s="63" t="n">
        <v>1143</v>
      </c>
      <c r="C431" s="64" t="n">
        <v>46305.2667904977</v>
      </c>
      <c r="D431" s="63" t="n">
        <v>6</v>
      </c>
      <c r="E431" s="62" t="s">
        <v>390</v>
      </c>
      <c r="F431" s="62" t="s">
        <v>430</v>
      </c>
      <c r="G431" s="62" t="s">
        <v>389</v>
      </c>
      <c r="H431" s="65" t="n">
        <v>161.7</v>
      </c>
      <c r="I431" s="62" t="s">
        <v>275</v>
      </c>
    </row>
    <row r="432" customFormat="false" ht="15" hidden="false" customHeight="false" outlineLevel="0" collapsed="false">
      <c r="A432" s="62" t="s">
        <v>388</v>
      </c>
      <c r="B432" s="63" t="n">
        <v>1145</v>
      </c>
      <c r="C432" s="64" t="n">
        <v>46305.3011896991</v>
      </c>
      <c r="D432" s="63" t="n">
        <v>7</v>
      </c>
      <c r="E432" s="62" t="s">
        <v>390</v>
      </c>
      <c r="F432" s="62" t="s">
        <v>431</v>
      </c>
      <c r="G432" s="62" t="s">
        <v>389</v>
      </c>
      <c r="H432" s="65" t="n">
        <v>46</v>
      </c>
      <c r="I432" s="62" t="s">
        <v>392</v>
      </c>
    </row>
    <row r="433" customFormat="false" ht="15" hidden="false" customHeight="false" outlineLevel="0" collapsed="false">
      <c r="A433" s="62" t="s">
        <v>388</v>
      </c>
      <c r="B433" s="63" t="n">
        <v>1150</v>
      </c>
      <c r="C433" s="64" t="n">
        <v>46305.3143924884</v>
      </c>
      <c r="D433" s="63" t="n">
        <v>7</v>
      </c>
      <c r="E433" s="62" t="s">
        <v>390</v>
      </c>
      <c r="F433" s="62" t="s">
        <v>430</v>
      </c>
      <c r="G433" s="62" t="s">
        <v>389</v>
      </c>
      <c r="H433" s="65" t="n">
        <v>69.8</v>
      </c>
      <c r="I433" s="62" t="s">
        <v>275</v>
      </c>
    </row>
    <row r="434" customFormat="false" ht="15" hidden="false" customHeight="false" outlineLevel="0" collapsed="false">
      <c r="A434" s="62" t="s">
        <v>388</v>
      </c>
      <c r="B434" s="63" t="n">
        <v>1131</v>
      </c>
      <c r="C434" s="64" t="n">
        <v>46305.329635081</v>
      </c>
      <c r="D434" s="63" t="n">
        <v>7</v>
      </c>
      <c r="E434" s="62" t="s">
        <v>390</v>
      </c>
      <c r="F434" s="62" t="s">
        <v>431</v>
      </c>
      <c r="G434" s="62" t="s">
        <v>389</v>
      </c>
      <c r="H434" s="65" t="n">
        <v>21.8</v>
      </c>
      <c r="I434" s="62" t="s">
        <v>392</v>
      </c>
    </row>
    <row r="435" customFormat="false" ht="15" hidden="false" customHeight="false" outlineLevel="0" collapsed="false">
      <c r="A435" s="62" t="s">
        <v>388</v>
      </c>
      <c r="B435" s="63" t="n">
        <v>1151</v>
      </c>
      <c r="C435" s="64" t="n">
        <v>46305.3303213542</v>
      </c>
      <c r="D435" s="63" t="n">
        <v>7</v>
      </c>
      <c r="E435" s="62" t="s">
        <v>390</v>
      </c>
      <c r="F435" s="62" t="s">
        <v>430</v>
      </c>
      <c r="G435" s="62" t="s">
        <v>389</v>
      </c>
      <c r="H435" s="65" t="n">
        <v>43.7</v>
      </c>
      <c r="I435" s="62" t="s">
        <v>275</v>
      </c>
    </row>
    <row r="436" customFormat="false" ht="15" hidden="false" customHeight="false" outlineLevel="0" collapsed="false">
      <c r="A436" s="62" t="s">
        <v>388</v>
      </c>
      <c r="B436" s="63" t="n">
        <v>1137</v>
      </c>
      <c r="C436" s="64" t="n">
        <v>46305.3318765394</v>
      </c>
      <c r="D436" s="63" t="n">
        <v>7</v>
      </c>
      <c r="E436" s="62" t="s">
        <v>390</v>
      </c>
      <c r="F436" s="62" t="s">
        <v>431</v>
      </c>
      <c r="G436" s="62" t="s">
        <v>389</v>
      </c>
      <c r="H436" s="65" t="n">
        <v>34.3</v>
      </c>
      <c r="I436" s="62" t="s">
        <v>392</v>
      </c>
    </row>
    <row r="437" customFormat="false" ht="15" hidden="false" customHeight="false" outlineLevel="0" collapsed="false">
      <c r="A437" s="62" t="s">
        <v>388</v>
      </c>
      <c r="B437" s="63" t="n">
        <v>1150</v>
      </c>
      <c r="C437" s="64" t="n">
        <v>46305.3335641319</v>
      </c>
      <c r="D437" s="63" t="n">
        <v>8</v>
      </c>
      <c r="E437" s="62" t="s">
        <v>390</v>
      </c>
      <c r="F437" s="62" t="s">
        <v>431</v>
      </c>
      <c r="G437" s="62" t="s">
        <v>389</v>
      </c>
      <c r="H437" s="65" t="n">
        <v>42.2</v>
      </c>
      <c r="I437" s="62" t="s">
        <v>275</v>
      </c>
    </row>
    <row r="438" customFormat="false" ht="15" hidden="false" customHeight="false" outlineLevel="0" collapsed="false">
      <c r="A438" s="62" t="s">
        <v>388</v>
      </c>
      <c r="B438" s="63" t="n">
        <v>1151</v>
      </c>
      <c r="C438" s="64" t="n">
        <v>46305.3343661574</v>
      </c>
      <c r="D438" s="63" t="n">
        <v>8</v>
      </c>
      <c r="E438" s="62" t="s">
        <v>390</v>
      </c>
      <c r="F438" s="62" t="s">
        <v>431</v>
      </c>
      <c r="G438" s="62" t="s">
        <v>389</v>
      </c>
      <c r="H438" s="65" t="n">
        <v>37.9</v>
      </c>
      <c r="I438" s="62" t="s">
        <v>392</v>
      </c>
    </row>
    <row r="439" customFormat="false" ht="15" hidden="false" customHeight="false" outlineLevel="0" collapsed="false">
      <c r="A439" s="62" t="s">
        <v>388</v>
      </c>
      <c r="B439" s="63" t="n">
        <v>1150</v>
      </c>
      <c r="C439" s="64" t="n">
        <v>46305.3347262153</v>
      </c>
      <c r="D439" s="63" t="n">
        <v>8</v>
      </c>
      <c r="E439" s="62" t="s">
        <v>390</v>
      </c>
      <c r="F439" s="62" t="s">
        <v>431</v>
      </c>
      <c r="G439" s="62" t="s">
        <v>389</v>
      </c>
      <c r="H439" s="65" t="n">
        <v>40.5</v>
      </c>
      <c r="I439" s="62" t="s">
        <v>392</v>
      </c>
    </row>
    <row r="440" customFormat="false" ht="15" hidden="false" customHeight="false" outlineLevel="0" collapsed="false">
      <c r="A440" s="62" t="s">
        <v>388</v>
      </c>
      <c r="B440" s="63" t="n">
        <v>1131</v>
      </c>
      <c r="C440" s="64" t="n">
        <v>46305.3479952199</v>
      </c>
      <c r="D440" s="63" t="n">
        <v>8</v>
      </c>
      <c r="E440" s="62" t="s">
        <v>390</v>
      </c>
      <c r="F440" s="62" t="s">
        <v>431</v>
      </c>
      <c r="G440" s="62" t="s">
        <v>389</v>
      </c>
      <c r="H440" s="65" t="n">
        <v>4.6</v>
      </c>
      <c r="I440" s="62" t="s">
        <v>392</v>
      </c>
    </row>
    <row r="441" customFormat="false" ht="15" hidden="false" customHeight="false" outlineLevel="0" collapsed="false">
      <c r="A441" s="62" t="s">
        <v>388</v>
      </c>
      <c r="B441" s="63" t="n">
        <v>1131</v>
      </c>
      <c r="C441" s="64" t="n">
        <v>46305.3522269907</v>
      </c>
      <c r="D441" s="63" t="n">
        <v>8</v>
      </c>
      <c r="E441" s="62" t="s">
        <v>390</v>
      </c>
      <c r="F441" s="62" t="s">
        <v>431</v>
      </c>
      <c r="G441" s="62" t="s">
        <v>389</v>
      </c>
      <c r="H441" s="65" t="n">
        <v>11.5</v>
      </c>
      <c r="I441" s="62" t="s">
        <v>392</v>
      </c>
    </row>
    <row r="442" customFormat="false" ht="15" hidden="false" customHeight="false" outlineLevel="0" collapsed="false">
      <c r="A442" s="62" t="s">
        <v>388</v>
      </c>
      <c r="B442" s="63" t="n">
        <v>1137</v>
      </c>
      <c r="C442" s="64" t="n">
        <v>46305.3560410301</v>
      </c>
      <c r="D442" s="63" t="n">
        <v>8</v>
      </c>
      <c r="E442" s="62" t="s">
        <v>390</v>
      </c>
      <c r="F442" s="62" t="s">
        <v>431</v>
      </c>
      <c r="G442" s="62" t="s">
        <v>389</v>
      </c>
      <c r="H442" s="65" t="n">
        <v>3.7</v>
      </c>
      <c r="I442" s="62" t="s">
        <v>392</v>
      </c>
    </row>
    <row r="443" customFormat="false" ht="15" hidden="false" customHeight="false" outlineLevel="0" collapsed="false">
      <c r="A443" s="62" t="s">
        <v>388</v>
      </c>
      <c r="B443" s="63" t="n">
        <v>1137</v>
      </c>
      <c r="C443" s="64" t="n">
        <v>46305.3608466319</v>
      </c>
      <c r="D443" s="63" t="n">
        <v>8</v>
      </c>
      <c r="E443" s="62" t="s">
        <v>390</v>
      </c>
      <c r="F443" s="62" t="s">
        <v>431</v>
      </c>
      <c r="G443" s="62" t="s">
        <v>389</v>
      </c>
      <c r="H443" s="65" t="n">
        <v>1.3</v>
      </c>
      <c r="I443" s="62" t="s">
        <v>392</v>
      </c>
    </row>
    <row r="444" customFormat="false" ht="15" hidden="false" customHeight="false" outlineLevel="0" collapsed="false">
      <c r="A444" s="62" t="s">
        <v>388</v>
      </c>
      <c r="B444" s="63" t="n">
        <v>1131</v>
      </c>
      <c r="C444" s="64" t="n">
        <v>46305.3619656829</v>
      </c>
      <c r="D444" s="63" t="n">
        <v>8</v>
      </c>
      <c r="E444" s="62" t="s">
        <v>390</v>
      </c>
      <c r="F444" s="62" t="s">
        <v>431</v>
      </c>
      <c r="G444" s="62" t="s">
        <v>389</v>
      </c>
      <c r="H444" s="65" t="n">
        <v>9.6</v>
      </c>
      <c r="I444" s="62" t="s">
        <v>392</v>
      </c>
    </row>
    <row r="445" customFormat="false" ht="15" hidden="false" customHeight="false" outlineLevel="0" collapsed="false">
      <c r="A445" s="62" t="s">
        <v>388</v>
      </c>
      <c r="B445" s="63" t="n">
        <v>1143</v>
      </c>
      <c r="C445" s="64" t="n">
        <v>46305.3621440278</v>
      </c>
      <c r="D445" s="63" t="n">
        <v>8</v>
      </c>
      <c r="E445" s="62" t="s">
        <v>390</v>
      </c>
      <c r="F445" s="62" t="s">
        <v>431</v>
      </c>
      <c r="G445" s="62" t="s">
        <v>389</v>
      </c>
      <c r="H445" s="65" t="n">
        <v>24.4</v>
      </c>
      <c r="I445" s="62" t="s">
        <v>392</v>
      </c>
    </row>
    <row r="446" customFormat="false" ht="15" hidden="false" customHeight="false" outlineLevel="0" collapsed="false">
      <c r="A446" s="62" t="s">
        <v>388</v>
      </c>
      <c r="B446" s="63" t="n">
        <v>1137</v>
      </c>
      <c r="C446" s="64" t="n">
        <v>46305.3633765625</v>
      </c>
      <c r="D446" s="63" t="n">
        <v>8</v>
      </c>
      <c r="E446" s="62" t="s">
        <v>390</v>
      </c>
      <c r="F446" s="62" t="s">
        <v>431</v>
      </c>
      <c r="G446" s="62" t="s">
        <v>389</v>
      </c>
      <c r="H446" s="65" t="n">
        <v>2</v>
      </c>
      <c r="I446" s="62" t="s">
        <v>392</v>
      </c>
    </row>
    <row r="447" customFormat="false" ht="15" hidden="false" customHeight="false" outlineLevel="0" collapsed="false">
      <c r="A447" s="62" t="s">
        <v>388</v>
      </c>
      <c r="B447" s="63" t="n">
        <v>1150</v>
      </c>
      <c r="C447" s="64" t="n">
        <v>46305.3694564236</v>
      </c>
      <c r="D447" s="63" t="n">
        <v>8</v>
      </c>
      <c r="E447" s="62" t="s">
        <v>390</v>
      </c>
      <c r="F447" s="62" t="s">
        <v>431</v>
      </c>
      <c r="G447" s="62" t="s">
        <v>389</v>
      </c>
      <c r="H447" s="65" t="n">
        <v>3.2</v>
      </c>
      <c r="I447" s="62" t="s">
        <v>392</v>
      </c>
    </row>
    <row r="448" customFormat="false" ht="15" hidden="false" customHeight="false" outlineLevel="0" collapsed="false">
      <c r="A448" s="62" t="s">
        <v>388</v>
      </c>
      <c r="B448" s="63" t="n">
        <v>1137</v>
      </c>
      <c r="C448" s="64" t="n">
        <v>46305.3706002199</v>
      </c>
      <c r="D448" s="63" t="n">
        <v>8</v>
      </c>
      <c r="E448" s="62" t="s">
        <v>390</v>
      </c>
      <c r="F448" s="62" t="s">
        <v>431</v>
      </c>
      <c r="G448" s="62" t="s">
        <v>389</v>
      </c>
      <c r="H448" s="65" t="n">
        <v>4.3</v>
      </c>
      <c r="I448" s="62" t="s">
        <v>392</v>
      </c>
    </row>
    <row r="449" customFormat="false" ht="15" hidden="false" customHeight="false" outlineLevel="0" collapsed="false">
      <c r="A449" s="62" t="s">
        <v>388</v>
      </c>
      <c r="B449" s="63" t="n">
        <v>1150</v>
      </c>
      <c r="C449" s="64" t="n">
        <v>46305.3734365741</v>
      </c>
      <c r="D449" s="63" t="n">
        <v>8</v>
      </c>
      <c r="E449" s="62" t="s">
        <v>390</v>
      </c>
      <c r="F449" s="62" t="s">
        <v>431</v>
      </c>
      <c r="G449" s="62" t="s">
        <v>389</v>
      </c>
      <c r="H449" s="65" t="n">
        <v>1.9</v>
      </c>
      <c r="I449" s="62" t="s">
        <v>392</v>
      </c>
    </row>
    <row r="450" customFormat="false" ht="15" hidden="false" customHeight="false" outlineLevel="0" collapsed="false">
      <c r="A450" s="62" t="s">
        <v>388</v>
      </c>
      <c r="B450" s="63" t="n">
        <v>1137</v>
      </c>
      <c r="C450" s="64" t="n">
        <v>46305.3746496412</v>
      </c>
      <c r="D450" s="63" t="n">
        <v>8</v>
      </c>
      <c r="E450" s="62" t="s">
        <v>390</v>
      </c>
      <c r="F450" s="62" t="s">
        <v>431</v>
      </c>
      <c r="G450" s="62" t="s">
        <v>389</v>
      </c>
      <c r="H450" s="65" t="n">
        <v>2.8</v>
      </c>
      <c r="I450" s="62" t="s">
        <v>392</v>
      </c>
    </row>
    <row r="451" customFormat="false" ht="15" hidden="false" customHeight="false" outlineLevel="0" collapsed="false">
      <c r="A451" s="62" t="s">
        <v>388</v>
      </c>
      <c r="B451" s="63" t="n">
        <v>1150</v>
      </c>
      <c r="C451" s="64" t="n">
        <v>46305.3764634375</v>
      </c>
      <c r="D451" s="63" t="n">
        <v>9</v>
      </c>
      <c r="E451" s="62" t="s">
        <v>389</v>
      </c>
      <c r="F451" s="62" t="s">
        <v>431</v>
      </c>
      <c r="G451" s="62" t="s">
        <v>389</v>
      </c>
      <c r="H451" s="65" t="n">
        <v>2.6</v>
      </c>
      <c r="I451" s="62" t="s">
        <v>392</v>
      </c>
    </row>
    <row r="452" customFormat="false" ht="15" hidden="false" customHeight="false" outlineLevel="0" collapsed="false">
      <c r="A452" s="62" t="s">
        <v>388</v>
      </c>
      <c r="B452" s="63" t="n">
        <v>1143</v>
      </c>
      <c r="C452" s="64" t="n">
        <v>46305.3820799884</v>
      </c>
      <c r="D452" s="63" t="n">
        <v>9</v>
      </c>
      <c r="E452" s="62" t="s">
        <v>389</v>
      </c>
      <c r="F452" s="62" t="s">
        <v>431</v>
      </c>
      <c r="G452" s="62" t="s">
        <v>389</v>
      </c>
      <c r="H452" s="65" t="n">
        <v>1.3</v>
      </c>
      <c r="I452" s="62" t="s">
        <v>392</v>
      </c>
    </row>
    <row r="453" customFormat="false" ht="15" hidden="false" customHeight="false" outlineLevel="0" collapsed="false">
      <c r="A453" s="62" t="s">
        <v>388</v>
      </c>
      <c r="B453" s="63" t="n">
        <v>1137</v>
      </c>
      <c r="C453" s="64" t="n">
        <v>46305.3849375463</v>
      </c>
      <c r="D453" s="63" t="n">
        <v>9</v>
      </c>
      <c r="E453" s="62" t="s">
        <v>389</v>
      </c>
      <c r="F453" s="62" t="s">
        <v>431</v>
      </c>
      <c r="G453" s="62" t="s">
        <v>389</v>
      </c>
      <c r="H453" s="65" t="n">
        <v>1.1</v>
      </c>
      <c r="I453" s="62" t="s">
        <v>392</v>
      </c>
    </row>
    <row r="454" customFormat="false" ht="15" hidden="false" customHeight="false" outlineLevel="0" collapsed="false">
      <c r="A454" s="62" t="s">
        <v>388</v>
      </c>
      <c r="B454" s="63" t="n">
        <v>1137</v>
      </c>
      <c r="C454" s="64" t="n">
        <v>46305.3860404051</v>
      </c>
      <c r="D454" s="63" t="n">
        <v>9</v>
      </c>
      <c r="E454" s="62" t="s">
        <v>389</v>
      </c>
      <c r="F454" s="62" t="s">
        <v>431</v>
      </c>
      <c r="G454" s="62" t="s">
        <v>389</v>
      </c>
      <c r="H454" s="65" t="n">
        <v>3</v>
      </c>
      <c r="I454" s="62" t="s">
        <v>392</v>
      </c>
    </row>
    <row r="455" customFormat="false" ht="15" hidden="false" customHeight="false" outlineLevel="0" collapsed="false">
      <c r="A455" s="62" t="s">
        <v>388</v>
      </c>
      <c r="B455" s="63" t="n">
        <v>1137</v>
      </c>
      <c r="C455" s="64" t="n">
        <v>46305.3884853125</v>
      </c>
      <c r="D455" s="63" t="n">
        <v>9</v>
      </c>
      <c r="E455" s="62" t="s">
        <v>389</v>
      </c>
      <c r="F455" s="62" t="s">
        <v>431</v>
      </c>
      <c r="G455" s="62" t="s">
        <v>389</v>
      </c>
      <c r="H455" s="65" t="n">
        <v>1</v>
      </c>
      <c r="I455" s="62" t="s">
        <v>392</v>
      </c>
    </row>
    <row r="456" customFormat="false" ht="15" hidden="false" customHeight="false" outlineLevel="0" collapsed="false">
      <c r="A456" s="62" t="s">
        <v>388</v>
      </c>
      <c r="B456" s="63" t="n">
        <v>348</v>
      </c>
      <c r="C456" s="64" t="n">
        <v>46305.3946397107</v>
      </c>
      <c r="D456" s="63" t="n">
        <v>9</v>
      </c>
      <c r="E456" s="62" t="s">
        <v>389</v>
      </c>
      <c r="F456" s="62" t="s">
        <v>152</v>
      </c>
      <c r="G456" s="62" t="s">
        <v>389</v>
      </c>
      <c r="H456" s="65" t="n">
        <v>10.2</v>
      </c>
      <c r="I456" s="62" t="s">
        <v>392</v>
      </c>
    </row>
    <row r="457" customFormat="false" ht="15" hidden="false" customHeight="false" outlineLevel="0" collapsed="false">
      <c r="A457" s="62" t="s">
        <v>388</v>
      </c>
      <c r="B457" s="63" t="n">
        <v>1150</v>
      </c>
      <c r="C457" s="64" t="n">
        <v>46305.3981228935</v>
      </c>
      <c r="D457" s="63" t="n">
        <v>9</v>
      </c>
      <c r="E457" s="62" t="s">
        <v>389</v>
      </c>
      <c r="F457" s="62" t="s">
        <v>431</v>
      </c>
      <c r="G457" s="62" t="s">
        <v>389</v>
      </c>
      <c r="H457" s="65" t="n">
        <v>6.5</v>
      </c>
      <c r="I457" s="62" t="s">
        <v>392</v>
      </c>
    </row>
    <row r="458" customFormat="false" ht="15" hidden="false" customHeight="false" outlineLevel="0" collapsed="false">
      <c r="A458" s="62" t="s">
        <v>388</v>
      </c>
      <c r="B458" s="63" t="n">
        <v>348</v>
      </c>
      <c r="C458" s="64" t="n">
        <v>46305.4056814931</v>
      </c>
      <c r="D458" s="63" t="n">
        <v>9</v>
      </c>
      <c r="E458" s="62" t="s">
        <v>389</v>
      </c>
      <c r="F458" s="62" t="s">
        <v>391</v>
      </c>
      <c r="G458" s="62" t="s">
        <v>389</v>
      </c>
      <c r="H458" s="65" t="n">
        <v>0.8</v>
      </c>
      <c r="I458" s="62" t="s">
        <v>392</v>
      </c>
    </row>
    <row r="459" customFormat="false" ht="15" hidden="false" customHeight="false" outlineLevel="0" collapsed="false">
      <c r="A459" s="62" t="s">
        <v>388</v>
      </c>
      <c r="B459" s="63" t="n">
        <v>973</v>
      </c>
      <c r="C459" s="64" t="n">
        <v>46305.4389281019</v>
      </c>
      <c r="D459" s="63" t="n">
        <v>10</v>
      </c>
      <c r="E459" s="62" t="s">
        <v>389</v>
      </c>
      <c r="F459" s="62" t="s">
        <v>150</v>
      </c>
      <c r="G459" s="62" t="s">
        <v>389</v>
      </c>
      <c r="H459" s="65" t="n">
        <v>9.6</v>
      </c>
      <c r="I459" s="62" t="s">
        <v>392</v>
      </c>
    </row>
    <row r="460" customFormat="false" ht="15" hidden="false" customHeight="false" outlineLevel="0" collapsed="false">
      <c r="A460" s="62" t="s">
        <v>388</v>
      </c>
      <c r="B460" s="63" t="n">
        <v>1176</v>
      </c>
      <c r="C460" s="64" t="n">
        <v>46305.4656076968</v>
      </c>
      <c r="D460" s="63" t="n">
        <v>11</v>
      </c>
      <c r="E460" s="62" t="s">
        <v>389</v>
      </c>
      <c r="F460" s="62" t="s">
        <v>430</v>
      </c>
      <c r="G460" s="62" t="s">
        <v>389</v>
      </c>
      <c r="H460" s="65" t="n">
        <v>3.4</v>
      </c>
      <c r="I460" s="62" t="s">
        <v>275</v>
      </c>
    </row>
    <row r="461" customFormat="false" ht="15" hidden="false" customHeight="false" outlineLevel="0" collapsed="false">
      <c r="A461" s="62" t="s">
        <v>388</v>
      </c>
      <c r="B461" s="63" t="n">
        <v>1177</v>
      </c>
      <c r="C461" s="64" t="n">
        <v>46305.4662753935</v>
      </c>
      <c r="D461" s="63" t="n">
        <v>11</v>
      </c>
      <c r="E461" s="62" t="s">
        <v>389</v>
      </c>
      <c r="F461" s="62" t="s">
        <v>430</v>
      </c>
      <c r="G461" s="62" t="s">
        <v>389</v>
      </c>
      <c r="H461" s="65" t="n">
        <v>16.6</v>
      </c>
      <c r="I461" s="62" t="s">
        <v>275</v>
      </c>
    </row>
    <row r="462" customFormat="false" ht="15" hidden="false" customHeight="false" outlineLevel="0" collapsed="false">
      <c r="A462" s="62" t="s">
        <v>388</v>
      </c>
      <c r="B462" s="63" t="n">
        <v>1175</v>
      </c>
      <c r="C462" s="64" t="n">
        <v>46305.4673343634</v>
      </c>
      <c r="D462" s="63" t="n">
        <v>11</v>
      </c>
      <c r="E462" s="62" t="s">
        <v>389</v>
      </c>
      <c r="F462" s="62" t="s">
        <v>430</v>
      </c>
      <c r="G462" s="62" t="s">
        <v>389</v>
      </c>
      <c r="H462" s="65" t="n">
        <v>2940.5</v>
      </c>
      <c r="I462" s="62" t="s">
        <v>275</v>
      </c>
    </row>
    <row r="463" customFormat="false" ht="15" hidden="false" customHeight="false" outlineLevel="0" collapsed="false">
      <c r="A463" s="62" t="s">
        <v>388</v>
      </c>
      <c r="B463" s="63" t="n">
        <v>1176</v>
      </c>
      <c r="C463" s="64" t="n">
        <v>46305.4677882986</v>
      </c>
      <c r="D463" s="63" t="n">
        <v>11</v>
      </c>
      <c r="E463" s="62" t="s">
        <v>389</v>
      </c>
      <c r="F463" s="62" t="s">
        <v>431</v>
      </c>
      <c r="G463" s="62" t="s">
        <v>389</v>
      </c>
      <c r="H463" s="65" t="n">
        <v>0.3</v>
      </c>
      <c r="I463" s="62" t="s">
        <v>392</v>
      </c>
    </row>
    <row r="464" customFormat="false" ht="15" hidden="false" customHeight="false" outlineLevel="0" collapsed="false">
      <c r="A464" s="62" t="s">
        <v>388</v>
      </c>
      <c r="B464" s="63" t="n">
        <v>1176</v>
      </c>
      <c r="C464" s="64" t="n">
        <v>46305.468024919</v>
      </c>
      <c r="D464" s="63" t="n">
        <v>11</v>
      </c>
      <c r="E464" s="62" t="s">
        <v>389</v>
      </c>
      <c r="F464" s="62" t="s">
        <v>431</v>
      </c>
      <c r="G464" s="62" t="s">
        <v>389</v>
      </c>
      <c r="H464" s="65" t="n">
        <v>0.3</v>
      </c>
      <c r="I464" s="62" t="s">
        <v>392</v>
      </c>
    </row>
    <row r="465" customFormat="false" ht="15" hidden="false" customHeight="false" outlineLevel="0" collapsed="false">
      <c r="A465" s="62" t="s">
        <v>388</v>
      </c>
      <c r="B465" s="63" t="n">
        <v>1179</v>
      </c>
      <c r="C465" s="64" t="n">
        <v>46305.4726116319</v>
      </c>
      <c r="D465" s="63" t="n">
        <v>11</v>
      </c>
      <c r="E465" s="62" t="s">
        <v>389</v>
      </c>
      <c r="F465" s="62" t="s">
        <v>430</v>
      </c>
      <c r="G465" s="62" t="s">
        <v>389</v>
      </c>
      <c r="H465" s="65" t="n">
        <v>1.5</v>
      </c>
      <c r="I465" s="62" t="s">
        <v>392</v>
      </c>
    </row>
    <row r="466" customFormat="false" ht="15" hidden="false" customHeight="false" outlineLevel="0" collapsed="false">
      <c r="A466" s="62" t="s">
        <v>388</v>
      </c>
      <c r="B466" s="63" t="n">
        <v>1178</v>
      </c>
      <c r="C466" s="64" t="n">
        <v>46305.4726162963</v>
      </c>
      <c r="D466" s="63" t="n">
        <v>11</v>
      </c>
      <c r="E466" s="62" t="s">
        <v>389</v>
      </c>
      <c r="F466" s="62" t="s">
        <v>430</v>
      </c>
      <c r="G466" s="62" t="s">
        <v>389</v>
      </c>
      <c r="H466" s="65" t="n">
        <v>2.9</v>
      </c>
      <c r="I466" s="62" t="s">
        <v>275</v>
      </c>
    </row>
    <row r="467" customFormat="false" ht="15" hidden="false" customHeight="false" outlineLevel="0" collapsed="false">
      <c r="A467" s="62" t="s">
        <v>388</v>
      </c>
      <c r="B467" s="63" t="n">
        <v>1178</v>
      </c>
      <c r="C467" s="64" t="n">
        <v>46305.4734709954</v>
      </c>
      <c r="D467" s="63" t="n">
        <v>11</v>
      </c>
      <c r="E467" s="62" t="s">
        <v>389</v>
      </c>
      <c r="F467" s="62" t="s">
        <v>431</v>
      </c>
      <c r="G467" s="62" t="s">
        <v>389</v>
      </c>
      <c r="H467" s="65" t="n">
        <v>1.7</v>
      </c>
      <c r="I467" s="62" t="s">
        <v>275</v>
      </c>
    </row>
    <row r="468" customFormat="false" ht="15" hidden="false" customHeight="false" outlineLevel="0" collapsed="false">
      <c r="A468" s="62" t="s">
        <v>388</v>
      </c>
      <c r="B468" s="63" t="n">
        <v>1179</v>
      </c>
      <c r="C468" s="64" t="n">
        <v>46305.4740084607</v>
      </c>
      <c r="D468" s="63" t="n">
        <v>11</v>
      </c>
      <c r="E468" s="62" t="s">
        <v>389</v>
      </c>
      <c r="F468" s="62" t="s">
        <v>430</v>
      </c>
      <c r="G468" s="62" t="s">
        <v>389</v>
      </c>
      <c r="H468" s="65" t="n">
        <v>15.9</v>
      </c>
      <c r="I468" s="62" t="s">
        <v>275</v>
      </c>
    </row>
    <row r="469" customFormat="false" ht="15" hidden="false" customHeight="false" outlineLevel="0" collapsed="false">
      <c r="A469" s="62" t="s">
        <v>388</v>
      </c>
      <c r="B469" s="63" t="n">
        <v>1177</v>
      </c>
      <c r="C469" s="64" t="n">
        <v>46305.4745718519</v>
      </c>
      <c r="D469" s="63" t="n">
        <v>11</v>
      </c>
      <c r="E469" s="62" t="s">
        <v>389</v>
      </c>
      <c r="F469" s="62" t="s">
        <v>431</v>
      </c>
      <c r="G469" s="62" t="s">
        <v>389</v>
      </c>
      <c r="H469" s="65" t="n">
        <v>4.6</v>
      </c>
      <c r="I469" s="62" t="s">
        <v>392</v>
      </c>
    </row>
    <row r="470" customFormat="false" ht="15" hidden="false" customHeight="false" outlineLevel="0" collapsed="false">
      <c r="A470" s="62" t="s">
        <v>388</v>
      </c>
      <c r="B470" s="63" t="n">
        <v>1179</v>
      </c>
      <c r="C470" s="64" t="n">
        <v>46305.4791099884</v>
      </c>
      <c r="D470" s="63" t="n">
        <v>11</v>
      </c>
      <c r="E470" s="62" t="s">
        <v>389</v>
      </c>
      <c r="F470" s="62" t="s">
        <v>431</v>
      </c>
      <c r="G470" s="62" t="s">
        <v>389</v>
      </c>
      <c r="H470" s="65" t="n">
        <v>8.6</v>
      </c>
      <c r="I470" s="62" t="s">
        <v>392</v>
      </c>
    </row>
    <row r="471" customFormat="false" ht="15" hidden="false" customHeight="false" outlineLevel="0" collapsed="false">
      <c r="A471" s="62" t="s">
        <v>388</v>
      </c>
      <c r="B471" s="63" t="n">
        <v>1178</v>
      </c>
      <c r="C471" s="64" t="n">
        <v>46305.4810265046</v>
      </c>
      <c r="D471" s="63" t="n">
        <v>11</v>
      </c>
      <c r="E471" s="62" t="s">
        <v>389</v>
      </c>
      <c r="F471" s="62" t="s">
        <v>431</v>
      </c>
      <c r="G471" s="62" t="s">
        <v>389</v>
      </c>
      <c r="H471" s="65" t="n">
        <v>2.7</v>
      </c>
      <c r="I471" s="62" t="s">
        <v>392</v>
      </c>
    </row>
    <row r="472" customFormat="false" ht="15" hidden="false" customHeight="false" outlineLevel="0" collapsed="false">
      <c r="A472" s="62" t="s">
        <v>388</v>
      </c>
      <c r="B472" s="63" t="n">
        <v>1181</v>
      </c>
      <c r="C472" s="64" t="n">
        <v>46305.4854747107</v>
      </c>
      <c r="D472" s="63" t="n">
        <v>11</v>
      </c>
      <c r="E472" s="62" t="s">
        <v>389</v>
      </c>
      <c r="F472" s="62" t="s">
        <v>430</v>
      </c>
      <c r="G472" s="62" t="s">
        <v>389</v>
      </c>
      <c r="H472" s="65" t="n">
        <v>6.7</v>
      </c>
      <c r="I472" s="62" t="s">
        <v>275</v>
      </c>
    </row>
    <row r="473" customFormat="false" ht="15" hidden="false" customHeight="false" outlineLevel="0" collapsed="false">
      <c r="A473" s="62" t="s">
        <v>388</v>
      </c>
      <c r="B473" s="63" t="n">
        <v>1181</v>
      </c>
      <c r="C473" s="64" t="n">
        <v>46305.4875692824</v>
      </c>
      <c r="D473" s="63" t="n">
        <v>11</v>
      </c>
      <c r="E473" s="62" t="s">
        <v>389</v>
      </c>
      <c r="F473" s="62" t="s">
        <v>431</v>
      </c>
      <c r="G473" s="62" t="s">
        <v>389</v>
      </c>
      <c r="H473" s="65" t="n">
        <v>3.7</v>
      </c>
      <c r="I473" s="62" t="s">
        <v>392</v>
      </c>
    </row>
    <row r="474" customFormat="false" ht="15" hidden="false" customHeight="false" outlineLevel="0" collapsed="false">
      <c r="A474" s="62" t="s">
        <v>388</v>
      </c>
      <c r="B474" s="63" t="n">
        <v>1179</v>
      </c>
      <c r="C474" s="64" t="n">
        <v>46305.4879613657</v>
      </c>
      <c r="D474" s="63" t="n">
        <v>11</v>
      </c>
      <c r="E474" s="62" t="s">
        <v>389</v>
      </c>
      <c r="F474" s="62" t="s">
        <v>431</v>
      </c>
      <c r="G474" s="62" t="s">
        <v>389</v>
      </c>
      <c r="H474" s="65" t="n">
        <v>8.8</v>
      </c>
      <c r="I474" s="62" t="s">
        <v>392</v>
      </c>
    </row>
    <row r="475" customFormat="false" ht="15" hidden="false" customHeight="false" outlineLevel="0" collapsed="false">
      <c r="A475" s="62" t="s">
        <v>388</v>
      </c>
      <c r="B475" s="63" t="n">
        <v>1178</v>
      </c>
      <c r="C475" s="64" t="n">
        <v>46305.4899997107</v>
      </c>
      <c r="D475" s="63" t="n">
        <v>11</v>
      </c>
      <c r="E475" s="62" t="s">
        <v>389</v>
      </c>
      <c r="F475" s="62" t="s">
        <v>431</v>
      </c>
      <c r="G475" s="62" t="s">
        <v>389</v>
      </c>
      <c r="H475" s="65" t="n">
        <v>1.4</v>
      </c>
      <c r="I475" s="62" t="s">
        <v>392</v>
      </c>
    </row>
    <row r="476" customFormat="false" ht="15" hidden="false" customHeight="false" outlineLevel="0" collapsed="false">
      <c r="A476" s="62" t="s">
        <v>388</v>
      </c>
      <c r="B476" s="63" t="n">
        <v>1181</v>
      </c>
      <c r="C476" s="64" t="n">
        <v>46305.4906753588</v>
      </c>
      <c r="D476" s="63" t="n">
        <v>11</v>
      </c>
      <c r="E476" s="62" t="s">
        <v>389</v>
      </c>
      <c r="F476" s="62" t="s">
        <v>431</v>
      </c>
      <c r="G476" s="62" t="s">
        <v>389</v>
      </c>
      <c r="H476" s="65" t="n">
        <v>8.5</v>
      </c>
      <c r="I476" s="62" t="s">
        <v>392</v>
      </c>
    </row>
    <row r="477" customFormat="false" ht="15" hidden="false" customHeight="false" outlineLevel="0" collapsed="false">
      <c r="A477" s="62" t="s">
        <v>388</v>
      </c>
      <c r="B477" s="63" t="n">
        <v>1178</v>
      </c>
      <c r="C477" s="64" t="n">
        <v>46305.4913769907</v>
      </c>
      <c r="D477" s="63" t="n">
        <v>11</v>
      </c>
      <c r="E477" s="62" t="s">
        <v>389</v>
      </c>
      <c r="F477" s="62" t="s">
        <v>431</v>
      </c>
      <c r="G477" s="62" t="s">
        <v>389</v>
      </c>
      <c r="H477" s="65" t="n">
        <v>4.5</v>
      </c>
      <c r="I477" s="62" t="s">
        <v>392</v>
      </c>
    </row>
    <row r="478" customFormat="false" ht="15" hidden="false" customHeight="false" outlineLevel="0" collapsed="false">
      <c r="A478" s="62" t="s">
        <v>388</v>
      </c>
      <c r="B478" s="63" t="n">
        <v>1179</v>
      </c>
      <c r="C478" s="64" t="n">
        <v>46305.4955604745</v>
      </c>
      <c r="D478" s="63" t="n">
        <v>11</v>
      </c>
      <c r="E478" s="62" t="s">
        <v>389</v>
      </c>
      <c r="F478" s="62" t="s">
        <v>431</v>
      </c>
      <c r="G478" s="62" t="s">
        <v>389</v>
      </c>
      <c r="H478" s="65" t="n">
        <v>2.7</v>
      </c>
      <c r="I478" s="62" t="s">
        <v>392</v>
      </c>
    </row>
    <row r="479" customFormat="false" ht="15" hidden="false" customHeight="false" outlineLevel="0" collapsed="false">
      <c r="A479" s="62" t="s">
        <v>388</v>
      </c>
      <c r="B479" s="63" t="n">
        <v>1179</v>
      </c>
      <c r="C479" s="64" t="n">
        <v>46305.498906632</v>
      </c>
      <c r="D479" s="63" t="n">
        <v>11</v>
      </c>
      <c r="E479" s="62" t="s">
        <v>389</v>
      </c>
      <c r="F479" s="62" t="s">
        <v>431</v>
      </c>
      <c r="G479" s="62" t="s">
        <v>389</v>
      </c>
      <c r="H479" s="65" t="n">
        <v>4117.1</v>
      </c>
      <c r="I479" s="62" t="s">
        <v>392</v>
      </c>
    </row>
    <row r="480" customFormat="false" ht="15" hidden="false" customHeight="false" outlineLevel="0" collapsed="false">
      <c r="A480" s="62" t="s">
        <v>388</v>
      </c>
      <c r="B480" s="63" t="n">
        <v>1181</v>
      </c>
      <c r="C480" s="64" t="n">
        <v>46305.4994438195</v>
      </c>
      <c r="D480" s="63" t="n">
        <v>11</v>
      </c>
      <c r="E480" s="62" t="s">
        <v>389</v>
      </c>
      <c r="F480" s="62" t="s">
        <v>431</v>
      </c>
      <c r="G480" s="62" t="s">
        <v>389</v>
      </c>
      <c r="H480" s="65" t="n">
        <v>3.3</v>
      </c>
      <c r="I480" s="62" t="s">
        <v>392</v>
      </c>
    </row>
    <row r="481" customFormat="false" ht="15" hidden="false" customHeight="false" outlineLevel="0" collapsed="false">
      <c r="A481" s="62" t="s">
        <v>388</v>
      </c>
      <c r="B481" s="63" t="n">
        <v>1181</v>
      </c>
      <c r="C481" s="64" t="n">
        <v>46305.5034272107</v>
      </c>
      <c r="D481" s="63" t="n">
        <v>12</v>
      </c>
      <c r="E481" s="62" t="s">
        <v>389</v>
      </c>
      <c r="F481" s="62" t="s">
        <v>431</v>
      </c>
      <c r="G481" s="62" t="s">
        <v>389</v>
      </c>
      <c r="H481" s="65" t="n">
        <v>4.4</v>
      </c>
      <c r="I481" s="62" t="s">
        <v>392</v>
      </c>
    </row>
    <row r="482" customFormat="false" ht="15" hidden="false" customHeight="false" outlineLevel="0" collapsed="false">
      <c r="A482" s="62" t="s">
        <v>388</v>
      </c>
      <c r="B482" s="63" t="n">
        <v>1181</v>
      </c>
      <c r="C482" s="64" t="n">
        <v>46305.5073579167</v>
      </c>
      <c r="D482" s="63" t="n">
        <v>12</v>
      </c>
      <c r="E482" s="62" t="s">
        <v>389</v>
      </c>
      <c r="F482" s="62" t="s">
        <v>431</v>
      </c>
      <c r="G482" s="62" t="s">
        <v>389</v>
      </c>
      <c r="H482" s="65" t="n">
        <v>1.2</v>
      </c>
      <c r="I482" s="62" t="s">
        <v>392</v>
      </c>
    </row>
    <row r="483" customFormat="false" ht="15" hidden="false" customHeight="false" outlineLevel="0" collapsed="false">
      <c r="A483" s="62" t="s">
        <v>388</v>
      </c>
      <c r="B483" s="63" t="n">
        <v>1181</v>
      </c>
      <c r="C483" s="64" t="n">
        <v>46305.509069294</v>
      </c>
      <c r="D483" s="63" t="n">
        <v>12</v>
      </c>
      <c r="E483" s="62" t="s">
        <v>389</v>
      </c>
      <c r="F483" s="62" t="s">
        <v>431</v>
      </c>
      <c r="G483" s="62" t="s">
        <v>389</v>
      </c>
      <c r="H483" s="65" t="n">
        <v>0.8</v>
      </c>
      <c r="I483" s="62" t="s">
        <v>392</v>
      </c>
    </row>
    <row r="484" customFormat="false" ht="15" hidden="false" customHeight="false" outlineLevel="0" collapsed="false">
      <c r="A484" s="62" t="s">
        <v>388</v>
      </c>
      <c r="B484" s="63" t="n">
        <v>1180</v>
      </c>
      <c r="C484" s="64" t="n">
        <v>46305.5214278588</v>
      </c>
      <c r="D484" s="63" t="n">
        <v>12</v>
      </c>
      <c r="E484" s="62" t="s">
        <v>389</v>
      </c>
      <c r="F484" s="62" t="s">
        <v>431</v>
      </c>
      <c r="G484" s="62" t="s">
        <v>389</v>
      </c>
      <c r="H484" s="65" t="n">
        <v>12.5</v>
      </c>
      <c r="I484" s="62" t="s">
        <v>392</v>
      </c>
    </row>
    <row r="485" customFormat="false" ht="15" hidden="false" customHeight="false" outlineLevel="0" collapsed="false">
      <c r="A485" s="62" t="s">
        <v>388</v>
      </c>
      <c r="B485" s="63" t="n">
        <v>762</v>
      </c>
      <c r="C485" s="64" t="n">
        <v>46305.523919456</v>
      </c>
      <c r="D485" s="63" t="n">
        <v>12</v>
      </c>
      <c r="E485" s="62" t="s">
        <v>389</v>
      </c>
      <c r="F485" s="62" t="s">
        <v>152</v>
      </c>
      <c r="G485" s="62" t="s">
        <v>389</v>
      </c>
      <c r="H485" s="65" t="n">
        <v>0.5</v>
      </c>
      <c r="I485" s="62" t="s">
        <v>392</v>
      </c>
    </row>
    <row r="486" customFormat="false" ht="15" hidden="false" customHeight="false" outlineLevel="0" collapsed="false">
      <c r="A486" s="62" t="s">
        <v>388</v>
      </c>
      <c r="B486" s="63" t="n">
        <v>1185</v>
      </c>
      <c r="C486" s="64" t="n">
        <v>46305.5333396296</v>
      </c>
      <c r="D486" s="63" t="n">
        <v>12</v>
      </c>
      <c r="E486" s="62" t="s">
        <v>389</v>
      </c>
      <c r="F486" s="62" t="s">
        <v>430</v>
      </c>
      <c r="G486" s="62" t="s">
        <v>389</v>
      </c>
      <c r="H486" s="65" t="n">
        <v>10.8</v>
      </c>
      <c r="I486" s="62" t="s">
        <v>275</v>
      </c>
    </row>
    <row r="487" customFormat="false" ht="15" hidden="false" customHeight="false" outlineLevel="0" collapsed="false">
      <c r="A487" s="62" t="s">
        <v>388</v>
      </c>
      <c r="B487" s="63" t="n">
        <v>1185</v>
      </c>
      <c r="C487" s="64" t="n">
        <v>46305.5377519097</v>
      </c>
      <c r="D487" s="63" t="n">
        <v>12</v>
      </c>
      <c r="E487" s="62" t="s">
        <v>389</v>
      </c>
      <c r="F487" s="62" t="s">
        <v>431</v>
      </c>
      <c r="G487" s="62" t="s">
        <v>389</v>
      </c>
      <c r="H487" s="65" t="n">
        <v>4.5</v>
      </c>
      <c r="I487" s="62" t="s">
        <v>392</v>
      </c>
    </row>
    <row r="488" customFormat="false" ht="15" hidden="false" customHeight="false" outlineLevel="0" collapsed="false">
      <c r="A488" s="62" t="s">
        <v>388</v>
      </c>
      <c r="B488" s="63" t="n">
        <v>1185</v>
      </c>
      <c r="C488" s="64" t="n">
        <v>46305.5438739468</v>
      </c>
      <c r="D488" s="63" t="n">
        <v>13</v>
      </c>
      <c r="E488" s="62" t="s">
        <v>389</v>
      </c>
      <c r="F488" s="62" t="s">
        <v>431</v>
      </c>
      <c r="G488" s="62" t="s">
        <v>389</v>
      </c>
      <c r="H488" s="65" t="n">
        <v>1</v>
      </c>
      <c r="I488" s="62" t="s">
        <v>392</v>
      </c>
    </row>
    <row r="489" customFormat="false" ht="15" hidden="false" customHeight="false" outlineLevel="0" collapsed="false">
      <c r="A489" s="62" t="s">
        <v>388</v>
      </c>
      <c r="B489" s="63" t="n">
        <v>601</v>
      </c>
      <c r="C489" s="64" t="n">
        <v>46305.5443818287</v>
      </c>
      <c r="D489" s="63" t="n">
        <v>13</v>
      </c>
      <c r="E489" s="62" t="s">
        <v>389</v>
      </c>
      <c r="F489" s="62" t="s">
        <v>150</v>
      </c>
      <c r="G489" s="62" t="s">
        <v>389</v>
      </c>
      <c r="H489" s="65" t="n">
        <v>1.8</v>
      </c>
      <c r="I489" s="62" t="s">
        <v>275</v>
      </c>
    </row>
    <row r="490" customFormat="false" ht="15" hidden="false" customHeight="false" outlineLevel="0" collapsed="false">
      <c r="A490" s="62" t="s">
        <v>388</v>
      </c>
      <c r="B490" s="63" t="n">
        <v>1185</v>
      </c>
      <c r="C490" s="64" t="n">
        <v>46305.5471037963</v>
      </c>
      <c r="D490" s="63" t="n">
        <v>13</v>
      </c>
      <c r="E490" s="62" t="s">
        <v>389</v>
      </c>
      <c r="F490" s="62" t="s">
        <v>151</v>
      </c>
      <c r="G490" s="62" t="s">
        <v>389</v>
      </c>
      <c r="H490" s="65" t="n">
        <v>0.5</v>
      </c>
      <c r="I490" s="62" t="s">
        <v>392</v>
      </c>
    </row>
    <row r="491" customFormat="false" ht="15" hidden="false" customHeight="false" outlineLevel="0" collapsed="false">
      <c r="A491" s="62" t="s">
        <v>388</v>
      </c>
      <c r="B491" s="63" t="n">
        <v>1189</v>
      </c>
      <c r="C491" s="64" t="n">
        <v>46305.5498760301</v>
      </c>
      <c r="D491" s="63" t="n">
        <v>13</v>
      </c>
      <c r="E491" s="62" t="s">
        <v>389</v>
      </c>
      <c r="F491" s="62" t="s">
        <v>430</v>
      </c>
      <c r="G491" s="62" t="s">
        <v>389</v>
      </c>
      <c r="H491" s="65" t="n">
        <v>0.5</v>
      </c>
      <c r="I491" s="62" t="s">
        <v>392</v>
      </c>
    </row>
    <row r="492" customFormat="false" ht="15" hidden="false" customHeight="false" outlineLevel="0" collapsed="false">
      <c r="A492" s="62" t="s">
        <v>388</v>
      </c>
      <c r="B492" s="63" t="n">
        <v>1189</v>
      </c>
      <c r="C492" s="64" t="n">
        <v>46305.5504288657</v>
      </c>
      <c r="D492" s="63" t="n">
        <v>13</v>
      </c>
      <c r="E492" s="62" t="s">
        <v>389</v>
      </c>
      <c r="F492" s="62" t="s">
        <v>430</v>
      </c>
      <c r="G492" s="62" t="s">
        <v>389</v>
      </c>
      <c r="H492" s="65" t="n">
        <v>1.5</v>
      </c>
      <c r="I492" s="62" t="s">
        <v>392</v>
      </c>
    </row>
    <row r="493" customFormat="false" ht="15" hidden="false" customHeight="false" outlineLevel="0" collapsed="false">
      <c r="A493" s="62" t="s">
        <v>388</v>
      </c>
      <c r="B493" s="63" t="n">
        <v>1189</v>
      </c>
      <c r="C493" s="64" t="n">
        <v>46305.551594132</v>
      </c>
      <c r="D493" s="63" t="n">
        <v>13</v>
      </c>
      <c r="E493" s="62" t="s">
        <v>389</v>
      </c>
      <c r="F493" s="62" t="s">
        <v>430</v>
      </c>
      <c r="G493" s="62" t="s">
        <v>389</v>
      </c>
      <c r="H493" s="65" t="n">
        <v>0.3</v>
      </c>
      <c r="I493" s="62" t="s">
        <v>392</v>
      </c>
    </row>
    <row r="494" customFormat="false" ht="15" hidden="false" customHeight="false" outlineLevel="0" collapsed="false">
      <c r="A494" s="62" t="s">
        <v>388</v>
      </c>
      <c r="B494" s="63" t="n">
        <v>1112</v>
      </c>
      <c r="C494" s="64" t="n">
        <v>46305.556331169</v>
      </c>
      <c r="D494" s="63" t="n">
        <v>13</v>
      </c>
      <c r="E494" s="62" t="s">
        <v>389</v>
      </c>
      <c r="F494" s="62" t="s">
        <v>150</v>
      </c>
      <c r="G494" s="62" t="s">
        <v>389</v>
      </c>
      <c r="H494" s="65" t="n">
        <v>2.7</v>
      </c>
      <c r="I494" s="62" t="s">
        <v>392</v>
      </c>
    </row>
    <row r="495" customFormat="false" ht="15" hidden="false" customHeight="false" outlineLevel="0" collapsed="false">
      <c r="A495" s="62" t="s">
        <v>388</v>
      </c>
      <c r="B495" s="63" t="n">
        <v>1191</v>
      </c>
      <c r="C495" s="64" t="n">
        <v>46305.559495162</v>
      </c>
      <c r="D495" s="63" t="n">
        <v>13</v>
      </c>
      <c r="E495" s="62" t="s">
        <v>389</v>
      </c>
      <c r="F495" s="62" t="s">
        <v>430</v>
      </c>
      <c r="G495" s="62" t="s">
        <v>389</v>
      </c>
      <c r="H495" s="65" t="n">
        <v>53</v>
      </c>
      <c r="I495" s="62" t="s">
        <v>275</v>
      </c>
    </row>
    <row r="496" customFormat="false" ht="15" hidden="false" customHeight="false" outlineLevel="0" collapsed="false">
      <c r="A496" s="62" t="s">
        <v>388</v>
      </c>
      <c r="B496" s="63" t="n">
        <v>1192</v>
      </c>
      <c r="C496" s="64" t="n">
        <v>46305.5596882176</v>
      </c>
      <c r="D496" s="63" t="n">
        <v>13</v>
      </c>
      <c r="E496" s="62" t="s">
        <v>389</v>
      </c>
      <c r="F496" s="62" t="s">
        <v>430</v>
      </c>
      <c r="G496" s="62" t="s">
        <v>389</v>
      </c>
      <c r="H496" s="65" t="n">
        <v>7</v>
      </c>
      <c r="I496" s="62" t="s">
        <v>275</v>
      </c>
    </row>
    <row r="497" customFormat="false" ht="15" hidden="false" customHeight="false" outlineLevel="0" collapsed="false">
      <c r="A497" s="62" t="s">
        <v>388</v>
      </c>
      <c r="B497" s="63" t="n">
        <v>1191</v>
      </c>
      <c r="C497" s="64" t="n">
        <v>46305.5606117824</v>
      </c>
      <c r="D497" s="63" t="n">
        <v>13</v>
      </c>
      <c r="E497" s="62" t="s">
        <v>389</v>
      </c>
      <c r="F497" s="62" t="s">
        <v>431</v>
      </c>
      <c r="G497" s="62" t="s">
        <v>389</v>
      </c>
      <c r="H497" s="65" t="n">
        <v>51.4</v>
      </c>
      <c r="I497" s="62" t="s">
        <v>275</v>
      </c>
    </row>
    <row r="498" customFormat="false" ht="15" hidden="false" customHeight="false" outlineLevel="0" collapsed="false">
      <c r="A498" s="62" t="s">
        <v>388</v>
      </c>
      <c r="B498" s="63" t="n">
        <v>1192</v>
      </c>
      <c r="C498" s="64" t="n">
        <v>46305.5626957292</v>
      </c>
      <c r="D498" s="63" t="n">
        <v>13</v>
      </c>
      <c r="E498" s="62" t="s">
        <v>389</v>
      </c>
      <c r="F498" s="62" t="s">
        <v>431</v>
      </c>
      <c r="G498" s="62" t="s">
        <v>389</v>
      </c>
      <c r="H498" s="65" t="n">
        <v>2.7</v>
      </c>
      <c r="I498" s="62" t="s">
        <v>392</v>
      </c>
    </row>
    <row r="499" customFormat="false" ht="15" hidden="false" customHeight="false" outlineLevel="0" collapsed="false">
      <c r="A499" s="62" t="s">
        <v>388</v>
      </c>
      <c r="B499" s="63" t="n">
        <v>1194</v>
      </c>
      <c r="C499" s="64" t="n">
        <v>46305.5642773148</v>
      </c>
      <c r="D499" s="63" t="n">
        <v>13</v>
      </c>
      <c r="E499" s="62" t="s">
        <v>389</v>
      </c>
      <c r="F499" s="62" t="s">
        <v>430</v>
      </c>
      <c r="G499" s="62" t="s">
        <v>389</v>
      </c>
      <c r="H499" s="65" t="n">
        <v>24.2</v>
      </c>
      <c r="I499" s="62" t="s">
        <v>275</v>
      </c>
    </row>
    <row r="500" customFormat="false" ht="15" hidden="false" customHeight="false" outlineLevel="0" collapsed="false">
      <c r="A500" s="62" t="s">
        <v>388</v>
      </c>
      <c r="B500" s="63" t="n">
        <v>1194</v>
      </c>
      <c r="C500" s="64" t="n">
        <v>46305.5763921991</v>
      </c>
      <c r="D500" s="63" t="n">
        <v>13</v>
      </c>
      <c r="E500" s="62" t="s">
        <v>389</v>
      </c>
      <c r="F500" s="62" t="s">
        <v>431</v>
      </c>
      <c r="G500" s="62" t="s">
        <v>389</v>
      </c>
      <c r="H500" s="65" t="n">
        <v>6.8</v>
      </c>
      <c r="I500" s="62" t="s">
        <v>392</v>
      </c>
    </row>
    <row r="501" customFormat="false" ht="15" hidden="false" customHeight="false" outlineLevel="0" collapsed="false">
      <c r="A501" s="62" t="s">
        <v>388</v>
      </c>
      <c r="B501" s="63" t="n">
        <v>1194</v>
      </c>
      <c r="C501" s="64" t="n">
        <v>46305.5861560185</v>
      </c>
      <c r="D501" s="63" t="n">
        <v>14</v>
      </c>
      <c r="E501" s="62" t="s">
        <v>389</v>
      </c>
      <c r="F501" s="62" t="s">
        <v>151</v>
      </c>
      <c r="G501" s="62" t="s">
        <v>389</v>
      </c>
      <c r="H501" s="65" t="n">
        <v>1.8</v>
      </c>
      <c r="I501" s="62" t="s">
        <v>275</v>
      </c>
    </row>
    <row r="502" customFormat="false" ht="15" hidden="false" customHeight="false" outlineLevel="0" collapsed="false">
      <c r="A502" s="62" t="s">
        <v>388</v>
      </c>
      <c r="B502" s="63" t="n">
        <v>1194</v>
      </c>
      <c r="C502" s="64" t="n">
        <v>46305.587127963</v>
      </c>
      <c r="D502" s="63" t="n">
        <v>14</v>
      </c>
      <c r="E502" s="62" t="s">
        <v>389</v>
      </c>
      <c r="F502" s="62" t="s">
        <v>151</v>
      </c>
      <c r="G502" s="62" t="s">
        <v>389</v>
      </c>
      <c r="H502" s="65" t="n">
        <v>0.4</v>
      </c>
      <c r="I502" s="62" t="s">
        <v>392</v>
      </c>
    </row>
    <row r="503" customFormat="false" ht="15" hidden="false" customHeight="false" outlineLevel="0" collapsed="false">
      <c r="A503" s="62" t="s">
        <v>388</v>
      </c>
      <c r="B503" s="63" t="n">
        <v>1194</v>
      </c>
      <c r="C503" s="64" t="n">
        <v>46305.5881179282</v>
      </c>
      <c r="D503" s="63" t="n">
        <v>14</v>
      </c>
      <c r="E503" s="62" t="s">
        <v>389</v>
      </c>
      <c r="F503" s="62" t="s">
        <v>151</v>
      </c>
      <c r="G503" s="62" t="s">
        <v>389</v>
      </c>
      <c r="H503" s="65" t="n">
        <v>0.5</v>
      </c>
      <c r="I503" s="62" t="s">
        <v>392</v>
      </c>
    </row>
    <row r="504" customFormat="false" ht="15" hidden="false" customHeight="false" outlineLevel="0" collapsed="false">
      <c r="A504" s="62" t="s">
        <v>388</v>
      </c>
      <c r="B504" s="63" t="n">
        <v>1194</v>
      </c>
      <c r="C504" s="64" t="n">
        <v>46305.5906867361</v>
      </c>
      <c r="D504" s="63" t="n">
        <v>14</v>
      </c>
      <c r="E504" s="62" t="s">
        <v>389</v>
      </c>
      <c r="F504" s="62" t="s">
        <v>151</v>
      </c>
      <c r="G504" s="62" t="s">
        <v>389</v>
      </c>
      <c r="H504" s="65" t="n">
        <v>3.4</v>
      </c>
      <c r="I504" s="62" t="s">
        <v>392</v>
      </c>
    </row>
    <row r="505" customFormat="false" ht="15" hidden="false" customHeight="false" outlineLevel="0" collapsed="false">
      <c r="A505" s="62" t="s">
        <v>388</v>
      </c>
      <c r="B505" s="63" t="n">
        <v>1191</v>
      </c>
      <c r="C505" s="64" t="n">
        <v>46305.5928012732</v>
      </c>
      <c r="D505" s="63" t="n">
        <v>14</v>
      </c>
      <c r="E505" s="62" t="s">
        <v>389</v>
      </c>
      <c r="F505" s="62" t="s">
        <v>431</v>
      </c>
      <c r="G505" s="62" t="s">
        <v>389</v>
      </c>
      <c r="H505" s="65" t="n">
        <v>5.1</v>
      </c>
      <c r="I505" s="62" t="s">
        <v>392</v>
      </c>
    </row>
    <row r="506" customFormat="false" ht="15" hidden="false" customHeight="false" outlineLevel="0" collapsed="false">
      <c r="A506" s="62" t="s">
        <v>388</v>
      </c>
      <c r="B506" s="63" t="n">
        <v>1194</v>
      </c>
      <c r="C506" s="64" t="n">
        <v>46305.5940652894</v>
      </c>
      <c r="D506" s="63" t="n">
        <v>14</v>
      </c>
      <c r="E506" s="62" t="s">
        <v>389</v>
      </c>
      <c r="F506" s="62" t="s">
        <v>151</v>
      </c>
      <c r="G506" s="62" t="s">
        <v>389</v>
      </c>
      <c r="H506" s="65" t="n">
        <v>23.4</v>
      </c>
      <c r="I506" s="62" t="s">
        <v>275</v>
      </c>
    </row>
    <row r="507" customFormat="false" ht="15" hidden="false" customHeight="false" outlineLevel="0" collapsed="false">
      <c r="A507" s="62" t="s">
        <v>388</v>
      </c>
      <c r="B507" s="63" t="n">
        <v>359</v>
      </c>
      <c r="C507" s="64" t="n">
        <v>46305.5974122685</v>
      </c>
      <c r="D507" s="63" t="n">
        <v>14</v>
      </c>
      <c r="E507" s="62" t="s">
        <v>389</v>
      </c>
      <c r="F507" s="62" t="s">
        <v>150</v>
      </c>
      <c r="G507" s="62" t="s">
        <v>389</v>
      </c>
      <c r="H507" s="65" t="n">
        <v>3.5</v>
      </c>
      <c r="I507" s="62" t="s">
        <v>392</v>
      </c>
    </row>
    <row r="508" customFormat="false" ht="15" hidden="false" customHeight="false" outlineLevel="0" collapsed="false">
      <c r="A508" s="62" t="s">
        <v>388</v>
      </c>
      <c r="B508" s="63" t="n">
        <v>1197</v>
      </c>
      <c r="C508" s="64" t="n">
        <v>46305.6049432755</v>
      </c>
      <c r="D508" s="63" t="n">
        <v>14</v>
      </c>
      <c r="E508" s="62" t="s">
        <v>389</v>
      </c>
      <c r="F508" s="62" t="s">
        <v>430</v>
      </c>
      <c r="G508" s="62" t="s">
        <v>389</v>
      </c>
      <c r="H508" s="65" t="n">
        <v>2741.8</v>
      </c>
      <c r="I508" s="62" t="s">
        <v>275</v>
      </c>
    </row>
    <row r="509" customFormat="false" ht="15" hidden="false" customHeight="false" outlineLevel="0" collapsed="false">
      <c r="A509" s="62" t="s">
        <v>388</v>
      </c>
      <c r="B509" s="63" t="n">
        <v>1194</v>
      </c>
      <c r="C509" s="64" t="n">
        <v>46305.6088949074</v>
      </c>
      <c r="D509" s="63" t="n">
        <v>14</v>
      </c>
      <c r="E509" s="62" t="s">
        <v>389</v>
      </c>
      <c r="F509" s="62" t="s">
        <v>151</v>
      </c>
      <c r="G509" s="62" t="s">
        <v>389</v>
      </c>
      <c r="H509" s="65" t="n">
        <v>2</v>
      </c>
      <c r="I509" s="62" t="s">
        <v>392</v>
      </c>
    </row>
    <row r="510" customFormat="false" ht="15" hidden="false" customHeight="false" outlineLevel="0" collapsed="false">
      <c r="A510" s="62" t="s">
        <v>388</v>
      </c>
      <c r="B510" s="63" t="n">
        <v>1194</v>
      </c>
      <c r="C510" s="64" t="n">
        <v>46305.6114592245</v>
      </c>
      <c r="D510" s="63" t="n">
        <v>14</v>
      </c>
      <c r="E510" s="62" t="s">
        <v>389</v>
      </c>
      <c r="F510" s="62" t="s">
        <v>151</v>
      </c>
      <c r="G510" s="62" t="s">
        <v>389</v>
      </c>
      <c r="H510" s="65" t="n">
        <v>4.8</v>
      </c>
      <c r="I510" s="62" t="s">
        <v>392</v>
      </c>
    </row>
    <row r="511" customFormat="false" ht="15" hidden="false" customHeight="false" outlineLevel="0" collapsed="false">
      <c r="A511" s="62" t="s">
        <v>388</v>
      </c>
      <c r="B511" s="63" t="n">
        <v>1199</v>
      </c>
      <c r="C511" s="64" t="n">
        <v>46305.6124349306</v>
      </c>
      <c r="D511" s="63" t="n">
        <v>14</v>
      </c>
      <c r="E511" s="62" t="s">
        <v>389</v>
      </c>
      <c r="F511" s="62" t="s">
        <v>430</v>
      </c>
      <c r="G511" s="62" t="s">
        <v>389</v>
      </c>
      <c r="H511" s="65" t="n">
        <v>2729.4</v>
      </c>
      <c r="I511" s="62" t="s">
        <v>275</v>
      </c>
    </row>
    <row r="512" customFormat="false" ht="15" hidden="false" customHeight="false" outlineLevel="0" collapsed="false">
      <c r="A512" s="62" t="s">
        <v>388</v>
      </c>
      <c r="B512" s="63" t="n">
        <v>1194</v>
      </c>
      <c r="C512" s="64" t="n">
        <v>46305.6157847454</v>
      </c>
      <c r="D512" s="63" t="n">
        <v>14</v>
      </c>
      <c r="E512" s="62" t="s">
        <v>389</v>
      </c>
      <c r="F512" s="62" t="s">
        <v>151</v>
      </c>
      <c r="G512" s="62" t="s">
        <v>389</v>
      </c>
      <c r="H512" s="65" t="n">
        <v>1</v>
      </c>
      <c r="I512" s="62" t="s">
        <v>392</v>
      </c>
    </row>
    <row r="513" customFormat="false" ht="15" hidden="false" customHeight="false" outlineLevel="0" collapsed="false">
      <c r="A513" s="62" t="s">
        <v>388</v>
      </c>
      <c r="B513" s="63" t="n">
        <v>459</v>
      </c>
      <c r="C513" s="64" t="n">
        <v>46305.6169208449</v>
      </c>
      <c r="D513" s="63" t="n">
        <v>14</v>
      </c>
      <c r="E513" s="62" t="s">
        <v>389</v>
      </c>
      <c r="F513" s="62" t="s">
        <v>150</v>
      </c>
      <c r="G513" s="62" t="s">
        <v>389</v>
      </c>
      <c r="H513" s="65" t="n">
        <v>1.8</v>
      </c>
      <c r="I513" s="62" t="s">
        <v>392</v>
      </c>
    </row>
    <row r="514" customFormat="false" ht="15" hidden="false" customHeight="false" outlineLevel="0" collapsed="false">
      <c r="A514" s="62" t="s">
        <v>388</v>
      </c>
      <c r="B514" s="63" t="n">
        <v>1001</v>
      </c>
      <c r="C514" s="64" t="n">
        <v>46305.625242257</v>
      </c>
      <c r="D514" s="63" t="n">
        <v>15</v>
      </c>
      <c r="E514" s="62" t="s">
        <v>389</v>
      </c>
      <c r="F514" s="62" t="s">
        <v>430</v>
      </c>
      <c r="G514" s="62" t="s">
        <v>389</v>
      </c>
      <c r="H514" s="65" t="n">
        <v>23.4</v>
      </c>
      <c r="I514" s="62" t="s">
        <v>392</v>
      </c>
    </row>
    <row r="515" customFormat="false" ht="15" hidden="false" customHeight="false" outlineLevel="0" collapsed="false">
      <c r="A515" s="62" t="s">
        <v>388</v>
      </c>
      <c r="B515" s="63" t="n">
        <v>579</v>
      </c>
      <c r="C515" s="64" t="n">
        <v>46305.6359882755</v>
      </c>
      <c r="D515" s="63" t="n">
        <v>15</v>
      </c>
      <c r="E515" s="62" t="s">
        <v>389</v>
      </c>
      <c r="F515" s="62" t="s">
        <v>150</v>
      </c>
      <c r="G515" s="62" t="s">
        <v>390</v>
      </c>
      <c r="H515" s="65"/>
      <c r="I515" s="62" t="s">
        <v>275</v>
      </c>
    </row>
    <row r="516" customFormat="false" ht="15" hidden="false" customHeight="false" outlineLevel="0" collapsed="false">
      <c r="A516" s="62" t="s">
        <v>388</v>
      </c>
      <c r="B516" s="63" t="n">
        <v>579</v>
      </c>
      <c r="C516" s="64" t="n">
        <v>46305.6382475579</v>
      </c>
      <c r="D516" s="63" t="n">
        <v>15</v>
      </c>
      <c r="E516" s="62" t="s">
        <v>389</v>
      </c>
      <c r="F516" s="62" t="s">
        <v>430</v>
      </c>
      <c r="G516" s="62" t="s">
        <v>390</v>
      </c>
      <c r="H516" s="65"/>
      <c r="I516" s="62" t="s">
        <v>275</v>
      </c>
    </row>
    <row r="517" customFormat="false" ht="15" hidden="false" customHeight="false" outlineLevel="0" collapsed="false">
      <c r="A517" s="62" t="s">
        <v>388</v>
      </c>
      <c r="B517" s="63" t="n">
        <v>1204</v>
      </c>
      <c r="C517" s="64" t="n">
        <v>46305.6679156944</v>
      </c>
      <c r="D517" s="63" t="n">
        <v>16</v>
      </c>
      <c r="E517" s="62" t="s">
        <v>389</v>
      </c>
      <c r="F517" s="62" t="s">
        <v>430</v>
      </c>
      <c r="G517" s="62" t="s">
        <v>389</v>
      </c>
      <c r="H517" s="65" t="n">
        <v>1316</v>
      </c>
      <c r="I517" s="62" t="s">
        <v>275</v>
      </c>
    </row>
    <row r="518" customFormat="false" ht="15" hidden="false" customHeight="false" outlineLevel="0" collapsed="false">
      <c r="A518" s="62" t="s">
        <v>388</v>
      </c>
      <c r="B518" s="63" t="n">
        <v>1213</v>
      </c>
      <c r="C518" s="64" t="n">
        <v>46305.7278700579</v>
      </c>
      <c r="D518" s="63" t="n">
        <v>17</v>
      </c>
      <c r="E518" s="62" t="s">
        <v>389</v>
      </c>
      <c r="F518" s="62" t="s">
        <v>430</v>
      </c>
      <c r="G518" s="62" t="s">
        <v>389</v>
      </c>
      <c r="H518" s="65" t="n">
        <v>4.5</v>
      </c>
      <c r="I518" s="62" t="s">
        <v>275</v>
      </c>
    </row>
    <row r="519" customFormat="false" ht="15" hidden="false" customHeight="false" outlineLevel="0" collapsed="false">
      <c r="A519" s="62" t="s">
        <v>388</v>
      </c>
      <c r="B519" s="63" t="n">
        <v>1213</v>
      </c>
      <c r="C519" s="64" t="n">
        <v>46305.7307204051</v>
      </c>
      <c r="D519" s="63" t="n">
        <v>17</v>
      </c>
      <c r="E519" s="62" t="s">
        <v>389</v>
      </c>
      <c r="F519" s="62" t="s">
        <v>431</v>
      </c>
      <c r="G519" s="62" t="s">
        <v>389</v>
      </c>
      <c r="H519" s="65" t="n">
        <v>0.4</v>
      </c>
      <c r="I519" s="62" t="s">
        <v>392</v>
      </c>
    </row>
    <row r="520" customFormat="false" ht="15" hidden="false" customHeight="false" outlineLevel="0" collapsed="false">
      <c r="A520" s="62" t="s">
        <v>388</v>
      </c>
      <c r="B520" s="63" t="n">
        <v>1213</v>
      </c>
      <c r="C520" s="64" t="n">
        <v>46305.7312141551</v>
      </c>
      <c r="D520" s="63" t="n">
        <v>17</v>
      </c>
      <c r="E520" s="62" t="s">
        <v>389</v>
      </c>
      <c r="F520" s="62" t="s">
        <v>431</v>
      </c>
      <c r="G520" s="62" t="s">
        <v>389</v>
      </c>
      <c r="H520" s="65" t="n">
        <v>4.6</v>
      </c>
      <c r="I520" s="62" t="s">
        <v>392</v>
      </c>
    </row>
    <row r="521" customFormat="false" ht="15" hidden="false" customHeight="false" outlineLevel="0" collapsed="false">
      <c r="A521" s="62" t="s">
        <v>388</v>
      </c>
      <c r="B521" s="63" t="n">
        <v>1213</v>
      </c>
      <c r="C521" s="64" t="n">
        <v>46305.7420397685</v>
      </c>
      <c r="D521" s="63" t="n">
        <v>17</v>
      </c>
      <c r="E521" s="62" t="s">
        <v>389</v>
      </c>
      <c r="F521" s="62" t="s">
        <v>151</v>
      </c>
      <c r="G521" s="62" t="s">
        <v>389</v>
      </c>
      <c r="H521" s="65" t="n">
        <v>2.9</v>
      </c>
      <c r="I521" s="62" t="s">
        <v>392</v>
      </c>
    </row>
    <row r="522" customFormat="false" ht="15" hidden="false" customHeight="false" outlineLevel="0" collapsed="false">
      <c r="A522" s="62" t="s">
        <v>388</v>
      </c>
      <c r="B522" s="63" t="n">
        <v>1213</v>
      </c>
      <c r="C522" s="64" t="n">
        <v>46305.7597137269</v>
      </c>
      <c r="D522" s="63" t="n">
        <v>18</v>
      </c>
      <c r="E522" s="62" t="s">
        <v>389</v>
      </c>
      <c r="F522" s="62" t="s">
        <v>151</v>
      </c>
      <c r="G522" s="62" t="s">
        <v>389</v>
      </c>
      <c r="H522" s="65" t="n">
        <v>1.9</v>
      </c>
      <c r="I522" s="62" t="s">
        <v>392</v>
      </c>
    </row>
    <row r="523" customFormat="false" ht="15" hidden="false" customHeight="false" outlineLevel="0" collapsed="false">
      <c r="A523" s="62" t="s">
        <v>388</v>
      </c>
      <c r="B523" s="63" t="n">
        <v>1213</v>
      </c>
      <c r="C523" s="64" t="n">
        <v>46305.7791610185</v>
      </c>
      <c r="D523" s="63" t="n">
        <v>18</v>
      </c>
      <c r="E523" s="62" t="s">
        <v>389</v>
      </c>
      <c r="F523" s="62" t="s">
        <v>151</v>
      </c>
      <c r="G523" s="62" t="s">
        <v>389</v>
      </c>
      <c r="H523" s="65" t="n">
        <v>2.9</v>
      </c>
      <c r="I523" s="62" t="s">
        <v>392</v>
      </c>
    </row>
    <row r="524" customFormat="false" ht="15" hidden="false" customHeight="false" outlineLevel="0" collapsed="false">
      <c r="A524" s="62" t="s">
        <v>388</v>
      </c>
      <c r="B524" s="63" t="n">
        <v>1234</v>
      </c>
      <c r="C524" s="64" t="n">
        <v>46305.8179348843</v>
      </c>
      <c r="D524" s="63" t="n">
        <v>19</v>
      </c>
      <c r="E524" s="62" t="s">
        <v>389</v>
      </c>
      <c r="F524" s="62" t="s">
        <v>430</v>
      </c>
      <c r="G524" s="62" t="s">
        <v>389</v>
      </c>
      <c r="H524" s="65" t="n">
        <v>3.4</v>
      </c>
      <c r="I524" s="62" t="s">
        <v>275</v>
      </c>
    </row>
    <row r="525" customFormat="false" ht="15" hidden="false" customHeight="false" outlineLevel="0" collapsed="false">
      <c r="A525" s="62" t="s">
        <v>388</v>
      </c>
      <c r="B525" s="63" t="n">
        <v>1233</v>
      </c>
      <c r="C525" s="64" t="n">
        <v>46305.8197621181</v>
      </c>
      <c r="D525" s="63" t="n">
        <v>19</v>
      </c>
      <c r="E525" s="62" t="s">
        <v>389</v>
      </c>
      <c r="F525" s="62" t="s">
        <v>430</v>
      </c>
      <c r="G525" s="62" t="s">
        <v>389</v>
      </c>
      <c r="H525" s="65" t="n">
        <v>5.3</v>
      </c>
      <c r="I525" s="62" t="s">
        <v>275</v>
      </c>
    </row>
    <row r="526" customFormat="false" ht="15" hidden="false" customHeight="false" outlineLevel="0" collapsed="false">
      <c r="A526" s="62" t="s">
        <v>388</v>
      </c>
      <c r="B526" s="63" t="n">
        <v>1234</v>
      </c>
      <c r="C526" s="64" t="n">
        <v>46305.819932037</v>
      </c>
      <c r="D526" s="63" t="n">
        <v>19</v>
      </c>
      <c r="E526" s="62" t="s">
        <v>389</v>
      </c>
      <c r="F526" s="62" t="s">
        <v>431</v>
      </c>
      <c r="G526" s="62" t="s">
        <v>389</v>
      </c>
      <c r="H526" s="65" t="n">
        <v>0.6</v>
      </c>
      <c r="I526" s="62" t="s">
        <v>392</v>
      </c>
    </row>
    <row r="527" customFormat="false" ht="15" hidden="false" customHeight="false" outlineLevel="0" collapsed="false">
      <c r="A527" s="62" t="s">
        <v>388</v>
      </c>
      <c r="B527" s="63" t="n">
        <v>1234</v>
      </c>
      <c r="C527" s="64" t="n">
        <v>46305.8205035417</v>
      </c>
      <c r="D527" s="63" t="n">
        <v>19</v>
      </c>
      <c r="E527" s="62" t="s">
        <v>389</v>
      </c>
      <c r="F527" s="62" t="s">
        <v>431</v>
      </c>
      <c r="G527" s="62" t="s">
        <v>389</v>
      </c>
      <c r="H527" s="65" t="n">
        <v>2.7</v>
      </c>
      <c r="I527" s="62" t="s">
        <v>392</v>
      </c>
    </row>
    <row r="528" customFormat="false" ht="15" hidden="false" customHeight="false" outlineLevel="0" collapsed="false">
      <c r="A528" s="62" t="s">
        <v>388</v>
      </c>
      <c r="B528" s="63" t="n">
        <v>1233</v>
      </c>
      <c r="C528" s="64" t="n">
        <v>46305.8222691898</v>
      </c>
      <c r="D528" s="63" t="n">
        <v>19</v>
      </c>
      <c r="E528" s="62" t="s">
        <v>389</v>
      </c>
      <c r="F528" s="62" t="s">
        <v>431</v>
      </c>
      <c r="G528" s="62" t="s">
        <v>389</v>
      </c>
      <c r="H528" s="65" t="n">
        <v>1.7</v>
      </c>
      <c r="I528" s="62" t="s">
        <v>392</v>
      </c>
    </row>
    <row r="529" customFormat="false" ht="15" hidden="false" customHeight="false" outlineLevel="0" collapsed="false">
      <c r="A529" s="62" t="s">
        <v>388</v>
      </c>
      <c r="B529" s="63" t="n">
        <v>1233</v>
      </c>
      <c r="C529" s="64" t="n">
        <v>46305.8310016898</v>
      </c>
      <c r="D529" s="63" t="n">
        <v>19</v>
      </c>
      <c r="E529" s="62" t="s">
        <v>389</v>
      </c>
      <c r="F529" s="62" t="s">
        <v>151</v>
      </c>
      <c r="G529" s="62" t="s">
        <v>389</v>
      </c>
      <c r="H529" s="65" t="n">
        <v>1.6</v>
      </c>
      <c r="I529" s="62" t="s">
        <v>392</v>
      </c>
    </row>
    <row r="530" customFormat="false" ht="15" hidden="false" customHeight="false" outlineLevel="0" collapsed="false">
      <c r="A530" s="62" t="s">
        <v>388</v>
      </c>
      <c r="B530" s="63" t="n">
        <v>1234</v>
      </c>
      <c r="C530" s="64" t="n">
        <v>46305.8312143519</v>
      </c>
      <c r="D530" s="63" t="n">
        <v>19</v>
      </c>
      <c r="E530" s="62" t="s">
        <v>389</v>
      </c>
      <c r="F530" s="62" t="s">
        <v>151</v>
      </c>
      <c r="G530" s="62" t="s">
        <v>389</v>
      </c>
      <c r="H530" s="65" t="n">
        <v>0.9</v>
      </c>
      <c r="I530" s="62" t="s">
        <v>392</v>
      </c>
    </row>
    <row r="531" customFormat="false" ht="15" hidden="false" customHeight="false" outlineLevel="0" collapsed="false">
      <c r="A531" s="62" t="s">
        <v>388</v>
      </c>
      <c r="B531" s="63" t="n">
        <v>1234</v>
      </c>
      <c r="C531" s="64" t="n">
        <v>46305.8320675579</v>
      </c>
      <c r="D531" s="63" t="n">
        <v>19</v>
      </c>
      <c r="E531" s="62" t="s">
        <v>389</v>
      </c>
      <c r="F531" s="62" t="s">
        <v>151</v>
      </c>
      <c r="G531" s="62" t="s">
        <v>389</v>
      </c>
      <c r="H531" s="65" t="n">
        <v>1009.2</v>
      </c>
      <c r="I531" s="62" t="s">
        <v>392</v>
      </c>
    </row>
    <row r="532" customFormat="false" ht="15" hidden="false" customHeight="false" outlineLevel="0" collapsed="false">
      <c r="A532" s="62" t="s">
        <v>388</v>
      </c>
      <c r="B532" s="63" t="n">
        <v>1237</v>
      </c>
      <c r="C532" s="64" t="n">
        <v>46305.8328319907</v>
      </c>
      <c r="D532" s="63" t="n">
        <v>19</v>
      </c>
      <c r="E532" s="62" t="s">
        <v>389</v>
      </c>
      <c r="F532" s="62" t="s">
        <v>430</v>
      </c>
      <c r="G532" s="62" t="s">
        <v>389</v>
      </c>
      <c r="H532" s="65" t="n">
        <v>14.3</v>
      </c>
      <c r="I532" s="62" t="s">
        <v>275</v>
      </c>
    </row>
    <row r="533" customFormat="false" ht="15" hidden="false" customHeight="false" outlineLevel="0" collapsed="false">
      <c r="A533" s="62" t="s">
        <v>388</v>
      </c>
      <c r="B533" s="63" t="n">
        <v>1237</v>
      </c>
      <c r="C533" s="64" t="n">
        <v>46305.8389209144</v>
      </c>
      <c r="D533" s="63" t="n">
        <v>20</v>
      </c>
      <c r="E533" s="62" t="s">
        <v>389</v>
      </c>
      <c r="F533" s="62" t="s">
        <v>431</v>
      </c>
      <c r="G533" s="62" t="s">
        <v>389</v>
      </c>
      <c r="H533" s="65" t="n">
        <v>5.5</v>
      </c>
      <c r="I533" s="62" t="s">
        <v>392</v>
      </c>
    </row>
    <row r="534" customFormat="false" ht="15" hidden="false" customHeight="false" outlineLevel="0" collapsed="false">
      <c r="A534" s="62" t="s">
        <v>388</v>
      </c>
      <c r="B534" s="63" t="n">
        <v>1243</v>
      </c>
      <c r="C534" s="64" t="n">
        <v>46305.8521070255</v>
      </c>
      <c r="D534" s="63" t="n">
        <v>20</v>
      </c>
      <c r="E534" s="62" t="s">
        <v>389</v>
      </c>
      <c r="F534" s="62" t="s">
        <v>430</v>
      </c>
      <c r="G534" s="62" t="s">
        <v>389</v>
      </c>
      <c r="H534" s="65" t="n">
        <v>3646.2</v>
      </c>
      <c r="I534" s="62" t="s">
        <v>275</v>
      </c>
    </row>
    <row r="535" customFormat="false" ht="15" hidden="false" customHeight="false" outlineLevel="0" collapsed="false">
      <c r="A535" s="62" t="s">
        <v>388</v>
      </c>
      <c r="B535" s="63" t="n">
        <v>1137</v>
      </c>
      <c r="C535" s="64" t="n">
        <v>46305.8906427315</v>
      </c>
      <c r="D535" s="63" t="n">
        <v>21</v>
      </c>
      <c r="E535" s="62" t="s">
        <v>390</v>
      </c>
      <c r="F535" s="62" t="s">
        <v>151</v>
      </c>
      <c r="G535" s="62" t="s">
        <v>389</v>
      </c>
      <c r="H535" s="65" t="n">
        <v>2747.1</v>
      </c>
      <c r="I535" s="62" t="s">
        <v>275</v>
      </c>
    </row>
    <row r="536" customFormat="false" ht="15" hidden="false" customHeight="false" outlineLevel="0" collapsed="false">
      <c r="A536" s="62" t="s">
        <v>388</v>
      </c>
      <c r="B536" s="63" t="n">
        <v>1191</v>
      </c>
      <c r="C536" s="64" t="n">
        <v>46305.8962880903</v>
      </c>
      <c r="D536" s="63" t="n">
        <v>21</v>
      </c>
      <c r="E536" s="62" t="s">
        <v>390</v>
      </c>
      <c r="F536" s="62" t="s">
        <v>150</v>
      </c>
      <c r="G536" s="62" t="s">
        <v>389</v>
      </c>
      <c r="H536" s="65" t="n">
        <v>0.6</v>
      </c>
      <c r="I536" s="62" t="s">
        <v>392</v>
      </c>
    </row>
    <row r="537" customFormat="false" ht="15" hidden="false" customHeight="false" outlineLevel="0" collapsed="false">
      <c r="A537" s="62" t="s">
        <v>388</v>
      </c>
      <c r="B537" s="63" t="n">
        <v>1191</v>
      </c>
      <c r="C537" s="64" t="n">
        <v>46305.8969766204</v>
      </c>
      <c r="D537" s="63" t="n">
        <v>21</v>
      </c>
      <c r="E537" s="62" t="s">
        <v>390</v>
      </c>
      <c r="F537" s="62" t="s">
        <v>150</v>
      </c>
      <c r="G537" s="62" t="s">
        <v>389</v>
      </c>
      <c r="H537" s="65" t="n">
        <v>0.3</v>
      </c>
      <c r="I537" s="62" t="s">
        <v>392</v>
      </c>
    </row>
    <row r="538" customFormat="false" ht="15" hidden="false" customHeight="false" outlineLevel="0" collapsed="false">
      <c r="A538" s="62" t="s">
        <v>388</v>
      </c>
      <c r="B538" s="63" t="n">
        <v>1257</v>
      </c>
      <c r="C538" s="64" t="n">
        <v>46306.0726572454</v>
      </c>
      <c r="D538" s="63" t="n">
        <v>1</v>
      </c>
      <c r="E538" s="62" t="s">
        <v>390</v>
      </c>
      <c r="F538" s="62" t="s">
        <v>430</v>
      </c>
      <c r="G538" s="62" t="s">
        <v>389</v>
      </c>
      <c r="H538" s="65" t="n">
        <v>3324.4</v>
      </c>
      <c r="I538" s="62" t="s">
        <v>275</v>
      </c>
    </row>
    <row r="539" customFormat="false" ht="15" hidden="false" customHeight="false" outlineLevel="0" collapsed="false">
      <c r="A539" s="62" t="s">
        <v>388</v>
      </c>
      <c r="B539" s="63" t="n">
        <v>1137</v>
      </c>
      <c r="C539" s="64" t="n">
        <v>46306.1917829977</v>
      </c>
      <c r="D539" s="63" t="n">
        <v>4</v>
      </c>
      <c r="E539" s="62" t="s">
        <v>390</v>
      </c>
      <c r="F539" s="62" t="s">
        <v>150</v>
      </c>
      <c r="G539" s="62" t="s">
        <v>389</v>
      </c>
      <c r="H539" s="65" t="n">
        <v>2313.4</v>
      </c>
      <c r="I539" s="62" t="s">
        <v>275</v>
      </c>
    </row>
    <row r="540" customFormat="false" ht="15" hidden="false" customHeight="false" outlineLevel="0" collapsed="false">
      <c r="A540" s="62" t="s">
        <v>388</v>
      </c>
      <c r="B540" s="63" t="n">
        <v>1260</v>
      </c>
      <c r="C540" s="64" t="n">
        <v>46306.2916668056</v>
      </c>
      <c r="D540" s="63" t="n">
        <v>7</v>
      </c>
      <c r="E540" s="62" t="s">
        <v>390</v>
      </c>
      <c r="F540" s="62" t="s">
        <v>430</v>
      </c>
      <c r="G540" s="62" t="s">
        <v>389</v>
      </c>
      <c r="H540" s="65" t="n">
        <v>1564.2</v>
      </c>
      <c r="I540" s="62" t="s">
        <v>275</v>
      </c>
    </row>
    <row r="541" customFormat="false" ht="15" hidden="false" customHeight="false" outlineLevel="0" collapsed="false">
      <c r="A541" s="62" t="s">
        <v>388</v>
      </c>
      <c r="B541" s="63" t="n">
        <v>1263</v>
      </c>
      <c r="C541" s="64" t="n">
        <v>46306.3213441667</v>
      </c>
      <c r="D541" s="63" t="n">
        <v>7</v>
      </c>
      <c r="E541" s="62" t="s">
        <v>390</v>
      </c>
      <c r="F541" s="62" t="s">
        <v>430</v>
      </c>
      <c r="G541" s="62" t="s">
        <v>389</v>
      </c>
      <c r="H541" s="65" t="n">
        <v>164.3</v>
      </c>
      <c r="I541" s="62" t="s">
        <v>275</v>
      </c>
    </row>
    <row r="542" customFormat="false" ht="15" hidden="false" customHeight="false" outlineLevel="0" collapsed="false">
      <c r="A542" s="62" t="s">
        <v>388</v>
      </c>
      <c r="B542" s="63" t="n">
        <v>1001</v>
      </c>
      <c r="C542" s="64" t="n">
        <v>46306.3286017014</v>
      </c>
      <c r="D542" s="63" t="n">
        <v>7</v>
      </c>
      <c r="E542" s="62" t="s">
        <v>390</v>
      </c>
      <c r="F542" s="62" t="s">
        <v>430</v>
      </c>
      <c r="G542" s="62" t="s">
        <v>389</v>
      </c>
      <c r="H542" s="65" t="n">
        <v>0.6</v>
      </c>
      <c r="I542" s="62" t="s">
        <v>392</v>
      </c>
    </row>
    <row r="543" customFormat="false" ht="15" hidden="false" customHeight="false" outlineLevel="0" collapsed="false">
      <c r="A543" s="62" t="s">
        <v>388</v>
      </c>
      <c r="B543" s="63" t="n">
        <v>1001</v>
      </c>
      <c r="C543" s="64" t="n">
        <v>46306.3291036111</v>
      </c>
      <c r="D543" s="63" t="n">
        <v>7</v>
      </c>
      <c r="E543" s="62" t="s">
        <v>390</v>
      </c>
      <c r="F543" s="62" t="s">
        <v>430</v>
      </c>
      <c r="G543" s="62" t="s">
        <v>389</v>
      </c>
      <c r="H543" s="65" t="n">
        <v>0.2</v>
      </c>
      <c r="I543" s="62" t="s">
        <v>392</v>
      </c>
    </row>
    <row r="544" customFormat="false" ht="15" hidden="false" customHeight="false" outlineLevel="0" collapsed="false">
      <c r="A544" s="62" t="s">
        <v>388</v>
      </c>
      <c r="B544" s="63" t="n">
        <v>1001</v>
      </c>
      <c r="C544" s="64" t="n">
        <v>46306.3423888194</v>
      </c>
      <c r="D544" s="63" t="n">
        <v>8</v>
      </c>
      <c r="E544" s="62" t="s">
        <v>390</v>
      </c>
      <c r="F544" s="62" t="s">
        <v>430</v>
      </c>
      <c r="G544" s="62" t="s">
        <v>389</v>
      </c>
      <c r="H544" s="65" t="n">
        <v>2.2</v>
      </c>
      <c r="I544" s="62" t="s">
        <v>392</v>
      </c>
    </row>
    <row r="545" customFormat="false" ht="15" hidden="false" customHeight="false" outlineLevel="0" collapsed="false">
      <c r="A545" s="62" t="s">
        <v>388</v>
      </c>
      <c r="B545" s="63" t="n">
        <v>1270</v>
      </c>
      <c r="C545" s="64" t="n">
        <v>46306.3646492361</v>
      </c>
      <c r="D545" s="63" t="n">
        <v>8</v>
      </c>
      <c r="E545" s="62" t="s">
        <v>390</v>
      </c>
      <c r="F545" s="62" t="s">
        <v>430</v>
      </c>
      <c r="G545" s="62" t="s">
        <v>389</v>
      </c>
      <c r="H545" s="65" t="n">
        <v>575.7</v>
      </c>
      <c r="I545" s="62" t="s">
        <v>275</v>
      </c>
    </row>
    <row r="546" customFormat="false" ht="15" hidden="false" customHeight="false" outlineLevel="0" collapsed="false">
      <c r="A546" s="62" t="s">
        <v>388</v>
      </c>
      <c r="B546" s="63" t="n">
        <v>1263</v>
      </c>
      <c r="C546" s="64" t="n">
        <v>46306.4351471875</v>
      </c>
      <c r="D546" s="63" t="n">
        <v>10</v>
      </c>
      <c r="E546" s="62" t="s">
        <v>389</v>
      </c>
      <c r="F546" s="62" t="s">
        <v>150</v>
      </c>
      <c r="G546" s="62" t="s">
        <v>389</v>
      </c>
      <c r="H546" s="65" t="n">
        <v>0.4</v>
      </c>
      <c r="I546" s="62" t="s">
        <v>392</v>
      </c>
    </row>
    <row r="547" customFormat="false" ht="15" hidden="false" customHeight="false" outlineLevel="0" collapsed="false">
      <c r="A547" s="62" t="s">
        <v>388</v>
      </c>
      <c r="B547" s="63" t="n">
        <v>1282</v>
      </c>
      <c r="C547" s="64" t="n">
        <v>46306.44071625</v>
      </c>
      <c r="D547" s="63" t="n">
        <v>10</v>
      </c>
      <c r="E547" s="62" t="s">
        <v>389</v>
      </c>
      <c r="F547" s="62" t="s">
        <v>430</v>
      </c>
      <c r="G547" s="62" t="s">
        <v>389</v>
      </c>
      <c r="H547" s="65" t="n">
        <v>26.5</v>
      </c>
      <c r="I547" s="62" t="s">
        <v>275</v>
      </c>
    </row>
    <row r="548" customFormat="false" ht="15" hidden="false" customHeight="false" outlineLevel="0" collapsed="false">
      <c r="A548" s="62" t="s">
        <v>388</v>
      </c>
      <c r="B548" s="63" t="n">
        <v>1282</v>
      </c>
      <c r="C548" s="64" t="n">
        <v>46306.4498599769</v>
      </c>
      <c r="D548" s="63" t="n">
        <v>10</v>
      </c>
      <c r="E548" s="62" t="s">
        <v>389</v>
      </c>
      <c r="F548" s="62" t="s">
        <v>431</v>
      </c>
      <c r="G548" s="62" t="s">
        <v>389</v>
      </c>
      <c r="H548" s="65" t="n">
        <v>13.3</v>
      </c>
      <c r="I548" s="62" t="s">
        <v>392</v>
      </c>
    </row>
    <row r="549" customFormat="false" ht="15" hidden="false" customHeight="false" outlineLevel="0" collapsed="false">
      <c r="A549" s="62" t="s">
        <v>388</v>
      </c>
      <c r="B549" s="63" t="n">
        <v>1282</v>
      </c>
      <c r="C549" s="64" t="n">
        <v>46306.4801471296</v>
      </c>
      <c r="D549" s="63" t="n">
        <v>11</v>
      </c>
      <c r="E549" s="62" t="s">
        <v>389</v>
      </c>
      <c r="F549" s="62" t="s">
        <v>151</v>
      </c>
      <c r="G549" s="62" t="s">
        <v>389</v>
      </c>
      <c r="H549" s="65" t="n">
        <v>0.3</v>
      </c>
      <c r="I549" s="62" t="s">
        <v>392</v>
      </c>
    </row>
    <row r="550" customFormat="false" ht="15" hidden="false" customHeight="false" outlineLevel="0" collapsed="false">
      <c r="A550" s="62" t="s">
        <v>388</v>
      </c>
      <c r="B550" s="63" t="n">
        <v>1282</v>
      </c>
      <c r="C550" s="64" t="n">
        <v>46306.4816197107</v>
      </c>
      <c r="D550" s="63" t="n">
        <v>11</v>
      </c>
      <c r="E550" s="62" t="s">
        <v>389</v>
      </c>
      <c r="F550" s="62" t="s">
        <v>151</v>
      </c>
      <c r="G550" s="62" t="s">
        <v>389</v>
      </c>
      <c r="H550" s="65" t="n">
        <v>0.2</v>
      </c>
      <c r="I550" s="62" t="s">
        <v>392</v>
      </c>
    </row>
    <row r="551" customFormat="false" ht="15" hidden="false" customHeight="false" outlineLevel="0" collapsed="false">
      <c r="A551" s="62" t="s">
        <v>388</v>
      </c>
      <c r="B551" s="63" t="n">
        <v>1288</v>
      </c>
      <c r="C551" s="64" t="n">
        <v>46306.494951169</v>
      </c>
      <c r="D551" s="63" t="n">
        <v>11</v>
      </c>
      <c r="E551" s="62" t="s">
        <v>389</v>
      </c>
      <c r="F551" s="62" t="s">
        <v>430</v>
      </c>
      <c r="G551" s="62" t="s">
        <v>389</v>
      </c>
      <c r="H551" s="65" t="n">
        <v>3.7</v>
      </c>
      <c r="I551" s="62" t="s">
        <v>275</v>
      </c>
    </row>
    <row r="552" customFormat="false" ht="15" hidden="false" customHeight="false" outlineLevel="0" collapsed="false">
      <c r="A552" s="62" t="s">
        <v>388</v>
      </c>
      <c r="B552" s="63" t="n">
        <v>1288</v>
      </c>
      <c r="C552" s="64" t="n">
        <v>46306.4972740278</v>
      </c>
      <c r="D552" s="63" t="n">
        <v>11</v>
      </c>
      <c r="E552" s="62" t="s">
        <v>389</v>
      </c>
      <c r="F552" s="62" t="s">
        <v>431</v>
      </c>
      <c r="G552" s="62" t="s">
        <v>389</v>
      </c>
      <c r="H552" s="65" t="n">
        <v>0.4</v>
      </c>
      <c r="I552" s="62" t="s">
        <v>392</v>
      </c>
    </row>
    <row r="553" customFormat="false" ht="15" hidden="false" customHeight="false" outlineLevel="0" collapsed="false">
      <c r="A553" s="62" t="s">
        <v>388</v>
      </c>
      <c r="B553" s="63" t="n">
        <v>1288</v>
      </c>
      <c r="C553" s="64" t="n">
        <v>46306.4983576968</v>
      </c>
      <c r="D553" s="63" t="n">
        <v>11</v>
      </c>
      <c r="E553" s="62" t="s">
        <v>389</v>
      </c>
      <c r="F553" s="62" t="s">
        <v>431</v>
      </c>
      <c r="G553" s="62" t="s">
        <v>389</v>
      </c>
      <c r="H553" s="65" t="n">
        <v>3.2</v>
      </c>
      <c r="I553" s="62" t="s">
        <v>392</v>
      </c>
    </row>
    <row r="554" customFormat="false" ht="15" hidden="false" customHeight="false" outlineLevel="0" collapsed="false">
      <c r="A554" s="62" t="s">
        <v>388</v>
      </c>
      <c r="B554" s="63" t="n">
        <v>1288</v>
      </c>
      <c r="C554" s="64" t="n">
        <v>46306.5082639005</v>
      </c>
      <c r="D554" s="63" t="n">
        <v>12</v>
      </c>
      <c r="E554" s="62" t="s">
        <v>389</v>
      </c>
      <c r="F554" s="62" t="s">
        <v>151</v>
      </c>
      <c r="G554" s="62" t="s">
        <v>389</v>
      </c>
      <c r="H554" s="65" t="n">
        <v>0.6</v>
      </c>
      <c r="I554" s="62" t="s">
        <v>392</v>
      </c>
    </row>
    <row r="555" customFormat="false" ht="15" hidden="false" customHeight="false" outlineLevel="0" collapsed="false">
      <c r="A555" s="62" t="s">
        <v>388</v>
      </c>
      <c r="B555" s="63" t="n">
        <v>1298</v>
      </c>
      <c r="C555" s="64" t="n">
        <v>46306.5197411458</v>
      </c>
      <c r="D555" s="63" t="n">
        <v>12</v>
      </c>
      <c r="E555" s="62" t="s">
        <v>389</v>
      </c>
      <c r="F555" s="62" t="s">
        <v>430</v>
      </c>
      <c r="G555" s="62" t="s">
        <v>389</v>
      </c>
      <c r="H555" s="65" t="n">
        <v>5.1</v>
      </c>
      <c r="I555" s="62" t="s">
        <v>275</v>
      </c>
    </row>
    <row r="556" customFormat="false" ht="15" hidden="false" customHeight="false" outlineLevel="0" collapsed="false">
      <c r="A556" s="62" t="s">
        <v>388</v>
      </c>
      <c r="B556" s="63" t="n">
        <v>1299</v>
      </c>
      <c r="C556" s="64" t="n">
        <v>46306.520988125</v>
      </c>
      <c r="D556" s="63" t="n">
        <v>12</v>
      </c>
      <c r="E556" s="62" t="s">
        <v>389</v>
      </c>
      <c r="F556" s="62" t="s">
        <v>430</v>
      </c>
      <c r="G556" s="62" t="s">
        <v>389</v>
      </c>
      <c r="H556" s="65" t="n">
        <v>195.9</v>
      </c>
      <c r="I556" s="62" t="s">
        <v>275</v>
      </c>
    </row>
    <row r="557" customFormat="false" ht="15" hidden="false" customHeight="false" outlineLevel="0" collapsed="false">
      <c r="A557" s="62" t="s">
        <v>388</v>
      </c>
      <c r="B557" s="63" t="n">
        <v>1298</v>
      </c>
      <c r="C557" s="64" t="n">
        <v>46306.5231740278</v>
      </c>
      <c r="D557" s="63" t="n">
        <v>12</v>
      </c>
      <c r="E557" s="62" t="s">
        <v>389</v>
      </c>
      <c r="F557" s="62" t="s">
        <v>431</v>
      </c>
      <c r="G557" s="62" t="s">
        <v>389</v>
      </c>
      <c r="H557" s="65" t="n">
        <v>0.2</v>
      </c>
      <c r="I557" s="62" t="s">
        <v>392</v>
      </c>
    </row>
    <row r="558" customFormat="false" ht="15" hidden="false" customHeight="false" outlineLevel="0" collapsed="false">
      <c r="A558" s="62" t="s">
        <v>388</v>
      </c>
      <c r="B558" s="63" t="n">
        <v>1298</v>
      </c>
      <c r="C558" s="64" t="n">
        <v>46306.5234274306</v>
      </c>
      <c r="D558" s="63" t="n">
        <v>12</v>
      </c>
      <c r="E558" s="62" t="s">
        <v>389</v>
      </c>
      <c r="F558" s="62" t="s">
        <v>431</v>
      </c>
      <c r="G558" s="62" t="s">
        <v>389</v>
      </c>
      <c r="H558" s="65" t="n">
        <v>0.2</v>
      </c>
      <c r="I558" s="62" t="s">
        <v>392</v>
      </c>
    </row>
    <row r="559" customFormat="false" ht="15" hidden="false" customHeight="false" outlineLevel="0" collapsed="false">
      <c r="A559" s="62" t="s">
        <v>388</v>
      </c>
      <c r="B559" s="63" t="n">
        <v>1298</v>
      </c>
      <c r="C559" s="64" t="n">
        <v>46306.5245328125</v>
      </c>
      <c r="D559" s="63" t="n">
        <v>12</v>
      </c>
      <c r="E559" s="62" t="s">
        <v>389</v>
      </c>
      <c r="F559" s="62" t="s">
        <v>431</v>
      </c>
      <c r="G559" s="62" t="s">
        <v>389</v>
      </c>
      <c r="H559" s="65" t="n">
        <v>1.4</v>
      </c>
      <c r="I559" s="62" t="s">
        <v>392</v>
      </c>
    </row>
    <row r="560" customFormat="false" ht="15" hidden="false" customHeight="false" outlineLevel="0" collapsed="false">
      <c r="A560" s="62" t="s">
        <v>388</v>
      </c>
      <c r="B560" s="63" t="n">
        <v>1288</v>
      </c>
      <c r="C560" s="64" t="n">
        <v>46306.5246936806</v>
      </c>
      <c r="D560" s="63" t="n">
        <v>12</v>
      </c>
      <c r="E560" s="62" t="s">
        <v>389</v>
      </c>
      <c r="F560" s="62" t="s">
        <v>151</v>
      </c>
      <c r="G560" s="62" t="s">
        <v>389</v>
      </c>
      <c r="H560" s="65" t="n">
        <v>1.8</v>
      </c>
      <c r="I560" s="62" t="s">
        <v>392</v>
      </c>
    </row>
    <row r="561" customFormat="false" ht="15" hidden="false" customHeight="false" outlineLevel="0" collapsed="false">
      <c r="A561" s="62" t="s">
        <v>388</v>
      </c>
      <c r="B561" s="63" t="n">
        <v>1298</v>
      </c>
      <c r="C561" s="64" t="n">
        <v>46306.5327118634</v>
      </c>
      <c r="D561" s="63" t="n">
        <v>12</v>
      </c>
      <c r="E561" s="62" t="s">
        <v>389</v>
      </c>
      <c r="F561" s="62" t="s">
        <v>151</v>
      </c>
      <c r="G561" s="62" t="s">
        <v>389</v>
      </c>
      <c r="H561" s="65" t="n">
        <v>0.3</v>
      </c>
      <c r="I561" s="62" t="s">
        <v>392</v>
      </c>
    </row>
    <row r="562" customFormat="false" ht="15" hidden="false" customHeight="false" outlineLevel="0" collapsed="false">
      <c r="A562" s="62" t="s">
        <v>388</v>
      </c>
      <c r="B562" s="63" t="n">
        <v>1280</v>
      </c>
      <c r="C562" s="64" t="n">
        <v>46306.5446859491</v>
      </c>
      <c r="D562" s="63" t="n">
        <v>13</v>
      </c>
      <c r="E562" s="62" t="s">
        <v>389</v>
      </c>
      <c r="F562" s="62" t="s">
        <v>150</v>
      </c>
      <c r="G562" s="62" t="s">
        <v>389</v>
      </c>
      <c r="H562" s="65" t="n">
        <v>0.4</v>
      </c>
      <c r="I562" s="62" t="s">
        <v>392</v>
      </c>
    </row>
    <row r="563" customFormat="false" ht="15" hidden="false" customHeight="false" outlineLevel="0" collapsed="false">
      <c r="A563" s="62" t="s">
        <v>388</v>
      </c>
      <c r="B563" s="63" t="n">
        <v>1301</v>
      </c>
      <c r="C563" s="64" t="n">
        <v>46306.5592274421</v>
      </c>
      <c r="D563" s="63" t="n">
        <v>13</v>
      </c>
      <c r="E563" s="62" t="s">
        <v>389</v>
      </c>
      <c r="F563" s="62" t="s">
        <v>431</v>
      </c>
      <c r="G563" s="62" t="s">
        <v>389</v>
      </c>
      <c r="H563" s="65" t="n">
        <v>4.1</v>
      </c>
      <c r="I563" s="62" t="s">
        <v>275</v>
      </c>
    </row>
    <row r="564" customFormat="false" ht="15" hidden="false" customHeight="false" outlineLevel="0" collapsed="false">
      <c r="A564" s="62" t="s">
        <v>388</v>
      </c>
      <c r="B564" s="63" t="n">
        <v>752</v>
      </c>
      <c r="C564" s="64" t="n">
        <v>46306.5596706134</v>
      </c>
      <c r="D564" s="63" t="n">
        <v>13</v>
      </c>
      <c r="E564" s="62" t="s">
        <v>389</v>
      </c>
      <c r="F564" s="62" t="s">
        <v>150</v>
      </c>
      <c r="G564" s="62" t="s">
        <v>389</v>
      </c>
      <c r="H564" s="65" t="n">
        <v>3.3</v>
      </c>
      <c r="I564" s="62" t="s">
        <v>392</v>
      </c>
    </row>
    <row r="565" customFormat="false" ht="15" hidden="false" customHeight="false" outlineLevel="0" collapsed="false">
      <c r="A565" s="62" t="s">
        <v>388</v>
      </c>
      <c r="B565" s="63" t="n">
        <v>1282</v>
      </c>
      <c r="C565" s="64" t="n">
        <v>46306.5714247338</v>
      </c>
      <c r="D565" s="63" t="n">
        <v>13</v>
      </c>
      <c r="E565" s="62" t="s">
        <v>389</v>
      </c>
      <c r="F565" s="62" t="s">
        <v>151</v>
      </c>
      <c r="G565" s="62" t="s">
        <v>389</v>
      </c>
      <c r="H565" s="65" t="n">
        <v>1.1</v>
      </c>
      <c r="I565" s="62" t="s">
        <v>392</v>
      </c>
    </row>
    <row r="566" customFormat="false" ht="15" hidden="false" customHeight="false" outlineLevel="0" collapsed="false">
      <c r="A566" s="62" t="s">
        <v>388</v>
      </c>
      <c r="B566" s="63" t="n">
        <v>1298</v>
      </c>
      <c r="C566" s="64" t="n">
        <v>46306.5751580324</v>
      </c>
      <c r="D566" s="63" t="n">
        <v>13</v>
      </c>
      <c r="E566" s="62" t="s">
        <v>389</v>
      </c>
      <c r="F566" s="62" t="s">
        <v>151</v>
      </c>
      <c r="G566" s="62" t="s">
        <v>389</v>
      </c>
      <c r="H566" s="65" t="n">
        <v>3.5</v>
      </c>
      <c r="I566" s="62" t="s">
        <v>275</v>
      </c>
    </row>
    <row r="567" customFormat="false" ht="15" hidden="false" customHeight="false" outlineLevel="0" collapsed="false">
      <c r="A567" s="62" t="s">
        <v>388</v>
      </c>
      <c r="B567" s="63" t="n">
        <v>1298</v>
      </c>
      <c r="C567" s="64" t="n">
        <v>46306.577090706</v>
      </c>
      <c r="D567" s="63" t="n">
        <v>13</v>
      </c>
      <c r="E567" s="62" t="s">
        <v>389</v>
      </c>
      <c r="F567" s="62" t="s">
        <v>151</v>
      </c>
      <c r="G567" s="62" t="s">
        <v>389</v>
      </c>
      <c r="H567" s="65" t="n">
        <v>0.7</v>
      </c>
      <c r="I567" s="62" t="s">
        <v>392</v>
      </c>
    </row>
    <row r="568" customFormat="false" ht="15" hidden="false" customHeight="false" outlineLevel="0" collapsed="false">
      <c r="A568" s="62" t="s">
        <v>388</v>
      </c>
      <c r="B568" s="63" t="n">
        <v>1298</v>
      </c>
      <c r="C568" s="64" t="n">
        <v>46306.5782467708</v>
      </c>
      <c r="D568" s="63" t="n">
        <v>13</v>
      </c>
      <c r="E568" s="62" t="s">
        <v>389</v>
      </c>
      <c r="F568" s="62" t="s">
        <v>151</v>
      </c>
      <c r="G568" s="62" t="s">
        <v>389</v>
      </c>
      <c r="H568" s="65" t="n">
        <v>0.1</v>
      </c>
      <c r="I568" s="62" t="s">
        <v>392</v>
      </c>
    </row>
    <row r="569" customFormat="false" ht="15" hidden="false" customHeight="false" outlineLevel="0" collapsed="false">
      <c r="A569" s="62" t="s">
        <v>388</v>
      </c>
      <c r="B569" s="63" t="n">
        <v>1301</v>
      </c>
      <c r="C569" s="64" t="n">
        <v>46306.6091126157</v>
      </c>
      <c r="D569" s="63" t="n">
        <v>14</v>
      </c>
      <c r="E569" s="62" t="s">
        <v>389</v>
      </c>
      <c r="F569" s="62" t="s">
        <v>150</v>
      </c>
      <c r="G569" s="62" t="s">
        <v>389</v>
      </c>
      <c r="H569" s="65" t="n">
        <v>0.4</v>
      </c>
      <c r="I569" s="62" t="s">
        <v>392</v>
      </c>
    </row>
    <row r="570" customFormat="false" ht="15" hidden="false" customHeight="false" outlineLevel="0" collapsed="false">
      <c r="A570" s="62" t="s">
        <v>388</v>
      </c>
      <c r="B570" s="63" t="n">
        <v>752</v>
      </c>
      <c r="C570" s="64" t="n">
        <v>46306.6380107523</v>
      </c>
      <c r="D570" s="63" t="n">
        <v>15</v>
      </c>
      <c r="E570" s="62" t="s">
        <v>389</v>
      </c>
      <c r="F570" s="62" t="s">
        <v>150</v>
      </c>
      <c r="G570" s="62" t="s">
        <v>389</v>
      </c>
      <c r="H570" s="65" t="n">
        <v>0.6</v>
      </c>
      <c r="I570" s="62" t="s">
        <v>392</v>
      </c>
    </row>
    <row r="571" customFormat="false" ht="15" hidden="false" customHeight="false" outlineLevel="0" collapsed="false">
      <c r="A571" s="62" t="s">
        <v>388</v>
      </c>
      <c r="B571" s="63" t="n">
        <v>433</v>
      </c>
      <c r="C571" s="64" t="n">
        <v>46306.6418118866</v>
      </c>
      <c r="D571" s="63" t="n">
        <v>15</v>
      </c>
      <c r="E571" s="62" t="s">
        <v>389</v>
      </c>
      <c r="F571" s="62" t="s">
        <v>391</v>
      </c>
      <c r="G571" s="62" t="s">
        <v>390</v>
      </c>
      <c r="H571" s="65"/>
      <c r="I571" s="62" t="s">
        <v>432</v>
      </c>
    </row>
    <row r="572" customFormat="false" ht="15" hidden="false" customHeight="false" outlineLevel="0" collapsed="false">
      <c r="A572" s="62" t="s">
        <v>388</v>
      </c>
      <c r="B572" s="63" t="n">
        <v>1299</v>
      </c>
      <c r="C572" s="64" t="n">
        <v>46306.6569622917</v>
      </c>
      <c r="D572" s="63" t="n">
        <v>15</v>
      </c>
      <c r="E572" s="62" t="s">
        <v>389</v>
      </c>
      <c r="F572" s="62" t="s">
        <v>150</v>
      </c>
      <c r="G572" s="62" t="s">
        <v>389</v>
      </c>
      <c r="H572" s="65" t="n">
        <v>0.1</v>
      </c>
      <c r="I572" s="62" t="s">
        <v>392</v>
      </c>
    </row>
    <row r="573" customFormat="false" ht="15" hidden="false" customHeight="false" outlineLevel="0" collapsed="false">
      <c r="A573" s="62" t="s">
        <v>388</v>
      </c>
      <c r="B573" s="63" t="n">
        <v>1330</v>
      </c>
      <c r="C573" s="64" t="n">
        <v>46306.7022908218</v>
      </c>
      <c r="D573" s="63" t="n">
        <v>16</v>
      </c>
      <c r="E573" s="62" t="s">
        <v>389</v>
      </c>
      <c r="F573" s="62" t="s">
        <v>430</v>
      </c>
      <c r="G573" s="62" t="s">
        <v>389</v>
      </c>
      <c r="H573" s="65" t="n">
        <v>1178.1</v>
      </c>
      <c r="I573" s="62" t="s">
        <v>275</v>
      </c>
    </row>
    <row r="574" customFormat="false" ht="15" hidden="false" customHeight="false" outlineLevel="0" collapsed="false">
      <c r="A574" s="62" t="s">
        <v>388</v>
      </c>
      <c r="B574" s="63" t="n">
        <v>1324</v>
      </c>
      <c r="C574" s="64" t="n">
        <v>46306.7047478125</v>
      </c>
      <c r="D574" s="63" t="n">
        <v>16</v>
      </c>
      <c r="E574" s="62" t="s">
        <v>389</v>
      </c>
      <c r="F574" s="62" t="s">
        <v>431</v>
      </c>
      <c r="G574" s="62" t="s">
        <v>389</v>
      </c>
      <c r="H574" s="65" t="n">
        <v>283.3</v>
      </c>
      <c r="I574" s="62" t="s">
        <v>275</v>
      </c>
    </row>
    <row r="575" customFormat="false" ht="15" hidden="false" customHeight="false" outlineLevel="0" collapsed="false">
      <c r="A575" s="62" t="s">
        <v>388</v>
      </c>
      <c r="B575" s="63" t="n">
        <v>1334</v>
      </c>
      <c r="C575" s="64" t="n">
        <v>46306.7211029514</v>
      </c>
      <c r="D575" s="63" t="n">
        <v>17</v>
      </c>
      <c r="E575" s="62" t="s">
        <v>389</v>
      </c>
      <c r="F575" s="62" t="s">
        <v>430</v>
      </c>
      <c r="G575" s="62" t="s">
        <v>389</v>
      </c>
      <c r="H575" s="65" t="n">
        <v>7.7</v>
      </c>
      <c r="I575" s="62" t="s">
        <v>275</v>
      </c>
    </row>
    <row r="576" customFormat="false" ht="15" hidden="false" customHeight="false" outlineLevel="0" collapsed="false">
      <c r="A576" s="62" t="s">
        <v>388</v>
      </c>
      <c r="B576" s="63" t="n">
        <v>1334</v>
      </c>
      <c r="C576" s="64" t="n">
        <v>46306.7234065625</v>
      </c>
      <c r="D576" s="63" t="n">
        <v>17</v>
      </c>
      <c r="E576" s="62" t="s">
        <v>389</v>
      </c>
      <c r="F576" s="62" t="s">
        <v>431</v>
      </c>
      <c r="G576" s="62" t="s">
        <v>389</v>
      </c>
      <c r="H576" s="65" t="n">
        <v>4.4</v>
      </c>
      <c r="I576" s="62" t="s">
        <v>392</v>
      </c>
    </row>
    <row r="577" customFormat="false" ht="15" hidden="false" customHeight="false" outlineLevel="0" collapsed="false">
      <c r="A577" s="62" t="s">
        <v>388</v>
      </c>
      <c r="B577" s="63" t="n">
        <v>1338</v>
      </c>
      <c r="C577" s="64" t="n">
        <v>46306.7435311806</v>
      </c>
      <c r="D577" s="63" t="n">
        <v>17</v>
      </c>
      <c r="E577" s="62" t="s">
        <v>389</v>
      </c>
      <c r="F577" s="62" t="s">
        <v>430</v>
      </c>
      <c r="G577" s="62" t="s">
        <v>389</v>
      </c>
      <c r="H577" s="65" t="n">
        <v>2649.1</v>
      </c>
      <c r="I577" s="62" t="s">
        <v>275</v>
      </c>
    </row>
    <row r="578" customFormat="false" ht="15" hidden="false" customHeight="false" outlineLevel="0" collapsed="false">
      <c r="A578" s="62" t="s">
        <v>388</v>
      </c>
      <c r="B578" s="63" t="n">
        <v>1270</v>
      </c>
      <c r="C578" s="64" t="n">
        <v>46306.7615938889</v>
      </c>
      <c r="D578" s="63" t="n">
        <v>18</v>
      </c>
      <c r="E578" s="62" t="s">
        <v>389</v>
      </c>
      <c r="F578" s="62" t="s">
        <v>150</v>
      </c>
      <c r="G578" s="62" t="s">
        <v>389</v>
      </c>
      <c r="H578" s="65" t="n">
        <v>4.1</v>
      </c>
      <c r="I578" s="62" t="s">
        <v>392</v>
      </c>
    </row>
    <row r="579" customFormat="false" ht="15" hidden="false" customHeight="false" outlineLevel="0" collapsed="false">
      <c r="A579" s="62" t="s">
        <v>388</v>
      </c>
      <c r="B579" s="63" t="n">
        <v>1340</v>
      </c>
      <c r="C579" s="64" t="n">
        <v>46306.7631610532</v>
      </c>
      <c r="D579" s="63" t="n">
        <v>18</v>
      </c>
      <c r="E579" s="62" t="s">
        <v>389</v>
      </c>
      <c r="F579" s="62" t="s">
        <v>430</v>
      </c>
      <c r="G579" s="62" t="s">
        <v>389</v>
      </c>
      <c r="H579" s="65" t="n">
        <v>2904.9</v>
      </c>
      <c r="I579" s="62" t="s">
        <v>275</v>
      </c>
    </row>
    <row r="580" customFormat="false" ht="15" hidden="false" customHeight="false" outlineLevel="0" collapsed="false">
      <c r="A580" s="62" t="s">
        <v>388</v>
      </c>
      <c r="B580" s="63" t="n">
        <v>1343</v>
      </c>
      <c r="C580" s="64" t="n">
        <v>46306.7914408102</v>
      </c>
      <c r="D580" s="63" t="n">
        <v>18</v>
      </c>
      <c r="E580" s="62" t="s">
        <v>389</v>
      </c>
      <c r="F580" s="62" t="s">
        <v>430</v>
      </c>
      <c r="G580" s="62" t="s">
        <v>389</v>
      </c>
      <c r="H580" s="65" t="n">
        <v>13.5</v>
      </c>
      <c r="I580" s="62" t="s">
        <v>275</v>
      </c>
    </row>
    <row r="581" customFormat="false" ht="15" hidden="false" customHeight="false" outlineLevel="0" collapsed="false">
      <c r="A581" s="62" t="s">
        <v>388</v>
      </c>
      <c r="B581" s="63" t="n">
        <v>1343</v>
      </c>
      <c r="C581" s="64" t="n">
        <v>46306.7941678935</v>
      </c>
      <c r="D581" s="63" t="n">
        <v>19</v>
      </c>
      <c r="E581" s="62" t="s">
        <v>389</v>
      </c>
      <c r="F581" s="62" t="s">
        <v>431</v>
      </c>
      <c r="G581" s="62" t="s">
        <v>389</v>
      </c>
      <c r="H581" s="65" t="n">
        <v>9.6</v>
      </c>
      <c r="I581" s="62" t="s">
        <v>392</v>
      </c>
    </row>
    <row r="582" customFormat="false" ht="15" hidden="false" customHeight="false" outlineLevel="0" collapsed="false">
      <c r="A582" s="62" t="s">
        <v>388</v>
      </c>
      <c r="B582" s="63" t="n">
        <v>1368</v>
      </c>
      <c r="C582" s="64" t="n">
        <v>46306.8934652315</v>
      </c>
      <c r="D582" s="63" t="n">
        <v>21</v>
      </c>
      <c r="E582" s="62" t="s">
        <v>390</v>
      </c>
      <c r="F582" s="62" t="s">
        <v>430</v>
      </c>
      <c r="G582" s="62" t="s">
        <v>389</v>
      </c>
      <c r="H582" s="65" t="n">
        <v>4.3</v>
      </c>
      <c r="I582" s="62" t="s">
        <v>275</v>
      </c>
    </row>
    <row r="583" customFormat="false" ht="15" hidden="false" customHeight="false" outlineLevel="0" collapsed="false">
      <c r="A583" s="62" t="s">
        <v>388</v>
      </c>
      <c r="B583" s="63" t="n">
        <v>1368</v>
      </c>
      <c r="C583" s="64" t="n">
        <v>46306.8957335764</v>
      </c>
      <c r="D583" s="63" t="n">
        <v>21</v>
      </c>
      <c r="E583" s="62" t="s">
        <v>390</v>
      </c>
      <c r="F583" s="62" t="s">
        <v>431</v>
      </c>
      <c r="G583" s="62" t="s">
        <v>389</v>
      </c>
      <c r="H583" s="65" t="n">
        <v>1</v>
      </c>
      <c r="I583" s="62" t="s">
        <v>392</v>
      </c>
    </row>
    <row r="584" customFormat="false" ht="15" hidden="false" customHeight="false" outlineLevel="0" collapsed="false">
      <c r="A584" s="62" t="s">
        <v>388</v>
      </c>
      <c r="B584" s="63" t="n">
        <v>1324</v>
      </c>
      <c r="C584" s="64" t="n">
        <v>46306.8996399769</v>
      </c>
      <c r="D584" s="63" t="n">
        <v>21</v>
      </c>
      <c r="E584" s="62" t="s">
        <v>390</v>
      </c>
      <c r="F584" s="62" t="s">
        <v>150</v>
      </c>
      <c r="G584" s="62" t="s">
        <v>389</v>
      </c>
      <c r="H584" s="65" t="n">
        <v>2.7</v>
      </c>
      <c r="I584" s="62" t="s">
        <v>392</v>
      </c>
    </row>
    <row r="585" customFormat="false" ht="15" hidden="false" customHeight="false" outlineLevel="0" collapsed="false">
      <c r="A585" s="62" t="s">
        <v>388</v>
      </c>
      <c r="B585" s="63" t="n">
        <v>1324</v>
      </c>
      <c r="C585" s="64" t="n">
        <v>46306.9085650579</v>
      </c>
      <c r="D585" s="63" t="n">
        <v>21</v>
      </c>
      <c r="E585" s="62" t="s">
        <v>390</v>
      </c>
      <c r="F585" s="62" t="s">
        <v>151</v>
      </c>
      <c r="G585" s="62" t="s">
        <v>389</v>
      </c>
      <c r="H585" s="65" t="n">
        <v>2.2</v>
      </c>
      <c r="I585" s="62" t="s">
        <v>392</v>
      </c>
    </row>
    <row r="586" customFormat="false" ht="15" hidden="false" customHeight="false" outlineLevel="0" collapsed="false">
      <c r="A586" s="62" t="s">
        <v>388</v>
      </c>
      <c r="B586" s="63" t="n">
        <v>1377</v>
      </c>
      <c r="C586" s="64" t="n">
        <v>46306.9330851505</v>
      </c>
      <c r="D586" s="63" t="n">
        <v>22</v>
      </c>
      <c r="E586" s="62" t="s">
        <v>390</v>
      </c>
      <c r="F586" s="62" t="s">
        <v>430</v>
      </c>
      <c r="G586" s="62" t="s">
        <v>389</v>
      </c>
      <c r="H586" s="65" t="n">
        <v>3510.3</v>
      </c>
      <c r="I586" s="62" t="s">
        <v>275</v>
      </c>
    </row>
    <row r="587" customFormat="false" ht="15" hidden="false" customHeight="false" outlineLevel="0" collapsed="false">
      <c r="A587" s="62" t="s">
        <v>388</v>
      </c>
      <c r="B587" s="63" t="n">
        <v>1385</v>
      </c>
      <c r="C587" s="64" t="n">
        <v>46306.9855253472</v>
      </c>
      <c r="D587" s="63" t="n">
        <v>23</v>
      </c>
      <c r="E587" s="62" t="s">
        <v>390</v>
      </c>
      <c r="F587" s="62" t="s">
        <v>430</v>
      </c>
      <c r="G587" s="62" t="s">
        <v>389</v>
      </c>
      <c r="H587" s="65" t="n">
        <v>3434.5</v>
      </c>
      <c r="I587" s="62" t="s">
        <v>275</v>
      </c>
    </row>
    <row r="588" customFormat="false" ht="15" hidden="false" customHeight="false" outlineLevel="0" collapsed="false">
      <c r="A588" s="62" t="s">
        <v>388</v>
      </c>
      <c r="B588" s="63" t="n">
        <v>1402</v>
      </c>
      <c r="C588" s="64" t="n">
        <v>46307.2940121991</v>
      </c>
      <c r="D588" s="63" t="n">
        <v>7</v>
      </c>
      <c r="E588" s="62" t="s">
        <v>390</v>
      </c>
      <c r="F588" s="62" t="s">
        <v>430</v>
      </c>
      <c r="G588" s="62" t="s">
        <v>389</v>
      </c>
      <c r="H588" s="65" t="n">
        <v>2987.9</v>
      </c>
      <c r="I588" s="62" t="s">
        <v>275</v>
      </c>
    </row>
    <row r="589" customFormat="false" ht="15" hidden="false" customHeight="false" outlineLevel="0" collapsed="false">
      <c r="A589" s="62" t="s">
        <v>388</v>
      </c>
      <c r="B589" s="63" t="n">
        <v>1403</v>
      </c>
      <c r="C589" s="64" t="n">
        <v>46307.3030664583</v>
      </c>
      <c r="D589" s="63" t="n">
        <v>7</v>
      </c>
      <c r="E589" s="62" t="s">
        <v>390</v>
      </c>
      <c r="F589" s="62" t="s">
        <v>430</v>
      </c>
      <c r="G589" s="62" t="s">
        <v>389</v>
      </c>
      <c r="H589" s="65" t="n">
        <v>4.8</v>
      </c>
      <c r="I589" s="62" t="s">
        <v>275</v>
      </c>
    </row>
    <row r="590" customFormat="false" ht="15" hidden="false" customHeight="false" outlineLevel="0" collapsed="false">
      <c r="A590" s="62" t="s">
        <v>388</v>
      </c>
      <c r="B590" s="63" t="n">
        <v>1403</v>
      </c>
      <c r="C590" s="64" t="n">
        <v>46307.3060850116</v>
      </c>
      <c r="D590" s="63" t="n">
        <v>7</v>
      </c>
      <c r="E590" s="62" t="s">
        <v>390</v>
      </c>
      <c r="F590" s="62" t="s">
        <v>431</v>
      </c>
      <c r="G590" s="62" t="s">
        <v>389</v>
      </c>
      <c r="H590" s="65" t="n">
        <v>0.4</v>
      </c>
      <c r="I590" s="62" t="s">
        <v>392</v>
      </c>
    </row>
    <row r="591" customFormat="false" ht="15" hidden="false" customHeight="false" outlineLevel="0" collapsed="false">
      <c r="A591" s="62" t="s">
        <v>388</v>
      </c>
      <c r="B591" s="63" t="n">
        <v>1403</v>
      </c>
      <c r="C591" s="64" t="n">
        <v>46307.3077510301</v>
      </c>
      <c r="D591" s="63" t="n">
        <v>7</v>
      </c>
      <c r="E591" s="62" t="s">
        <v>390</v>
      </c>
      <c r="F591" s="62" t="s">
        <v>431</v>
      </c>
      <c r="G591" s="62" t="s">
        <v>389</v>
      </c>
      <c r="H591" s="65" t="n">
        <v>0.7</v>
      </c>
      <c r="I591" s="62" t="s">
        <v>392</v>
      </c>
    </row>
    <row r="592" customFormat="false" ht="15" hidden="false" customHeight="false" outlineLevel="0" collapsed="false">
      <c r="A592" s="62" t="s">
        <v>388</v>
      </c>
      <c r="B592" s="63" t="n">
        <v>1403</v>
      </c>
      <c r="C592" s="64" t="n">
        <v>46307.3111016782</v>
      </c>
      <c r="D592" s="63" t="n">
        <v>7</v>
      </c>
      <c r="E592" s="62" t="s">
        <v>390</v>
      </c>
      <c r="F592" s="62" t="s">
        <v>151</v>
      </c>
      <c r="G592" s="62" t="s">
        <v>389</v>
      </c>
      <c r="H592" s="65" t="n">
        <v>0.2</v>
      </c>
      <c r="I592" s="62" t="s">
        <v>392</v>
      </c>
    </row>
    <row r="593" customFormat="false" ht="15" hidden="false" customHeight="false" outlineLevel="0" collapsed="false">
      <c r="A593" s="62" t="s">
        <v>388</v>
      </c>
      <c r="B593" s="63" t="n">
        <v>1403</v>
      </c>
      <c r="C593" s="64" t="n">
        <v>46307.313496794</v>
      </c>
      <c r="D593" s="63" t="n">
        <v>7</v>
      </c>
      <c r="E593" s="62" t="s">
        <v>390</v>
      </c>
      <c r="F593" s="62" t="s">
        <v>151</v>
      </c>
      <c r="G593" s="62" t="s">
        <v>389</v>
      </c>
      <c r="H593" s="65" t="n">
        <v>0.4</v>
      </c>
      <c r="I593" s="62" t="s">
        <v>392</v>
      </c>
    </row>
    <row r="594" customFormat="false" ht="15" hidden="false" customHeight="false" outlineLevel="0" collapsed="false">
      <c r="A594" s="62" t="s">
        <v>388</v>
      </c>
      <c r="B594" s="63" t="n">
        <v>1405</v>
      </c>
      <c r="C594" s="64" t="n">
        <v>46307.3240681597</v>
      </c>
      <c r="D594" s="63" t="n">
        <v>7</v>
      </c>
      <c r="E594" s="62" t="s">
        <v>390</v>
      </c>
      <c r="F594" s="62" t="s">
        <v>430</v>
      </c>
      <c r="G594" s="62" t="s">
        <v>389</v>
      </c>
      <c r="H594" s="65" t="n">
        <v>2.5</v>
      </c>
      <c r="I594" s="62" t="s">
        <v>275</v>
      </c>
    </row>
    <row r="595" customFormat="false" ht="15" hidden="false" customHeight="false" outlineLevel="0" collapsed="false">
      <c r="A595" s="62" t="s">
        <v>388</v>
      </c>
      <c r="B595" s="63" t="n">
        <v>1405</v>
      </c>
      <c r="C595" s="64" t="n">
        <v>46307.3253180324</v>
      </c>
      <c r="D595" s="63" t="n">
        <v>7</v>
      </c>
      <c r="E595" s="62" t="s">
        <v>390</v>
      </c>
      <c r="F595" s="62" t="s">
        <v>431</v>
      </c>
      <c r="G595" s="62" t="s">
        <v>389</v>
      </c>
      <c r="H595" s="65" t="n">
        <v>0.7</v>
      </c>
      <c r="I595" s="62" t="s">
        <v>392</v>
      </c>
    </row>
    <row r="596" customFormat="false" ht="15" hidden="false" customHeight="false" outlineLevel="0" collapsed="false">
      <c r="A596" s="62" t="s">
        <v>388</v>
      </c>
      <c r="B596" s="63" t="n">
        <v>1407</v>
      </c>
      <c r="C596" s="64" t="n">
        <v>46307.3393684954</v>
      </c>
      <c r="D596" s="63" t="n">
        <v>8</v>
      </c>
      <c r="E596" s="62" t="s">
        <v>390</v>
      </c>
      <c r="F596" s="62" t="s">
        <v>430</v>
      </c>
      <c r="G596" s="62" t="s">
        <v>389</v>
      </c>
      <c r="H596" s="65" t="n">
        <v>2937.5</v>
      </c>
      <c r="I596" s="62" t="s">
        <v>275</v>
      </c>
    </row>
    <row r="597" customFormat="false" ht="15" hidden="false" customHeight="false" outlineLevel="0" collapsed="false">
      <c r="A597" s="62" t="s">
        <v>388</v>
      </c>
      <c r="B597" s="63" t="n">
        <v>1412</v>
      </c>
      <c r="C597" s="64" t="n">
        <v>46307.3712869097</v>
      </c>
      <c r="D597" s="63" t="n">
        <v>8</v>
      </c>
      <c r="E597" s="62" t="s">
        <v>390</v>
      </c>
      <c r="F597" s="62" t="s">
        <v>430</v>
      </c>
      <c r="G597" s="62" t="s">
        <v>389</v>
      </c>
      <c r="H597" s="65" t="n">
        <v>62.8</v>
      </c>
      <c r="I597" s="62" t="s">
        <v>275</v>
      </c>
    </row>
    <row r="598" customFormat="false" ht="15" hidden="false" customHeight="false" outlineLevel="0" collapsed="false">
      <c r="A598" s="62" t="s">
        <v>388</v>
      </c>
      <c r="B598" s="63" t="n">
        <v>1260</v>
      </c>
      <c r="C598" s="64" t="n">
        <v>46307.377491331</v>
      </c>
      <c r="D598" s="63" t="n">
        <v>9</v>
      </c>
      <c r="E598" s="62" t="s">
        <v>389</v>
      </c>
      <c r="F598" s="62" t="s">
        <v>150</v>
      </c>
      <c r="G598" s="62" t="s">
        <v>389</v>
      </c>
      <c r="H598" s="65" t="n">
        <v>0.6</v>
      </c>
      <c r="I598" s="62" t="s">
        <v>392</v>
      </c>
    </row>
    <row r="599" customFormat="false" ht="15" hidden="false" customHeight="false" outlineLevel="0" collapsed="false">
      <c r="A599" s="62" t="s">
        <v>388</v>
      </c>
      <c r="B599" s="63" t="n">
        <v>1270</v>
      </c>
      <c r="C599" s="64" t="n">
        <v>46307.3847841435</v>
      </c>
      <c r="D599" s="63" t="n">
        <v>9</v>
      </c>
      <c r="E599" s="62" t="s">
        <v>389</v>
      </c>
      <c r="F599" s="62" t="s">
        <v>150</v>
      </c>
      <c r="G599" s="62" t="s">
        <v>389</v>
      </c>
      <c r="H599" s="65" t="n">
        <v>0.8</v>
      </c>
      <c r="I599" s="62" t="s">
        <v>392</v>
      </c>
    </row>
    <row r="600" customFormat="false" ht="15" hidden="false" customHeight="false" outlineLevel="0" collapsed="false">
      <c r="A600" s="62" t="s">
        <v>388</v>
      </c>
      <c r="B600" s="63" t="n">
        <v>1151</v>
      </c>
      <c r="C600" s="64" t="n">
        <v>46307.3861334259</v>
      </c>
      <c r="D600" s="63" t="n">
        <v>9</v>
      </c>
      <c r="E600" s="62" t="s">
        <v>389</v>
      </c>
      <c r="F600" s="62" t="s">
        <v>150</v>
      </c>
      <c r="G600" s="62" t="s">
        <v>389</v>
      </c>
      <c r="H600" s="65" t="n">
        <v>1.6</v>
      </c>
      <c r="I600" s="62" t="s">
        <v>392</v>
      </c>
    </row>
    <row r="601" customFormat="false" ht="15" hidden="false" customHeight="false" outlineLevel="0" collapsed="false">
      <c r="A601" s="62" t="s">
        <v>388</v>
      </c>
      <c r="B601" s="63" t="n">
        <v>772</v>
      </c>
      <c r="C601" s="64" t="n">
        <v>46307.3899911227</v>
      </c>
      <c r="D601" s="63" t="n">
        <v>9</v>
      </c>
      <c r="E601" s="62" t="s">
        <v>389</v>
      </c>
      <c r="F601" s="62" t="s">
        <v>151</v>
      </c>
      <c r="G601" s="62" t="s">
        <v>389</v>
      </c>
      <c r="H601" s="65" t="n">
        <v>1.2</v>
      </c>
      <c r="I601" s="62" t="s">
        <v>392</v>
      </c>
    </row>
    <row r="602" customFormat="false" ht="15" hidden="false" customHeight="false" outlineLevel="0" collapsed="false">
      <c r="A602" s="62" t="s">
        <v>388</v>
      </c>
      <c r="B602" s="63" t="n">
        <v>1234</v>
      </c>
      <c r="C602" s="64" t="n">
        <v>46307.3985229514</v>
      </c>
      <c r="D602" s="63" t="n">
        <v>9</v>
      </c>
      <c r="E602" s="62" t="s">
        <v>389</v>
      </c>
      <c r="F602" s="62" t="s">
        <v>151</v>
      </c>
      <c r="G602" s="62" t="s">
        <v>389</v>
      </c>
      <c r="H602" s="65" t="n">
        <v>1.1</v>
      </c>
      <c r="I602" s="62" t="s">
        <v>392</v>
      </c>
    </row>
    <row r="603" customFormat="false" ht="15" hidden="false" customHeight="false" outlineLevel="0" collapsed="false">
      <c r="A603" s="62" t="s">
        <v>388</v>
      </c>
      <c r="B603" s="63" t="n">
        <v>1412</v>
      </c>
      <c r="C603" s="64" t="n">
        <v>46307.4142349884</v>
      </c>
      <c r="D603" s="63" t="n">
        <v>9</v>
      </c>
      <c r="E603" s="62" t="s">
        <v>389</v>
      </c>
      <c r="F603" s="62" t="s">
        <v>431</v>
      </c>
      <c r="G603" s="62" t="s">
        <v>389</v>
      </c>
      <c r="H603" s="65" t="n">
        <v>0.9</v>
      </c>
      <c r="I603" s="62" t="s">
        <v>392</v>
      </c>
    </row>
    <row r="604" customFormat="false" ht="15" hidden="false" customHeight="false" outlineLevel="0" collapsed="false">
      <c r="A604" s="62" t="s">
        <v>388</v>
      </c>
      <c r="B604" s="63" t="n">
        <v>1412</v>
      </c>
      <c r="C604" s="64" t="n">
        <v>46307.4179540972</v>
      </c>
      <c r="D604" s="63" t="n">
        <v>10</v>
      </c>
      <c r="E604" s="62" t="s">
        <v>389</v>
      </c>
      <c r="F604" s="62" t="s">
        <v>151</v>
      </c>
      <c r="G604" s="62" t="s">
        <v>389</v>
      </c>
      <c r="H604" s="65" t="n">
        <v>10.1</v>
      </c>
      <c r="I604" s="62" t="s">
        <v>275</v>
      </c>
    </row>
    <row r="605" customFormat="false" ht="15" hidden="false" customHeight="false" outlineLevel="0" collapsed="false">
      <c r="A605" s="62" t="s">
        <v>388</v>
      </c>
      <c r="B605" s="63" t="n">
        <v>1412</v>
      </c>
      <c r="C605" s="64" t="n">
        <v>46307.4223284144</v>
      </c>
      <c r="D605" s="63" t="n">
        <v>10</v>
      </c>
      <c r="E605" s="62" t="s">
        <v>389</v>
      </c>
      <c r="F605" s="62" t="s">
        <v>151</v>
      </c>
      <c r="G605" s="62" t="s">
        <v>389</v>
      </c>
      <c r="H605" s="65" t="n">
        <v>3.8</v>
      </c>
      <c r="I605" s="62" t="s">
        <v>392</v>
      </c>
    </row>
    <row r="606" customFormat="false" ht="15" hidden="false" customHeight="false" outlineLevel="0" collapsed="false">
      <c r="A606" s="62" t="s">
        <v>388</v>
      </c>
      <c r="B606" s="63" t="n">
        <v>459</v>
      </c>
      <c r="C606" s="64" t="n">
        <v>46307.4247283565</v>
      </c>
      <c r="D606" s="63" t="n">
        <v>10</v>
      </c>
      <c r="E606" s="62" t="s">
        <v>389</v>
      </c>
      <c r="F606" s="62" t="s">
        <v>150</v>
      </c>
      <c r="G606" s="62" t="s">
        <v>389</v>
      </c>
      <c r="H606" s="65" t="n">
        <v>3.1</v>
      </c>
      <c r="I606" s="62" t="s">
        <v>392</v>
      </c>
    </row>
    <row r="607" customFormat="false" ht="15" hidden="false" customHeight="false" outlineLevel="0" collapsed="false">
      <c r="A607" s="62" t="s">
        <v>388</v>
      </c>
      <c r="B607" s="63" t="n">
        <v>1439</v>
      </c>
      <c r="C607" s="64" t="n">
        <v>46307.4277858796</v>
      </c>
      <c r="D607" s="63" t="n">
        <v>10</v>
      </c>
      <c r="E607" s="62" t="s">
        <v>389</v>
      </c>
      <c r="F607" s="62" t="s">
        <v>430</v>
      </c>
      <c r="G607" s="62" t="s">
        <v>389</v>
      </c>
      <c r="H607" s="65" t="n">
        <v>12.7</v>
      </c>
      <c r="I607" s="62" t="s">
        <v>275</v>
      </c>
    </row>
    <row r="608" customFormat="false" ht="15" hidden="false" customHeight="false" outlineLevel="0" collapsed="false">
      <c r="A608" s="62" t="s">
        <v>388</v>
      </c>
      <c r="B608" s="63" t="n">
        <v>1439</v>
      </c>
      <c r="C608" s="64" t="n">
        <v>46307.4328848032</v>
      </c>
      <c r="D608" s="63" t="n">
        <v>10</v>
      </c>
      <c r="E608" s="62" t="s">
        <v>389</v>
      </c>
      <c r="F608" s="62" t="s">
        <v>431</v>
      </c>
      <c r="G608" s="62" t="s">
        <v>389</v>
      </c>
      <c r="H608" s="65" t="n">
        <v>5.4</v>
      </c>
      <c r="I608" s="62" t="s">
        <v>392</v>
      </c>
    </row>
    <row r="609" customFormat="false" ht="15" hidden="false" customHeight="false" outlineLevel="0" collapsed="false">
      <c r="A609" s="62" t="s">
        <v>388</v>
      </c>
      <c r="B609" s="63" t="n">
        <v>1443</v>
      </c>
      <c r="C609" s="64" t="n">
        <v>46307.4361483681</v>
      </c>
      <c r="D609" s="63" t="n">
        <v>10</v>
      </c>
      <c r="E609" s="62" t="s">
        <v>389</v>
      </c>
      <c r="F609" s="62" t="s">
        <v>430</v>
      </c>
      <c r="G609" s="62" t="s">
        <v>389</v>
      </c>
      <c r="H609" s="65" t="n">
        <v>2784.2</v>
      </c>
      <c r="I609" s="62" t="s">
        <v>275</v>
      </c>
    </row>
    <row r="610" customFormat="false" ht="15" hidden="false" customHeight="false" outlineLevel="0" collapsed="false">
      <c r="A610" s="62" t="s">
        <v>388</v>
      </c>
      <c r="B610" s="63" t="n">
        <v>1439</v>
      </c>
      <c r="C610" s="64" t="n">
        <v>46307.437779757</v>
      </c>
      <c r="D610" s="63" t="n">
        <v>10</v>
      </c>
      <c r="E610" s="62" t="s">
        <v>389</v>
      </c>
      <c r="F610" s="62" t="s">
        <v>431</v>
      </c>
      <c r="G610" s="62" t="s">
        <v>389</v>
      </c>
      <c r="H610" s="65" t="n">
        <v>2.6</v>
      </c>
      <c r="I610" s="62" t="s">
        <v>392</v>
      </c>
    </row>
    <row r="611" customFormat="false" ht="15" hidden="false" customHeight="false" outlineLevel="0" collapsed="false">
      <c r="A611" s="62" t="s">
        <v>388</v>
      </c>
      <c r="B611" s="63" t="n">
        <v>1423</v>
      </c>
      <c r="C611" s="64" t="n">
        <v>46307.4431711111</v>
      </c>
      <c r="D611" s="63" t="n">
        <v>10</v>
      </c>
      <c r="E611" s="62" t="s">
        <v>389</v>
      </c>
      <c r="F611" s="62" t="s">
        <v>431</v>
      </c>
      <c r="G611" s="62" t="s">
        <v>389</v>
      </c>
      <c r="H611" s="65" t="n">
        <v>11.8</v>
      </c>
      <c r="I611" s="62" t="s">
        <v>392</v>
      </c>
    </row>
    <row r="612" customFormat="false" ht="15" hidden="false" customHeight="false" outlineLevel="0" collapsed="false">
      <c r="A612" s="62" t="s">
        <v>388</v>
      </c>
      <c r="B612" s="63" t="n">
        <v>1296</v>
      </c>
      <c r="C612" s="64" t="n">
        <v>46307.4482784838</v>
      </c>
      <c r="D612" s="63" t="n">
        <v>10</v>
      </c>
      <c r="E612" s="62" t="s">
        <v>389</v>
      </c>
      <c r="F612" s="62" t="s">
        <v>150</v>
      </c>
      <c r="G612" s="62" t="s">
        <v>389</v>
      </c>
      <c r="H612" s="65" t="n">
        <v>1371.6</v>
      </c>
      <c r="I612" s="62" t="s">
        <v>275</v>
      </c>
    </row>
    <row r="613" customFormat="false" ht="15" hidden="false" customHeight="false" outlineLevel="0" collapsed="false">
      <c r="A613" s="62" t="s">
        <v>388</v>
      </c>
      <c r="B613" s="63" t="n">
        <v>1439</v>
      </c>
      <c r="C613" s="64" t="n">
        <v>46307.4492240972</v>
      </c>
      <c r="D613" s="63" t="n">
        <v>10</v>
      </c>
      <c r="E613" s="62" t="s">
        <v>389</v>
      </c>
      <c r="F613" s="62" t="s">
        <v>431</v>
      </c>
      <c r="G613" s="62" t="s">
        <v>389</v>
      </c>
      <c r="H613" s="65" t="n">
        <v>0.3</v>
      </c>
      <c r="I613" s="62" t="s">
        <v>392</v>
      </c>
    </row>
    <row r="614" customFormat="false" ht="15" hidden="false" customHeight="false" outlineLevel="0" collapsed="false">
      <c r="A614" s="62" t="s">
        <v>388</v>
      </c>
      <c r="B614" s="63" t="n">
        <v>1014</v>
      </c>
      <c r="C614" s="64" t="n">
        <v>46307.4617120602</v>
      </c>
      <c r="D614" s="63" t="n">
        <v>11</v>
      </c>
      <c r="E614" s="62" t="s">
        <v>389</v>
      </c>
      <c r="F614" s="62" t="s">
        <v>391</v>
      </c>
      <c r="G614" s="62" t="s">
        <v>390</v>
      </c>
      <c r="H614" s="65"/>
      <c r="I614" s="62" t="s">
        <v>432</v>
      </c>
    </row>
    <row r="615" customFormat="false" ht="15" hidden="false" customHeight="false" outlineLevel="0" collapsed="false">
      <c r="A615" s="62" t="s">
        <v>388</v>
      </c>
      <c r="B615" s="63" t="n">
        <v>366</v>
      </c>
      <c r="C615" s="64" t="n">
        <v>46307.4690236227</v>
      </c>
      <c r="D615" s="63" t="n">
        <v>11</v>
      </c>
      <c r="E615" s="62" t="s">
        <v>389</v>
      </c>
      <c r="F615" s="62" t="s">
        <v>150</v>
      </c>
      <c r="G615" s="62" t="s">
        <v>389</v>
      </c>
      <c r="H615" s="65" t="n">
        <v>1</v>
      </c>
      <c r="I615" s="62" t="s">
        <v>392</v>
      </c>
    </row>
    <row r="616" customFormat="false" ht="15" hidden="false" customHeight="false" outlineLevel="0" collapsed="false">
      <c r="A616" s="62" t="s">
        <v>388</v>
      </c>
      <c r="B616" s="63" t="n">
        <v>366</v>
      </c>
      <c r="C616" s="64" t="n">
        <v>46307.4698328125</v>
      </c>
      <c r="D616" s="63" t="n">
        <v>11</v>
      </c>
      <c r="E616" s="62" t="s">
        <v>389</v>
      </c>
      <c r="F616" s="62" t="s">
        <v>150</v>
      </c>
      <c r="G616" s="62" t="s">
        <v>389</v>
      </c>
      <c r="H616" s="65" t="n">
        <v>0.2</v>
      </c>
      <c r="I616" s="62" t="s">
        <v>392</v>
      </c>
    </row>
    <row r="617" customFormat="false" ht="15" hidden="false" customHeight="false" outlineLevel="0" collapsed="false">
      <c r="A617" s="62" t="s">
        <v>388</v>
      </c>
      <c r="B617" s="63" t="n">
        <v>366</v>
      </c>
      <c r="C617" s="64" t="n">
        <v>46307.4699871065</v>
      </c>
      <c r="D617" s="63" t="n">
        <v>11</v>
      </c>
      <c r="E617" s="62" t="s">
        <v>389</v>
      </c>
      <c r="F617" s="62" t="s">
        <v>150</v>
      </c>
      <c r="G617" s="62" t="s">
        <v>389</v>
      </c>
      <c r="H617" s="65" t="n">
        <v>0.4</v>
      </c>
      <c r="I617" s="62" t="s">
        <v>392</v>
      </c>
    </row>
    <row r="618" customFormat="false" ht="15" hidden="false" customHeight="false" outlineLevel="0" collapsed="false">
      <c r="A618" s="62" t="s">
        <v>388</v>
      </c>
      <c r="B618" s="63" t="n">
        <v>366</v>
      </c>
      <c r="C618" s="64" t="n">
        <v>46307.4755396644</v>
      </c>
      <c r="D618" s="63" t="n">
        <v>11</v>
      </c>
      <c r="E618" s="62" t="s">
        <v>389</v>
      </c>
      <c r="F618" s="62" t="s">
        <v>150</v>
      </c>
      <c r="G618" s="62" t="s">
        <v>389</v>
      </c>
      <c r="H618" s="65" t="n">
        <v>0.5</v>
      </c>
      <c r="I618" s="62" t="s">
        <v>392</v>
      </c>
    </row>
    <row r="619" customFormat="false" ht="15" hidden="false" customHeight="false" outlineLevel="0" collapsed="false">
      <c r="A619" s="62" t="s">
        <v>388</v>
      </c>
      <c r="B619" s="63" t="n">
        <v>1456</v>
      </c>
      <c r="C619" s="64" t="n">
        <v>46307.4805376505</v>
      </c>
      <c r="D619" s="63" t="n">
        <v>11</v>
      </c>
      <c r="E619" s="62" t="s">
        <v>389</v>
      </c>
      <c r="F619" s="62" t="s">
        <v>430</v>
      </c>
      <c r="G619" s="62" t="s">
        <v>389</v>
      </c>
      <c r="H619" s="65" t="n">
        <v>7.9</v>
      </c>
      <c r="I619" s="62" t="s">
        <v>275</v>
      </c>
    </row>
    <row r="620" customFormat="false" ht="15" hidden="false" customHeight="false" outlineLevel="0" collapsed="false">
      <c r="A620" s="62" t="s">
        <v>388</v>
      </c>
      <c r="B620" s="63" t="n">
        <v>1456</v>
      </c>
      <c r="C620" s="64" t="n">
        <v>46307.4846165509</v>
      </c>
      <c r="D620" s="63" t="n">
        <v>11</v>
      </c>
      <c r="E620" s="62" t="s">
        <v>389</v>
      </c>
      <c r="F620" s="62" t="s">
        <v>431</v>
      </c>
      <c r="G620" s="62" t="s">
        <v>389</v>
      </c>
      <c r="H620" s="65" t="n">
        <v>2</v>
      </c>
      <c r="I620" s="62" t="s">
        <v>392</v>
      </c>
    </row>
    <row r="621" customFormat="false" ht="15" hidden="false" customHeight="false" outlineLevel="0" collapsed="false">
      <c r="A621" s="62" t="s">
        <v>388</v>
      </c>
      <c r="B621" s="63" t="n">
        <v>1456</v>
      </c>
      <c r="C621" s="64" t="n">
        <v>46307.4861345139</v>
      </c>
      <c r="D621" s="63" t="n">
        <v>11</v>
      </c>
      <c r="E621" s="62" t="s">
        <v>389</v>
      </c>
      <c r="F621" s="62" t="s">
        <v>431</v>
      </c>
      <c r="G621" s="62" t="s">
        <v>389</v>
      </c>
      <c r="H621" s="65" t="n">
        <v>0.6</v>
      </c>
      <c r="I621" s="62" t="s">
        <v>392</v>
      </c>
    </row>
    <row r="622" customFormat="false" ht="15" hidden="false" customHeight="false" outlineLevel="0" collapsed="false">
      <c r="A622" s="62" t="s">
        <v>388</v>
      </c>
      <c r="B622" s="63" t="n">
        <v>1456</v>
      </c>
      <c r="C622" s="64" t="n">
        <v>46307.4866190972</v>
      </c>
      <c r="D622" s="63" t="n">
        <v>11</v>
      </c>
      <c r="E622" s="62" t="s">
        <v>389</v>
      </c>
      <c r="F622" s="62" t="s">
        <v>431</v>
      </c>
      <c r="G622" s="62" t="s">
        <v>389</v>
      </c>
      <c r="H622" s="65" t="n">
        <v>0.1</v>
      </c>
      <c r="I622" s="62" t="s">
        <v>392</v>
      </c>
    </row>
    <row r="623" customFormat="false" ht="15" hidden="false" customHeight="false" outlineLevel="0" collapsed="false">
      <c r="A623" s="62" t="s">
        <v>388</v>
      </c>
      <c r="B623" s="63" t="n">
        <v>670</v>
      </c>
      <c r="C623" s="64" t="n">
        <v>46307.4908415046</v>
      </c>
      <c r="D623" s="63" t="n">
        <v>11</v>
      </c>
      <c r="E623" s="62" t="s">
        <v>389</v>
      </c>
      <c r="F623" s="62" t="s">
        <v>152</v>
      </c>
      <c r="G623" s="62" t="s">
        <v>389</v>
      </c>
      <c r="H623" s="65" t="n">
        <v>1.1</v>
      </c>
      <c r="I623" s="62" t="s">
        <v>392</v>
      </c>
    </row>
    <row r="624" customFormat="false" ht="15" hidden="false" customHeight="false" outlineLevel="0" collapsed="false">
      <c r="A624" s="62" t="s">
        <v>388</v>
      </c>
      <c r="B624" s="63" t="n">
        <v>1456</v>
      </c>
      <c r="C624" s="64" t="n">
        <v>46307.4967615625</v>
      </c>
      <c r="D624" s="63" t="n">
        <v>11</v>
      </c>
      <c r="E624" s="62" t="s">
        <v>389</v>
      </c>
      <c r="F624" s="62" t="s">
        <v>151</v>
      </c>
      <c r="G624" s="62" t="s">
        <v>389</v>
      </c>
      <c r="H624" s="65" t="n">
        <v>0.4</v>
      </c>
      <c r="I624" s="62" t="s">
        <v>392</v>
      </c>
    </row>
    <row r="625" customFormat="false" ht="15" hidden="false" customHeight="false" outlineLevel="0" collapsed="false">
      <c r="A625" s="62" t="s">
        <v>388</v>
      </c>
      <c r="B625" s="63" t="n">
        <v>1456</v>
      </c>
      <c r="C625" s="64" t="n">
        <v>46307.5003928819</v>
      </c>
      <c r="D625" s="63" t="n">
        <v>12</v>
      </c>
      <c r="E625" s="62" t="s">
        <v>389</v>
      </c>
      <c r="F625" s="62" t="s">
        <v>151</v>
      </c>
      <c r="G625" s="62" t="s">
        <v>389</v>
      </c>
      <c r="H625" s="65" t="n">
        <v>1.2</v>
      </c>
      <c r="I625" s="62" t="s">
        <v>392</v>
      </c>
    </row>
    <row r="626" customFormat="false" ht="15" hidden="false" customHeight="false" outlineLevel="0" collapsed="false">
      <c r="A626" s="62" t="s">
        <v>388</v>
      </c>
      <c r="B626" s="63" t="n">
        <v>1456</v>
      </c>
      <c r="C626" s="64" t="n">
        <v>46307.5059996296</v>
      </c>
      <c r="D626" s="63" t="n">
        <v>12</v>
      </c>
      <c r="E626" s="62" t="s">
        <v>389</v>
      </c>
      <c r="F626" s="62" t="s">
        <v>151</v>
      </c>
      <c r="G626" s="62" t="s">
        <v>389</v>
      </c>
      <c r="H626" s="65" t="n">
        <v>0.6</v>
      </c>
      <c r="I626" s="62" t="s">
        <v>392</v>
      </c>
    </row>
    <row r="627" customFormat="false" ht="15" hidden="false" customHeight="false" outlineLevel="0" collapsed="false">
      <c r="A627" s="62" t="s">
        <v>388</v>
      </c>
      <c r="B627" s="63" t="n">
        <v>1176</v>
      </c>
      <c r="C627" s="64" t="n">
        <v>46307.5167595833</v>
      </c>
      <c r="D627" s="63" t="n">
        <v>12</v>
      </c>
      <c r="E627" s="62" t="s">
        <v>389</v>
      </c>
      <c r="F627" s="62" t="s">
        <v>150</v>
      </c>
      <c r="G627" s="62" t="s">
        <v>389</v>
      </c>
      <c r="H627" s="65" t="n">
        <v>0.8</v>
      </c>
      <c r="I627" s="62" t="s">
        <v>392</v>
      </c>
    </row>
    <row r="628" customFormat="false" ht="15" hidden="false" customHeight="false" outlineLevel="0" collapsed="false">
      <c r="A628" s="62" t="s">
        <v>388</v>
      </c>
      <c r="B628" s="63" t="n">
        <v>1122</v>
      </c>
      <c r="C628" s="64" t="n">
        <v>46307.5289465162</v>
      </c>
      <c r="D628" s="63" t="n">
        <v>12</v>
      </c>
      <c r="E628" s="62" t="s">
        <v>389</v>
      </c>
      <c r="F628" s="62" t="s">
        <v>150</v>
      </c>
      <c r="G628" s="62" t="s">
        <v>389</v>
      </c>
      <c r="H628" s="65" t="n">
        <v>0.5</v>
      </c>
      <c r="I628" s="62" t="s">
        <v>392</v>
      </c>
    </row>
    <row r="629" customFormat="false" ht="15" hidden="false" customHeight="false" outlineLevel="0" collapsed="false">
      <c r="A629" s="62" t="s">
        <v>388</v>
      </c>
      <c r="B629" s="63" t="n">
        <v>752</v>
      </c>
      <c r="C629" s="64" t="n">
        <v>46307.5331011574</v>
      </c>
      <c r="D629" s="63" t="n">
        <v>12</v>
      </c>
      <c r="E629" s="62" t="s">
        <v>389</v>
      </c>
      <c r="F629" s="62" t="s">
        <v>150</v>
      </c>
      <c r="G629" s="62" t="s">
        <v>389</v>
      </c>
      <c r="H629" s="65" t="n">
        <v>7.8</v>
      </c>
      <c r="I629" s="62" t="s">
        <v>392</v>
      </c>
    </row>
    <row r="630" customFormat="false" ht="15" hidden="false" customHeight="false" outlineLevel="0" collapsed="false">
      <c r="A630" s="62" t="s">
        <v>388</v>
      </c>
      <c r="B630" s="63" t="n">
        <v>1423</v>
      </c>
      <c r="C630" s="64" t="n">
        <v>46307.5379010995</v>
      </c>
      <c r="D630" s="63" t="n">
        <v>12</v>
      </c>
      <c r="E630" s="62" t="s">
        <v>389</v>
      </c>
      <c r="F630" s="62" t="s">
        <v>151</v>
      </c>
      <c r="G630" s="62" t="s">
        <v>389</v>
      </c>
      <c r="H630" s="65" t="n">
        <v>0.9</v>
      </c>
      <c r="I630" s="62" t="s">
        <v>392</v>
      </c>
    </row>
    <row r="631" customFormat="false" ht="15" hidden="false" customHeight="false" outlineLevel="0" collapsed="false">
      <c r="A631" s="62" t="s">
        <v>388</v>
      </c>
      <c r="B631" s="63" t="n">
        <v>1471</v>
      </c>
      <c r="C631" s="64" t="n">
        <v>46307.5393901157</v>
      </c>
      <c r="D631" s="63" t="n">
        <v>12</v>
      </c>
      <c r="E631" s="62" t="s">
        <v>389</v>
      </c>
      <c r="F631" s="62" t="s">
        <v>430</v>
      </c>
      <c r="G631" s="62" t="s">
        <v>389</v>
      </c>
      <c r="H631" s="65" t="n">
        <v>3.8</v>
      </c>
      <c r="I631" s="62" t="s">
        <v>275</v>
      </c>
    </row>
    <row r="632" customFormat="false" ht="15" hidden="false" customHeight="false" outlineLevel="0" collapsed="false">
      <c r="A632" s="62" t="s">
        <v>388</v>
      </c>
      <c r="B632" s="63" t="n">
        <v>1471</v>
      </c>
      <c r="C632" s="64" t="n">
        <v>46307.5418770139</v>
      </c>
      <c r="D632" s="63" t="n">
        <v>13</v>
      </c>
      <c r="E632" s="62" t="s">
        <v>389</v>
      </c>
      <c r="F632" s="62" t="s">
        <v>431</v>
      </c>
      <c r="G632" s="62" t="s">
        <v>389</v>
      </c>
      <c r="H632" s="65" t="n">
        <v>0.2</v>
      </c>
      <c r="I632" s="62" t="s">
        <v>392</v>
      </c>
    </row>
    <row r="633" customFormat="false" ht="15" hidden="false" customHeight="false" outlineLevel="0" collapsed="false">
      <c r="A633" s="62" t="s">
        <v>388</v>
      </c>
      <c r="B633" s="63" t="n">
        <v>1471</v>
      </c>
      <c r="C633" s="64" t="n">
        <v>46307.5430253472</v>
      </c>
      <c r="D633" s="63" t="n">
        <v>13</v>
      </c>
      <c r="E633" s="62" t="s">
        <v>389</v>
      </c>
      <c r="F633" s="62" t="s">
        <v>431</v>
      </c>
      <c r="G633" s="62" t="s">
        <v>389</v>
      </c>
      <c r="H633" s="65" t="n">
        <v>1.6</v>
      </c>
      <c r="I633" s="62" t="s">
        <v>392</v>
      </c>
    </row>
    <row r="634" customFormat="false" ht="15" hidden="false" customHeight="false" outlineLevel="0" collapsed="false">
      <c r="A634" s="62" t="s">
        <v>388</v>
      </c>
      <c r="B634" s="63" t="n">
        <v>752</v>
      </c>
      <c r="C634" s="64" t="n">
        <v>46307.5437787153</v>
      </c>
      <c r="D634" s="63" t="n">
        <v>13</v>
      </c>
      <c r="E634" s="62" t="s">
        <v>389</v>
      </c>
      <c r="F634" s="62" t="s">
        <v>150</v>
      </c>
      <c r="G634" s="62" t="s">
        <v>389</v>
      </c>
      <c r="H634" s="65" t="n">
        <v>13.8</v>
      </c>
      <c r="I634" s="62" t="s">
        <v>392</v>
      </c>
    </row>
    <row r="635" customFormat="false" ht="15" hidden="false" customHeight="false" outlineLevel="0" collapsed="false">
      <c r="A635" s="62" t="s">
        <v>388</v>
      </c>
      <c r="B635" s="63" t="n">
        <v>1368</v>
      </c>
      <c r="C635" s="64" t="n">
        <v>46307.5439866782</v>
      </c>
      <c r="D635" s="63" t="n">
        <v>13</v>
      </c>
      <c r="E635" s="62" t="s">
        <v>389</v>
      </c>
      <c r="F635" s="62" t="s">
        <v>150</v>
      </c>
      <c r="G635" s="62" t="s">
        <v>389</v>
      </c>
      <c r="H635" s="65" t="n">
        <v>3.4</v>
      </c>
      <c r="I635" s="62" t="s">
        <v>392</v>
      </c>
    </row>
    <row r="636" customFormat="false" ht="15" hidden="false" customHeight="false" outlineLevel="0" collapsed="false">
      <c r="A636" s="62" t="s">
        <v>388</v>
      </c>
      <c r="B636" s="63" t="n">
        <v>1471</v>
      </c>
      <c r="C636" s="64" t="n">
        <v>46307.5450306597</v>
      </c>
      <c r="D636" s="63" t="n">
        <v>13</v>
      </c>
      <c r="E636" s="62" t="s">
        <v>389</v>
      </c>
      <c r="F636" s="62" t="s">
        <v>151</v>
      </c>
      <c r="G636" s="62" t="s">
        <v>389</v>
      </c>
      <c r="H636" s="65" t="n">
        <v>4.5</v>
      </c>
      <c r="I636" s="62" t="s">
        <v>392</v>
      </c>
    </row>
    <row r="637" customFormat="false" ht="15" hidden="false" customHeight="false" outlineLevel="0" collapsed="false">
      <c r="A637" s="62" t="s">
        <v>388</v>
      </c>
      <c r="B637" s="63" t="n">
        <v>1405</v>
      </c>
      <c r="C637" s="64" t="n">
        <v>46307.5488045833</v>
      </c>
      <c r="D637" s="63" t="n">
        <v>13</v>
      </c>
      <c r="E637" s="62" t="s">
        <v>389</v>
      </c>
      <c r="F637" s="62" t="s">
        <v>150</v>
      </c>
      <c r="G637" s="62" t="s">
        <v>389</v>
      </c>
      <c r="H637" s="65" t="n">
        <v>0.6</v>
      </c>
      <c r="I637" s="62" t="s">
        <v>392</v>
      </c>
    </row>
    <row r="638" customFormat="false" ht="15" hidden="false" customHeight="false" outlineLevel="0" collapsed="false">
      <c r="A638" s="62" t="s">
        <v>388</v>
      </c>
      <c r="B638" s="63" t="n">
        <v>1471</v>
      </c>
      <c r="C638" s="64" t="n">
        <v>46307.5497354977</v>
      </c>
      <c r="D638" s="63" t="n">
        <v>13</v>
      </c>
      <c r="E638" s="62" t="s">
        <v>389</v>
      </c>
      <c r="F638" s="62" t="s">
        <v>151</v>
      </c>
      <c r="G638" s="62" t="s">
        <v>389</v>
      </c>
      <c r="H638" s="65" t="n">
        <v>1.2</v>
      </c>
      <c r="I638" s="62" t="s">
        <v>392</v>
      </c>
    </row>
    <row r="639" customFormat="false" ht="15" hidden="false" customHeight="false" outlineLevel="0" collapsed="false">
      <c r="A639" s="62" t="s">
        <v>388</v>
      </c>
      <c r="B639" s="63" t="n">
        <v>1405</v>
      </c>
      <c r="C639" s="64" t="n">
        <v>46307.550474919</v>
      </c>
      <c r="D639" s="63" t="n">
        <v>13</v>
      </c>
      <c r="E639" s="62" t="s">
        <v>389</v>
      </c>
      <c r="F639" s="62" t="s">
        <v>150</v>
      </c>
      <c r="G639" s="62" t="s">
        <v>389</v>
      </c>
      <c r="H639" s="65" t="n">
        <v>5.1</v>
      </c>
      <c r="I639" s="62" t="s">
        <v>392</v>
      </c>
    </row>
    <row r="640" customFormat="false" ht="15" hidden="false" customHeight="false" outlineLevel="0" collapsed="false">
      <c r="A640" s="62" t="s">
        <v>388</v>
      </c>
      <c r="B640" s="63" t="n">
        <v>1471</v>
      </c>
      <c r="C640" s="64" t="n">
        <v>46307.5528178588</v>
      </c>
      <c r="D640" s="63" t="n">
        <v>13</v>
      </c>
      <c r="E640" s="62" t="s">
        <v>389</v>
      </c>
      <c r="F640" s="62" t="s">
        <v>151</v>
      </c>
      <c r="G640" s="62" t="s">
        <v>389</v>
      </c>
      <c r="H640" s="65" t="n">
        <v>6.6</v>
      </c>
      <c r="I640" s="62" t="s">
        <v>392</v>
      </c>
    </row>
    <row r="641" customFormat="false" ht="15" hidden="false" customHeight="false" outlineLevel="0" collapsed="false">
      <c r="A641" s="62" t="s">
        <v>388</v>
      </c>
      <c r="B641" s="63" t="n">
        <v>1473</v>
      </c>
      <c r="C641" s="64" t="n">
        <v>46307.5533458333</v>
      </c>
      <c r="D641" s="63" t="n">
        <v>13</v>
      </c>
      <c r="E641" s="62" t="s">
        <v>389</v>
      </c>
      <c r="F641" s="62" t="s">
        <v>430</v>
      </c>
      <c r="G641" s="62" t="s">
        <v>389</v>
      </c>
      <c r="H641" s="65" t="n">
        <v>2631.8</v>
      </c>
      <c r="I641" s="62" t="s">
        <v>275</v>
      </c>
    </row>
    <row r="642" customFormat="false" ht="15" hidden="false" customHeight="false" outlineLevel="0" collapsed="false">
      <c r="A642" s="62" t="s">
        <v>388</v>
      </c>
      <c r="B642" s="63" t="n">
        <v>752</v>
      </c>
      <c r="C642" s="64" t="n">
        <v>46307.5805397454</v>
      </c>
      <c r="D642" s="63" t="n">
        <v>13</v>
      </c>
      <c r="E642" s="62" t="s">
        <v>389</v>
      </c>
      <c r="F642" s="62" t="s">
        <v>150</v>
      </c>
      <c r="G642" s="62" t="s">
        <v>389</v>
      </c>
      <c r="H642" s="65" t="n">
        <v>13.2</v>
      </c>
      <c r="I642" s="62" t="s">
        <v>392</v>
      </c>
    </row>
    <row r="643" customFormat="false" ht="15" hidden="false" customHeight="false" outlineLevel="0" collapsed="false">
      <c r="A643" s="62" t="s">
        <v>388</v>
      </c>
      <c r="B643" s="63" t="n">
        <v>1484</v>
      </c>
      <c r="C643" s="64" t="n">
        <v>46307.5820006713</v>
      </c>
      <c r="D643" s="63" t="n">
        <v>13</v>
      </c>
      <c r="E643" s="62" t="s">
        <v>389</v>
      </c>
      <c r="F643" s="62" t="s">
        <v>430</v>
      </c>
      <c r="G643" s="62" t="s">
        <v>389</v>
      </c>
      <c r="H643" s="65" t="n">
        <v>18.8</v>
      </c>
      <c r="I643" s="62" t="s">
        <v>275</v>
      </c>
    </row>
    <row r="644" customFormat="false" ht="15" hidden="false" customHeight="false" outlineLevel="0" collapsed="false">
      <c r="A644" s="62" t="s">
        <v>388</v>
      </c>
      <c r="B644" s="63" t="n">
        <v>1484</v>
      </c>
      <c r="C644" s="64" t="n">
        <v>46307.5842964005</v>
      </c>
      <c r="D644" s="63" t="n">
        <v>14</v>
      </c>
      <c r="E644" s="62" t="s">
        <v>389</v>
      </c>
      <c r="F644" s="62" t="s">
        <v>431</v>
      </c>
      <c r="G644" s="62" t="s">
        <v>389</v>
      </c>
      <c r="H644" s="65" t="n">
        <v>15.5</v>
      </c>
      <c r="I644" s="62" t="s">
        <v>392</v>
      </c>
    </row>
    <row r="645" customFormat="false" ht="15" hidden="false" customHeight="false" outlineLevel="0" collapsed="false">
      <c r="A645" s="62" t="s">
        <v>388</v>
      </c>
      <c r="B645" s="63" t="n">
        <v>1485</v>
      </c>
      <c r="C645" s="64" t="n">
        <v>46307.5864743866</v>
      </c>
      <c r="D645" s="63" t="n">
        <v>14</v>
      </c>
      <c r="E645" s="62" t="s">
        <v>389</v>
      </c>
      <c r="F645" s="62" t="s">
        <v>430</v>
      </c>
      <c r="G645" s="62" t="s">
        <v>389</v>
      </c>
      <c r="H645" s="65" t="n">
        <v>10.1</v>
      </c>
      <c r="I645" s="62" t="s">
        <v>275</v>
      </c>
    </row>
    <row r="646" customFormat="false" ht="15" hidden="false" customHeight="false" outlineLevel="0" collapsed="false">
      <c r="A646" s="62" t="s">
        <v>388</v>
      </c>
      <c r="B646" s="63" t="n">
        <v>1485</v>
      </c>
      <c r="C646" s="64" t="n">
        <v>46307.5928309375</v>
      </c>
      <c r="D646" s="63" t="n">
        <v>14</v>
      </c>
      <c r="E646" s="62" t="s">
        <v>389</v>
      </c>
      <c r="F646" s="62" t="s">
        <v>431</v>
      </c>
      <c r="G646" s="62" t="s">
        <v>389</v>
      </c>
      <c r="H646" s="65" t="n">
        <v>1</v>
      </c>
      <c r="I646" s="62" t="s">
        <v>392</v>
      </c>
    </row>
    <row r="647" customFormat="false" ht="15" hidden="false" customHeight="false" outlineLevel="0" collapsed="false">
      <c r="A647" s="62" t="s">
        <v>388</v>
      </c>
      <c r="B647" s="63" t="n">
        <v>752</v>
      </c>
      <c r="C647" s="64" t="n">
        <v>46307.595717037</v>
      </c>
      <c r="D647" s="63" t="n">
        <v>14</v>
      </c>
      <c r="E647" s="62" t="s">
        <v>389</v>
      </c>
      <c r="F647" s="62" t="s">
        <v>150</v>
      </c>
      <c r="G647" s="62" t="s">
        <v>389</v>
      </c>
      <c r="H647" s="65" t="n">
        <v>0.6</v>
      </c>
      <c r="I647" s="62" t="s">
        <v>392</v>
      </c>
    </row>
    <row r="648" customFormat="false" ht="15" hidden="false" customHeight="false" outlineLevel="0" collapsed="false">
      <c r="A648" s="62" t="s">
        <v>388</v>
      </c>
      <c r="B648" s="63" t="n">
        <v>1484</v>
      </c>
      <c r="C648" s="64" t="n">
        <v>46307.5977463542</v>
      </c>
      <c r="D648" s="63" t="n">
        <v>14</v>
      </c>
      <c r="E648" s="62" t="s">
        <v>389</v>
      </c>
      <c r="F648" s="62" t="s">
        <v>431</v>
      </c>
      <c r="G648" s="62" t="s">
        <v>389</v>
      </c>
      <c r="H648" s="65" t="n">
        <v>151.3</v>
      </c>
      <c r="I648" s="62" t="s">
        <v>275</v>
      </c>
    </row>
    <row r="649" customFormat="false" ht="15" hidden="false" customHeight="false" outlineLevel="0" collapsed="false">
      <c r="A649" s="62" t="s">
        <v>388</v>
      </c>
      <c r="B649" s="63" t="n">
        <v>1485</v>
      </c>
      <c r="C649" s="64" t="n">
        <v>46307.5991702894</v>
      </c>
      <c r="D649" s="63" t="n">
        <v>14</v>
      </c>
      <c r="E649" s="62" t="s">
        <v>389</v>
      </c>
      <c r="F649" s="62" t="s">
        <v>151</v>
      </c>
      <c r="G649" s="62" t="s">
        <v>389</v>
      </c>
      <c r="H649" s="65" t="n">
        <v>0.3</v>
      </c>
      <c r="I649" s="62" t="s">
        <v>392</v>
      </c>
    </row>
    <row r="650" customFormat="false" ht="15" hidden="false" customHeight="false" outlineLevel="0" collapsed="false">
      <c r="A650" s="62" t="s">
        <v>388</v>
      </c>
      <c r="B650" s="63" t="n">
        <v>1491</v>
      </c>
      <c r="C650" s="64" t="n">
        <v>46307.6015034954</v>
      </c>
      <c r="D650" s="63" t="n">
        <v>14</v>
      </c>
      <c r="E650" s="62" t="s">
        <v>389</v>
      </c>
      <c r="F650" s="62" t="s">
        <v>430</v>
      </c>
      <c r="G650" s="62" t="s">
        <v>389</v>
      </c>
      <c r="H650" s="65" t="n">
        <v>2577.6</v>
      </c>
      <c r="I650" s="62" t="s">
        <v>275</v>
      </c>
    </row>
    <row r="651" customFormat="false" ht="15" hidden="false" customHeight="false" outlineLevel="0" collapsed="false">
      <c r="A651" s="62" t="s">
        <v>388</v>
      </c>
      <c r="B651" s="63" t="n">
        <v>1492</v>
      </c>
      <c r="C651" s="64" t="n">
        <v>46307.6033587732</v>
      </c>
      <c r="D651" s="63" t="n">
        <v>14</v>
      </c>
      <c r="E651" s="62" t="s">
        <v>389</v>
      </c>
      <c r="F651" s="62" t="s">
        <v>430</v>
      </c>
      <c r="G651" s="62" t="s">
        <v>389</v>
      </c>
      <c r="H651" s="65" t="n">
        <v>3962.6</v>
      </c>
      <c r="I651" s="62" t="s">
        <v>275</v>
      </c>
    </row>
    <row r="652" customFormat="false" ht="15" hidden="false" customHeight="false" outlineLevel="0" collapsed="false">
      <c r="A652" s="62" t="s">
        <v>388</v>
      </c>
      <c r="B652" s="63" t="n">
        <v>1194</v>
      </c>
      <c r="C652" s="64" t="n">
        <v>46307.6049818866</v>
      </c>
      <c r="D652" s="63" t="n">
        <v>14</v>
      </c>
      <c r="E652" s="62" t="s">
        <v>389</v>
      </c>
      <c r="F652" s="62" t="s">
        <v>150</v>
      </c>
      <c r="G652" s="62" t="s">
        <v>389</v>
      </c>
      <c r="H652" s="65" t="n">
        <v>1.1</v>
      </c>
      <c r="I652" s="62" t="s">
        <v>392</v>
      </c>
    </row>
    <row r="653" customFormat="false" ht="15" hidden="false" customHeight="false" outlineLevel="0" collapsed="false">
      <c r="A653" s="62" t="s">
        <v>388</v>
      </c>
      <c r="B653" s="63" t="n">
        <v>1194</v>
      </c>
      <c r="C653" s="64" t="n">
        <v>46307.6092458333</v>
      </c>
      <c r="D653" s="63" t="n">
        <v>14</v>
      </c>
      <c r="E653" s="62" t="s">
        <v>389</v>
      </c>
      <c r="F653" s="62" t="s">
        <v>150</v>
      </c>
      <c r="G653" s="62" t="s">
        <v>389</v>
      </c>
      <c r="H653" s="65" t="n">
        <v>0.5</v>
      </c>
      <c r="I653" s="62" t="s">
        <v>392</v>
      </c>
    </row>
    <row r="654" customFormat="false" ht="15" hidden="false" customHeight="false" outlineLevel="0" collapsed="false">
      <c r="A654" s="62" t="s">
        <v>388</v>
      </c>
      <c r="B654" s="63" t="n">
        <v>1492</v>
      </c>
      <c r="C654" s="64" t="n">
        <v>46307.6104269445</v>
      </c>
      <c r="D654" s="63" t="n">
        <v>14</v>
      </c>
      <c r="E654" s="62" t="s">
        <v>389</v>
      </c>
      <c r="F654" s="62" t="s">
        <v>431</v>
      </c>
      <c r="G654" s="62" t="s">
        <v>389</v>
      </c>
      <c r="H654" s="65" t="n">
        <v>3952.4</v>
      </c>
      <c r="I654" s="62" t="s">
        <v>275</v>
      </c>
    </row>
    <row r="655" customFormat="false" ht="15" hidden="false" customHeight="false" outlineLevel="0" collapsed="false">
      <c r="A655" s="62" t="s">
        <v>388</v>
      </c>
      <c r="B655" s="63" t="n">
        <v>1493</v>
      </c>
      <c r="C655" s="64" t="n">
        <v>46307.6122788542</v>
      </c>
      <c r="D655" s="63" t="n">
        <v>14</v>
      </c>
      <c r="E655" s="62" t="s">
        <v>389</v>
      </c>
      <c r="F655" s="62" t="s">
        <v>430</v>
      </c>
      <c r="G655" s="62" t="s">
        <v>389</v>
      </c>
      <c r="H655" s="65" t="n">
        <v>3.9</v>
      </c>
      <c r="I655" s="62" t="s">
        <v>275</v>
      </c>
    </row>
    <row r="656" customFormat="false" ht="15" hidden="false" customHeight="false" outlineLevel="0" collapsed="false">
      <c r="A656" s="62" t="s">
        <v>388</v>
      </c>
      <c r="B656" s="63" t="n">
        <v>1493</v>
      </c>
      <c r="C656" s="64" t="n">
        <v>46307.614662581</v>
      </c>
      <c r="D656" s="63" t="n">
        <v>14</v>
      </c>
      <c r="E656" s="62" t="s">
        <v>389</v>
      </c>
      <c r="F656" s="62" t="s">
        <v>431</v>
      </c>
      <c r="G656" s="62" t="s">
        <v>389</v>
      </c>
      <c r="H656" s="65" t="n">
        <v>0.4</v>
      </c>
      <c r="I656" s="62" t="s">
        <v>392</v>
      </c>
    </row>
    <row r="657" customFormat="false" ht="15" hidden="false" customHeight="false" outlineLevel="0" collapsed="false">
      <c r="A657" s="62" t="s">
        <v>388</v>
      </c>
      <c r="B657" s="63" t="n">
        <v>1498</v>
      </c>
      <c r="C657" s="64" t="n">
        <v>46307.6248611458</v>
      </c>
      <c r="D657" s="63" t="n">
        <v>14</v>
      </c>
      <c r="E657" s="62" t="s">
        <v>389</v>
      </c>
      <c r="F657" s="62" t="s">
        <v>430</v>
      </c>
      <c r="G657" s="62" t="s">
        <v>389</v>
      </c>
      <c r="H657" s="65" t="n">
        <v>3.6</v>
      </c>
      <c r="I657" s="62" t="s">
        <v>275</v>
      </c>
    </row>
    <row r="658" customFormat="false" ht="15" hidden="false" customHeight="false" outlineLevel="0" collapsed="false">
      <c r="A658" s="62" t="s">
        <v>388</v>
      </c>
      <c r="B658" s="63" t="n">
        <v>1498</v>
      </c>
      <c r="C658" s="64" t="n">
        <v>46307.627163125</v>
      </c>
      <c r="D658" s="63" t="n">
        <v>15</v>
      </c>
      <c r="E658" s="62" t="s">
        <v>389</v>
      </c>
      <c r="F658" s="62" t="s">
        <v>431</v>
      </c>
      <c r="G658" s="62" t="s">
        <v>389</v>
      </c>
      <c r="H658" s="65" t="n">
        <v>0.3</v>
      </c>
      <c r="I658" s="62" t="s">
        <v>392</v>
      </c>
    </row>
    <row r="659" customFormat="false" ht="15" hidden="false" customHeight="false" outlineLevel="0" collapsed="false">
      <c r="A659" s="62" t="s">
        <v>388</v>
      </c>
      <c r="B659" s="63" t="n">
        <v>1501</v>
      </c>
      <c r="C659" s="64" t="n">
        <v>46307.630134213</v>
      </c>
      <c r="D659" s="63" t="n">
        <v>15</v>
      </c>
      <c r="E659" s="62" t="s">
        <v>389</v>
      </c>
      <c r="F659" s="62" t="s">
        <v>430</v>
      </c>
      <c r="G659" s="62" t="s">
        <v>389</v>
      </c>
      <c r="H659" s="65" t="n">
        <v>6.2</v>
      </c>
      <c r="I659" s="62" t="s">
        <v>275</v>
      </c>
    </row>
    <row r="660" customFormat="false" ht="15" hidden="false" customHeight="false" outlineLevel="0" collapsed="false">
      <c r="A660" s="62" t="s">
        <v>388</v>
      </c>
      <c r="B660" s="63" t="n">
        <v>1498</v>
      </c>
      <c r="C660" s="64" t="n">
        <v>46307.6312229282</v>
      </c>
      <c r="D660" s="63" t="n">
        <v>15</v>
      </c>
      <c r="E660" s="62" t="s">
        <v>389</v>
      </c>
      <c r="F660" s="62" t="s">
        <v>151</v>
      </c>
      <c r="G660" s="62" t="s">
        <v>389</v>
      </c>
      <c r="H660" s="65" t="n">
        <v>4.2</v>
      </c>
      <c r="I660" s="62" t="s">
        <v>275</v>
      </c>
    </row>
    <row r="661" customFormat="false" ht="15" hidden="false" customHeight="false" outlineLevel="0" collapsed="false">
      <c r="A661" s="62" t="s">
        <v>388</v>
      </c>
      <c r="B661" s="63" t="n">
        <v>1498</v>
      </c>
      <c r="C661" s="64" t="n">
        <v>46307.6332895486</v>
      </c>
      <c r="D661" s="63" t="n">
        <v>15</v>
      </c>
      <c r="E661" s="62" t="s">
        <v>389</v>
      </c>
      <c r="F661" s="62" t="s">
        <v>151</v>
      </c>
      <c r="G661" s="62" t="s">
        <v>389</v>
      </c>
      <c r="H661" s="65" t="n">
        <v>1.2</v>
      </c>
      <c r="I661" s="62" t="s">
        <v>392</v>
      </c>
    </row>
    <row r="662" customFormat="false" ht="15" hidden="false" customHeight="false" outlineLevel="0" collapsed="false">
      <c r="A662" s="62" t="s">
        <v>388</v>
      </c>
      <c r="B662" s="63" t="n">
        <v>1501</v>
      </c>
      <c r="C662" s="64" t="n">
        <v>46307.6341560069</v>
      </c>
      <c r="D662" s="63" t="n">
        <v>15</v>
      </c>
      <c r="E662" s="62" t="s">
        <v>389</v>
      </c>
      <c r="F662" s="62" t="s">
        <v>431</v>
      </c>
      <c r="G662" s="62" t="s">
        <v>389</v>
      </c>
      <c r="H662" s="65" t="n">
        <v>0.4</v>
      </c>
      <c r="I662" s="62" t="s">
        <v>392</v>
      </c>
    </row>
    <row r="663" customFormat="false" ht="15" hidden="false" customHeight="false" outlineLevel="0" collapsed="false">
      <c r="A663" s="62" t="s">
        <v>388</v>
      </c>
      <c r="B663" s="63" t="n">
        <v>1501</v>
      </c>
      <c r="C663" s="64" t="n">
        <v>46307.6344258218</v>
      </c>
      <c r="D663" s="63" t="n">
        <v>15</v>
      </c>
      <c r="E663" s="62" t="s">
        <v>389</v>
      </c>
      <c r="F663" s="62" t="s">
        <v>431</v>
      </c>
      <c r="G663" s="62" t="s">
        <v>389</v>
      </c>
      <c r="H663" s="65" t="n">
        <v>3.8</v>
      </c>
      <c r="I663" s="62" t="s">
        <v>392</v>
      </c>
    </row>
    <row r="664" customFormat="false" ht="15" hidden="false" customHeight="false" outlineLevel="0" collapsed="false">
      <c r="A664" s="62" t="s">
        <v>388</v>
      </c>
      <c r="B664" s="63" t="n">
        <v>1501</v>
      </c>
      <c r="C664" s="64" t="n">
        <v>46307.6406389699</v>
      </c>
      <c r="D664" s="63" t="n">
        <v>15</v>
      </c>
      <c r="E664" s="62" t="s">
        <v>389</v>
      </c>
      <c r="F664" s="62" t="s">
        <v>151</v>
      </c>
      <c r="G664" s="62" t="s">
        <v>389</v>
      </c>
      <c r="H664" s="65" t="n">
        <v>3.5</v>
      </c>
      <c r="I664" s="62" t="s">
        <v>392</v>
      </c>
    </row>
    <row r="665" customFormat="false" ht="15" hidden="false" customHeight="false" outlineLevel="0" collapsed="false">
      <c r="A665" s="62" t="s">
        <v>388</v>
      </c>
      <c r="B665" s="63" t="n">
        <v>1501</v>
      </c>
      <c r="C665" s="64" t="n">
        <v>46307.6449498495</v>
      </c>
      <c r="D665" s="63" t="n">
        <v>15</v>
      </c>
      <c r="E665" s="62" t="s">
        <v>389</v>
      </c>
      <c r="F665" s="62" t="s">
        <v>151</v>
      </c>
      <c r="G665" s="62" t="s">
        <v>389</v>
      </c>
      <c r="H665" s="65" t="n">
        <v>1.7</v>
      </c>
      <c r="I665" s="62" t="s">
        <v>392</v>
      </c>
    </row>
    <row r="666" customFormat="false" ht="15" hidden="false" customHeight="false" outlineLevel="0" collapsed="false">
      <c r="A666" s="62" t="s">
        <v>388</v>
      </c>
      <c r="B666" s="63" t="n">
        <v>1508</v>
      </c>
      <c r="C666" s="64" t="n">
        <v>46307.6516497917</v>
      </c>
      <c r="D666" s="63" t="n">
        <v>15</v>
      </c>
      <c r="E666" s="62" t="s">
        <v>389</v>
      </c>
      <c r="F666" s="62" t="s">
        <v>430</v>
      </c>
      <c r="G666" s="62" t="s">
        <v>389</v>
      </c>
      <c r="H666" s="65" t="n">
        <v>1280</v>
      </c>
      <c r="I666" s="62" t="s">
        <v>275</v>
      </c>
    </row>
    <row r="667" customFormat="false" ht="15" hidden="false" customHeight="false" outlineLevel="0" collapsed="false">
      <c r="A667" s="62" t="s">
        <v>388</v>
      </c>
      <c r="B667" s="63" t="n">
        <v>1509</v>
      </c>
      <c r="C667" s="64" t="n">
        <v>46307.6754328819</v>
      </c>
      <c r="D667" s="63" t="n">
        <v>16</v>
      </c>
      <c r="E667" s="62" t="s">
        <v>389</v>
      </c>
      <c r="F667" s="62" t="s">
        <v>431</v>
      </c>
      <c r="G667" s="62" t="s">
        <v>389</v>
      </c>
      <c r="H667" s="65" t="n">
        <v>0.5</v>
      </c>
      <c r="I667" s="62" t="s">
        <v>392</v>
      </c>
    </row>
    <row r="668" customFormat="false" ht="15" hidden="false" customHeight="false" outlineLevel="0" collapsed="false">
      <c r="A668" s="62" t="s">
        <v>388</v>
      </c>
      <c r="B668" s="63" t="n">
        <v>1518</v>
      </c>
      <c r="C668" s="64" t="n">
        <v>46307.6787598843</v>
      </c>
      <c r="D668" s="63" t="n">
        <v>16</v>
      </c>
      <c r="E668" s="62" t="s">
        <v>389</v>
      </c>
      <c r="F668" s="62" t="s">
        <v>430</v>
      </c>
      <c r="G668" s="62" t="s">
        <v>389</v>
      </c>
      <c r="H668" s="65" t="n">
        <v>2788</v>
      </c>
      <c r="I668" s="62" t="s">
        <v>275</v>
      </c>
    </row>
    <row r="669" customFormat="false" ht="15" hidden="false" customHeight="false" outlineLevel="0" collapsed="false">
      <c r="A669" s="62" t="s">
        <v>388</v>
      </c>
      <c r="B669" s="63" t="n">
        <v>1519</v>
      </c>
      <c r="C669" s="64" t="n">
        <v>46307.6796949884</v>
      </c>
      <c r="D669" s="63" t="n">
        <v>16</v>
      </c>
      <c r="E669" s="62" t="s">
        <v>389</v>
      </c>
      <c r="F669" s="62" t="s">
        <v>430</v>
      </c>
      <c r="G669" s="62" t="s">
        <v>389</v>
      </c>
      <c r="H669" s="65" t="n">
        <v>2806.8</v>
      </c>
      <c r="I669" s="62" t="s">
        <v>275</v>
      </c>
    </row>
    <row r="670" customFormat="false" ht="15" hidden="false" customHeight="false" outlineLevel="0" collapsed="false">
      <c r="A670" s="62" t="s">
        <v>388</v>
      </c>
      <c r="B670" s="63" t="n">
        <v>1484</v>
      </c>
      <c r="C670" s="64" t="n">
        <v>46307.7019660532</v>
      </c>
      <c r="D670" s="63" t="n">
        <v>16</v>
      </c>
      <c r="E670" s="62" t="s">
        <v>389</v>
      </c>
      <c r="F670" s="62" t="s">
        <v>150</v>
      </c>
      <c r="G670" s="62" t="s">
        <v>389</v>
      </c>
      <c r="H670" s="65" t="n">
        <v>1.2</v>
      </c>
      <c r="I670" s="62" t="s">
        <v>392</v>
      </c>
    </row>
    <row r="671" customFormat="false" ht="15" hidden="false" customHeight="false" outlineLevel="0" collapsed="false">
      <c r="A671" s="62" t="s">
        <v>388</v>
      </c>
      <c r="B671" s="63" t="n">
        <v>1484</v>
      </c>
      <c r="C671" s="64" t="n">
        <v>46307.7032289699</v>
      </c>
      <c r="D671" s="63" t="n">
        <v>16</v>
      </c>
      <c r="E671" s="62" t="s">
        <v>389</v>
      </c>
      <c r="F671" s="62" t="s">
        <v>150</v>
      </c>
      <c r="G671" s="62" t="s">
        <v>389</v>
      </c>
      <c r="H671" s="65" t="n">
        <v>14.1</v>
      </c>
      <c r="I671" s="62" t="s">
        <v>392</v>
      </c>
    </row>
    <row r="672" customFormat="false" ht="15" hidden="false" customHeight="false" outlineLevel="0" collapsed="false">
      <c r="A672" s="62" t="s">
        <v>388</v>
      </c>
      <c r="B672" s="63" t="n">
        <v>1181</v>
      </c>
      <c r="C672" s="64" t="n">
        <v>46307.7154790625</v>
      </c>
      <c r="D672" s="63" t="n">
        <v>17</v>
      </c>
      <c r="E672" s="62" t="s">
        <v>389</v>
      </c>
      <c r="F672" s="62" t="s">
        <v>431</v>
      </c>
      <c r="G672" s="62" t="s">
        <v>389</v>
      </c>
      <c r="H672" s="65" t="n">
        <v>0.6</v>
      </c>
      <c r="I672" s="62" t="s">
        <v>392</v>
      </c>
    </row>
    <row r="673" customFormat="false" ht="15" hidden="false" customHeight="false" outlineLevel="0" collapsed="false">
      <c r="A673" s="62" t="s">
        <v>388</v>
      </c>
      <c r="B673" s="63" t="n">
        <v>1181</v>
      </c>
      <c r="C673" s="64" t="n">
        <v>46307.7160624769</v>
      </c>
      <c r="D673" s="63" t="n">
        <v>17</v>
      </c>
      <c r="E673" s="62" t="s">
        <v>389</v>
      </c>
      <c r="F673" s="62" t="s">
        <v>431</v>
      </c>
      <c r="G673" s="62" t="s">
        <v>389</v>
      </c>
      <c r="H673" s="65" t="n">
        <v>3.8</v>
      </c>
      <c r="I673" s="62" t="s">
        <v>392</v>
      </c>
    </row>
    <row r="674" customFormat="false" ht="15" hidden="false" customHeight="false" outlineLevel="0" collapsed="false">
      <c r="A674" s="62" t="s">
        <v>388</v>
      </c>
      <c r="B674" s="63" t="n">
        <v>1525</v>
      </c>
      <c r="C674" s="64" t="n">
        <v>46307.7235034954</v>
      </c>
      <c r="D674" s="63" t="n">
        <v>17</v>
      </c>
      <c r="E674" s="62" t="s">
        <v>389</v>
      </c>
      <c r="F674" s="62" t="s">
        <v>430</v>
      </c>
      <c r="G674" s="62" t="s">
        <v>389</v>
      </c>
      <c r="H674" s="65" t="n">
        <v>1475.7</v>
      </c>
      <c r="I674" s="62" t="s">
        <v>275</v>
      </c>
    </row>
    <row r="675" customFormat="false" ht="15" hidden="false" customHeight="false" outlineLevel="0" collapsed="false">
      <c r="A675" s="62" t="s">
        <v>388</v>
      </c>
      <c r="B675" s="63" t="n">
        <v>1529</v>
      </c>
      <c r="C675" s="64" t="n">
        <v>46307.7437114005</v>
      </c>
      <c r="D675" s="63" t="n">
        <v>17</v>
      </c>
      <c r="E675" s="62" t="s">
        <v>389</v>
      </c>
      <c r="F675" s="62" t="s">
        <v>430</v>
      </c>
      <c r="G675" s="62" t="s">
        <v>389</v>
      </c>
      <c r="H675" s="65" t="n">
        <v>13.8</v>
      </c>
      <c r="I675" s="62" t="s">
        <v>275</v>
      </c>
    </row>
    <row r="676" customFormat="false" ht="15" hidden="false" customHeight="false" outlineLevel="0" collapsed="false">
      <c r="A676" s="62" t="s">
        <v>388</v>
      </c>
      <c r="B676" s="63" t="n">
        <v>1529</v>
      </c>
      <c r="C676" s="64" t="n">
        <v>46307.7478627083</v>
      </c>
      <c r="D676" s="63" t="n">
        <v>17</v>
      </c>
      <c r="E676" s="62" t="s">
        <v>389</v>
      </c>
      <c r="F676" s="62" t="s">
        <v>431</v>
      </c>
      <c r="G676" s="62" t="s">
        <v>389</v>
      </c>
      <c r="H676" s="65" t="n">
        <v>7.8</v>
      </c>
      <c r="I676" s="62" t="s">
        <v>392</v>
      </c>
    </row>
    <row r="677" customFormat="false" ht="15" hidden="false" customHeight="false" outlineLevel="0" collapsed="false">
      <c r="A677" s="62" t="s">
        <v>388</v>
      </c>
      <c r="B677" s="63" t="n">
        <v>1533</v>
      </c>
      <c r="C677" s="64" t="n">
        <v>46307.7559068287</v>
      </c>
      <c r="D677" s="63" t="n">
        <v>18</v>
      </c>
      <c r="E677" s="62" t="s">
        <v>389</v>
      </c>
      <c r="F677" s="62" t="s">
        <v>430</v>
      </c>
      <c r="G677" s="62" t="s">
        <v>389</v>
      </c>
      <c r="H677" s="65" t="n">
        <v>936</v>
      </c>
      <c r="I677" s="62" t="s">
        <v>275</v>
      </c>
    </row>
    <row r="678" customFormat="false" ht="15" hidden="false" customHeight="false" outlineLevel="0" collapsed="false">
      <c r="A678" s="62" t="s">
        <v>388</v>
      </c>
      <c r="B678" s="63" t="n">
        <v>1546</v>
      </c>
      <c r="C678" s="64" t="n">
        <v>46307.7906318634</v>
      </c>
      <c r="D678" s="63" t="n">
        <v>18</v>
      </c>
      <c r="E678" s="62" t="s">
        <v>389</v>
      </c>
      <c r="F678" s="62" t="s">
        <v>430</v>
      </c>
      <c r="G678" s="62" t="s">
        <v>389</v>
      </c>
      <c r="H678" s="65" t="n">
        <v>88.9</v>
      </c>
      <c r="I678" s="62" t="s">
        <v>275</v>
      </c>
    </row>
    <row r="679" customFormat="false" ht="15" hidden="false" customHeight="false" outlineLevel="0" collapsed="false">
      <c r="A679" s="62" t="s">
        <v>388</v>
      </c>
      <c r="B679" s="63" t="n">
        <v>1551</v>
      </c>
      <c r="C679" s="64" t="n">
        <v>46307.8023532986</v>
      </c>
      <c r="D679" s="63" t="n">
        <v>19</v>
      </c>
      <c r="E679" s="62" t="s">
        <v>389</v>
      </c>
      <c r="F679" s="62" t="s">
        <v>430</v>
      </c>
      <c r="G679" s="62" t="s">
        <v>389</v>
      </c>
      <c r="H679" s="65" t="n">
        <v>5.7</v>
      </c>
      <c r="I679" s="62" t="s">
        <v>275</v>
      </c>
    </row>
    <row r="680" customFormat="false" ht="15" hidden="false" customHeight="false" outlineLevel="0" collapsed="false">
      <c r="A680" s="62" t="s">
        <v>388</v>
      </c>
      <c r="B680" s="63" t="n">
        <v>1550</v>
      </c>
      <c r="C680" s="64" t="n">
        <v>46307.8028007407</v>
      </c>
      <c r="D680" s="63" t="n">
        <v>19</v>
      </c>
      <c r="E680" s="62" t="s">
        <v>389</v>
      </c>
      <c r="F680" s="62" t="s">
        <v>430</v>
      </c>
      <c r="G680" s="62" t="s">
        <v>389</v>
      </c>
      <c r="H680" s="65" t="n">
        <v>1.9</v>
      </c>
      <c r="I680" s="62" t="s">
        <v>275</v>
      </c>
    </row>
    <row r="681" customFormat="false" ht="15" hidden="false" customHeight="false" outlineLevel="0" collapsed="false">
      <c r="A681" s="62" t="s">
        <v>388</v>
      </c>
      <c r="B681" s="63" t="n">
        <v>1550</v>
      </c>
      <c r="C681" s="64" t="n">
        <v>46307.8038835532</v>
      </c>
      <c r="D681" s="63" t="n">
        <v>19</v>
      </c>
      <c r="E681" s="62" t="s">
        <v>389</v>
      </c>
      <c r="F681" s="62" t="s">
        <v>431</v>
      </c>
      <c r="G681" s="62" t="s">
        <v>389</v>
      </c>
      <c r="H681" s="65" t="n">
        <v>0.4</v>
      </c>
      <c r="I681" s="62" t="s">
        <v>392</v>
      </c>
    </row>
    <row r="682" customFormat="false" ht="15" hidden="false" customHeight="false" outlineLevel="0" collapsed="false">
      <c r="A682" s="62" t="s">
        <v>388</v>
      </c>
      <c r="B682" s="63" t="n">
        <v>1551</v>
      </c>
      <c r="C682" s="64" t="n">
        <v>46307.8045824769</v>
      </c>
      <c r="D682" s="63" t="n">
        <v>19</v>
      </c>
      <c r="E682" s="62" t="s">
        <v>389</v>
      </c>
      <c r="F682" s="62" t="s">
        <v>431</v>
      </c>
      <c r="G682" s="62" t="s">
        <v>389</v>
      </c>
      <c r="H682" s="65" t="n">
        <v>2.4</v>
      </c>
      <c r="I682" s="62" t="s">
        <v>392</v>
      </c>
    </row>
    <row r="683" customFormat="false" ht="15" hidden="false" customHeight="false" outlineLevel="0" collapsed="false">
      <c r="A683" s="62" t="s">
        <v>388</v>
      </c>
      <c r="B683" s="63" t="n">
        <v>1550</v>
      </c>
      <c r="C683" s="64" t="n">
        <v>46307.8055225926</v>
      </c>
      <c r="D683" s="63" t="n">
        <v>19</v>
      </c>
      <c r="E683" s="62" t="s">
        <v>389</v>
      </c>
      <c r="F683" s="62" t="s">
        <v>431</v>
      </c>
      <c r="G683" s="62" t="s">
        <v>389</v>
      </c>
      <c r="H683" s="65" t="n">
        <v>3.9</v>
      </c>
      <c r="I683" s="62" t="s">
        <v>392</v>
      </c>
    </row>
    <row r="684" customFormat="false" ht="15" hidden="false" customHeight="false" outlineLevel="0" collapsed="false">
      <c r="A684" s="62" t="s">
        <v>388</v>
      </c>
      <c r="B684" s="63" t="n">
        <v>1550</v>
      </c>
      <c r="C684" s="64" t="n">
        <v>46307.8090227315</v>
      </c>
      <c r="D684" s="63" t="n">
        <v>19</v>
      </c>
      <c r="E684" s="62" t="s">
        <v>389</v>
      </c>
      <c r="F684" s="62" t="s">
        <v>431</v>
      </c>
      <c r="G684" s="62" t="s">
        <v>389</v>
      </c>
      <c r="H684" s="65" t="n">
        <v>3.3</v>
      </c>
      <c r="I684" s="62" t="s">
        <v>392</v>
      </c>
    </row>
    <row r="685" customFormat="false" ht="15" hidden="false" customHeight="false" outlineLevel="0" collapsed="false">
      <c r="A685" s="62" t="s">
        <v>388</v>
      </c>
      <c r="B685" s="63" t="n">
        <v>1194</v>
      </c>
      <c r="C685" s="64" t="n">
        <v>46307.8162204861</v>
      </c>
      <c r="D685" s="63" t="n">
        <v>19</v>
      </c>
      <c r="E685" s="62" t="s">
        <v>389</v>
      </c>
      <c r="F685" s="62" t="s">
        <v>150</v>
      </c>
      <c r="G685" s="62" t="s">
        <v>389</v>
      </c>
      <c r="H685" s="65" t="n">
        <v>0.7</v>
      </c>
      <c r="I685" s="62" t="s">
        <v>392</v>
      </c>
    </row>
    <row r="686" customFormat="false" ht="15" hidden="false" customHeight="false" outlineLevel="0" collapsed="false">
      <c r="A686" s="62" t="s">
        <v>388</v>
      </c>
      <c r="B686" s="63" t="n">
        <v>1550</v>
      </c>
      <c r="C686" s="64" t="n">
        <v>46307.8167450347</v>
      </c>
      <c r="D686" s="63" t="n">
        <v>19</v>
      </c>
      <c r="E686" s="62" t="s">
        <v>389</v>
      </c>
      <c r="F686" s="62" t="s">
        <v>151</v>
      </c>
      <c r="G686" s="62" t="s">
        <v>389</v>
      </c>
      <c r="H686" s="65" t="n">
        <v>0.8</v>
      </c>
      <c r="I686" s="62" t="s">
        <v>392</v>
      </c>
    </row>
    <row r="687" customFormat="false" ht="15" hidden="false" customHeight="false" outlineLevel="0" collapsed="false">
      <c r="A687" s="62" t="s">
        <v>388</v>
      </c>
      <c r="B687" s="63" t="n">
        <v>1194</v>
      </c>
      <c r="C687" s="64" t="n">
        <v>46307.8171171065</v>
      </c>
      <c r="D687" s="63" t="n">
        <v>19</v>
      </c>
      <c r="E687" s="62" t="s">
        <v>389</v>
      </c>
      <c r="F687" s="62" t="s">
        <v>150</v>
      </c>
      <c r="G687" s="62" t="s">
        <v>389</v>
      </c>
      <c r="H687" s="65" t="n">
        <v>2.6</v>
      </c>
      <c r="I687" s="62" t="s">
        <v>392</v>
      </c>
    </row>
    <row r="688" customFormat="false" ht="15" hidden="false" customHeight="false" outlineLevel="0" collapsed="false">
      <c r="A688" s="62" t="s">
        <v>388</v>
      </c>
      <c r="B688" s="63" t="n">
        <v>1194</v>
      </c>
      <c r="C688" s="64" t="n">
        <v>46307.8215753357</v>
      </c>
      <c r="D688" s="63" t="n">
        <v>19</v>
      </c>
      <c r="E688" s="62" t="s">
        <v>389</v>
      </c>
      <c r="F688" s="62" t="s">
        <v>407</v>
      </c>
      <c r="G688" s="62" t="s">
        <v>389</v>
      </c>
      <c r="H688" s="65" t="n">
        <v>3.2</v>
      </c>
      <c r="I688" s="62" t="s">
        <v>392</v>
      </c>
    </row>
    <row r="689" customFormat="false" ht="15" hidden="false" customHeight="false" outlineLevel="0" collapsed="false">
      <c r="A689" s="62" t="s">
        <v>388</v>
      </c>
      <c r="B689" s="63" t="n">
        <v>1194</v>
      </c>
      <c r="C689" s="64" t="n">
        <v>46307.8265656713</v>
      </c>
      <c r="D689" s="63" t="n">
        <v>19</v>
      </c>
      <c r="E689" s="62" t="s">
        <v>389</v>
      </c>
      <c r="F689" s="62" t="s">
        <v>407</v>
      </c>
      <c r="G689" s="62" t="s">
        <v>389</v>
      </c>
      <c r="H689" s="65" t="n">
        <v>6.4</v>
      </c>
      <c r="I689" s="62" t="s">
        <v>392</v>
      </c>
    </row>
    <row r="690" customFormat="false" ht="15" hidden="false" customHeight="false" outlineLevel="0" collapsed="false">
      <c r="A690" s="62" t="s">
        <v>388</v>
      </c>
      <c r="B690" s="63" t="n">
        <v>1546</v>
      </c>
      <c r="C690" s="64" t="n">
        <v>46307.8490148495</v>
      </c>
      <c r="D690" s="63" t="n">
        <v>20</v>
      </c>
      <c r="E690" s="62" t="s">
        <v>389</v>
      </c>
      <c r="F690" s="62" t="s">
        <v>431</v>
      </c>
      <c r="G690" s="62" t="s">
        <v>389</v>
      </c>
      <c r="H690" s="65" t="n">
        <v>4.8</v>
      </c>
      <c r="I690" s="62" t="s">
        <v>392</v>
      </c>
    </row>
    <row r="691" customFormat="false" ht="15" hidden="false" customHeight="false" outlineLevel="0" collapsed="false">
      <c r="A691" s="62" t="s">
        <v>388</v>
      </c>
      <c r="B691" s="63" t="n">
        <v>1567</v>
      </c>
      <c r="C691" s="64" t="n">
        <v>46307.8709230324</v>
      </c>
      <c r="D691" s="63" t="n">
        <v>20</v>
      </c>
      <c r="E691" s="62" t="s">
        <v>389</v>
      </c>
      <c r="F691" s="62" t="s">
        <v>430</v>
      </c>
      <c r="G691" s="62" t="s">
        <v>389</v>
      </c>
      <c r="H691" s="65" t="n">
        <v>10.9</v>
      </c>
      <c r="I691" s="62" t="s">
        <v>275</v>
      </c>
    </row>
    <row r="692" customFormat="false" ht="15" hidden="false" customHeight="false" outlineLevel="0" collapsed="false">
      <c r="A692" s="62" t="s">
        <v>388</v>
      </c>
      <c r="B692" s="63" t="n">
        <v>1567</v>
      </c>
      <c r="C692" s="64" t="n">
        <v>46307.8729045833</v>
      </c>
      <c r="D692" s="63" t="n">
        <v>20</v>
      </c>
      <c r="E692" s="62" t="s">
        <v>389</v>
      </c>
      <c r="F692" s="62" t="s">
        <v>431</v>
      </c>
      <c r="G692" s="62" t="s">
        <v>389</v>
      </c>
      <c r="H692" s="65" t="n">
        <v>8</v>
      </c>
      <c r="I692" s="62" t="s">
        <v>275</v>
      </c>
    </row>
    <row r="693" customFormat="false" ht="15" hidden="false" customHeight="false" outlineLevel="0" collapsed="false">
      <c r="A693" s="62" t="s">
        <v>388</v>
      </c>
      <c r="B693" s="63" t="n">
        <v>1567</v>
      </c>
      <c r="C693" s="64" t="n">
        <v>46307.8780159722</v>
      </c>
      <c r="D693" s="63" t="n">
        <v>21</v>
      </c>
      <c r="E693" s="62" t="s">
        <v>390</v>
      </c>
      <c r="F693" s="62" t="s">
        <v>431</v>
      </c>
      <c r="G693" s="62" t="s">
        <v>389</v>
      </c>
      <c r="H693" s="65" t="n">
        <v>0.7</v>
      </c>
      <c r="I693" s="62" t="s">
        <v>392</v>
      </c>
    </row>
    <row r="694" customFormat="false" ht="15" hidden="false" customHeight="false" outlineLevel="0" collapsed="false">
      <c r="A694" s="62" t="s">
        <v>388</v>
      </c>
      <c r="B694" s="63" t="n">
        <v>1571</v>
      </c>
      <c r="C694" s="64" t="n">
        <v>46307.8987861921</v>
      </c>
      <c r="D694" s="63" t="n">
        <v>21</v>
      </c>
      <c r="E694" s="62" t="s">
        <v>390</v>
      </c>
      <c r="F694" s="62" t="s">
        <v>430</v>
      </c>
      <c r="G694" s="62" t="s">
        <v>389</v>
      </c>
      <c r="H694" s="65" t="n">
        <v>2110.9</v>
      </c>
      <c r="I694" s="62" t="s">
        <v>275</v>
      </c>
    </row>
    <row r="695" customFormat="false" ht="15" hidden="false" customHeight="false" outlineLevel="0" collapsed="false">
      <c r="A695" s="62" t="s">
        <v>388</v>
      </c>
      <c r="B695" s="63" t="n">
        <v>1586</v>
      </c>
      <c r="C695" s="64" t="n">
        <v>46307.9265223843</v>
      </c>
      <c r="D695" s="63" t="n">
        <v>22</v>
      </c>
      <c r="E695" s="62" t="s">
        <v>390</v>
      </c>
      <c r="F695" s="62" t="s">
        <v>430</v>
      </c>
      <c r="G695" s="62" t="s">
        <v>389</v>
      </c>
      <c r="H695" s="65" t="n">
        <v>534.3</v>
      </c>
      <c r="I695" s="62" t="s">
        <v>275</v>
      </c>
    </row>
    <row r="696" customFormat="false" ht="15" hidden="false" customHeight="false" outlineLevel="0" collapsed="false">
      <c r="A696" s="62" t="s">
        <v>388</v>
      </c>
      <c r="B696" s="63" t="n">
        <v>1591</v>
      </c>
      <c r="C696" s="64" t="n">
        <v>46307.9511316435</v>
      </c>
      <c r="D696" s="63" t="n">
        <v>22</v>
      </c>
      <c r="E696" s="62" t="s">
        <v>390</v>
      </c>
      <c r="F696" s="62" t="s">
        <v>430</v>
      </c>
      <c r="G696" s="62" t="s">
        <v>389</v>
      </c>
      <c r="H696" s="65" t="n">
        <v>1.4</v>
      </c>
      <c r="I696" s="62" t="s">
        <v>392</v>
      </c>
    </row>
    <row r="697" customFormat="false" ht="15" hidden="false" customHeight="false" outlineLevel="0" collapsed="false">
      <c r="A697" s="62" t="s">
        <v>388</v>
      </c>
      <c r="B697" s="63" t="n">
        <v>1586</v>
      </c>
      <c r="C697" s="64" t="n">
        <v>46307.9546539583</v>
      </c>
      <c r="D697" s="63" t="n">
        <v>22</v>
      </c>
      <c r="E697" s="62" t="s">
        <v>390</v>
      </c>
      <c r="F697" s="62" t="s">
        <v>431</v>
      </c>
      <c r="G697" s="62" t="s">
        <v>389</v>
      </c>
      <c r="H697" s="65" t="n">
        <v>493.8</v>
      </c>
      <c r="I697" s="62" t="s">
        <v>392</v>
      </c>
    </row>
    <row r="698" customFormat="false" ht="15" hidden="false" customHeight="false" outlineLevel="0" collapsed="false">
      <c r="A698" s="62" t="s">
        <v>388</v>
      </c>
      <c r="B698" s="63" t="n">
        <v>1591</v>
      </c>
      <c r="C698" s="64" t="n">
        <v>46307.9556139236</v>
      </c>
      <c r="D698" s="63" t="n">
        <v>22</v>
      </c>
      <c r="E698" s="62" t="s">
        <v>390</v>
      </c>
      <c r="F698" s="62" t="s">
        <v>430</v>
      </c>
      <c r="G698" s="62" t="s">
        <v>389</v>
      </c>
      <c r="H698" s="65" t="n">
        <v>0.4</v>
      </c>
      <c r="I698" s="62" t="s">
        <v>392</v>
      </c>
    </row>
    <row r="699" customFormat="false" ht="15" hidden="false" customHeight="false" outlineLevel="0" collapsed="false">
      <c r="A699" s="62" t="s">
        <v>388</v>
      </c>
      <c r="B699" s="63" t="n">
        <v>1591</v>
      </c>
      <c r="C699" s="64" t="n">
        <v>46307.9570770486</v>
      </c>
      <c r="D699" s="63" t="n">
        <v>22</v>
      </c>
      <c r="E699" s="62" t="s">
        <v>390</v>
      </c>
      <c r="F699" s="62" t="s">
        <v>430</v>
      </c>
      <c r="G699" s="62" t="s">
        <v>389</v>
      </c>
      <c r="H699" s="65" t="n">
        <v>0.2</v>
      </c>
      <c r="I699" s="62" t="s">
        <v>392</v>
      </c>
    </row>
    <row r="700" customFormat="false" ht="15" hidden="false" customHeight="false" outlineLevel="0" collapsed="false">
      <c r="A700" s="62" t="s">
        <v>388</v>
      </c>
      <c r="B700" s="63" t="n">
        <v>1591</v>
      </c>
      <c r="C700" s="64" t="n">
        <v>46307.9575666319</v>
      </c>
      <c r="D700" s="63" t="n">
        <v>22</v>
      </c>
      <c r="E700" s="62" t="s">
        <v>390</v>
      </c>
      <c r="F700" s="62" t="s">
        <v>430</v>
      </c>
      <c r="G700" s="62" t="s">
        <v>389</v>
      </c>
      <c r="H700" s="65" t="n">
        <v>0.7</v>
      </c>
      <c r="I700" s="62" t="s">
        <v>392</v>
      </c>
    </row>
    <row r="701" customFormat="false" ht="15" hidden="false" customHeight="false" outlineLevel="0" collapsed="false">
      <c r="A701" s="62" t="s">
        <v>388</v>
      </c>
      <c r="B701" s="63" t="n">
        <v>1597</v>
      </c>
      <c r="C701" s="64" t="n">
        <v>46308.0187084722</v>
      </c>
      <c r="D701" s="63" t="n">
        <v>0</v>
      </c>
      <c r="E701" s="62" t="s">
        <v>390</v>
      </c>
      <c r="F701" s="62" t="s">
        <v>430</v>
      </c>
      <c r="G701" s="62" t="s">
        <v>389</v>
      </c>
      <c r="H701" s="65" t="n">
        <v>1939.4</v>
      </c>
      <c r="I701" s="62" t="s">
        <v>275</v>
      </c>
    </row>
    <row r="702" customFormat="false" ht="15" hidden="false" customHeight="false" outlineLevel="0" collapsed="false">
      <c r="A702" s="62" t="s">
        <v>388</v>
      </c>
      <c r="B702" s="63" t="n">
        <v>670</v>
      </c>
      <c r="C702" s="64" t="n">
        <v>46308.1836306597</v>
      </c>
      <c r="D702" s="63" t="n">
        <v>4</v>
      </c>
      <c r="E702" s="62" t="s">
        <v>390</v>
      </c>
      <c r="F702" s="62" t="s">
        <v>152</v>
      </c>
      <c r="G702" s="62" t="s">
        <v>389</v>
      </c>
      <c r="H702" s="65" t="n">
        <v>179.1</v>
      </c>
      <c r="I702" s="62" t="s">
        <v>392</v>
      </c>
    </row>
    <row r="703" customFormat="false" ht="15" hidden="false" customHeight="false" outlineLevel="0" collapsed="false">
      <c r="A703" s="62" t="s">
        <v>388</v>
      </c>
      <c r="B703" s="63" t="n">
        <v>1608</v>
      </c>
      <c r="C703" s="64" t="n">
        <v>46308.3264445255</v>
      </c>
      <c r="D703" s="63" t="n">
        <v>7</v>
      </c>
      <c r="E703" s="62" t="s">
        <v>390</v>
      </c>
      <c r="F703" s="62" t="s">
        <v>430</v>
      </c>
      <c r="G703" s="62" t="s">
        <v>389</v>
      </c>
      <c r="H703" s="65" t="n">
        <v>1496.5</v>
      </c>
      <c r="I703" s="62" t="s">
        <v>275</v>
      </c>
    </row>
    <row r="704" customFormat="false" ht="15" hidden="false" customHeight="false" outlineLevel="0" collapsed="false">
      <c r="A704" s="62" t="s">
        <v>388</v>
      </c>
      <c r="B704" s="63" t="n">
        <v>1498</v>
      </c>
      <c r="C704" s="64" t="n">
        <v>46308.3519324769</v>
      </c>
      <c r="D704" s="63" t="n">
        <v>8</v>
      </c>
      <c r="E704" s="62" t="s">
        <v>390</v>
      </c>
      <c r="F704" s="62" t="s">
        <v>151</v>
      </c>
      <c r="G704" s="62" t="s">
        <v>389</v>
      </c>
      <c r="H704" s="65" t="n">
        <v>1.6</v>
      </c>
      <c r="I704" s="62" t="s">
        <v>392</v>
      </c>
    </row>
    <row r="705" customFormat="false" ht="15" hidden="false" customHeight="false" outlineLevel="0" collapsed="false">
      <c r="A705" s="62" t="s">
        <v>388</v>
      </c>
      <c r="B705" s="63" t="n">
        <v>1179</v>
      </c>
      <c r="C705" s="64" t="n">
        <v>46308.3583368866</v>
      </c>
      <c r="D705" s="63" t="n">
        <v>8</v>
      </c>
      <c r="E705" s="62" t="s">
        <v>390</v>
      </c>
      <c r="F705" s="62" t="s">
        <v>431</v>
      </c>
      <c r="G705" s="62" t="s">
        <v>389</v>
      </c>
      <c r="H705" s="65" t="n">
        <v>0.4</v>
      </c>
      <c r="I705" s="62" t="s">
        <v>392</v>
      </c>
    </row>
    <row r="706" customFormat="false" ht="15" hidden="false" customHeight="false" outlineLevel="0" collapsed="false">
      <c r="A706" s="62" t="s">
        <v>388</v>
      </c>
      <c r="B706" s="63" t="n">
        <v>1179</v>
      </c>
      <c r="C706" s="64" t="n">
        <v>46308.3631839468</v>
      </c>
      <c r="D706" s="63" t="n">
        <v>8</v>
      </c>
      <c r="E706" s="62" t="s">
        <v>390</v>
      </c>
      <c r="F706" s="62" t="s">
        <v>431</v>
      </c>
      <c r="G706" s="62" t="s">
        <v>389</v>
      </c>
      <c r="H706" s="65" t="n">
        <v>0.7</v>
      </c>
      <c r="I706" s="62" t="s">
        <v>392</v>
      </c>
    </row>
    <row r="707" customFormat="false" ht="15" hidden="false" customHeight="false" outlineLevel="0" collapsed="false">
      <c r="A707" s="62" t="s">
        <v>388</v>
      </c>
      <c r="B707" s="63" t="n">
        <v>1533</v>
      </c>
      <c r="C707" s="64" t="n">
        <v>46308.4053545833</v>
      </c>
      <c r="D707" s="63" t="n">
        <v>9</v>
      </c>
      <c r="E707" s="62" t="s">
        <v>389</v>
      </c>
      <c r="F707" s="62" t="s">
        <v>150</v>
      </c>
      <c r="G707" s="62" t="s">
        <v>389</v>
      </c>
      <c r="H707" s="65" t="n">
        <v>0.8</v>
      </c>
      <c r="I707" s="62" t="s">
        <v>392</v>
      </c>
    </row>
    <row r="708" customFormat="false" ht="15" hidden="false" customHeight="false" outlineLevel="0" collapsed="false">
      <c r="A708" s="62" t="s">
        <v>388</v>
      </c>
      <c r="B708" s="63" t="n">
        <v>1533</v>
      </c>
      <c r="C708" s="64" t="n">
        <v>46308.4081268982</v>
      </c>
      <c r="D708" s="63" t="n">
        <v>9</v>
      </c>
      <c r="E708" s="62" t="s">
        <v>389</v>
      </c>
      <c r="F708" s="62" t="s">
        <v>150</v>
      </c>
      <c r="G708" s="62" t="s">
        <v>389</v>
      </c>
      <c r="H708" s="65" t="n">
        <v>3.5</v>
      </c>
      <c r="I708" s="62" t="s">
        <v>392</v>
      </c>
    </row>
    <row r="709" customFormat="false" ht="15" hidden="false" customHeight="false" outlineLevel="0" collapsed="false">
      <c r="A709" s="62" t="s">
        <v>388</v>
      </c>
      <c r="B709" s="63" t="n">
        <v>1532</v>
      </c>
      <c r="C709" s="64" t="n">
        <v>46308.4112664468</v>
      </c>
      <c r="D709" s="63" t="n">
        <v>9</v>
      </c>
      <c r="E709" s="62" t="s">
        <v>389</v>
      </c>
      <c r="F709" s="62" t="s">
        <v>150</v>
      </c>
      <c r="G709" s="62" t="s">
        <v>389</v>
      </c>
      <c r="H709" s="65" t="n">
        <v>3.7</v>
      </c>
      <c r="I709" s="62" t="s">
        <v>392</v>
      </c>
    </row>
    <row r="710" customFormat="false" ht="15" hidden="false" customHeight="false" outlineLevel="0" collapsed="false">
      <c r="A710" s="62" t="s">
        <v>388</v>
      </c>
      <c r="B710" s="63" t="n">
        <v>1628</v>
      </c>
      <c r="C710" s="64" t="n">
        <v>46308.4151417593</v>
      </c>
      <c r="D710" s="63" t="n">
        <v>9</v>
      </c>
      <c r="E710" s="62" t="s">
        <v>389</v>
      </c>
      <c r="F710" s="62" t="s">
        <v>430</v>
      </c>
      <c r="G710" s="62" t="s">
        <v>389</v>
      </c>
      <c r="H710" s="65" t="n">
        <v>2876.5</v>
      </c>
      <c r="I710" s="62" t="s">
        <v>275</v>
      </c>
    </row>
    <row r="711" customFormat="false" ht="15" hidden="false" customHeight="false" outlineLevel="0" collapsed="false">
      <c r="A711" s="62" t="s">
        <v>388</v>
      </c>
      <c r="B711" s="63" t="n">
        <v>1632</v>
      </c>
      <c r="C711" s="64" t="n">
        <v>46308.4352149537</v>
      </c>
      <c r="D711" s="63" t="n">
        <v>10</v>
      </c>
      <c r="E711" s="62" t="s">
        <v>389</v>
      </c>
      <c r="F711" s="62" t="s">
        <v>430</v>
      </c>
      <c r="G711" s="62" t="s">
        <v>389</v>
      </c>
      <c r="H711" s="65" t="n">
        <v>2847.3</v>
      </c>
      <c r="I711" s="62" t="s">
        <v>275</v>
      </c>
    </row>
    <row r="712" customFormat="false" ht="15" hidden="false" customHeight="false" outlineLevel="0" collapsed="false">
      <c r="A712" s="62" t="s">
        <v>388</v>
      </c>
      <c r="B712" s="63" t="n">
        <v>1638</v>
      </c>
      <c r="C712" s="64" t="n">
        <v>46308.4568121644</v>
      </c>
      <c r="D712" s="63" t="n">
        <v>10</v>
      </c>
      <c r="E712" s="62" t="s">
        <v>389</v>
      </c>
      <c r="F712" s="62" t="s">
        <v>430</v>
      </c>
      <c r="G712" s="62" t="s">
        <v>389</v>
      </c>
      <c r="H712" s="65" t="n">
        <v>0.7</v>
      </c>
      <c r="I712" s="62" t="s">
        <v>392</v>
      </c>
    </row>
    <row r="713" customFormat="false" ht="15" hidden="false" customHeight="false" outlineLevel="0" collapsed="false">
      <c r="A713" s="62" t="s">
        <v>388</v>
      </c>
      <c r="B713" s="63" t="n">
        <v>1638</v>
      </c>
      <c r="C713" s="64" t="n">
        <v>46308.4595716204</v>
      </c>
      <c r="D713" s="63" t="n">
        <v>11</v>
      </c>
      <c r="E713" s="62" t="s">
        <v>389</v>
      </c>
      <c r="F713" s="62" t="s">
        <v>430</v>
      </c>
      <c r="G713" s="62" t="s">
        <v>389</v>
      </c>
      <c r="H713" s="65" t="n">
        <v>0.4</v>
      </c>
      <c r="I713" s="62" t="s">
        <v>392</v>
      </c>
    </row>
    <row r="714" customFormat="false" ht="15" hidden="false" customHeight="false" outlineLevel="0" collapsed="false">
      <c r="A714" s="62" t="s">
        <v>388</v>
      </c>
      <c r="B714" s="63" t="n">
        <v>1638</v>
      </c>
      <c r="C714" s="64" t="n">
        <v>46308.4617546875</v>
      </c>
      <c r="D714" s="63" t="n">
        <v>11</v>
      </c>
      <c r="E714" s="62" t="s">
        <v>389</v>
      </c>
      <c r="F714" s="62" t="s">
        <v>430</v>
      </c>
      <c r="G714" s="62" t="s">
        <v>389</v>
      </c>
      <c r="H714" s="65" t="n">
        <v>2.5</v>
      </c>
      <c r="I714" s="62" t="s">
        <v>392</v>
      </c>
    </row>
    <row r="715" customFormat="false" ht="15" hidden="false" customHeight="false" outlineLevel="0" collapsed="false">
      <c r="A715" s="62" t="s">
        <v>388</v>
      </c>
      <c r="B715" s="63" t="n">
        <v>1635</v>
      </c>
      <c r="C715" s="64" t="n">
        <v>46308.4679978935</v>
      </c>
      <c r="D715" s="63" t="n">
        <v>11</v>
      </c>
      <c r="E715" s="62" t="s">
        <v>389</v>
      </c>
      <c r="F715" s="62" t="s">
        <v>431</v>
      </c>
      <c r="G715" s="62" t="s">
        <v>389</v>
      </c>
      <c r="H715" s="65" t="n">
        <v>1.2</v>
      </c>
      <c r="I715" s="62" t="s">
        <v>392</v>
      </c>
    </row>
    <row r="716" customFormat="false" ht="15" hidden="false" customHeight="false" outlineLevel="0" collapsed="false">
      <c r="A716" s="62" t="s">
        <v>388</v>
      </c>
      <c r="B716" s="63" t="n">
        <v>1641</v>
      </c>
      <c r="C716" s="64" t="n">
        <v>46308.4714803935</v>
      </c>
      <c r="D716" s="63" t="n">
        <v>11</v>
      </c>
      <c r="E716" s="62" t="s">
        <v>389</v>
      </c>
      <c r="F716" s="62" t="s">
        <v>430</v>
      </c>
      <c r="G716" s="62" t="s">
        <v>389</v>
      </c>
      <c r="H716" s="65" t="n">
        <v>1310.8</v>
      </c>
      <c r="I716" s="62" t="s">
        <v>275</v>
      </c>
    </row>
    <row r="717" customFormat="false" ht="15" hidden="false" customHeight="false" outlineLevel="0" collapsed="false">
      <c r="A717" s="62" t="s">
        <v>388</v>
      </c>
      <c r="B717" s="63" t="n">
        <v>1001</v>
      </c>
      <c r="C717" s="64" t="n">
        <v>46308.4869122569</v>
      </c>
      <c r="D717" s="63" t="n">
        <v>11</v>
      </c>
      <c r="E717" s="62" t="s">
        <v>389</v>
      </c>
      <c r="F717" s="62" t="s">
        <v>430</v>
      </c>
      <c r="G717" s="62" t="s">
        <v>389</v>
      </c>
      <c r="H717" s="65" t="n">
        <v>0.8</v>
      </c>
      <c r="I717" s="62" t="s">
        <v>392</v>
      </c>
    </row>
    <row r="718" customFormat="false" ht="15" hidden="false" customHeight="false" outlineLevel="0" collapsed="false">
      <c r="A718" s="62" t="s">
        <v>388</v>
      </c>
      <c r="B718" s="63" t="n">
        <v>1001</v>
      </c>
      <c r="C718" s="64" t="n">
        <v>46308.4879937732</v>
      </c>
      <c r="D718" s="63" t="n">
        <v>11</v>
      </c>
      <c r="E718" s="62" t="s">
        <v>389</v>
      </c>
      <c r="F718" s="62" t="s">
        <v>430</v>
      </c>
      <c r="G718" s="62" t="s">
        <v>389</v>
      </c>
      <c r="H718" s="65" t="n">
        <v>0</v>
      </c>
      <c r="I718" s="62" t="s">
        <v>392</v>
      </c>
    </row>
    <row r="719" customFormat="false" ht="15" hidden="false" customHeight="false" outlineLevel="0" collapsed="false">
      <c r="A719" s="62" t="s">
        <v>388</v>
      </c>
      <c r="B719" s="63" t="n">
        <v>1001</v>
      </c>
      <c r="C719" s="64" t="n">
        <v>46308.4886336458</v>
      </c>
      <c r="D719" s="63" t="n">
        <v>11</v>
      </c>
      <c r="E719" s="62" t="s">
        <v>389</v>
      </c>
      <c r="F719" s="62" t="s">
        <v>430</v>
      </c>
      <c r="G719" s="62" t="s">
        <v>389</v>
      </c>
      <c r="H719" s="65" t="n">
        <v>2.4</v>
      </c>
      <c r="I719" s="62" t="s">
        <v>392</v>
      </c>
    </row>
    <row r="720" customFormat="false" ht="15" hidden="false" customHeight="false" outlineLevel="0" collapsed="false">
      <c r="A720" s="62" t="s">
        <v>388</v>
      </c>
      <c r="B720" s="63" t="n">
        <v>1001</v>
      </c>
      <c r="C720" s="64" t="n">
        <v>46308.492225544</v>
      </c>
      <c r="D720" s="63" t="n">
        <v>11</v>
      </c>
      <c r="E720" s="62" t="s">
        <v>389</v>
      </c>
      <c r="F720" s="62" t="s">
        <v>430</v>
      </c>
      <c r="G720" s="62" t="s">
        <v>389</v>
      </c>
      <c r="H720" s="65" t="n">
        <v>2.8</v>
      </c>
      <c r="I720" s="62" t="s">
        <v>392</v>
      </c>
    </row>
    <row r="721" customFormat="false" ht="15" hidden="false" customHeight="false" outlineLevel="0" collapsed="false">
      <c r="A721" s="62" t="s">
        <v>388</v>
      </c>
      <c r="B721" s="63" t="n">
        <v>1591</v>
      </c>
      <c r="C721" s="64" t="n">
        <v>46308.5009459838</v>
      </c>
      <c r="D721" s="63" t="n">
        <v>12</v>
      </c>
      <c r="E721" s="62" t="s">
        <v>389</v>
      </c>
      <c r="F721" s="62" t="s">
        <v>150</v>
      </c>
      <c r="G721" s="62" t="s">
        <v>389</v>
      </c>
      <c r="H721" s="65" t="n">
        <v>5.2</v>
      </c>
      <c r="I721" s="62" t="s">
        <v>392</v>
      </c>
    </row>
    <row r="722" customFormat="false" ht="15" hidden="false" customHeight="false" outlineLevel="0" collapsed="false">
      <c r="A722" s="62" t="s">
        <v>388</v>
      </c>
      <c r="B722" s="63" t="n">
        <v>1532</v>
      </c>
      <c r="C722" s="64" t="n">
        <v>46308.5011943056</v>
      </c>
      <c r="D722" s="63" t="n">
        <v>12</v>
      </c>
      <c r="E722" s="62" t="s">
        <v>389</v>
      </c>
      <c r="F722" s="62" t="s">
        <v>150</v>
      </c>
      <c r="G722" s="62" t="s">
        <v>389</v>
      </c>
      <c r="H722" s="65" t="n">
        <v>2.2</v>
      </c>
      <c r="I722" s="62" t="s">
        <v>392</v>
      </c>
    </row>
    <row r="723" customFormat="false" ht="15" hidden="false" customHeight="false" outlineLevel="0" collapsed="false">
      <c r="A723" s="62" t="s">
        <v>388</v>
      </c>
      <c r="B723" s="63" t="n">
        <v>1001</v>
      </c>
      <c r="C723" s="64" t="n">
        <v>46308.5073575926</v>
      </c>
      <c r="D723" s="63" t="n">
        <v>12</v>
      </c>
      <c r="E723" s="62" t="s">
        <v>389</v>
      </c>
      <c r="F723" s="62" t="s">
        <v>430</v>
      </c>
      <c r="G723" s="62" t="s">
        <v>389</v>
      </c>
      <c r="H723" s="65" t="n">
        <v>0.6</v>
      </c>
      <c r="I723" s="62" t="s">
        <v>392</v>
      </c>
    </row>
    <row r="724" customFormat="false" ht="15" hidden="false" customHeight="false" outlineLevel="0" collapsed="false">
      <c r="A724" s="62" t="s">
        <v>388</v>
      </c>
      <c r="B724" s="63" t="n">
        <v>1001</v>
      </c>
      <c r="C724" s="64" t="n">
        <v>46308.5080936921</v>
      </c>
      <c r="D724" s="63" t="n">
        <v>12</v>
      </c>
      <c r="E724" s="62" t="s">
        <v>389</v>
      </c>
      <c r="F724" s="62" t="s">
        <v>430</v>
      </c>
      <c r="G724" s="62" t="s">
        <v>389</v>
      </c>
      <c r="H724" s="65" t="n">
        <v>0.3</v>
      </c>
      <c r="I724" s="62" t="s">
        <v>392</v>
      </c>
    </row>
    <row r="725" customFormat="false" ht="15" hidden="false" customHeight="false" outlineLevel="0" collapsed="false">
      <c r="A725" s="62" t="s">
        <v>388</v>
      </c>
      <c r="B725" s="63" t="n">
        <v>1591</v>
      </c>
      <c r="C725" s="64" t="n">
        <v>46308.5085766782</v>
      </c>
      <c r="D725" s="63" t="n">
        <v>12</v>
      </c>
      <c r="E725" s="62" t="s">
        <v>389</v>
      </c>
      <c r="F725" s="62" t="s">
        <v>150</v>
      </c>
      <c r="G725" s="62" t="s">
        <v>389</v>
      </c>
      <c r="H725" s="65" t="n">
        <v>0.1</v>
      </c>
      <c r="I725" s="62" t="s">
        <v>392</v>
      </c>
    </row>
    <row r="726" customFormat="false" ht="15" hidden="false" customHeight="false" outlineLevel="0" collapsed="false">
      <c r="A726" s="62" t="s">
        <v>388</v>
      </c>
      <c r="B726" s="63" t="n">
        <v>1591</v>
      </c>
      <c r="C726" s="64" t="n">
        <v>46308.5087467245</v>
      </c>
      <c r="D726" s="63" t="n">
        <v>12</v>
      </c>
      <c r="E726" s="62" t="s">
        <v>389</v>
      </c>
      <c r="F726" s="62" t="s">
        <v>150</v>
      </c>
      <c r="G726" s="62" t="s">
        <v>389</v>
      </c>
      <c r="H726" s="65" t="n">
        <v>2.5</v>
      </c>
      <c r="I726" s="62" t="s">
        <v>392</v>
      </c>
    </row>
    <row r="727" customFormat="false" ht="15" hidden="false" customHeight="false" outlineLevel="0" collapsed="false">
      <c r="A727" s="62" t="s">
        <v>388</v>
      </c>
      <c r="B727" s="63" t="n">
        <v>1001</v>
      </c>
      <c r="C727" s="64" t="n">
        <v>46308.5119038773</v>
      </c>
      <c r="D727" s="63" t="n">
        <v>12</v>
      </c>
      <c r="E727" s="62" t="s">
        <v>389</v>
      </c>
      <c r="F727" s="62" t="s">
        <v>430</v>
      </c>
      <c r="G727" s="62" t="s">
        <v>389</v>
      </c>
      <c r="H727" s="65" t="n">
        <v>0.6</v>
      </c>
      <c r="I727" s="62" t="s">
        <v>392</v>
      </c>
    </row>
    <row r="728" customFormat="false" ht="15" hidden="false" customHeight="false" outlineLevel="0" collapsed="false">
      <c r="A728" s="62" t="s">
        <v>388</v>
      </c>
      <c r="B728" s="63" t="n">
        <v>1001</v>
      </c>
      <c r="C728" s="64" t="n">
        <v>46308.5123550695</v>
      </c>
      <c r="D728" s="63" t="n">
        <v>12</v>
      </c>
      <c r="E728" s="62" t="s">
        <v>389</v>
      </c>
      <c r="F728" s="62" t="s">
        <v>430</v>
      </c>
      <c r="G728" s="62" t="s">
        <v>389</v>
      </c>
      <c r="H728" s="65" t="n">
        <v>0.2</v>
      </c>
      <c r="I728" s="62" t="s">
        <v>392</v>
      </c>
    </row>
    <row r="729" customFormat="false" ht="15" hidden="false" customHeight="false" outlineLevel="0" collapsed="false">
      <c r="A729" s="62" t="s">
        <v>388</v>
      </c>
      <c r="B729" s="63" t="n">
        <v>1001</v>
      </c>
      <c r="C729" s="64" t="n">
        <v>46308.5132599306</v>
      </c>
      <c r="D729" s="63" t="n">
        <v>12</v>
      </c>
      <c r="E729" s="62" t="s">
        <v>389</v>
      </c>
      <c r="F729" s="62" t="s">
        <v>430</v>
      </c>
      <c r="G729" s="62" t="s">
        <v>389</v>
      </c>
      <c r="H729" s="65" t="n">
        <v>0.4</v>
      </c>
      <c r="I729" s="62" t="s">
        <v>392</v>
      </c>
    </row>
    <row r="730" customFormat="false" ht="15" hidden="false" customHeight="false" outlineLevel="0" collapsed="false">
      <c r="A730" s="62" t="s">
        <v>388</v>
      </c>
      <c r="B730" s="63" t="n">
        <v>1001</v>
      </c>
      <c r="C730" s="64" t="n">
        <v>46308.513630544</v>
      </c>
      <c r="D730" s="63" t="n">
        <v>12</v>
      </c>
      <c r="E730" s="62" t="s">
        <v>389</v>
      </c>
      <c r="F730" s="62" t="s">
        <v>430</v>
      </c>
      <c r="G730" s="62" t="s">
        <v>389</v>
      </c>
      <c r="H730" s="65" t="n">
        <v>2</v>
      </c>
      <c r="I730" s="62" t="s">
        <v>392</v>
      </c>
    </row>
    <row r="731" customFormat="false" ht="15" hidden="false" customHeight="false" outlineLevel="0" collapsed="false">
      <c r="A731" s="62" t="s">
        <v>388</v>
      </c>
      <c r="B731" s="63" t="n">
        <v>1591</v>
      </c>
      <c r="C731" s="64" t="n">
        <v>46308.5137613079</v>
      </c>
      <c r="D731" s="63" t="n">
        <v>12</v>
      </c>
      <c r="E731" s="62" t="s">
        <v>389</v>
      </c>
      <c r="F731" s="62" t="s">
        <v>150</v>
      </c>
      <c r="G731" s="62" t="s">
        <v>389</v>
      </c>
      <c r="H731" s="65" t="n">
        <v>2.8</v>
      </c>
      <c r="I731" s="62" t="s">
        <v>392</v>
      </c>
    </row>
    <row r="732" customFormat="false" ht="15" hidden="false" customHeight="false" outlineLevel="0" collapsed="false">
      <c r="A732" s="62" t="s">
        <v>388</v>
      </c>
      <c r="B732" s="63" t="n">
        <v>1651</v>
      </c>
      <c r="C732" s="64" t="n">
        <v>46308.514937963</v>
      </c>
      <c r="D732" s="63" t="n">
        <v>12</v>
      </c>
      <c r="E732" s="62" t="s">
        <v>389</v>
      </c>
      <c r="F732" s="62" t="s">
        <v>430</v>
      </c>
      <c r="G732" s="62" t="s">
        <v>389</v>
      </c>
      <c r="H732" s="65" t="n">
        <v>16.6</v>
      </c>
      <c r="I732" s="62" t="s">
        <v>275</v>
      </c>
    </row>
    <row r="733" customFormat="false" ht="15" hidden="false" customHeight="false" outlineLevel="0" collapsed="false">
      <c r="A733" s="62" t="s">
        <v>388</v>
      </c>
      <c r="B733" s="63" t="n">
        <v>1001</v>
      </c>
      <c r="C733" s="64" t="n">
        <v>46308.5159967014</v>
      </c>
      <c r="D733" s="63" t="n">
        <v>12</v>
      </c>
      <c r="E733" s="62" t="s">
        <v>389</v>
      </c>
      <c r="F733" s="62" t="s">
        <v>407</v>
      </c>
      <c r="G733" s="62" t="s">
        <v>389</v>
      </c>
      <c r="H733" s="65" t="n">
        <v>3.8</v>
      </c>
      <c r="I733" s="62" t="s">
        <v>392</v>
      </c>
    </row>
    <row r="734" customFormat="false" ht="15" hidden="false" customHeight="false" outlineLevel="0" collapsed="false">
      <c r="A734" s="62" t="s">
        <v>388</v>
      </c>
      <c r="B734" s="63" t="n">
        <v>1001</v>
      </c>
      <c r="C734" s="64" t="n">
        <v>46308.5192116667</v>
      </c>
      <c r="D734" s="63" t="n">
        <v>12</v>
      </c>
      <c r="E734" s="62" t="s">
        <v>389</v>
      </c>
      <c r="F734" s="62" t="s">
        <v>407</v>
      </c>
      <c r="G734" s="62" t="s">
        <v>389</v>
      </c>
      <c r="H734" s="65" t="n">
        <v>2.8</v>
      </c>
      <c r="I734" s="62" t="s">
        <v>392</v>
      </c>
    </row>
    <row r="735" customFormat="false" ht="15" hidden="false" customHeight="false" outlineLevel="0" collapsed="false">
      <c r="A735" s="62" t="s">
        <v>388</v>
      </c>
      <c r="B735" s="63" t="n">
        <v>1651</v>
      </c>
      <c r="C735" s="64" t="n">
        <v>46308.5245977315</v>
      </c>
      <c r="D735" s="63" t="n">
        <v>12</v>
      </c>
      <c r="E735" s="62" t="s">
        <v>389</v>
      </c>
      <c r="F735" s="62" t="s">
        <v>431</v>
      </c>
      <c r="G735" s="62" t="s">
        <v>389</v>
      </c>
      <c r="H735" s="65" t="n">
        <v>2.7</v>
      </c>
      <c r="I735" s="62" t="s">
        <v>392</v>
      </c>
    </row>
    <row r="736" customFormat="false" ht="15" hidden="false" customHeight="false" outlineLevel="0" collapsed="false">
      <c r="A736" s="62" t="s">
        <v>388</v>
      </c>
      <c r="B736" s="63" t="n">
        <v>1001</v>
      </c>
      <c r="C736" s="64" t="n">
        <v>46308.5276723958</v>
      </c>
      <c r="D736" s="63" t="n">
        <v>12</v>
      </c>
      <c r="E736" s="62" t="s">
        <v>389</v>
      </c>
      <c r="F736" s="62" t="s">
        <v>407</v>
      </c>
      <c r="G736" s="62" t="s">
        <v>389</v>
      </c>
      <c r="H736" s="65" t="n">
        <v>1.7</v>
      </c>
      <c r="I736" s="62" t="s">
        <v>392</v>
      </c>
    </row>
    <row r="737" customFormat="false" ht="15" hidden="false" customHeight="false" outlineLevel="0" collapsed="false">
      <c r="A737" s="62" t="s">
        <v>388</v>
      </c>
      <c r="B737" s="63" t="n">
        <v>1651</v>
      </c>
      <c r="C737" s="64" t="n">
        <v>46308.5407804398</v>
      </c>
      <c r="D737" s="63" t="n">
        <v>12</v>
      </c>
      <c r="E737" s="62" t="s">
        <v>389</v>
      </c>
      <c r="F737" s="62" t="s">
        <v>151</v>
      </c>
      <c r="G737" s="62" t="s">
        <v>389</v>
      </c>
      <c r="H737" s="65" t="n">
        <v>3.2</v>
      </c>
      <c r="I737" s="62" t="s">
        <v>392</v>
      </c>
    </row>
    <row r="738" customFormat="false" ht="15" hidden="false" customHeight="false" outlineLevel="0" collapsed="false">
      <c r="A738" s="62" t="s">
        <v>388</v>
      </c>
      <c r="B738" s="63" t="n">
        <v>1202</v>
      </c>
      <c r="C738" s="64" t="n">
        <v>46308.567865463</v>
      </c>
      <c r="D738" s="63" t="n">
        <v>13</v>
      </c>
      <c r="E738" s="62" t="s">
        <v>389</v>
      </c>
      <c r="F738" s="62" t="s">
        <v>391</v>
      </c>
      <c r="G738" s="62" t="s">
        <v>389</v>
      </c>
      <c r="H738" s="65" t="n">
        <v>2.9</v>
      </c>
      <c r="I738" s="62" t="s">
        <v>392</v>
      </c>
    </row>
    <row r="739" customFormat="false" ht="15" hidden="false" customHeight="false" outlineLevel="0" collapsed="false">
      <c r="A739" s="62" t="s">
        <v>388</v>
      </c>
      <c r="B739" s="63" t="n">
        <v>1661</v>
      </c>
      <c r="C739" s="64" t="n">
        <v>46308.5719147338</v>
      </c>
      <c r="D739" s="63" t="n">
        <v>13</v>
      </c>
      <c r="E739" s="62" t="s">
        <v>389</v>
      </c>
      <c r="F739" s="62" t="s">
        <v>430</v>
      </c>
      <c r="G739" s="62" t="s">
        <v>389</v>
      </c>
      <c r="H739" s="65" t="n">
        <v>3.5</v>
      </c>
      <c r="I739" s="62" t="s">
        <v>275</v>
      </c>
    </row>
    <row r="740" customFormat="false" ht="15" hidden="false" customHeight="false" outlineLevel="0" collapsed="false">
      <c r="A740" s="62" t="s">
        <v>388</v>
      </c>
      <c r="B740" s="63" t="n">
        <v>1661</v>
      </c>
      <c r="C740" s="64" t="n">
        <v>46308.5742459607</v>
      </c>
      <c r="D740" s="63" t="n">
        <v>13</v>
      </c>
      <c r="E740" s="62" t="s">
        <v>389</v>
      </c>
      <c r="F740" s="62" t="s">
        <v>431</v>
      </c>
      <c r="G740" s="62" t="s">
        <v>389</v>
      </c>
      <c r="H740" s="65" t="n">
        <v>0.2</v>
      </c>
      <c r="I740" s="62" t="s">
        <v>392</v>
      </c>
    </row>
    <row r="741" customFormat="false" ht="15" hidden="false" customHeight="false" outlineLevel="0" collapsed="false">
      <c r="A741" s="62" t="s">
        <v>388</v>
      </c>
      <c r="B741" s="63" t="n">
        <v>1661</v>
      </c>
      <c r="C741" s="64" t="n">
        <v>46308.575033044</v>
      </c>
      <c r="D741" s="63" t="n">
        <v>13</v>
      </c>
      <c r="E741" s="62" t="s">
        <v>389</v>
      </c>
      <c r="F741" s="62" t="s">
        <v>431</v>
      </c>
      <c r="G741" s="62" t="s">
        <v>389</v>
      </c>
      <c r="H741" s="65" t="n">
        <v>3.6</v>
      </c>
      <c r="I741" s="62" t="s">
        <v>392</v>
      </c>
    </row>
    <row r="742" customFormat="false" ht="15" hidden="false" customHeight="false" outlineLevel="0" collapsed="false">
      <c r="A742" s="62" t="s">
        <v>388</v>
      </c>
      <c r="B742" s="63" t="n">
        <v>1338</v>
      </c>
      <c r="C742" s="64" t="n">
        <v>46308.5823891204</v>
      </c>
      <c r="D742" s="63" t="n">
        <v>13</v>
      </c>
      <c r="E742" s="62" t="s">
        <v>389</v>
      </c>
      <c r="F742" s="62" t="s">
        <v>150</v>
      </c>
      <c r="G742" s="62" t="s">
        <v>389</v>
      </c>
      <c r="H742" s="65" t="n">
        <v>1.1</v>
      </c>
      <c r="I742" s="62" t="s">
        <v>275</v>
      </c>
    </row>
    <row r="743" customFormat="false" ht="15" hidden="false" customHeight="false" outlineLevel="0" collapsed="false">
      <c r="A743" s="62" t="s">
        <v>388</v>
      </c>
      <c r="B743" s="63" t="n">
        <v>1338</v>
      </c>
      <c r="C743" s="64" t="n">
        <v>46308.582813206</v>
      </c>
      <c r="D743" s="63" t="n">
        <v>13</v>
      </c>
      <c r="E743" s="62" t="s">
        <v>389</v>
      </c>
      <c r="F743" s="62" t="s">
        <v>151</v>
      </c>
      <c r="G743" s="62" t="s">
        <v>389</v>
      </c>
      <c r="H743" s="65" t="n">
        <v>0.5</v>
      </c>
      <c r="I743" s="62" t="s">
        <v>275</v>
      </c>
    </row>
    <row r="744" customFormat="false" ht="15" hidden="false" customHeight="false" outlineLevel="0" collapsed="false">
      <c r="A744" s="62" t="s">
        <v>388</v>
      </c>
      <c r="B744" s="63" t="n">
        <v>1338</v>
      </c>
      <c r="C744" s="64" t="n">
        <v>46308.5830844792</v>
      </c>
      <c r="D744" s="63" t="n">
        <v>13</v>
      </c>
      <c r="E744" s="62" t="s">
        <v>389</v>
      </c>
      <c r="F744" s="62" t="s">
        <v>152</v>
      </c>
      <c r="G744" s="62" t="s">
        <v>389</v>
      </c>
      <c r="H744" s="65" t="n">
        <v>0.1</v>
      </c>
      <c r="I744" s="62" t="s">
        <v>392</v>
      </c>
    </row>
    <row r="745" customFormat="false" ht="15" hidden="false" customHeight="false" outlineLevel="0" collapsed="false">
      <c r="A745" s="62" t="s">
        <v>388</v>
      </c>
      <c r="B745" s="63" t="n">
        <v>1338</v>
      </c>
      <c r="C745" s="64" t="n">
        <v>46308.5836216551</v>
      </c>
      <c r="D745" s="63" t="n">
        <v>14</v>
      </c>
      <c r="E745" s="62" t="s">
        <v>389</v>
      </c>
      <c r="F745" s="62" t="s">
        <v>152</v>
      </c>
      <c r="G745" s="62" t="s">
        <v>389</v>
      </c>
      <c r="H745" s="65" t="n">
        <v>0.4</v>
      </c>
      <c r="I745" s="62" t="s">
        <v>392</v>
      </c>
    </row>
    <row r="746" customFormat="false" ht="15" hidden="false" customHeight="false" outlineLevel="0" collapsed="false">
      <c r="A746" s="62" t="s">
        <v>388</v>
      </c>
      <c r="B746" s="63" t="n">
        <v>1635</v>
      </c>
      <c r="C746" s="64" t="n">
        <v>46308.5866227894</v>
      </c>
      <c r="D746" s="63" t="n">
        <v>14</v>
      </c>
      <c r="E746" s="62" t="s">
        <v>389</v>
      </c>
      <c r="F746" s="62" t="s">
        <v>150</v>
      </c>
      <c r="G746" s="62" t="s">
        <v>389</v>
      </c>
      <c r="H746" s="65" t="n">
        <v>5.9</v>
      </c>
      <c r="I746" s="62" t="s">
        <v>392</v>
      </c>
    </row>
    <row r="747" customFormat="false" ht="15" hidden="false" customHeight="false" outlineLevel="0" collapsed="false">
      <c r="A747" s="62" t="s">
        <v>388</v>
      </c>
      <c r="B747" s="63" t="n">
        <v>1338</v>
      </c>
      <c r="C747" s="64" t="n">
        <v>46308.5871758681</v>
      </c>
      <c r="D747" s="63" t="n">
        <v>14</v>
      </c>
      <c r="E747" s="62" t="s">
        <v>389</v>
      </c>
      <c r="F747" s="62" t="s">
        <v>152</v>
      </c>
      <c r="G747" s="62" t="s">
        <v>389</v>
      </c>
      <c r="H747" s="65" t="n">
        <v>0.2</v>
      </c>
      <c r="I747" s="62" t="s">
        <v>392</v>
      </c>
    </row>
    <row r="748" customFormat="false" ht="15" hidden="false" customHeight="false" outlineLevel="0" collapsed="false">
      <c r="A748" s="62" t="s">
        <v>388</v>
      </c>
      <c r="B748" s="63" t="n">
        <v>1338</v>
      </c>
      <c r="C748" s="64" t="n">
        <v>46308.5886255324</v>
      </c>
      <c r="D748" s="63" t="n">
        <v>14</v>
      </c>
      <c r="E748" s="62" t="s">
        <v>389</v>
      </c>
      <c r="F748" s="62" t="s">
        <v>152</v>
      </c>
      <c r="G748" s="62" t="s">
        <v>389</v>
      </c>
      <c r="H748" s="65" t="n">
        <v>2.6</v>
      </c>
      <c r="I748" s="62" t="s">
        <v>392</v>
      </c>
    </row>
    <row r="749" customFormat="false" ht="15" hidden="false" customHeight="false" outlineLevel="0" collapsed="false">
      <c r="A749" s="62" t="s">
        <v>388</v>
      </c>
      <c r="B749" s="63" t="n">
        <v>1509</v>
      </c>
      <c r="C749" s="64" t="n">
        <v>46308.5987904514</v>
      </c>
      <c r="D749" s="63" t="n">
        <v>14</v>
      </c>
      <c r="E749" s="62" t="s">
        <v>389</v>
      </c>
      <c r="F749" s="62" t="s">
        <v>150</v>
      </c>
      <c r="G749" s="62" t="s">
        <v>389</v>
      </c>
      <c r="H749" s="65" t="n">
        <v>1.7</v>
      </c>
      <c r="I749" s="62" t="s">
        <v>392</v>
      </c>
    </row>
    <row r="750" customFormat="false" ht="15" hidden="false" customHeight="false" outlineLevel="0" collapsed="false">
      <c r="A750" s="62" t="s">
        <v>388</v>
      </c>
      <c r="B750" s="63" t="n">
        <v>1509</v>
      </c>
      <c r="C750" s="64" t="n">
        <v>46308.6002805208</v>
      </c>
      <c r="D750" s="63" t="n">
        <v>14</v>
      </c>
      <c r="E750" s="62" t="s">
        <v>389</v>
      </c>
      <c r="F750" s="62" t="s">
        <v>150</v>
      </c>
      <c r="G750" s="62" t="s">
        <v>389</v>
      </c>
      <c r="H750" s="65" t="n">
        <v>1.6</v>
      </c>
      <c r="I750" s="62" t="s">
        <v>392</v>
      </c>
    </row>
    <row r="751" customFormat="false" ht="15" hidden="false" customHeight="false" outlineLevel="0" collapsed="false">
      <c r="A751" s="62" t="s">
        <v>388</v>
      </c>
      <c r="B751" s="63" t="n">
        <v>1635</v>
      </c>
      <c r="C751" s="64" t="n">
        <v>46308.6043432176</v>
      </c>
      <c r="D751" s="63" t="n">
        <v>14</v>
      </c>
      <c r="E751" s="62" t="s">
        <v>389</v>
      </c>
      <c r="F751" s="62" t="s">
        <v>150</v>
      </c>
      <c r="G751" s="62" t="s">
        <v>389</v>
      </c>
      <c r="H751" s="65" t="n">
        <v>0.8</v>
      </c>
      <c r="I751" s="62" t="s">
        <v>392</v>
      </c>
    </row>
    <row r="752" customFormat="false" ht="15" hidden="false" customHeight="false" outlineLevel="0" collapsed="false">
      <c r="A752" s="62" t="s">
        <v>388</v>
      </c>
      <c r="B752" s="63" t="n">
        <v>1509</v>
      </c>
      <c r="C752" s="64" t="n">
        <v>46308.6047213889</v>
      </c>
      <c r="D752" s="63" t="n">
        <v>14</v>
      </c>
      <c r="E752" s="62" t="s">
        <v>389</v>
      </c>
      <c r="F752" s="62" t="s">
        <v>150</v>
      </c>
      <c r="G752" s="62" t="s">
        <v>389</v>
      </c>
      <c r="H752" s="65" t="n">
        <v>4.3</v>
      </c>
      <c r="I752" s="62" t="s">
        <v>392</v>
      </c>
    </row>
    <row r="753" customFormat="false" ht="15" hidden="false" customHeight="false" outlineLevel="0" collapsed="false">
      <c r="A753" s="62" t="s">
        <v>388</v>
      </c>
      <c r="B753" s="63" t="n">
        <v>1668</v>
      </c>
      <c r="C753" s="64" t="n">
        <v>46308.6108800926</v>
      </c>
      <c r="D753" s="63" t="n">
        <v>14</v>
      </c>
      <c r="E753" s="62" t="s">
        <v>389</v>
      </c>
      <c r="F753" s="62" t="s">
        <v>430</v>
      </c>
      <c r="G753" s="62" t="s">
        <v>389</v>
      </c>
      <c r="H753" s="65" t="n">
        <v>260.2</v>
      </c>
      <c r="I753" s="62" t="s">
        <v>275</v>
      </c>
    </row>
    <row r="754" customFormat="false" ht="15" hidden="false" customHeight="false" outlineLevel="0" collapsed="false">
      <c r="A754" s="62" t="s">
        <v>388</v>
      </c>
      <c r="B754" s="63" t="n">
        <v>1180</v>
      </c>
      <c r="C754" s="64" t="n">
        <v>46308.6182807639</v>
      </c>
      <c r="D754" s="63" t="n">
        <v>14</v>
      </c>
      <c r="E754" s="62" t="s">
        <v>389</v>
      </c>
      <c r="F754" s="62" t="s">
        <v>391</v>
      </c>
      <c r="G754" s="62" t="s">
        <v>389</v>
      </c>
      <c r="H754" s="65" t="n">
        <v>0.2</v>
      </c>
      <c r="I754" s="62" t="s">
        <v>392</v>
      </c>
    </row>
    <row r="755" customFormat="false" ht="15" hidden="false" customHeight="false" outlineLevel="0" collapsed="false">
      <c r="A755" s="62" t="s">
        <v>388</v>
      </c>
      <c r="B755" s="63" t="n">
        <v>1677</v>
      </c>
      <c r="C755" s="64" t="n">
        <v>46308.6445658681</v>
      </c>
      <c r="D755" s="63" t="n">
        <v>15</v>
      </c>
      <c r="E755" s="62" t="s">
        <v>389</v>
      </c>
      <c r="F755" s="62" t="s">
        <v>430</v>
      </c>
      <c r="G755" s="62" t="s">
        <v>389</v>
      </c>
      <c r="H755" s="65" t="n">
        <v>6.9</v>
      </c>
      <c r="I755" s="62" t="s">
        <v>275</v>
      </c>
    </row>
    <row r="756" customFormat="false" ht="15" hidden="false" customHeight="false" outlineLevel="0" collapsed="false">
      <c r="A756" s="62" t="s">
        <v>388</v>
      </c>
      <c r="B756" s="63" t="n">
        <v>1677</v>
      </c>
      <c r="C756" s="64" t="n">
        <v>46308.6463354861</v>
      </c>
      <c r="D756" s="63" t="n">
        <v>15</v>
      </c>
      <c r="E756" s="62" t="s">
        <v>389</v>
      </c>
      <c r="F756" s="62" t="s">
        <v>431</v>
      </c>
      <c r="G756" s="62" t="s">
        <v>389</v>
      </c>
      <c r="H756" s="65" t="n">
        <v>4.4</v>
      </c>
      <c r="I756" s="62" t="s">
        <v>275</v>
      </c>
    </row>
    <row r="757" customFormat="false" ht="15" hidden="false" customHeight="false" outlineLevel="0" collapsed="false">
      <c r="A757" s="62" t="s">
        <v>388</v>
      </c>
      <c r="B757" s="63" t="n">
        <v>1679</v>
      </c>
      <c r="C757" s="64" t="n">
        <v>46308.646629294</v>
      </c>
      <c r="D757" s="63" t="n">
        <v>15</v>
      </c>
      <c r="E757" s="62" t="s">
        <v>389</v>
      </c>
      <c r="F757" s="62" t="s">
        <v>430</v>
      </c>
      <c r="G757" s="62" t="s">
        <v>389</v>
      </c>
      <c r="H757" s="65" t="n">
        <v>2834.7</v>
      </c>
      <c r="I757" s="62" t="s">
        <v>275</v>
      </c>
    </row>
    <row r="758" customFormat="false" ht="15" hidden="false" customHeight="false" outlineLevel="0" collapsed="false">
      <c r="A758" s="62" t="s">
        <v>388</v>
      </c>
      <c r="B758" s="63" t="n">
        <v>1677</v>
      </c>
      <c r="C758" s="64" t="n">
        <v>46308.6485064468</v>
      </c>
      <c r="D758" s="63" t="n">
        <v>15</v>
      </c>
      <c r="E758" s="62" t="s">
        <v>389</v>
      </c>
      <c r="F758" s="62" t="s">
        <v>431</v>
      </c>
      <c r="G758" s="62" t="s">
        <v>389</v>
      </c>
      <c r="H758" s="65" t="n">
        <v>1.2</v>
      </c>
      <c r="I758" s="62" t="s">
        <v>392</v>
      </c>
    </row>
    <row r="759" customFormat="false" ht="15" hidden="false" customHeight="false" outlineLevel="0" collapsed="false">
      <c r="A759" s="62" t="s">
        <v>388</v>
      </c>
      <c r="B759" s="63" t="n">
        <v>1682</v>
      </c>
      <c r="C759" s="64" t="n">
        <v>46308.6716114468</v>
      </c>
      <c r="D759" s="63" t="n">
        <v>16</v>
      </c>
      <c r="E759" s="62" t="s">
        <v>389</v>
      </c>
      <c r="F759" s="62" t="s">
        <v>430</v>
      </c>
      <c r="G759" s="62" t="s">
        <v>389</v>
      </c>
      <c r="H759" s="65" t="n">
        <v>3.8</v>
      </c>
      <c r="I759" s="62" t="s">
        <v>275</v>
      </c>
    </row>
    <row r="760" customFormat="false" ht="15" hidden="false" customHeight="false" outlineLevel="0" collapsed="false">
      <c r="A760" s="62" t="s">
        <v>388</v>
      </c>
      <c r="B760" s="63" t="n">
        <v>1682</v>
      </c>
      <c r="C760" s="64" t="n">
        <v>46308.6740591204</v>
      </c>
      <c r="D760" s="63" t="n">
        <v>16</v>
      </c>
      <c r="E760" s="62" t="s">
        <v>389</v>
      </c>
      <c r="F760" s="62" t="s">
        <v>431</v>
      </c>
      <c r="G760" s="62" t="s">
        <v>389</v>
      </c>
      <c r="H760" s="65" t="n">
        <v>0.2</v>
      </c>
      <c r="I760" s="62" t="s">
        <v>392</v>
      </c>
    </row>
    <row r="761" customFormat="false" ht="15" hidden="false" customHeight="false" outlineLevel="0" collapsed="false">
      <c r="A761" s="62" t="s">
        <v>388</v>
      </c>
      <c r="B761" s="63" t="n">
        <v>1682</v>
      </c>
      <c r="C761" s="64" t="n">
        <v>46308.6743109607</v>
      </c>
      <c r="D761" s="63" t="n">
        <v>16</v>
      </c>
      <c r="E761" s="62" t="s">
        <v>389</v>
      </c>
      <c r="F761" s="62" t="s">
        <v>431</v>
      </c>
      <c r="G761" s="62" t="s">
        <v>389</v>
      </c>
      <c r="H761" s="65" t="n">
        <v>4.1</v>
      </c>
      <c r="I761" s="62" t="s">
        <v>392</v>
      </c>
    </row>
    <row r="762" customFormat="false" ht="15" hidden="false" customHeight="false" outlineLevel="0" collapsed="false">
      <c r="A762" s="62" t="s">
        <v>388</v>
      </c>
      <c r="B762" s="63" t="n">
        <v>1690</v>
      </c>
      <c r="C762" s="64" t="n">
        <v>46308.6885553357</v>
      </c>
      <c r="D762" s="63" t="n">
        <v>16</v>
      </c>
      <c r="E762" s="62" t="s">
        <v>389</v>
      </c>
      <c r="F762" s="62" t="s">
        <v>430</v>
      </c>
      <c r="G762" s="62" t="s">
        <v>389</v>
      </c>
      <c r="H762" s="65" t="n">
        <v>1201.5</v>
      </c>
      <c r="I762" s="62" t="s">
        <v>275</v>
      </c>
    </row>
    <row r="763" customFormat="false" ht="15" hidden="false" customHeight="false" outlineLevel="0" collapsed="false">
      <c r="A763" s="62" t="s">
        <v>388</v>
      </c>
      <c r="B763" s="63" t="n">
        <v>1691</v>
      </c>
      <c r="C763" s="64" t="n">
        <v>46308.68858875</v>
      </c>
      <c r="D763" s="63" t="n">
        <v>16</v>
      </c>
      <c r="E763" s="62" t="s">
        <v>389</v>
      </c>
      <c r="F763" s="62" t="s">
        <v>430</v>
      </c>
      <c r="G763" s="62" t="s">
        <v>389</v>
      </c>
      <c r="H763" s="65" t="n">
        <v>58.4</v>
      </c>
      <c r="I763" s="62" t="s">
        <v>275</v>
      </c>
    </row>
    <row r="764" customFormat="false" ht="15" hidden="false" customHeight="false" outlineLevel="0" collapsed="false">
      <c r="A764" s="62" t="s">
        <v>388</v>
      </c>
      <c r="B764" s="63" t="n">
        <v>1682</v>
      </c>
      <c r="C764" s="64" t="n">
        <v>46308.689597338</v>
      </c>
      <c r="D764" s="63" t="n">
        <v>16</v>
      </c>
      <c r="E764" s="62" t="s">
        <v>389</v>
      </c>
      <c r="F764" s="62" t="s">
        <v>151</v>
      </c>
      <c r="G764" s="62" t="s">
        <v>389</v>
      </c>
      <c r="H764" s="65" t="n">
        <v>4.1</v>
      </c>
      <c r="I764" s="62" t="s">
        <v>392</v>
      </c>
    </row>
    <row r="765" customFormat="false" ht="15" hidden="false" customHeight="false" outlineLevel="0" collapsed="false">
      <c r="A765" s="62" t="s">
        <v>388</v>
      </c>
      <c r="B765" s="63" t="n">
        <v>1403</v>
      </c>
      <c r="C765" s="64" t="n">
        <v>46308.7067034954</v>
      </c>
      <c r="D765" s="63" t="n">
        <v>16</v>
      </c>
      <c r="E765" s="62" t="s">
        <v>389</v>
      </c>
      <c r="F765" s="62" t="s">
        <v>150</v>
      </c>
      <c r="G765" s="62" t="s">
        <v>389</v>
      </c>
      <c r="H765" s="65" t="n">
        <v>5.6</v>
      </c>
      <c r="I765" s="62" t="s">
        <v>392</v>
      </c>
    </row>
    <row r="766" customFormat="false" ht="15" hidden="false" customHeight="false" outlineLevel="0" collapsed="false">
      <c r="A766" s="62" t="s">
        <v>388</v>
      </c>
      <c r="B766" s="63" t="n">
        <v>1691</v>
      </c>
      <c r="C766" s="64" t="n">
        <v>46308.7226725926</v>
      </c>
      <c r="D766" s="63" t="n">
        <v>17</v>
      </c>
      <c r="E766" s="62" t="s">
        <v>389</v>
      </c>
      <c r="F766" s="62" t="s">
        <v>431</v>
      </c>
      <c r="G766" s="62" t="s">
        <v>389</v>
      </c>
      <c r="H766" s="65" t="n">
        <v>9.3</v>
      </c>
      <c r="I766" s="62" t="s">
        <v>392</v>
      </c>
    </row>
    <row r="767" customFormat="false" ht="15" hidden="false" customHeight="false" outlineLevel="0" collapsed="false">
      <c r="A767" s="62" t="s">
        <v>388</v>
      </c>
      <c r="B767" s="63" t="n">
        <v>1702</v>
      </c>
      <c r="C767" s="64" t="n">
        <v>46308.7258474421</v>
      </c>
      <c r="D767" s="63" t="n">
        <v>17</v>
      </c>
      <c r="E767" s="62" t="s">
        <v>389</v>
      </c>
      <c r="F767" s="62" t="s">
        <v>430</v>
      </c>
      <c r="G767" s="62" t="s">
        <v>390</v>
      </c>
      <c r="H767" s="65"/>
      <c r="I767" s="62" t="s">
        <v>275</v>
      </c>
    </row>
    <row r="768" customFormat="false" ht="15" hidden="false" customHeight="false" outlineLevel="0" collapsed="false">
      <c r="A768" s="62" t="s">
        <v>388</v>
      </c>
      <c r="B768" s="63" t="n">
        <v>1696</v>
      </c>
      <c r="C768" s="64" t="n">
        <v>46308.7264718056</v>
      </c>
      <c r="D768" s="63" t="n">
        <v>17</v>
      </c>
      <c r="E768" s="62" t="s">
        <v>389</v>
      </c>
      <c r="F768" s="62" t="s">
        <v>431</v>
      </c>
      <c r="G768" s="62" t="s">
        <v>389</v>
      </c>
      <c r="H768" s="65" t="n">
        <v>3.5</v>
      </c>
      <c r="I768" s="62" t="s">
        <v>392</v>
      </c>
    </row>
    <row r="769" customFormat="false" ht="15" hidden="false" customHeight="false" outlineLevel="0" collapsed="false">
      <c r="A769" s="62" t="s">
        <v>388</v>
      </c>
      <c r="B769" s="63" t="n">
        <v>1705</v>
      </c>
      <c r="C769" s="64" t="n">
        <v>46308.7429167708</v>
      </c>
      <c r="D769" s="63" t="n">
        <v>17</v>
      </c>
      <c r="E769" s="62" t="s">
        <v>389</v>
      </c>
      <c r="F769" s="62" t="s">
        <v>430</v>
      </c>
      <c r="G769" s="62" t="s">
        <v>389</v>
      </c>
      <c r="H769" s="65" t="n">
        <v>1123.7</v>
      </c>
      <c r="I769" s="62" t="s">
        <v>275</v>
      </c>
    </row>
    <row r="770" customFormat="false" ht="15" hidden="false" customHeight="false" outlineLevel="0" collapsed="false">
      <c r="A770" s="62" t="s">
        <v>388</v>
      </c>
      <c r="B770" s="63" t="n">
        <v>1181</v>
      </c>
      <c r="C770" s="64" t="n">
        <v>46308.7564614699</v>
      </c>
      <c r="D770" s="63" t="n">
        <v>18</v>
      </c>
      <c r="E770" s="62" t="s">
        <v>389</v>
      </c>
      <c r="F770" s="62" t="s">
        <v>431</v>
      </c>
      <c r="G770" s="62" t="s">
        <v>389</v>
      </c>
      <c r="H770" s="65" t="n">
        <v>2.2</v>
      </c>
      <c r="I770" s="62" t="s">
        <v>392</v>
      </c>
    </row>
    <row r="771" customFormat="false" ht="15" hidden="false" customHeight="false" outlineLevel="0" collapsed="false">
      <c r="A771" s="62" t="s">
        <v>388</v>
      </c>
      <c r="B771" s="63" t="n">
        <v>1709</v>
      </c>
      <c r="C771" s="64" t="n">
        <v>46308.7587916782</v>
      </c>
      <c r="D771" s="63" t="n">
        <v>18</v>
      </c>
      <c r="E771" s="62" t="s">
        <v>389</v>
      </c>
      <c r="F771" s="62" t="s">
        <v>430</v>
      </c>
      <c r="G771" s="62" t="s">
        <v>389</v>
      </c>
      <c r="H771" s="65" t="n">
        <v>21.8</v>
      </c>
      <c r="I771" s="62" t="s">
        <v>275</v>
      </c>
    </row>
    <row r="772" customFormat="false" ht="15" hidden="false" customHeight="false" outlineLevel="0" collapsed="false">
      <c r="A772" s="62" t="s">
        <v>388</v>
      </c>
      <c r="B772" s="63" t="n">
        <v>1709</v>
      </c>
      <c r="C772" s="64" t="n">
        <v>46308.7616178241</v>
      </c>
      <c r="D772" s="63" t="n">
        <v>18</v>
      </c>
      <c r="E772" s="62" t="s">
        <v>389</v>
      </c>
      <c r="F772" s="62" t="s">
        <v>431</v>
      </c>
      <c r="G772" s="62" t="s">
        <v>389</v>
      </c>
      <c r="H772" s="65" t="n">
        <v>17.8</v>
      </c>
      <c r="I772" s="62" t="s">
        <v>392</v>
      </c>
    </row>
    <row r="773" customFormat="false" ht="15" hidden="false" customHeight="false" outlineLevel="0" collapsed="false">
      <c r="A773" s="62" t="s">
        <v>388</v>
      </c>
      <c r="B773" s="63" t="n">
        <v>1181</v>
      </c>
      <c r="C773" s="64" t="n">
        <v>46308.7639124306</v>
      </c>
      <c r="D773" s="63" t="n">
        <v>18</v>
      </c>
      <c r="E773" s="62" t="s">
        <v>389</v>
      </c>
      <c r="F773" s="62" t="s">
        <v>431</v>
      </c>
      <c r="G773" s="62" t="s">
        <v>389</v>
      </c>
      <c r="H773" s="65" t="n">
        <v>12.1</v>
      </c>
      <c r="I773" s="62" t="s">
        <v>275</v>
      </c>
    </row>
    <row r="774" customFormat="false" ht="15" hidden="false" customHeight="false" outlineLevel="0" collapsed="false">
      <c r="A774" s="62" t="s">
        <v>388</v>
      </c>
      <c r="B774" s="63" t="n">
        <v>1338</v>
      </c>
      <c r="C774" s="64" t="n">
        <v>46308.770820706</v>
      </c>
      <c r="D774" s="63" t="n">
        <v>18</v>
      </c>
      <c r="E774" s="62" t="s">
        <v>389</v>
      </c>
      <c r="F774" s="62" t="s">
        <v>407</v>
      </c>
      <c r="G774" s="62" t="s">
        <v>389</v>
      </c>
      <c r="H774" s="65" t="n">
        <v>1.8</v>
      </c>
      <c r="I774" s="62" t="s">
        <v>392</v>
      </c>
    </row>
    <row r="775" customFormat="false" ht="15" hidden="false" customHeight="false" outlineLevel="0" collapsed="false">
      <c r="A775" s="62" t="s">
        <v>388</v>
      </c>
      <c r="B775" s="63" t="n">
        <v>1181</v>
      </c>
      <c r="C775" s="64" t="n">
        <v>46308.7713479514</v>
      </c>
      <c r="D775" s="63" t="n">
        <v>18</v>
      </c>
      <c r="E775" s="62" t="s">
        <v>389</v>
      </c>
      <c r="F775" s="62" t="s">
        <v>151</v>
      </c>
      <c r="G775" s="62" t="s">
        <v>389</v>
      </c>
      <c r="H775" s="65" t="n">
        <v>1.4</v>
      </c>
      <c r="I775" s="62" t="s">
        <v>392</v>
      </c>
    </row>
    <row r="776" customFormat="false" ht="15" hidden="false" customHeight="false" outlineLevel="0" collapsed="false">
      <c r="A776" s="62" t="s">
        <v>388</v>
      </c>
      <c r="B776" s="63" t="n">
        <v>1181</v>
      </c>
      <c r="C776" s="64" t="n">
        <v>46308.7740234144</v>
      </c>
      <c r="D776" s="63" t="n">
        <v>18</v>
      </c>
      <c r="E776" s="62" t="s">
        <v>389</v>
      </c>
      <c r="F776" s="62" t="s">
        <v>152</v>
      </c>
      <c r="G776" s="62" t="s">
        <v>389</v>
      </c>
      <c r="H776" s="65" t="n">
        <v>6.1</v>
      </c>
      <c r="I776" s="62" t="s">
        <v>392</v>
      </c>
    </row>
    <row r="777" customFormat="false" ht="15" hidden="false" customHeight="false" outlineLevel="0" collapsed="false">
      <c r="A777" s="62" t="s">
        <v>388</v>
      </c>
      <c r="B777" s="63" t="n">
        <v>1338</v>
      </c>
      <c r="C777" s="64" t="n">
        <v>46308.7754340278</v>
      </c>
      <c r="D777" s="63" t="n">
        <v>18</v>
      </c>
      <c r="E777" s="62" t="s">
        <v>389</v>
      </c>
      <c r="F777" s="62" t="s">
        <v>407</v>
      </c>
      <c r="G777" s="62" t="s">
        <v>389</v>
      </c>
      <c r="H777" s="65" t="n">
        <v>0.6</v>
      </c>
      <c r="I777" s="62" t="s">
        <v>392</v>
      </c>
    </row>
    <row r="778" customFormat="false" ht="15" hidden="false" customHeight="false" outlineLevel="0" collapsed="false">
      <c r="A778" s="62" t="s">
        <v>388</v>
      </c>
      <c r="B778" s="63" t="n">
        <v>1338</v>
      </c>
      <c r="C778" s="64" t="n">
        <v>46308.7760240509</v>
      </c>
      <c r="D778" s="63" t="n">
        <v>18</v>
      </c>
      <c r="E778" s="62" t="s">
        <v>389</v>
      </c>
      <c r="F778" s="62" t="s">
        <v>407</v>
      </c>
      <c r="G778" s="62" t="s">
        <v>389</v>
      </c>
      <c r="H778" s="65" t="n">
        <v>0.3</v>
      </c>
      <c r="I778" s="62" t="s">
        <v>392</v>
      </c>
    </row>
    <row r="779" customFormat="false" ht="15" hidden="false" customHeight="false" outlineLevel="0" collapsed="false">
      <c r="A779" s="62" t="s">
        <v>388</v>
      </c>
      <c r="B779" s="63" t="n">
        <v>1340</v>
      </c>
      <c r="C779" s="64" t="n">
        <v>46308.7768287153</v>
      </c>
      <c r="D779" s="63" t="n">
        <v>18</v>
      </c>
      <c r="E779" s="62" t="s">
        <v>389</v>
      </c>
      <c r="F779" s="62" t="s">
        <v>150</v>
      </c>
      <c r="G779" s="62" t="s">
        <v>389</v>
      </c>
      <c r="H779" s="65" t="n">
        <v>5.3</v>
      </c>
      <c r="I779" s="62" t="s">
        <v>275</v>
      </c>
    </row>
    <row r="780" customFormat="false" ht="15" hidden="false" customHeight="false" outlineLevel="0" collapsed="false">
      <c r="A780" s="62" t="s">
        <v>388</v>
      </c>
      <c r="B780" s="63" t="n">
        <v>1340</v>
      </c>
      <c r="C780" s="64" t="n">
        <v>46308.7785672569</v>
      </c>
      <c r="D780" s="63" t="n">
        <v>18</v>
      </c>
      <c r="E780" s="62" t="s">
        <v>389</v>
      </c>
      <c r="F780" s="62" t="s">
        <v>151</v>
      </c>
      <c r="G780" s="62" t="s">
        <v>389</v>
      </c>
      <c r="H780" s="65" t="n">
        <v>2.8</v>
      </c>
      <c r="I780" s="62" t="s">
        <v>392</v>
      </c>
    </row>
    <row r="781" customFormat="false" ht="15" hidden="false" customHeight="false" outlineLevel="0" collapsed="false">
      <c r="A781" s="62" t="s">
        <v>388</v>
      </c>
      <c r="B781" s="63" t="n">
        <v>1668</v>
      </c>
      <c r="C781" s="64" t="n">
        <v>46308.7914072338</v>
      </c>
      <c r="D781" s="63" t="n">
        <v>18</v>
      </c>
      <c r="E781" s="62" t="s">
        <v>389</v>
      </c>
      <c r="F781" s="62" t="s">
        <v>150</v>
      </c>
      <c r="G781" s="62" t="s">
        <v>389</v>
      </c>
      <c r="H781" s="65" t="n">
        <v>0.3</v>
      </c>
      <c r="I781" s="62" t="s">
        <v>392</v>
      </c>
    </row>
    <row r="782" customFormat="false" ht="15" hidden="false" customHeight="false" outlineLevel="0" collapsed="false">
      <c r="A782" s="62" t="s">
        <v>388</v>
      </c>
      <c r="B782" s="63" t="n">
        <v>1181</v>
      </c>
      <c r="C782" s="64" t="n">
        <v>46308.7927324074</v>
      </c>
      <c r="D782" s="63" t="n">
        <v>19</v>
      </c>
      <c r="E782" s="62" t="s">
        <v>389</v>
      </c>
      <c r="F782" s="62" t="s">
        <v>152</v>
      </c>
      <c r="G782" s="62" t="s">
        <v>389</v>
      </c>
      <c r="H782" s="65" t="n">
        <v>7.2</v>
      </c>
      <c r="I782" s="62" t="s">
        <v>392</v>
      </c>
    </row>
    <row r="783" customFormat="false" ht="15" hidden="false" customHeight="false" outlineLevel="0" collapsed="false">
      <c r="A783" s="62" t="s">
        <v>388</v>
      </c>
      <c r="B783" s="63" t="n">
        <v>1714</v>
      </c>
      <c r="C783" s="64" t="n">
        <v>46308.7976208333</v>
      </c>
      <c r="D783" s="63" t="n">
        <v>19</v>
      </c>
      <c r="E783" s="62" t="s">
        <v>389</v>
      </c>
      <c r="F783" s="62" t="s">
        <v>430</v>
      </c>
      <c r="G783" s="62" t="s">
        <v>389</v>
      </c>
      <c r="H783" s="65" t="n">
        <v>5.5</v>
      </c>
      <c r="I783" s="62" t="s">
        <v>275</v>
      </c>
    </row>
    <row r="784" customFormat="false" ht="15" hidden="false" customHeight="false" outlineLevel="0" collapsed="false">
      <c r="A784" s="62" t="s">
        <v>388</v>
      </c>
      <c r="B784" s="63" t="n">
        <v>1668</v>
      </c>
      <c r="C784" s="64" t="n">
        <v>46308.8003660185</v>
      </c>
      <c r="D784" s="63" t="n">
        <v>19</v>
      </c>
      <c r="E784" s="62" t="s">
        <v>389</v>
      </c>
      <c r="F784" s="62" t="s">
        <v>151</v>
      </c>
      <c r="G784" s="62" t="s">
        <v>389</v>
      </c>
      <c r="H784" s="65" t="n">
        <v>0.2</v>
      </c>
      <c r="I784" s="62" t="s">
        <v>392</v>
      </c>
    </row>
    <row r="785" customFormat="false" ht="15" hidden="false" customHeight="false" outlineLevel="0" collapsed="false">
      <c r="A785" s="62" t="s">
        <v>388</v>
      </c>
      <c r="B785" s="63" t="n">
        <v>1714</v>
      </c>
      <c r="C785" s="64" t="n">
        <v>46308.8006108102</v>
      </c>
      <c r="D785" s="63" t="n">
        <v>19</v>
      </c>
      <c r="E785" s="62" t="s">
        <v>389</v>
      </c>
      <c r="F785" s="62" t="s">
        <v>431</v>
      </c>
      <c r="G785" s="62" t="s">
        <v>389</v>
      </c>
      <c r="H785" s="65" t="n">
        <v>1.2</v>
      </c>
      <c r="I785" s="62" t="s">
        <v>392</v>
      </c>
    </row>
    <row r="786" customFormat="false" ht="15" hidden="false" customHeight="false" outlineLevel="0" collapsed="false">
      <c r="A786" s="62" t="s">
        <v>388</v>
      </c>
      <c r="B786" s="63" t="n">
        <v>1714</v>
      </c>
      <c r="C786" s="64" t="n">
        <v>46308.8015852778</v>
      </c>
      <c r="D786" s="63" t="n">
        <v>19</v>
      </c>
      <c r="E786" s="62" t="s">
        <v>389</v>
      </c>
      <c r="F786" s="62" t="s">
        <v>431</v>
      </c>
      <c r="G786" s="62" t="s">
        <v>389</v>
      </c>
      <c r="H786" s="65" t="n">
        <v>3.4</v>
      </c>
      <c r="I786" s="62" t="s">
        <v>392</v>
      </c>
    </row>
    <row r="787" customFormat="false" ht="15" hidden="false" customHeight="false" outlineLevel="0" collapsed="false">
      <c r="A787" s="62" t="s">
        <v>388</v>
      </c>
      <c r="B787" s="63" t="n">
        <v>1714</v>
      </c>
      <c r="C787" s="64" t="n">
        <v>46308.8155492361</v>
      </c>
      <c r="D787" s="63" t="n">
        <v>19</v>
      </c>
      <c r="E787" s="62" t="s">
        <v>389</v>
      </c>
      <c r="F787" s="62" t="s">
        <v>151</v>
      </c>
      <c r="G787" s="62" t="s">
        <v>389</v>
      </c>
      <c r="H787" s="65" t="n">
        <v>3.9</v>
      </c>
      <c r="I787" s="62" t="s">
        <v>392</v>
      </c>
    </row>
    <row r="788" customFormat="false" ht="15" hidden="false" customHeight="false" outlineLevel="0" collapsed="false">
      <c r="A788" s="62" t="s">
        <v>388</v>
      </c>
      <c r="B788" s="63" t="n">
        <v>1722</v>
      </c>
      <c r="C788" s="64" t="n">
        <v>46308.8189236227</v>
      </c>
      <c r="D788" s="63" t="n">
        <v>19</v>
      </c>
      <c r="E788" s="62" t="s">
        <v>389</v>
      </c>
      <c r="F788" s="62" t="s">
        <v>430</v>
      </c>
      <c r="G788" s="62" t="s">
        <v>390</v>
      </c>
      <c r="H788" s="65"/>
      <c r="I788" s="62" t="s">
        <v>275</v>
      </c>
    </row>
    <row r="789" customFormat="false" ht="15" hidden="false" customHeight="false" outlineLevel="0" collapsed="false">
      <c r="A789" s="62" t="s">
        <v>388</v>
      </c>
      <c r="B789" s="63" t="n">
        <v>1714</v>
      </c>
      <c r="C789" s="64" t="n">
        <v>46308.8190688889</v>
      </c>
      <c r="D789" s="63" t="n">
        <v>19</v>
      </c>
      <c r="E789" s="62" t="s">
        <v>389</v>
      </c>
      <c r="F789" s="62" t="s">
        <v>151</v>
      </c>
      <c r="G789" s="62" t="s">
        <v>389</v>
      </c>
      <c r="H789" s="65" t="n">
        <v>1152.3</v>
      </c>
      <c r="I789" s="62" t="s">
        <v>275</v>
      </c>
    </row>
    <row r="790" customFormat="false" ht="15" hidden="false" customHeight="false" outlineLevel="0" collapsed="false">
      <c r="A790" s="62" t="s">
        <v>388</v>
      </c>
      <c r="B790" s="63" t="n">
        <v>1732</v>
      </c>
      <c r="C790" s="64" t="n">
        <v>46308.8433581713</v>
      </c>
      <c r="D790" s="63" t="n">
        <v>20</v>
      </c>
      <c r="E790" s="62" t="s">
        <v>389</v>
      </c>
      <c r="F790" s="62" t="s">
        <v>430</v>
      </c>
      <c r="G790" s="62" t="s">
        <v>389</v>
      </c>
      <c r="H790" s="65" t="n">
        <v>11.3</v>
      </c>
      <c r="I790" s="62" t="s">
        <v>275</v>
      </c>
    </row>
    <row r="791" customFormat="false" ht="15" hidden="false" customHeight="false" outlineLevel="0" collapsed="false">
      <c r="A791" s="62" t="s">
        <v>388</v>
      </c>
      <c r="B791" s="63" t="n">
        <v>1732</v>
      </c>
      <c r="C791" s="64" t="n">
        <v>46308.8474715394</v>
      </c>
      <c r="D791" s="63" t="n">
        <v>20</v>
      </c>
      <c r="E791" s="62" t="s">
        <v>389</v>
      </c>
      <c r="F791" s="62" t="s">
        <v>431</v>
      </c>
      <c r="G791" s="62" t="s">
        <v>389</v>
      </c>
      <c r="H791" s="65" t="n">
        <v>5.4</v>
      </c>
      <c r="I791" s="62" t="s">
        <v>392</v>
      </c>
    </row>
    <row r="792" customFormat="false" ht="15" hidden="false" customHeight="false" outlineLevel="0" collapsed="false">
      <c r="A792" s="62" t="s">
        <v>388</v>
      </c>
      <c r="B792" s="63" t="n">
        <v>1661</v>
      </c>
      <c r="C792" s="64" t="n">
        <v>46308.8491435301</v>
      </c>
      <c r="D792" s="63" t="n">
        <v>20</v>
      </c>
      <c r="E792" s="62" t="s">
        <v>389</v>
      </c>
      <c r="F792" s="62" t="s">
        <v>150</v>
      </c>
      <c r="G792" s="62" t="s">
        <v>389</v>
      </c>
      <c r="H792" s="65" t="n">
        <v>22.7</v>
      </c>
      <c r="I792" s="62" t="s">
        <v>392</v>
      </c>
    </row>
    <row r="793" customFormat="false" ht="15" hidden="false" customHeight="false" outlineLevel="0" collapsed="false">
      <c r="A793" s="62" t="s">
        <v>388</v>
      </c>
      <c r="B793" s="63" t="n">
        <v>1739</v>
      </c>
      <c r="C793" s="64" t="n">
        <v>46308.8527978357</v>
      </c>
      <c r="D793" s="63" t="n">
        <v>20</v>
      </c>
      <c r="E793" s="62" t="s">
        <v>389</v>
      </c>
      <c r="F793" s="62" t="s">
        <v>430</v>
      </c>
      <c r="G793" s="62" t="s">
        <v>389</v>
      </c>
      <c r="H793" s="65" t="n">
        <v>17.6</v>
      </c>
      <c r="I793" s="62" t="s">
        <v>275</v>
      </c>
    </row>
    <row r="794" customFormat="false" ht="15" hidden="false" customHeight="false" outlineLevel="0" collapsed="false">
      <c r="A794" s="62" t="s">
        <v>388</v>
      </c>
      <c r="B794" s="63" t="n">
        <v>1740</v>
      </c>
      <c r="C794" s="64" t="n">
        <v>46308.8532781019</v>
      </c>
      <c r="D794" s="63" t="n">
        <v>20</v>
      </c>
      <c r="E794" s="62" t="s">
        <v>389</v>
      </c>
      <c r="F794" s="62" t="s">
        <v>430</v>
      </c>
      <c r="G794" s="62" t="s">
        <v>389</v>
      </c>
      <c r="H794" s="65" t="n">
        <v>21.4</v>
      </c>
      <c r="I794" s="62" t="s">
        <v>275</v>
      </c>
    </row>
    <row r="795" customFormat="false" ht="15" hidden="false" customHeight="false" outlineLevel="0" collapsed="false">
      <c r="A795" s="62" t="s">
        <v>388</v>
      </c>
      <c r="B795" s="63" t="n">
        <v>1739</v>
      </c>
      <c r="C795" s="64" t="n">
        <v>46308.8562108218</v>
      </c>
      <c r="D795" s="63" t="n">
        <v>20</v>
      </c>
      <c r="E795" s="62" t="s">
        <v>389</v>
      </c>
      <c r="F795" s="62" t="s">
        <v>431</v>
      </c>
      <c r="G795" s="62" t="s">
        <v>389</v>
      </c>
      <c r="H795" s="65" t="n">
        <v>12.7</v>
      </c>
      <c r="I795" s="62" t="s">
        <v>392</v>
      </c>
    </row>
    <row r="796" customFormat="false" ht="15" hidden="false" customHeight="false" outlineLevel="0" collapsed="false">
      <c r="A796" s="62" t="s">
        <v>388</v>
      </c>
      <c r="B796" s="63" t="n">
        <v>1735</v>
      </c>
      <c r="C796" s="64" t="n">
        <v>46308.8589629282</v>
      </c>
      <c r="D796" s="63" t="n">
        <v>20</v>
      </c>
      <c r="E796" s="62" t="s">
        <v>389</v>
      </c>
      <c r="F796" s="62" t="s">
        <v>430</v>
      </c>
      <c r="G796" s="62" t="s">
        <v>389</v>
      </c>
      <c r="H796" s="65" t="n">
        <v>16.1</v>
      </c>
      <c r="I796" s="62" t="s">
        <v>275</v>
      </c>
    </row>
    <row r="797" customFormat="false" ht="15" hidden="false" customHeight="false" outlineLevel="0" collapsed="false">
      <c r="A797" s="62" t="s">
        <v>388</v>
      </c>
      <c r="B797" s="63" t="n">
        <v>1740</v>
      </c>
      <c r="C797" s="64" t="n">
        <v>46308.8620159722</v>
      </c>
      <c r="D797" s="63" t="n">
        <v>20</v>
      </c>
      <c r="E797" s="62" t="s">
        <v>389</v>
      </c>
      <c r="F797" s="62" t="s">
        <v>431</v>
      </c>
      <c r="G797" s="62" t="s">
        <v>389</v>
      </c>
      <c r="H797" s="65" t="n">
        <v>8.9</v>
      </c>
      <c r="I797" s="62" t="s">
        <v>392</v>
      </c>
    </row>
    <row r="798" customFormat="false" ht="15" hidden="false" customHeight="false" outlineLevel="0" collapsed="false">
      <c r="A798" s="62" t="s">
        <v>388</v>
      </c>
      <c r="B798" s="63" t="n">
        <v>1735</v>
      </c>
      <c r="C798" s="64" t="n">
        <v>46308.8641503241</v>
      </c>
      <c r="D798" s="63" t="n">
        <v>20</v>
      </c>
      <c r="E798" s="62" t="s">
        <v>389</v>
      </c>
      <c r="F798" s="62" t="s">
        <v>431</v>
      </c>
      <c r="G798" s="62" t="s">
        <v>389</v>
      </c>
      <c r="H798" s="65" t="n">
        <v>8.6</v>
      </c>
      <c r="I798" s="62" t="s">
        <v>392</v>
      </c>
    </row>
    <row r="799" customFormat="false" ht="15" hidden="false" customHeight="false" outlineLevel="0" collapsed="false">
      <c r="A799" s="62" t="s">
        <v>388</v>
      </c>
      <c r="B799" s="63" t="n">
        <v>1739</v>
      </c>
      <c r="C799" s="64" t="n">
        <v>46308.8710485185</v>
      </c>
      <c r="D799" s="63" t="n">
        <v>20</v>
      </c>
      <c r="E799" s="62" t="s">
        <v>389</v>
      </c>
      <c r="F799" s="62" t="s">
        <v>151</v>
      </c>
      <c r="G799" s="62" t="s">
        <v>389</v>
      </c>
      <c r="H799" s="65" t="n">
        <v>1</v>
      </c>
      <c r="I799" s="62" t="s">
        <v>392</v>
      </c>
    </row>
    <row r="800" customFormat="false" ht="15" hidden="false" customHeight="false" outlineLevel="0" collapsed="false">
      <c r="A800" s="62" t="s">
        <v>388</v>
      </c>
      <c r="B800" s="63" t="n">
        <v>1122</v>
      </c>
      <c r="C800" s="64" t="n">
        <v>46308.8719672685</v>
      </c>
      <c r="D800" s="63" t="n">
        <v>20</v>
      </c>
      <c r="E800" s="62" t="s">
        <v>389</v>
      </c>
      <c r="F800" s="62" t="s">
        <v>150</v>
      </c>
      <c r="G800" s="62" t="s">
        <v>389</v>
      </c>
      <c r="H800" s="65" t="n">
        <v>2.4</v>
      </c>
      <c r="I800" s="62" t="s">
        <v>392</v>
      </c>
    </row>
    <row r="801" customFormat="false" ht="15" hidden="false" customHeight="false" outlineLevel="0" collapsed="false">
      <c r="A801" s="62" t="s">
        <v>388</v>
      </c>
      <c r="B801" s="63" t="n">
        <v>1122</v>
      </c>
      <c r="C801" s="64" t="n">
        <v>46308.8767158333</v>
      </c>
      <c r="D801" s="63" t="n">
        <v>21</v>
      </c>
      <c r="E801" s="62" t="s">
        <v>390</v>
      </c>
      <c r="F801" s="62" t="s">
        <v>150</v>
      </c>
      <c r="G801" s="62" t="s">
        <v>389</v>
      </c>
      <c r="H801" s="65" t="n">
        <v>0.6</v>
      </c>
      <c r="I801" s="62" t="s">
        <v>392</v>
      </c>
    </row>
    <row r="802" customFormat="false" ht="15" hidden="false" customHeight="false" outlineLevel="0" collapsed="false">
      <c r="A802" s="62" t="s">
        <v>388</v>
      </c>
      <c r="B802" s="63" t="n">
        <v>1739</v>
      </c>
      <c r="C802" s="64" t="n">
        <v>46308.8771432639</v>
      </c>
      <c r="D802" s="63" t="n">
        <v>21</v>
      </c>
      <c r="E802" s="62" t="s">
        <v>390</v>
      </c>
      <c r="F802" s="62" t="s">
        <v>151</v>
      </c>
      <c r="G802" s="62" t="s">
        <v>389</v>
      </c>
      <c r="H802" s="65" t="n">
        <v>3</v>
      </c>
      <c r="I802" s="62" t="s">
        <v>275</v>
      </c>
    </row>
    <row r="803" customFormat="false" ht="15" hidden="false" customHeight="false" outlineLevel="0" collapsed="false">
      <c r="A803" s="62" t="s">
        <v>388</v>
      </c>
      <c r="B803" s="63" t="n">
        <v>1739</v>
      </c>
      <c r="C803" s="64" t="n">
        <v>46308.8782715625</v>
      </c>
      <c r="D803" s="63" t="n">
        <v>21</v>
      </c>
      <c r="E803" s="62" t="s">
        <v>390</v>
      </c>
      <c r="F803" s="62" t="s">
        <v>151</v>
      </c>
      <c r="G803" s="62" t="s">
        <v>389</v>
      </c>
      <c r="H803" s="65" t="n">
        <v>1.4</v>
      </c>
      <c r="I803" s="62" t="s">
        <v>392</v>
      </c>
    </row>
    <row r="804" customFormat="false" ht="15" hidden="false" customHeight="false" outlineLevel="0" collapsed="false">
      <c r="A804" s="62" t="s">
        <v>388</v>
      </c>
      <c r="B804" s="63" t="n">
        <v>1739</v>
      </c>
      <c r="C804" s="64" t="n">
        <v>46308.8795218171</v>
      </c>
      <c r="D804" s="63" t="n">
        <v>21</v>
      </c>
      <c r="E804" s="62" t="s">
        <v>390</v>
      </c>
      <c r="F804" s="62" t="s">
        <v>151</v>
      </c>
      <c r="G804" s="62" t="s">
        <v>389</v>
      </c>
      <c r="H804" s="65" t="n">
        <v>1.8</v>
      </c>
      <c r="I804" s="62" t="s">
        <v>392</v>
      </c>
    </row>
    <row r="805" customFormat="false" ht="15" hidden="false" customHeight="false" outlineLevel="0" collapsed="false">
      <c r="A805" s="62" t="s">
        <v>388</v>
      </c>
      <c r="B805" s="63" t="n">
        <v>1749</v>
      </c>
      <c r="C805" s="64" t="n">
        <v>46308.8875741319</v>
      </c>
      <c r="D805" s="63" t="n">
        <v>21</v>
      </c>
      <c r="E805" s="62" t="s">
        <v>390</v>
      </c>
      <c r="F805" s="62" t="s">
        <v>430</v>
      </c>
      <c r="G805" s="62" t="s">
        <v>390</v>
      </c>
      <c r="H805" s="65"/>
      <c r="I805" s="62" t="s">
        <v>275</v>
      </c>
    </row>
    <row r="806" customFormat="false" ht="15" hidden="false" customHeight="false" outlineLevel="0" collapsed="false">
      <c r="A806" s="62" t="s">
        <v>388</v>
      </c>
      <c r="B806" s="63" t="n">
        <v>1740</v>
      </c>
      <c r="C806" s="64" t="n">
        <v>46308.8906783218</v>
      </c>
      <c r="D806" s="63" t="n">
        <v>21</v>
      </c>
      <c r="E806" s="62" t="s">
        <v>390</v>
      </c>
      <c r="F806" s="62" t="s">
        <v>151</v>
      </c>
      <c r="G806" s="62" t="s">
        <v>389</v>
      </c>
      <c r="H806" s="65" t="n">
        <v>1.1</v>
      </c>
      <c r="I806" s="62" t="s">
        <v>275</v>
      </c>
    </row>
    <row r="807" customFormat="false" ht="15" hidden="false" customHeight="false" outlineLevel="0" collapsed="false">
      <c r="A807" s="62" t="s">
        <v>388</v>
      </c>
      <c r="B807" s="63" t="n">
        <v>1740</v>
      </c>
      <c r="C807" s="64" t="n">
        <v>46308.8911342708</v>
      </c>
      <c r="D807" s="63" t="n">
        <v>21</v>
      </c>
      <c r="E807" s="62" t="s">
        <v>390</v>
      </c>
      <c r="F807" s="62" t="s">
        <v>151</v>
      </c>
      <c r="G807" s="62" t="s">
        <v>389</v>
      </c>
      <c r="H807" s="65" t="n">
        <v>0.4</v>
      </c>
      <c r="I807" s="62" t="s">
        <v>392</v>
      </c>
    </row>
    <row r="808" customFormat="false" ht="15" hidden="false" customHeight="false" outlineLevel="0" collapsed="false">
      <c r="A808" s="62" t="s">
        <v>388</v>
      </c>
      <c r="B808" s="63" t="n">
        <v>1740</v>
      </c>
      <c r="C808" s="64" t="n">
        <v>46308.8914620602</v>
      </c>
      <c r="D808" s="63" t="n">
        <v>21</v>
      </c>
      <c r="E808" s="62" t="s">
        <v>390</v>
      </c>
      <c r="F808" s="62" t="s">
        <v>151</v>
      </c>
      <c r="G808" s="62" t="s">
        <v>389</v>
      </c>
      <c r="H808" s="65" t="n">
        <v>0.6</v>
      </c>
      <c r="I808" s="62" t="s">
        <v>392</v>
      </c>
    </row>
    <row r="809" customFormat="false" ht="15" hidden="false" customHeight="false" outlineLevel="0" collapsed="false">
      <c r="A809" s="62" t="s">
        <v>388</v>
      </c>
      <c r="B809" s="63" t="n">
        <v>1750</v>
      </c>
      <c r="C809" s="64" t="n">
        <v>46308.8925168634</v>
      </c>
      <c r="D809" s="63" t="n">
        <v>21</v>
      </c>
      <c r="E809" s="62" t="s">
        <v>390</v>
      </c>
      <c r="F809" s="62" t="s">
        <v>430</v>
      </c>
      <c r="G809" s="62" t="s">
        <v>389</v>
      </c>
      <c r="H809" s="65" t="n">
        <v>25.7</v>
      </c>
      <c r="I809" s="62" t="s">
        <v>275</v>
      </c>
    </row>
    <row r="810" customFormat="false" ht="15" hidden="false" customHeight="false" outlineLevel="0" collapsed="false">
      <c r="A810" s="62" t="s">
        <v>388</v>
      </c>
      <c r="B810" s="63" t="n">
        <v>1740</v>
      </c>
      <c r="C810" s="64" t="n">
        <v>46308.8930858681</v>
      </c>
      <c r="D810" s="63" t="n">
        <v>21</v>
      </c>
      <c r="E810" s="62" t="s">
        <v>390</v>
      </c>
      <c r="F810" s="62" t="s">
        <v>151</v>
      </c>
      <c r="G810" s="62" t="s">
        <v>389</v>
      </c>
      <c r="H810" s="65" t="n">
        <v>1.3</v>
      </c>
      <c r="I810" s="62" t="s">
        <v>392</v>
      </c>
    </row>
    <row r="811" customFormat="false" ht="15" hidden="false" customHeight="false" outlineLevel="0" collapsed="false">
      <c r="A811" s="62" t="s">
        <v>388</v>
      </c>
      <c r="B811" s="63" t="n">
        <v>1740</v>
      </c>
      <c r="C811" s="64" t="n">
        <v>46308.894643588</v>
      </c>
      <c r="D811" s="63" t="n">
        <v>21</v>
      </c>
      <c r="E811" s="62" t="s">
        <v>390</v>
      </c>
      <c r="F811" s="62" t="s">
        <v>151</v>
      </c>
      <c r="G811" s="62" t="s">
        <v>389</v>
      </c>
      <c r="H811" s="65" t="n">
        <v>0.8</v>
      </c>
      <c r="I811" s="62" t="s">
        <v>392</v>
      </c>
    </row>
    <row r="812" customFormat="false" ht="15" hidden="false" customHeight="false" outlineLevel="0" collapsed="false">
      <c r="A812" s="62" t="s">
        <v>388</v>
      </c>
      <c r="B812" s="63" t="n">
        <v>1740</v>
      </c>
      <c r="C812" s="64" t="n">
        <v>46308.8957700579</v>
      </c>
      <c r="D812" s="63" t="n">
        <v>21</v>
      </c>
      <c r="E812" s="62" t="s">
        <v>390</v>
      </c>
      <c r="F812" s="62" t="s">
        <v>151</v>
      </c>
      <c r="G812" s="62" t="s">
        <v>389</v>
      </c>
      <c r="H812" s="65" t="n">
        <v>0.5</v>
      </c>
      <c r="I812" s="62" t="s">
        <v>392</v>
      </c>
    </row>
    <row r="813" customFormat="false" ht="15" hidden="false" customHeight="false" outlineLevel="0" collapsed="false">
      <c r="A813" s="62" t="s">
        <v>388</v>
      </c>
      <c r="B813" s="63" t="n">
        <v>1750</v>
      </c>
      <c r="C813" s="64" t="n">
        <v>46308.8957968982</v>
      </c>
      <c r="D813" s="63" t="n">
        <v>21</v>
      </c>
      <c r="E813" s="62" t="s">
        <v>390</v>
      </c>
      <c r="F813" s="62" t="s">
        <v>431</v>
      </c>
      <c r="G813" s="62" t="s">
        <v>389</v>
      </c>
      <c r="H813" s="65" t="n">
        <v>21</v>
      </c>
      <c r="I813" s="62" t="s">
        <v>392</v>
      </c>
    </row>
    <row r="814" customFormat="false" ht="15" hidden="false" customHeight="false" outlineLevel="0" collapsed="false">
      <c r="A814" s="62" t="s">
        <v>388</v>
      </c>
      <c r="B814" s="63" t="n">
        <v>1740</v>
      </c>
      <c r="C814" s="64" t="n">
        <v>46308.8962341551</v>
      </c>
      <c r="D814" s="63" t="n">
        <v>21</v>
      </c>
      <c r="E814" s="62" t="s">
        <v>390</v>
      </c>
      <c r="F814" s="62" t="s">
        <v>151</v>
      </c>
      <c r="G814" s="62" t="s">
        <v>389</v>
      </c>
      <c r="H814" s="65" t="n">
        <v>0.7</v>
      </c>
      <c r="I814" s="62" t="s">
        <v>392</v>
      </c>
    </row>
    <row r="815" customFormat="false" ht="15" hidden="false" customHeight="false" outlineLevel="0" collapsed="false">
      <c r="A815" s="62" t="s">
        <v>388</v>
      </c>
      <c r="B815" s="63" t="n">
        <v>1754</v>
      </c>
      <c r="C815" s="64" t="n">
        <v>46308.91114</v>
      </c>
      <c r="D815" s="63" t="n">
        <v>21</v>
      </c>
      <c r="E815" s="62" t="s">
        <v>390</v>
      </c>
      <c r="F815" s="62" t="s">
        <v>430</v>
      </c>
      <c r="G815" s="62" t="s">
        <v>390</v>
      </c>
      <c r="H815" s="65"/>
      <c r="I815" s="62" t="s">
        <v>275</v>
      </c>
    </row>
    <row r="816" customFormat="false" ht="15" hidden="false" customHeight="false" outlineLevel="0" collapsed="false">
      <c r="A816" s="62" t="s">
        <v>388</v>
      </c>
      <c r="B816" s="63" t="n">
        <v>1750</v>
      </c>
      <c r="C816" s="64" t="n">
        <v>46308.9217192708</v>
      </c>
      <c r="D816" s="63" t="n">
        <v>22</v>
      </c>
      <c r="E816" s="62" t="s">
        <v>390</v>
      </c>
      <c r="F816" s="62" t="s">
        <v>151</v>
      </c>
      <c r="G816" s="62" t="s">
        <v>389</v>
      </c>
      <c r="H816" s="65" t="n">
        <v>535.6</v>
      </c>
      <c r="I816" s="62" t="s">
        <v>392</v>
      </c>
    </row>
    <row r="817" customFormat="false" ht="15" hidden="false" customHeight="false" outlineLevel="0" collapsed="false">
      <c r="A817" s="62" t="s">
        <v>388</v>
      </c>
      <c r="B817" s="63" t="n">
        <v>1764</v>
      </c>
      <c r="C817" s="64" t="n">
        <v>46308.9697024306</v>
      </c>
      <c r="D817" s="63" t="n">
        <v>23</v>
      </c>
      <c r="E817" s="62" t="s">
        <v>390</v>
      </c>
      <c r="F817" s="62" t="s">
        <v>430</v>
      </c>
      <c r="G817" s="62" t="s">
        <v>390</v>
      </c>
      <c r="H817" s="65"/>
      <c r="I817" s="62" t="s">
        <v>275</v>
      </c>
    </row>
    <row r="818" customFormat="false" ht="15" hidden="false" customHeight="false" outlineLevel="0" collapsed="false">
      <c r="A818" s="62" t="s">
        <v>388</v>
      </c>
      <c r="B818" s="63" t="n">
        <v>1767</v>
      </c>
      <c r="C818" s="64" t="n">
        <v>46308.9866618056</v>
      </c>
      <c r="D818" s="63" t="n">
        <v>23</v>
      </c>
      <c r="E818" s="62" t="s">
        <v>390</v>
      </c>
      <c r="F818" s="62" t="s">
        <v>430</v>
      </c>
      <c r="G818" s="62" t="s">
        <v>390</v>
      </c>
      <c r="H818" s="65"/>
      <c r="I818" s="62" t="s">
        <v>275</v>
      </c>
    </row>
    <row r="819" customFormat="false" ht="15" hidden="false" customHeight="false" outlineLevel="0" collapsed="false">
      <c r="A819" s="62" t="s">
        <v>388</v>
      </c>
      <c r="B819" s="63" t="n">
        <v>1769</v>
      </c>
      <c r="C819" s="64" t="n">
        <v>46308.9939432755</v>
      </c>
      <c r="D819" s="63" t="n">
        <v>23</v>
      </c>
      <c r="E819" s="62" t="s">
        <v>390</v>
      </c>
      <c r="F819" s="62" t="s">
        <v>430</v>
      </c>
      <c r="G819" s="62" t="s">
        <v>390</v>
      </c>
      <c r="H819" s="65"/>
      <c r="I819" s="62" t="s">
        <v>275</v>
      </c>
    </row>
    <row r="820" customFormat="false" ht="15" hidden="false" customHeight="false" outlineLevel="0" collapsed="false">
      <c r="A820" s="62" t="s">
        <v>388</v>
      </c>
      <c r="B820" s="63" t="n">
        <v>1773</v>
      </c>
      <c r="C820" s="64" t="n">
        <v>46309.0782374769</v>
      </c>
      <c r="D820" s="63" t="n">
        <v>1</v>
      </c>
      <c r="E820" s="62" t="s">
        <v>390</v>
      </c>
      <c r="F820" s="62" t="s">
        <v>430</v>
      </c>
      <c r="G820" s="62" t="s">
        <v>390</v>
      </c>
      <c r="H820" s="65"/>
      <c r="I820" s="62" t="s">
        <v>275</v>
      </c>
    </row>
    <row r="821" customFormat="false" ht="15" hidden="false" customHeight="false" outlineLevel="0" collapsed="false">
      <c r="A821" s="62" t="s">
        <v>388</v>
      </c>
      <c r="B821" s="63" t="n">
        <v>1777</v>
      </c>
      <c r="C821" s="64" t="n">
        <v>46309.2247383449</v>
      </c>
      <c r="D821" s="63" t="n">
        <v>5</v>
      </c>
      <c r="E821" s="62" t="s">
        <v>390</v>
      </c>
      <c r="F821" s="62" t="s">
        <v>430</v>
      </c>
      <c r="G821" s="62" t="s">
        <v>389</v>
      </c>
      <c r="H821" s="65" t="n">
        <v>133.7</v>
      </c>
      <c r="I821" s="62" t="s">
        <v>275</v>
      </c>
    </row>
    <row r="822" customFormat="false" ht="15" hidden="false" customHeight="false" outlineLevel="0" collapsed="false">
      <c r="A822" s="62" t="s">
        <v>388</v>
      </c>
      <c r="B822" s="63" t="n">
        <v>1778</v>
      </c>
      <c r="C822" s="64" t="n">
        <v>46309.2408269213</v>
      </c>
      <c r="D822" s="63" t="n">
        <v>5</v>
      </c>
      <c r="E822" s="62" t="s">
        <v>390</v>
      </c>
      <c r="F822" s="62" t="s">
        <v>430</v>
      </c>
      <c r="G822" s="62" t="s">
        <v>389</v>
      </c>
      <c r="H822" s="65" t="n">
        <v>139.9</v>
      </c>
      <c r="I822" s="62" t="s">
        <v>275</v>
      </c>
    </row>
    <row r="823" customFormat="false" ht="15" hidden="false" customHeight="false" outlineLevel="0" collapsed="false">
      <c r="A823" s="62" t="s">
        <v>388</v>
      </c>
      <c r="B823" s="63" t="n">
        <v>1786</v>
      </c>
      <c r="C823" s="64" t="n">
        <v>46309.2926304051</v>
      </c>
      <c r="D823" s="63" t="n">
        <v>7</v>
      </c>
      <c r="E823" s="62" t="s">
        <v>390</v>
      </c>
      <c r="F823" s="62" t="s">
        <v>430</v>
      </c>
      <c r="G823" s="62" t="s">
        <v>389</v>
      </c>
      <c r="H823" s="65" t="n">
        <v>30.5</v>
      </c>
      <c r="I823" s="62" t="s">
        <v>275</v>
      </c>
    </row>
    <row r="824" customFormat="false" ht="15" hidden="false" customHeight="false" outlineLevel="0" collapsed="false">
      <c r="A824" s="62" t="s">
        <v>388</v>
      </c>
      <c r="B824" s="63" t="n">
        <v>1786</v>
      </c>
      <c r="C824" s="64" t="n">
        <v>46309.3098205324</v>
      </c>
      <c r="D824" s="63" t="n">
        <v>7</v>
      </c>
      <c r="E824" s="62" t="s">
        <v>390</v>
      </c>
      <c r="F824" s="62" t="s">
        <v>431</v>
      </c>
      <c r="G824" s="62" t="s">
        <v>389</v>
      </c>
      <c r="H824" s="65" t="n">
        <v>5.8</v>
      </c>
      <c r="I824" s="62" t="s">
        <v>392</v>
      </c>
    </row>
    <row r="825" customFormat="false" ht="15" hidden="false" customHeight="false" outlineLevel="0" collapsed="false">
      <c r="A825" s="62" t="s">
        <v>388</v>
      </c>
      <c r="B825" s="63" t="n">
        <v>1789</v>
      </c>
      <c r="C825" s="64" t="n">
        <v>46309.3112519676</v>
      </c>
      <c r="D825" s="63" t="n">
        <v>7</v>
      </c>
      <c r="E825" s="62" t="s">
        <v>390</v>
      </c>
      <c r="F825" s="62" t="s">
        <v>430</v>
      </c>
      <c r="G825" s="62" t="s">
        <v>389</v>
      </c>
      <c r="H825" s="65" t="n">
        <v>14.4</v>
      </c>
      <c r="I825" s="62" t="s">
        <v>275</v>
      </c>
    </row>
    <row r="826" customFormat="false" ht="15" hidden="false" customHeight="false" outlineLevel="0" collapsed="false">
      <c r="A826" s="62" t="s">
        <v>388</v>
      </c>
      <c r="B826" s="63" t="n">
        <v>1777</v>
      </c>
      <c r="C826" s="64" t="n">
        <v>46309.3175090972</v>
      </c>
      <c r="D826" s="63" t="n">
        <v>7</v>
      </c>
      <c r="E826" s="62" t="s">
        <v>390</v>
      </c>
      <c r="F826" s="62" t="s">
        <v>431</v>
      </c>
      <c r="G826" s="62" t="s">
        <v>389</v>
      </c>
      <c r="H826" s="65" t="n">
        <v>0.2</v>
      </c>
      <c r="I826" s="62" t="s">
        <v>392</v>
      </c>
    </row>
    <row r="827" customFormat="false" ht="15" hidden="false" customHeight="false" outlineLevel="0" collapsed="false">
      <c r="A827" s="62" t="s">
        <v>388</v>
      </c>
      <c r="B827" s="63" t="n">
        <v>1789</v>
      </c>
      <c r="C827" s="64" t="n">
        <v>46309.3182731597</v>
      </c>
      <c r="D827" s="63" t="n">
        <v>7</v>
      </c>
      <c r="E827" s="62" t="s">
        <v>390</v>
      </c>
      <c r="F827" s="62" t="s">
        <v>431</v>
      </c>
      <c r="G827" s="62" t="s">
        <v>389</v>
      </c>
      <c r="H827" s="65" t="n">
        <v>4.3</v>
      </c>
      <c r="I827" s="62" t="s">
        <v>392</v>
      </c>
    </row>
    <row r="828" customFormat="false" ht="15" hidden="false" customHeight="false" outlineLevel="0" collapsed="false">
      <c r="A828" s="62" t="s">
        <v>388</v>
      </c>
      <c r="B828" s="63" t="n">
        <v>1001</v>
      </c>
      <c r="C828" s="64" t="n">
        <v>46309.3279459144</v>
      </c>
      <c r="D828" s="63" t="n">
        <v>7</v>
      </c>
      <c r="E828" s="62" t="s">
        <v>390</v>
      </c>
      <c r="F828" s="62" t="s">
        <v>407</v>
      </c>
      <c r="G828" s="62" t="s">
        <v>389</v>
      </c>
      <c r="H828" s="65" t="n">
        <v>0.4</v>
      </c>
      <c r="I828" s="62" t="s">
        <v>392</v>
      </c>
    </row>
    <row r="829" customFormat="false" ht="15" hidden="false" customHeight="false" outlineLevel="0" collapsed="false">
      <c r="A829" s="62" t="s">
        <v>388</v>
      </c>
      <c r="B829" s="63" t="n">
        <v>1001</v>
      </c>
      <c r="C829" s="64" t="n">
        <v>46309.3284664815</v>
      </c>
      <c r="D829" s="63" t="n">
        <v>7</v>
      </c>
      <c r="E829" s="62" t="s">
        <v>390</v>
      </c>
      <c r="F829" s="62" t="s">
        <v>407</v>
      </c>
      <c r="G829" s="62" t="s">
        <v>389</v>
      </c>
      <c r="H829" s="65" t="n">
        <v>1.1</v>
      </c>
      <c r="I829" s="62" t="s">
        <v>392</v>
      </c>
    </row>
    <row r="830" customFormat="false" ht="15" hidden="false" customHeight="false" outlineLevel="0" collapsed="false">
      <c r="A830" s="62" t="s">
        <v>388</v>
      </c>
      <c r="B830" s="63" t="n">
        <v>1001</v>
      </c>
      <c r="C830" s="64" t="n">
        <v>46309.3305016088</v>
      </c>
      <c r="D830" s="63" t="n">
        <v>7</v>
      </c>
      <c r="E830" s="62" t="s">
        <v>390</v>
      </c>
      <c r="F830" s="62" t="s">
        <v>407</v>
      </c>
      <c r="G830" s="62" t="s">
        <v>389</v>
      </c>
      <c r="H830" s="65" t="n">
        <v>1.4</v>
      </c>
      <c r="I830" s="62" t="s">
        <v>392</v>
      </c>
    </row>
    <row r="831" customFormat="false" ht="15" hidden="false" customHeight="false" outlineLevel="0" collapsed="false">
      <c r="A831" s="62" t="s">
        <v>388</v>
      </c>
      <c r="B831" s="63" t="n">
        <v>1001</v>
      </c>
      <c r="C831" s="64" t="n">
        <v>46309.3340520949</v>
      </c>
      <c r="D831" s="63" t="n">
        <v>8</v>
      </c>
      <c r="E831" s="62" t="s">
        <v>390</v>
      </c>
      <c r="F831" s="62" t="s">
        <v>407</v>
      </c>
      <c r="G831" s="62" t="s">
        <v>389</v>
      </c>
      <c r="H831" s="65" t="n">
        <v>0.5</v>
      </c>
      <c r="I831" s="62" t="s">
        <v>392</v>
      </c>
    </row>
    <row r="832" customFormat="false" ht="15" hidden="false" customHeight="false" outlineLevel="0" collapsed="false">
      <c r="A832" s="62" t="s">
        <v>388</v>
      </c>
      <c r="B832" s="63" t="n">
        <v>1778</v>
      </c>
      <c r="C832" s="64" t="n">
        <v>46309.3378053357</v>
      </c>
      <c r="D832" s="63" t="n">
        <v>8</v>
      </c>
      <c r="E832" s="62" t="s">
        <v>390</v>
      </c>
      <c r="F832" s="62" t="s">
        <v>431</v>
      </c>
      <c r="G832" s="62" t="s">
        <v>389</v>
      </c>
      <c r="H832" s="65" t="n">
        <v>0.2</v>
      </c>
      <c r="I832" s="62" t="s">
        <v>392</v>
      </c>
    </row>
    <row r="833" customFormat="false" ht="15" hidden="false" customHeight="false" outlineLevel="0" collapsed="false">
      <c r="A833" s="62" t="s">
        <v>388</v>
      </c>
      <c r="B833" s="63" t="n">
        <v>1778</v>
      </c>
      <c r="C833" s="64" t="n">
        <v>46309.3381809491</v>
      </c>
      <c r="D833" s="63" t="n">
        <v>8</v>
      </c>
      <c r="E833" s="62" t="s">
        <v>390</v>
      </c>
      <c r="F833" s="62" t="s">
        <v>431</v>
      </c>
      <c r="G833" s="62" t="s">
        <v>389</v>
      </c>
      <c r="H833" s="65" t="n">
        <v>2.4</v>
      </c>
      <c r="I833" s="62" t="s">
        <v>392</v>
      </c>
    </row>
    <row r="834" customFormat="false" ht="15" hidden="false" customHeight="false" outlineLevel="0" collapsed="false">
      <c r="A834" s="62" t="s">
        <v>388</v>
      </c>
      <c r="B834" s="63" t="n">
        <v>1001</v>
      </c>
      <c r="C834" s="64" t="n">
        <v>46309.3393429398</v>
      </c>
      <c r="D834" s="63" t="n">
        <v>8</v>
      </c>
      <c r="E834" s="62" t="s">
        <v>390</v>
      </c>
      <c r="F834" s="62" t="s">
        <v>407</v>
      </c>
      <c r="G834" s="62" t="s">
        <v>389</v>
      </c>
      <c r="H834" s="65" t="n">
        <v>2</v>
      </c>
      <c r="I834" s="62" t="s">
        <v>392</v>
      </c>
    </row>
    <row r="835" customFormat="false" ht="15" hidden="false" customHeight="false" outlineLevel="0" collapsed="false">
      <c r="A835" s="62" t="s">
        <v>388</v>
      </c>
      <c r="B835" s="63" t="n">
        <v>1001</v>
      </c>
      <c r="C835" s="64" t="n">
        <v>46309.3410018056</v>
      </c>
      <c r="D835" s="63" t="n">
        <v>8</v>
      </c>
      <c r="E835" s="62" t="s">
        <v>390</v>
      </c>
      <c r="F835" s="62" t="s">
        <v>407</v>
      </c>
      <c r="G835" s="62" t="s">
        <v>389</v>
      </c>
      <c r="H835" s="65" t="n">
        <v>0.1</v>
      </c>
      <c r="I835" s="62" t="s">
        <v>392</v>
      </c>
    </row>
    <row r="836" customFormat="false" ht="15" hidden="false" customHeight="false" outlineLevel="0" collapsed="false">
      <c r="A836" s="62" t="s">
        <v>388</v>
      </c>
      <c r="B836" s="63" t="n">
        <v>1778</v>
      </c>
      <c r="C836" s="64" t="n">
        <v>46309.3418221065</v>
      </c>
      <c r="D836" s="63" t="n">
        <v>8</v>
      </c>
      <c r="E836" s="62" t="s">
        <v>390</v>
      </c>
      <c r="F836" s="62" t="s">
        <v>151</v>
      </c>
      <c r="G836" s="62" t="s">
        <v>389</v>
      </c>
      <c r="H836" s="65" t="n">
        <v>2</v>
      </c>
      <c r="I836" s="62" t="s">
        <v>392</v>
      </c>
    </row>
    <row r="837" customFormat="false" ht="15" hidden="false" customHeight="false" outlineLevel="0" collapsed="false">
      <c r="A837" s="62" t="s">
        <v>388</v>
      </c>
      <c r="B837" s="63" t="n">
        <v>1778</v>
      </c>
      <c r="C837" s="64" t="n">
        <v>46309.349074294</v>
      </c>
      <c r="D837" s="63" t="n">
        <v>8</v>
      </c>
      <c r="E837" s="62" t="s">
        <v>390</v>
      </c>
      <c r="F837" s="62" t="s">
        <v>151</v>
      </c>
      <c r="G837" s="62" t="s">
        <v>389</v>
      </c>
      <c r="H837" s="65" t="n">
        <v>1</v>
      </c>
      <c r="I837" s="62" t="s">
        <v>392</v>
      </c>
    </row>
    <row r="838" customFormat="false" ht="15" hidden="false" customHeight="false" outlineLevel="0" collapsed="false">
      <c r="A838" s="62" t="s">
        <v>388</v>
      </c>
      <c r="B838" s="63" t="n">
        <v>1777</v>
      </c>
      <c r="C838" s="64" t="n">
        <v>46309.3514175694</v>
      </c>
      <c r="D838" s="63" t="n">
        <v>8</v>
      </c>
      <c r="E838" s="62" t="s">
        <v>390</v>
      </c>
      <c r="F838" s="62" t="s">
        <v>151</v>
      </c>
      <c r="G838" s="62" t="s">
        <v>389</v>
      </c>
      <c r="H838" s="65" t="n">
        <v>1.5</v>
      </c>
      <c r="I838" s="62" t="s">
        <v>392</v>
      </c>
    </row>
    <row r="839" customFormat="false" ht="15" hidden="false" customHeight="false" outlineLevel="0" collapsed="false">
      <c r="A839" s="62" t="s">
        <v>388</v>
      </c>
      <c r="B839" s="63" t="n">
        <v>1280</v>
      </c>
      <c r="C839" s="64" t="n">
        <v>46309.364296169</v>
      </c>
      <c r="D839" s="63" t="n">
        <v>8</v>
      </c>
      <c r="E839" s="62" t="s">
        <v>390</v>
      </c>
      <c r="F839" s="62" t="s">
        <v>391</v>
      </c>
      <c r="G839" s="62" t="s">
        <v>389</v>
      </c>
      <c r="H839" s="65" t="n">
        <v>0.1</v>
      </c>
      <c r="I839" s="62" t="s">
        <v>392</v>
      </c>
    </row>
    <row r="840" customFormat="false" ht="15" hidden="false" customHeight="false" outlineLevel="0" collapsed="false">
      <c r="A840" s="62" t="s">
        <v>388</v>
      </c>
      <c r="B840" s="63" t="n">
        <v>670</v>
      </c>
      <c r="C840" s="64" t="n">
        <v>46309.3648337153</v>
      </c>
      <c r="D840" s="63" t="n">
        <v>8</v>
      </c>
      <c r="E840" s="62" t="s">
        <v>390</v>
      </c>
      <c r="F840" s="62" t="s">
        <v>391</v>
      </c>
      <c r="G840" s="62" t="s">
        <v>389</v>
      </c>
      <c r="H840" s="65" t="n">
        <v>0.3</v>
      </c>
      <c r="I840" s="62" t="s">
        <v>392</v>
      </c>
    </row>
    <row r="841" customFormat="false" ht="15" hidden="false" customHeight="false" outlineLevel="0" collapsed="false">
      <c r="A841" s="62" t="s">
        <v>388</v>
      </c>
      <c r="B841" s="63" t="n">
        <v>670</v>
      </c>
      <c r="C841" s="64" t="n">
        <v>46309.365617581</v>
      </c>
      <c r="D841" s="63" t="n">
        <v>8</v>
      </c>
      <c r="E841" s="62" t="s">
        <v>390</v>
      </c>
      <c r="F841" s="62" t="s">
        <v>391</v>
      </c>
      <c r="G841" s="62" t="s">
        <v>389</v>
      </c>
      <c r="H841" s="65" t="n">
        <v>1</v>
      </c>
      <c r="I841" s="62" t="s">
        <v>392</v>
      </c>
    </row>
    <row r="842" customFormat="false" ht="15" hidden="false" customHeight="false" outlineLevel="0" collapsed="false">
      <c r="A842" s="62" t="s">
        <v>388</v>
      </c>
      <c r="B842" s="63" t="n">
        <v>670</v>
      </c>
      <c r="C842" s="64" t="n">
        <v>46309.3675098264</v>
      </c>
      <c r="D842" s="63" t="n">
        <v>8</v>
      </c>
      <c r="E842" s="62" t="s">
        <v>390</v>
      </c>
      <c r="F842" s="62" t="s">
        <v>391</v>
      </c>
      <c r="G842" s="62" t="s">
        <v>389</v>
      </c>
      <c r="H842" s="65" t="n">
        <v>0.7</v>
      </c>
      <c r="I842" s="62" t="s">
        <v>392</v>
      </c>
    </row>
    <row r="843" customFormat="false" ht="15" hidden="false" customHeight="false" outlineLevel="0" collapsed="false">
      <c r="A843" s="62" t="s">
        <v>388</v>
      </c>
      <c r="B843" s="63" t="n">
        <v>1502</v>
      </c>
      <c r="C843" s="64" t="n">
        <v>46309.3704837037</v>
      </c>
      <c r="D843" s="63" t="n">
        <v>8</v>
      </c>
      <c r="E843" s="62" t="s">
        <v>390</v>
      </c>
      <c r="F843" s="62" t="s">
        <v>150</v>
      </c>
      <c r="G843" s="62" t="s">
        <v>389</v>
      </c>
      <c r="H843" s="65" t="n">
        <v>1.4</v>
      </c>
      <c r="I843" s="62" t="s">
        <v>392</v>
      </c>
    </row>
    <row r="844" customFormat="false" ht="15" hidden="false" customHeight="false" outlineLevel="0" collapsed="false">
      <c r="A844" s="62" t="s">
        <v>388</v>
      </c>
      <c r="B844" s="63" t="n">
        <v>1502</v>
      </c>
      <c r="C844" s="64" t="n">
        <v>46309.3718990972</v>
      </c>
      <c r="D844" s="63" t="n">
        <v>8</v>
      </c>
      <c r="E844" s="62" t="s">
        <v>390</v>
      </c>
      <c r="F844" s="62" t="s">
        <v>150</v>
      </c>
      <c r="G844" s="62" t="s">
        <v>389</v>
      </c>
      <c r="H844" s="65" t="n">
        <v>0.7</v>
      </c>
      <c r="I844" s="62" t="s">
        <v>392</v>
      </c>
    </row>
    <row r="845" customFormat="false" ht="15" hidden="false" customHeight="false" outlineLevel="0" collapsed="false">
      <c r="A845" s="62" t="s">
        <v>388</v>
      </c>
      <c r="B845" s="63" t="n">
        <v>1502</v>
      </c>
      <c r="C845" s="64" t="n">
        <v>46309.3724927894</v>
      </c>
      <c r="D845" s="63" t="n">
        <v>8</v>
      </c>
      <c r="E845" s="62" t="s">
        <v>390</v>
      </c>
      <c r="F845" s="62" t="s">
        <v>150</v>
      </c>
      <c r="G845" s="62" t="s">
        <v>389</v>
      </c>
      <c r="H845" s="65" t="n">
        <v>0.3</v>
      </c>
      <c r="I845" s="62" t="s">
        <v>392</v>
      </c>
    </row>
    <row r="846" customFormat="false" ht="15" hidden="false" customHeight="false" outlineLevel="0" collapsed="false">
      <c r="A846" s="62" t="s">
        <v>388</v>
      </c>
      <c r="B846" s="63" t="n">
        <v>1502</v>
      </c>
      <c r="C846" s="64" t="n">
        <v>46309.3732975463</v>
      </c>
      <c r="D846" s="63" t="n">
        <v>8</v>
      </c>
      <c r="E846" s="62" t="s">
        <v>390</v>
      </c>
      <c r="F846" s="62" t="s">
        <v>150</v>
      </c>
      <c r="G846" s="62" t="s">
        <v>389</v>
      </c>
      <c r="H846" s="65" t="n">
        <v>5</v>
      </c>
      <c r="I846" s="62" t="s">
        <v>392</v>
      </c>
    </row>
    <row r="847" customFormat="false" ht="15" hidden="false" customHeight="false" outlineLevel="0" collapsed="false">
      <c r="A847" s="62" t="s">
        <v>388</v>
      </c>
      <c r="B847" s="63" t="n">
        <v>1801</v>
      </c>
      <c r="C847" s="64" t="n">
        <v>46309.3758323958</v>
      </c>
      <c r="D847" s="63" t="n">
        <v>9</v>
      </c>
      <c r="E847" s="62" t="s">
        <v>389</v>
      </c>
      <c r="F847" s="62" t="s">
        <v>430</v>
      </c>
      <c r="G847" s="62" t="s">
        <v>389</v>
      </c>
      <c r="H847" s="65" t="n">
        <v>9</v>
      </c>
      <c r="I847" s="62" t="s">
        <v>275</v>
      </c>
    </row>
    <row r="848" customFormat="false" ht="15" hidden="false" customHeight="false" outlineLevel="0" collapsed="false">
      <c r="A848" s="62" t="s">
        <v>388</v>
      </c>
      <c r="B848" s="63" t="n">
        <v>1801</v>
      </c>
      <c r="C848" s="64" t="n">
        <v>46309.381799919</v>
      </c>
      <c r="D848" s="63" t="n">
        <v>9</v>
      </c>
      <c r="E848" s="62" t="s">
        <v>389</v>
      </c>
      <c r="F848" s="62" t="s">
        <v>431</v>
      </c>
      <c r="G848" s="62" t="s">
        <v>389</v>
      </c>
      <c r="H848" s="65" t="n">
        <v>0.4</v>
      </c>
      <c r="I848" s="62" t="s">
        <v>392</v>
      </c>
    </row>
    <row r="849" customFormat="false" ht="15" hidden="false" customHeight="false" outlineLevel="0" collapsed="false">
      <c r="A849" s="62" t="s">
        <v>388</v>
      </c>
      <c r="B849" s="63" t="n">
        <v>752</v>
      </c>
      <c r="C849" s="64" t="n">
        <v>46309.3822705903</v>
      </c>
      <c r="D849" s="63" t="n">
        <v>9</v>
      </c>
      <c r="E849" s="62" t="s">
        <v>389</v>
      </c>
      <c r="F849" s="62" t="s">
        <v>391</v>
      </c>
      <c r="G849" s="62" t="s">
        <v>389</v>
      </c>
      <c r="H849" s="65" t="n">
        <v>1</v>
      </c>
      <c r="I849" s="62" t="s">
        <v>392</v>
      </c>
    </row>
    <row r="850" customFormat="false" ht="15" hidden="false" customHeight="false" outlineLevel="0" collapsed="false">
      <c r="A850" s="62" t="s">
        <v>388</v>
      </c>
      <c r="B850" s="63" t="n">
        <v>1591</v>
      </c>
      <c r="C850" s="64" t="n">
        <v>46309.3905048611</v>
      </c>
      <c r="D850" s="63" t="n">
        <v>9</v>
      </c>
      <c r="E850" s="62" t="s">
        <v>389</v>
      </c>
      <c r="F850" s="62" t="s">
        <v>407</v>
      </c>
      <c r="G850" s="62" t="s">
        <v>389</v>
      </c>
      <c r="H850" s="65" t="n">
        <v>1.8</v>
      </c>
      <c r="I850" s="62" t="s">
        <v>392</v>
      </c>
    </row>
    <row r="851" customFormat="false" ht="15" hidden="false" customHeight="false" outlineLevel="0" collapsed="false">
      <c r="A851" s="62" t="s">
        <v>388</v>
      </c>
      <c r="B851" s="63" t="n">
        <v>1591</v>
      </c>
      <c r="C851" s="64" t="n">
        <v>46309.3930462384</v>
      </c>
      <c r="D851" s="63" t="n">
        <v>9</v>
      </c>
      <c r="E851" s="62" t="s">
        <v>389</v>
      </c>
      <c r="F851" s="62" t="s">
        <v>407</v>
      </c>
      <c r="G851" s="62" t="s">
        <v>389</v>
      </c>
      <c r="H851" s="65" t="n">
        <v>0.4</v>
      </c>
      <c r="I851" s="62" t="s">
        <v>392</v>
      </c>
    </row>
    <row r="852" customFormat="false" ht="15" hidden="false" customHeight="false" outlineLevel="0" collapsed="false">
      <c r="A852" s="62" t="s">
        <v>388</v>
      </c>
      <c r="B852" s="63" t="n">
        <v>1591</v>
      </c>
      <c r="C852" s="64" t="n">
        <v>46309.3933193982</v>
      </c>
      <c r="D852" s="63" t="n">
        <v>9</v>
      </c>
      <c r="E852" s="62" t="s">
        <v>389</v>
      </c>
      <c r="F852" s="62" t="s">
        <v>407</v>
      </c>
      <c r="G852" s="62" t="s">
        <v>389</v>
      </c>
      <c r="H852" s="65" t="n">
        <v>1.2</v>
      </c>
      <c r="I852" s="62" t="s">
        <v>392</v>
      </c>
    </row>
    <row r="853" customFormat="false" ht="15" hidden="false" customHeight="false" outlineLevel="0" collapsed="false">
      <c r="A853" s="62" t="s">
        <v>388</v>
      </c>
      <c r="B853" s="63" t="n">
        <v>1811</v>
      </c>
      <c r="C853" s="64" t="n">
        <v>46309.3943667361</v>
      </c>
      <c r="D853" s="63" t="n">
        <v>9</v>
      </c>
      <c r="E853" s="62" t="s">
        <v>389</v>
      </c>
      <c r="F853" s="62" t="s">
        <v>430</v>
      </c>
      <c r="G853" s="62" t="s">
        <v>389</v>
      </c>
      <c r="H853" s="65" t="n">
        <v>3.1</v>
      </c>
      <c r="I853" s="62" t="s">
        <v>392</v>
      </c>
    </row>
    <row r="854" customFormat="false" ht="15" hidden="false" customHeight="false" outlineLevel="0" collapsed="false">
      <c r="A854" s="62" t="s">
        <v>388</v>
      </c>
      <c r="B854" s="63" t="n">
        <v>1591</v>
      </c>
      <c r="C854" s="64" t="n">
        <v>46309.3945999769</v>
      </c>
      <c r="D854" s="63" t="n">
        <v>9</v>
      </c>
      <c r="E854" s="62" t="s">
        <v>389</v>
      </c>
      <c r="F854" s="62" t="s">
        <v>407</v>
      </c>
      <c r="G854" s="62" t="s">
        <v>389</v>
      </c>
      <c r="H854" s="65" t="n">
        <v>0.5</v>
      </c>
      <c r="I854" s="62" t="s">
        <v>392</v>
      </c>
    </row>
    <row r="855" customFormat="false" ht="15" hidden="false" customHeight="false" outlineLevel="0" collapsed="false">
      <c r="A855" s="62" t="s">
        <v>388</v>
      </c>
      <c r="B855" s="63" t="n">
        <v>1591</v>
      </c>
      <c r="C855" s="64" t="n">
        <v>46309.3957150232</v>
      </c>
      <c r="D855" s="63" t="n">
        <v>9</v>
      </c>
      <c r="E855" s="62" t="s">
        <v>389</v>
      </c>
      <c r="F855" s="62" t="s">
        <v>407</v>
      </c>
      <c r="G855" s="62" t="s">
        <v>389</v>
      </c>
      <c r="H855" s="65" t="n">
        <v>0.5</v>
      </c>
      <c r="I855" s="62" t="s">
        <v>392</v>
      </c>
    </row>
    <row r="856" customFormat="false" ht="15" hidden="false" customHeight="false" outlineLevel="0" collapsed="false">
      <c r="A856" s="62" t="s">
        <v>388</v>
      </c>
      <c r="B856" s="63" t="n">
        <v>1591</v>
      </c>
      <c r="C856" s="64" t="n">
        <v>46309.3964461574</v>
      </c>
      <c r="D856" s="63" t="n">
        <v>9</v>
      </c>
      <c r="E856" s="62" t="s">
        <v>389</v>
      </c>
      <c r="F856" s="62" t="s">
        <v>407</v>
      </c>
      <c r="G856" s="62" t="s">
        <v>389</v>
      </c>
      <c r="H856" s="65" t="n">
        <v>0.9</v>
      </c>
      <c r="I856" s="62" t="s">
        <v>392</v>
      </c>
    </row>
    <row r="857" customFormat="false" ht="15" hidden="false" customHeight="false" outlineLevel="0" collapsed="false">
      <c r="A857" s="62" t="s">
        <v>388</v>
      </c>
      <c r="B857" s="63" t="n">
        <v>1591</v>
      </c>
      <c r="C857" s="64" t="n">
        <v>46309.3974410764</v>
      </c>
      <c r="D857" s="63" t="n">
        <v>9</v>
      </c>
      <c r="E857" s="62" t="s">
        <v>389</v>
      </c>
      <c r="F857" s="62" t="s">
        <v>407</v>
      </c>
      <c r="G857" s="62" t="s">
        <v>389</v>
      </c>
      <c r="H857" s="65" t="n">
        <v>0.9</v>
      </c>
      <c r="I857" s="62" t="s">
        <v>392</v>
      </c>
    </row>
    <row r="858" customFormat="false" ht="15" hidden="false" customHeight="false" outlineLevel="0" collapsed="false">
      <c r="A858" s="62" t="s">
        <v>388</v>
      </c>
      <c r="B858" s="63" t="n">
        <v>1591</v>
      </c>
      <c r="C858" s="64" t="n">
        <v>46309.3982079398</v>
      </c>
      <c r="D858" s="63" t="n">
        <v>9</v>
      </c>
      <c r="E858" s="62" t="s">
        <v>389</v>
      </c>
      <c r="F858" s="62" t="s">
        <v>407</v>
      </c>
      <c r="G858" s="62" t="s">
        <v>389</v>
      </c>
      <c r="H858" s="65" t="n">
        <v>18.5</v>
      </c>
      <c r="I858" s="62" t="s">
        <v>392</v>
      </c>
    </row>
    <row r="859" customFormat="false" ht="15" hidden="false" customHeight="false" outlineLevel="0" collapsed="false">
      <c r="A859" s="62" t="s">
        <v>388</v>
      </c>
      <c r="B859" s="63" t="n">
        <v>1001</v>
      </c>
      <c r="C859" s="64" t="n">
        <v>46309.399872037</v>
      </c>
      <c r="D859" s="63" t="n">
        <v>9</v>
      </c>
      <c r="E859" s="62" t="s">
        <v>389</v>
      </c>
      <c r="F859" s="62" t="s">
        <v>407</v>
      </c>
      <c r="G859" s="62" t="s">
        <v>389</v>
      </c>
      <c r="H859" s="65" t="n">
        <v>1.9</v>
      </c>
      <c r="I859" s="62" t="s">
        <v>392</v>
      </c>
    </row>
    <row r="860" customFormat="false" ht="15" hidden="false" customHeight="false" outlineLevel="0" collapsed="false">
      <c r="A860" s="62" t="s">
        <v>388</v>
      </c>
      <c r="B860" s="63" t="n">
        <v>1814</v>
      </c>
      <c r="C860" s="64" t="n">
        <v>46309.4041221065</v>
      </c>
      <c r="D860" s="63" t="n">
        <v>9</v>
      </c>
      <c r="E860" s="62" t="s">
        <v>389</v>
      </c>
      <c r="F860" s="62" t="s">
        <v>430</v>
      </c>
      <c r="G860" s="62" t="s">
        <v>390</v>
      </c>
      <c r="H860" s="65"/>
      <c r="I860" s="62" t="s">
        <v>275</v>
      </c>
    </row>
    <row r="861" customFormat="false" ht="15" hidden="false" customHeight="false" outlineLevel="0" collapsed="false">
      <c r="A861" s="62" t="s">
        <v>388</v>
      </c>
      <c r="B861" s="63" t="n">
        <v>1591</v>
      </c>
      <c r="C861" s="64" t="n">
        <v>46309.4124082755</v>
      </c>
      <c r="D861" s="63" t="n">
        <v>9</v>
      </c>
      <c r="E861" s="62" t="s">
        <v>389</v>
      </c>
      <c r="F861" s="62" t="s">
        <v>407</v>
      </c>
      <c r="G861" s="62" t="s">
        <v>389</v>
      </c>
      <c r="H861" s="65" t="n">
        <v>0.5</v>
      </c>
      <c r="I861" s="62" t="s">
        <v>392</v>
      </c>
    </row>
    <row r="862" customFormat="false" ht="15" hidden="false" customHeight="false" outlineLevel="0" collapsed="false">
      <c r="A862" s="62" t="s">
        <v>388</v>
      </c>
      <c r="B862" s="63" t="n">
        <v>1810</v>
      </c>
      <c r="C862" s="64" t="n">
        <v>46309.4138357986</v>
      </c>
      <c r="D862" s="63" t="n">
        <v>9</v>
      </c>
      <c r="E862" s="62" t="s">
        <v>389</v>
      </c>
      <c r="F862" s="62" t="s">
        <v>431</v>
      </c>
      <c r="G862" s="62" t="s">
        <v>389</v>
      </c>
      <c r="H862" s="65" t="n">
        <v>0.4</v>
      </c>
      <c r="I862" s="62" t="s">
        <v>392</v>
      </c>
    </row>
    <row r="863" customFormat="false" ht="15" hidden="false" customHeight="false" outlineLevel="0" collapsed="false">
      <c r="A863" s="62" t="s">
        <v>388</v>
      </c>
      <c r="B863" s="63" t="n">
        <v>1591</v>
      </c>
      <c r="C863" s="64" t="n">
        <v>46309.4141754167</v>
      </c>
      <c r="D863" s="63" t="n">
        <v>9</v>
      </c>
      <c r="E863" s="62" t="s">
        <v>389</v>
      </c>
      <c r="F863" s="62" t="s">
        <v>407</v>
      </c>
      <c r="G863" s="62" t="s">
        <v>389</v>
      </c>
      <c r="H863" s="65" t="n">
        <v>14.4</v>
      </c>
      <c r="I863" s="62" t="s">
        <v>392</v>
      </c>
    </row>
    <row r="864" customFormat="false" ht="15" hidden="false" customHeight="false" outlineLevel="0" collapsed="false">
      <c r="A864" s="62" t="s">
        <v>388</v>
      </c>
      <c r="B864" s="63" t="n">
        <v>1591</v>
      </c>
      <c r="C864" s="64" t="n">
        <v>46309.4248040741</v>
      </c>
      <c r="D864" s="63" t="n">
        <v>10</v>
      </c>
      <c r="E864" s="62" t="s">
        <v>389</v>
      </c>
      <c r="F864" s="62" t="s">
        <v>407</v>
      </c>
      <c r="G864" s="62" t="s">
        <v>389</v>
      </c>
      <c r="H864" s="65" t="n">
        <v>1.3</v>
      </c>
      <c r="I864" s="62" t="s">
        <v>392</v>
      </c>
    </row>
    <row r="865" customFormat="false" ht="15" hidden="false" customHeight="false" outlineLevel="0" collapsed="false">
      <c r="A865" s="62" t="s">
        <v>388</v>
      </c>
      <c r="B865" s="63" t="n">
        <v>1819</v>
      </c>
      <c r="C865" s="64" t="n">
        <v>46309.4261167245</v>
      </c>
      <c r="D865" s="63" t="n">
        <v>10</v>
      </c>
      <c r="E865" s="62" t="s">
        <v>389</v>
      </c>
      <c r="F865" s="62" t="s">
        <v>430</v>
      </c>
      <c r="G865" s="62" t="s">
        <v>389</v>
      </c>
      <c r="H865" s="65" t="n">
        <v>4.8</v>
      </c>
      <c r="I865" s="62" t="s">
        <v>275</v>
      </c>
    </row>
    <row r="866" customFormat="false" ht="15" hidden="false" customHeight="false" outlineLevel="0" collapsed="false">
      <c r="A866" s="62" t="s">
        <v>388</v>
      </c>
      <c r="B866" s="63" t="n">
        <v>1591</v>
      </c>
      <c r="C866" s="64" t="n">
        <v>46309.4268058102</v>
      </c>
      <c r="D866" s="63" t="n">
        <v>10</v>
      </c>
      <c r="E866" s="62" t="s">
        <v>389</v>
      </c>
      <c r="F866" s="62" t="s">
        <v>407</v>
      </c>
      <c r="G866" s="62" t="s">
        <v>389</v>
      </c>
      <c r="H866" s="65" t="n">
        <v>1.1</v>
      </c>
      <c r="I866" s="62" t="s">
        <v>392</v>
      </c>
    </row>
    <row r="867" customFormat="false" ht="15" hidden="false" customHeight="false" outlineLevel="0" collapsed="false">
      <c r="A867" s="62" t="s">
        <v>388</v>
      </c>
      <c r="B867" s="63" t="n">
        <v>1819</v>
      </c>
      <c r="C867" s="64" t="n">
        <v>46309.4287497801</v>
      </c>
      <c r="D867" s="63" t="n">
        <v>10</v>
      </c>
      <c r="E867" s="62" t="s">
        <v>389</v>
      </c>
      <c r="F867" s="62" t="s">
        <v>431</v>
      </c>
      <c r="G867" s="62" t="s">
        <v>389</v>
      </c>
      <c r="H867" s="65" t="n">
        <v>1</v>
      </c>
      <c r="I867" s="62" t="s">
        <v>392</v>
      </c>
    </row>
    <row r="868" customFormat="false" ht="15" hidden="false" customHeight="false" outlineLevel="0" collapsed="false">
      <c r="A868" s="62" t="s">
        <v>388</v>
      </c>
      <c r="B868" s="63" t="n">
        <v>1819</v>
      </c>
      <c r="C868" s="64" t="n">
        <v>46309.4366243403</v>
      </c>
      <c r="D868" s="63" t="n">
        <v>10</v>
      </c>
      <c r="E868" s="62" t="s">
        <v>389</v>
      </c>
      <c r="F868" s="62" t="s">
        <v>431</v>
      </c>
      <c r="G868" s="62" t="s">
        <v>389</v>
      </c>
      <c r="H868" s="65" t="n">
        <v>0.5</v>
      </c>
      <c r="I868" s="62" t="s">
        <v>392</v>
      </c>
    </row>
    <row r="869" customFormat="false" ht="15" hidden="false" customHeight="false" outlineLevel="0" collapsed="false">
      <c r="A869" s="62" t="s">
        <v>388</v>
      </c>
      <c r="B869" s="63" t="n">
        <v>1819</v>
      </c>
      <c r="C869" s="64" t="n">
        <v>46309.4380660185</v>
      </c>
      <c r="D869" s="63" t="n">
        <v>10</v>
      </c>
      <c r="E869" s="62" t="s">
        <v>389</v>
      </c>
      <c r="F869" s="62" t="s">
        <v>431</v>
      </c>
      <c r="G869" s="62" t="s">
        <v>389</v>
      </c>
      <c r="H869" s="65" t="n">
        <v>0.3</v>
      </c>
      <c r="I869" s="62" t="s">
        <v>392</v>
      </c>
    </row>
    <row r="870" customFormat="false" ht="15" hidden="false" customHeight="false" outlineLevel="0" collapsed="false">
      <c r="A870" s="62" t="s">
        <v>388</v>
      </c>
      <c r="B870" s="63" t="n">
        <v>1181</v>
      </c>
      <c r="C870" s="64" t="n">
        <v>46309.451766412</v>
      </c>
      <c r="D870" s="63" t="n">
        <v>10</v>
      </c>
      <c r="E870" s="62" t="s">
        <v>389</v>
      </c>
      <c r="F870" s="62" t="s">
        <v>152</v>
      </c>
      <c r="G870" s="62" t="s">
        <v>389</v>
      </c>
      <c r="H870" s="65" t="n">
        <v>1.1</v>
      </c>
      <c r="I870" s="62" t="s">
        <v>392</v>
      </c>
    </row>
    <row r="871" customFormat="false" ht="15" hidden="false" customHeight="false" outlineLevel="0" collapsed="false">
      <c r="A871" s="62" t="s">
        <v>388</v>
      </c>
      <c r="B871" s="63" t="n">
        <v>1668</v>
      </c>
      <c r="C871" s="64" t="n">
        <v>46309.4544133912</v>
      </c>
      <c r="D871" s="63" t="n">
        <v>10</v>
      </c>
      <c r="E871" s="62" t="s">
        <v>389</v>
      </c>
      <c r="F871" s="62" t="s">
        <v>150</v>
      </c>
      <c r="G871" s="62" t="s">
        <v>389</v>
      </c>
      <c r="H871" s="65" t="n">
        <v>1.5</v>
      </c>
      <c r="I871" s="62" t="s">
        <v>392</v>
      </c>
    </row>
    <row r="872" customFormat="false" ht="15" hidden="false" customHeight="false" outlineLevel="0" collapsed="false">
      <c r="A872" s="62" t="s">
        <v>388</v>
      </c>
      <c r="B872" s="63" t="n">
        <v>1826</v>
      </c>
      <c r="C872" s="64" t="n">
        <v>46309.4577491782</v>
      </c>
      <c r="D872" s="63" t="n">
        <v>10</v>
      </c>
      <c r="E872" s="62" t="s">
        <v>389</v>
      </c>
      <c r="F872" s="62" t="s">
        <v>430</v>
      </c>
      <c r="G872" s="62" t="s">
        <v>389</v>
      </c>
      <c r="H872" s="65" t="n">
        <v>124.4</v>
      </c>
      <c r="I872" s="62" t="s">
        <v>275</v>
      </c>
    </row>
    <row r="873" customFormat="false" ht="15" hidden="false" customHeight="false" outlineLevel="0" collapsed="false">
      <c r="A873" s="62" t="s">
        <v>388</v>
      </c>
      <c r="B873" s="63" t="n">
        <v>1819</v>
      </c>
      <c r="C873" s="64" t="n">
        <v>46309.4597311343</v>
      </c>
      <c r="D873" s="63" t="n">
        <v>11</v>
      </c>
      <c r="E873" s="62" t="s">
        <v>389</v>
      </c>
      <c r="F873" s="62" t="s">
        <v>152</v>
      </c>
      <c r="G873" s="62" t="s">
        <v>389</v>
      </c>
      <c r="H873" s="65" t="n">
        <v>1.2</v>
      </c>
      <c r="I873" s="62" t="s">
        <v>392</v>
      </c>
    </row>
    <row r="874" customFormat="false" ht="15" hidden="false" customHeight="false" outlineLevel="0" collapsed="false">
      <c r="A874" s="62" t="s">
        <v>388</v>
      </c>
      <c r="B874" s="63" t="n">
        <v>1533</v>
      </c>
      <c r="C874" s="64" t="n">
        <v>46309.4778889931</v>
      </c>
      <c r="D874" s="63" t="n">
        <v>11</v>
      </c>
      <c r="E874" s="62" t="s">
        <v>389</v>
      </c>
      <c r="F874" s="62" t="s">
        <v>150</v>
      </c>
      <c r="G874" s="62" t="s">
        <v>389</v>
      </c>
      <c r="H874" s="65" t="n">
        <v>0.4</v>
      </c>
      <c r="I874" s="62" t="s">
        <v>392</v>
      </c>
    </row>
    <row r="875" customFormat="false" ht="15" hidden="false" customHeight="false" outlineLevel="0" collapsed="false">
      <c r="A875" s="62" t="s">
        <v>388</v>
      </c>
      <c r="B875" s="63" t="n">
        <v>1533</v>
      </c>
      <c r="C875" s="64" t="n">
        <v>46309.4781666898</v>
      </c>
      <c r="D875" s="63" t="n">
        <v>11</v>
      </c>
      <c r="E875" s="62" t="s">
        <v>389</v>
      </c>
      <c r="F875" s="62" t="s">
        <v>150</v>
      </c>
      <c r="G875" s="62" t="s">
        <v>389</v>
      </c>
      <c r="H875" s="65" t="n">
        <v>0.2</v>
      </c>
      <c r="I875" s="62" t="s">
        <v>392</v>
      </c>
    </row>
    <row r="876" customFormat="false" ht="15" hidden="false" customHeight="false" outlineLevel="0" collapsed="false">
      <c r="A876" s="62" t="s">
        <v>388</v>
      </c>
      <c r="B876" s="63" t="n">
        <v>1550</v>
      </c>
      <c r="C876" s="64" t="n">
        <v>46309.4787927546</v>
      </c>
      <c r="D876" s="63" t="n">
        <v>11</v>
      </c>
      <c r="E876" s="62" t="s">
        <v>389</v>
      </c>
      <c r="F876" s="62" t="s">
        <v>150</v>
      </c>
      <c r="G876" s="62" t="s">
        <v>389</v>
      </c>
      <c r="H876" s="65" t="n">
        <v>0.7</v>
      </c>
      <c r="I876" s="62" t="s">
        <v>392</v>
      </c>
    </row>
    <row r="877" customFormat="false" ht="15" hidden="false" customHeight="false" outlineLevel="0" collapsed="false">
      <c r="A877" s="62" t="s">
        <v>388</v>
      </c>
      <c r="B877" s="63" t="n">
        <v>1533</v>
      </c>
      <c r="C877" s="64" t="n">
        <v>46309.4788234491</v>
      </c>
      <c r="D877" s="63" t="n">
        <v>11</v>
      </c>
      <c r="E877" s="62" t="s">
        <v>389</v>
      </c>
      <c r="F877" s="62" t="s">
        <v>150</v>
      </c>
      <c r="G877" s="62" t="s">
        <v>389</v>
      </c>
      <c r="H877" s="65" t="n">
        <v>0.9</v>
      </c>
      <c r="I877" s="62" t="s">
        <v>392</v>
      </c>
    </row>
    <row r="878" customFormat="false" ht="15" hidden="false" customHeight="false" outlineLevel="0" collapsed="false">
      <c r="A878" s="62" t="s">
        <v>388</v>
      </c>
      <c r="B878" s="63" t="n">
        <v>670</v>
      </c>
      <c r="C878" s="64" t="n">
        <v>46309.4805453819</v>
      </c>
      <c r="D878" s="63" t="n">
        <v>11</v>
      </c>
      <c r="E878" s="62" t="s">
        <v>389</v>
      </c>
      <c r="F878" s="62" t="s">
        <v>391</v>
      </c>
      <c r="G878" s="62" t="s">
        <v>389</v>
      </c>
      <c r="H878" s="65" t="n">
        <v>0.9</v>
      </c>
      <c r="I878" s="62" t="s">
        <v>392</v>
      </c>
    </row>
    <row r="879" customFormat="false" ht="15" hidden="false" customHeight="false" outlineLevel="0" collapsed="false">
      <c r="A879" s="62" t="s">
        <v>388</v>
      </c>
      <c r="B879" s="63" t="n">
        <v>1533</v>
      </c>
      <c r="C879" s="64" t="n">
        <v>46309.4813760417</v>
      </c>
      <c r="D879" s="63" t="n">
        <v>11</v>
      </c>
      <c r="E879" s="62" t="s">
        <v>389</v>
      </c>
      <c r="F879" s="62" t="s">
        <v>150</v>
      </c>
      <c r="G879" s="62" t="s">
        <v>389</v>
      </c>
      <c r="H879" s="65" t="n">
        <v>0.6</v>
      </c>
      <c r="I879" s="62" t="s">
        <v>392</v>
      </c>
    </row>
    <row r="880" customFormat="false" ht="15" hidden="false" customHeight="false" outlineLevel="0" collapsed="false">
      <c r="A880" s="62" t="s">
        <v>388</v>
      </c>
      <c r="B880" s="63" t="n">
        <v>1456</v>
      </c>
      <c r="C880" s="64" t="n">
        <v>46309.481640463</v>
      </c>
      <c r="D880" s="63" t="n">
        <v>11</v>
      </c>
      <c r="E880" s="62" t="s">
        <v>389</v>
      </c>
      <c r="F880" s="62" t="s">
        <v>150</v>
      </c>
      <c r="G880" s="62" t="s">
        <v>389</v>
      </c>
      <c r="H880" s="65" t="n">
        <v>1.5</v>
      </c>
      <c r="I880" s="62" t="s">
        <v>392</v>
      </c>
    </row>
    <row r="881" customFormat="false" ht="15" hidden="false" customHeight="false" outlineLevel="0" collapsed="false">
      <c r="A881" s="62" t="s">
        <v>388</v>
      </c>
      <c r="B881" s="63" t="n">
        <v>1533</v>
      </c>
      <c r="C881" s="64" t="n">
        <v>46309.4853372107</v>
      </c>
      <c r="D881" s="63" t="n">
        <v>11</v>
      </c>
      <c r="E881" s="62" t="s">
        <v>389</v>
      </c>
      <c r="F881" s="62" t="s">
        <v>150</v>
      </c>
      <c r="G881" s="62" t="s">
        <v>389</v>
      </c>
      <c r="H881" s="65" t="n">
        <v>0.9</v>
      </c>
      <c r="I881" s="62" t="s">
        <v>392</v>
      </c>
    </row>
    <row r="882" customFormat="false" ht="15" hidden="false" customHeight="false" outlineLevel="0" collapsed="false">
      <c r="A882" s="62" t="s">
        <v>388</v>
      </c>
      <c r="B882" s="63" t="n">
        <v>1832</v>
      </c>
      <c r="C882" s="64" t="n">
        <v>46309.5012428704</v>
      </c>
      <c r="D882" s="63" t="n">
        <v>12</v>
      </c>
      <c r="E882" s="62" t="s">
        <v>389</v>
      </c>
      <c r="F882" s="62" t="s">
        <v>431</v>
      </c>
      <c r="G882" s="62" t="s">
        <v>389</v>
      </c>
      <c r="H882" s="65" t="n">
        <v>1.6</v>
      </c>
      <c r="I882" s="62" t="s">
        <v>392</v>
      </c>
    </row>
    <row r="883" customFormat="false" ht="15" hidden="false" customHeight="false" outlineLevel="0" collapsed="false">
      <c r="A883" s="62" t="s">
        <v>388</v>
      </c>
      <c r="B883" s="63" t="n">
        <v>1789</v>
      </c>
      <c r="C883" s="64" t="n">
        <v>46309.5014120949</v>
      </c>
      <c r="D883" s="63" t="n">
        <v>12</v>
      </c>
      <c r="E883" s="62" t="s">
        <v>389</v>
      </c>
      <c r="F883" s="62" t="s">
        <v>150</v>
      </c>
      <c r="G883" s="62" t="s">
        <v>389</v>
      </c>
      <c r="H883" s="65" t="n">
        <v>0.9</v>
      </c>
      <c r="I883" s="62" t="s">
        <v>392</v>
      </c>
    </row>
    <row r="884" customFormat="false" ht="15" hidden="false" customHeight="false" outlineLevel="0" collapsed="false">
      <c r="A884" s="62" t="s">
        <v>388</v>
      </c>
      <c r="B884" s="63" t="n">
        <v>1819</v>
      </c>
      <c r="C884" s="64" t="n">
        <v>46309.5095175232</v>
      </c>
      <c r="D884" s="63" t="n">
        <v>12</v>
      </c>
      <c r="E884" s="62" t="s">
        <v>389</v>
      </c>
      <c r="F884" s="62" t="s">
        <v>152</v>
      </c>
      <c r="G884" s="62" t="s">
        <v>389</v>
      </c>
      <c r="H884" s="65" t="n">
        <v>0.4</v>
      </c>
      <c r="I884" s="62" t="s">
        <v>392</v>
      </c>
    </row>
    <row r="885" customFormat="false" ht="15" hidden="false" customHeight="false" outlineLevel="0" collapsed="false">
      <c r="A885" s="62" t="s">
        <v>388</v>
      </c>
      <c r="B885" s="63" t="n">
        <v>1826</v>
      </c>
      <c r="C885" s="64" t="n">
        <v>46309.5439201042</v>
      </c>
      <c r="D885" s="63" t="n">
        <v>13</v>
      </c>
      <c r="E885" s="62" t="s">
        <v>389</v>
      </c>
      <c r="F885" s="62" t="s">
        <v>150</v>
      </c>
      <c r="G885" s="62" t="s">
        <v>389</v>
      </c>
      <c r="H885" s="65" t="n">
        <v>0.3</v>
      </c>
      <c r="I885" s="62" t="s">
        <v>392</v>
      </c>
    </row>
    <row r="886" customFormat="false" ht="15" hidden="false" customHeight="false" outlineLevel="0" collapsed="false">
      <c r="A886" s="62" t="s">
        <v>388</v>
      </c>
      <c r="B886" s="63" t="n">
        <v>1181</v>
      </c>
      <c r="C886" s="64" t="n">
        <v>46309.549304456</v>
      </c>
      <c r="D886" s="63" t="n">
        <v>13</v>
      </c>
      <c r="E886" s="62" t="s">
        <v>389</v>
      </c>
      <c r="F886" s="62" t="s">
        <v>152</v>
      </c>
      <c r="G886" s="62" t="s">
        <v>389</v>
      </c>
      <c r="H886" s="65" t="n">
        <v>1.5</v>
      </c>
      <c r="I886" s="62" t="s">
        <v>392</v>
      </c>
    </row>
    <row r="887" customFormat="false" ht="15" hidden="false" customHeight="false" outlineLevel="0" collapsed="false">
      <c r="A887" s="62" t="s">
        <v>388</v>
      </c>
      <c r="B887" s="63" t="n">
        <v>1181</v>
      </c>
      <c r="C887" s="64" t="n">
        <v>46309.5505207986</v>
      </c>
      <c r="D887" s="63" t="n">
        <v>13</v>
      </c>
      <c r="E887" s="62" t="s">
        <v>389</v>
      </c>
      <c r="F887" s="62" t="s">
        <v>152</v>
      </c>
      <c r="G887" s="62" t="s">
        <v>389</v>
      </c>
      <c r="H887" s="65" t="n">
        <v>1.9</v>
      </c>
      <c r="I887" s="62" t="s">
        <v>392</v>
      </c>
    </row>
    <row r="888" customFormat="false" ht="15" hidden="false" customHeight="false" outlineLevel="0" collapsed="false">
      <c r="A888" s="62" t="s">
        <v>388</v>
      </c>
      <c r="B888" s="63" t="n">
        <v>1857</v>
      </c>
      <c r="C888" s="64" t="n">
        <v>46309.5519145255</v>
      </c>
      <c r="D888" s="63" t="n">
        <v>13</v>
      </c>
      <c r="E888" s="62" t="s">
        <v>389</v>
      </c>
      <c r="F888" s="62" t="s">
        <v>430</v>
      </c>
      <c r="G888" s="62" t="s">
        <v>389</v>
      </c>
      <c r="H888" s="65" t="n">
        <v>1468.3</v>
      </c>
      <c r="I888" s="62" t="s">
        <v>275</v>
      </c>
    </row>
    <row r="889" customFormat="false" ht="15" hidden="false" customHeight="false" outlineLevel="0" collapsed="false">
      <c r="A889" s="62" t="s">
        <v>388</v>
      </c>
      <c r="B889" s="63" t="n">
        <v>1858</v>
      </c>
      <c r="C889" s="64" t="n">
        <v>46309.553406088</v>
      </c>
      <c r="D889" s="63" t="n">
        <v>13</v>
      </c>
      <c r="E889" s="62" t="s">
        <v>389</v>
      </c>
      <c r="F889" s="62" t="s">
        <v>430</v>
      </c>
      <c r="G889" s="62" t="s">
        <v>389</v>
      </c>
      <c r="H889" s="65" t="n">
        <v>3.3</v>
      </c>
      <c r="I889" s="62" t="s">
        <v>275</v>
      </c>
    </row>
    <row r="890" customFormat="false" ht="15" hidden="false" customHeight="false" outlineLevel="0" collapsed="false">
      <c r="A890" s="62" t="s">
        <v>388</v>
      </c>
      <c r="B890" s="63" t="n">
        <v>1858</v>
      </c>
      <c r="C890" s="64" t="n">
        <v>46309.5555474769</v>
      </c>
      <c r="D890" s="63" t="n">
        <v>13</v>
      </c>
      <c r="E890" s="62" t="s">
        <v>389</v>
      </c>
      <c r="F890" s="62" t="s">
        <v>431</v>
      </c>
      <c r="G890" s="62" t="s">
        <v>389</v>
      </c>
      <c r="H890" s="65" t="n">
        <v>0.2</v>
      </c>
      <c r="I890" s="62" t="s">
        <v>392</v>
      </c>
    </row>
    <row r="891" customFormat="false" ht="15" hidden="false" customHeight="false" outlineLevel="0" collapsed="false">
      <c r="A891" s="62" t="s">
        <v>388</v>
      </c>
      <c r="B891" s="63" t="n">
        <v>1338</v>
      </c>
      <c r="C891" s="64" t="n">
        <v>46309.5556494445</v>
      </c>
      <c r="D891" s="63" t="n">
        <v>13</v>
      </c>
      <c r="E891" s="62" t="s">
        <v>389</v>
      </c>
      <c r="F891" s="62" t="s">
        <v>407</v>
      </c>
      <c r="G891" s="62" t="s">
        <v>389</v>
      </c>
      <c r="H891" s="65" t="n">
        <v>5.3</v>
      </c>
      <c r="I891" s="62" t="s">
        <v>392</v>
      </c>
    </row>
    <row r="892" customFormat="false" ht="15" hidden="false" customHeight="false" outlineLevel="0" collapsed="false">
      <c r="A892" s="62" t="s">
        <v>388</v>
      </c>
      <c r="B892" s="63" t="n">
        <v>1858</v>
      </c>
      <c r="C892" s="64" t="n">
        <v>46309.5567127894</v>
      </c>
      <c r="D892" s="63" t="n">
        <v>13</v>
      </c>
      <c r="E892" s="62" t="s">
        <v>389</v>
      </c>
      <c r="F892" s="62" t="s">
        <v>431</v>
      </c>
      <c r="G892" s="62" t="s">
        <v>389</v>
      </c>
      <c r="H892" s="65" t="n">
        <v>0.9</v>
      </c>
      <c r="I892" s="62" t="s">
        <v>392</v>
      </c>
    </row>
    <row r="893" customFormat="false" ht="15" hidden="false" customHeight="false" outlineLevel="0" collapsed="false">
      <c r="A893" s="62" t="s">
        <v>388</v>
      </c>
      <c r="B893" s="63" t="n">
        <v>1832</v>
      </c>
      <c r="C893" s="64" t="n">
        <v>46309.5594662037</v>
      </c>
      <c r="D893" s="63" t="n">
        <v>13</v>
      </c>
      <c r="E893" s="62" t="s">
        <v>389</v>
      </c>
      <c r="F893" s="62" t="s">
        <v>431</v>
      </c>
      <c r="G893" s="62" t="s">
        <v>389</v>
      </c>
      <c r="H893" s="65" t="n">
        <v>1</v>
      </c>
      <c r="I893" s="62" t="s">
        <v>392</v>
      </c>
    </row>
    <row r="894" customFormat="false" ht="15" hidden="false" customHeight="false" outlineLevel="0" collapsed="false">
      <c r="A894" s="62" t="s">
        <v>388</v>
      </c>
      <c r="B894" s="63" t="n">
        <v>1237</v>
      </c>
      <c r="C894" s="64" t="n">
        <v>46309.5636126157</v>
      </c>
      <c r="D894" s="63" t="n">
        <v>13</v>
      </c>
      <c r="E894" s="62" t="s">
        <v>389</v>
      </c>
      <c r="F894" s="62" t="s">
        <v>391</v>
      </c>
      <c r="G894" s="62" t="s">
        <v>389</v>
      </c>
      <c r="H894" s="65" t="n">
        <v>0.7</v>
      </c>
      <c r="I894" s="62" t="s">
        <v>392</v>
      </c>
    </row>
    <row r="895" customFormat="false" ht="15" hidden="false" customHeight="false" outlineLevel="0" collapsed="false">
      <c r="A895" s="62" t="s">
        <v>388</v>
      </c>
      <c r="B895" s="63" t="n">
        <v>1237</v>
      </c>
      <c r="C895" s="64" t="n">
        <v>46309.5645246991</v>
      </c>
      <c r="D895" s="63" t="n">
        <v>13</v>
      </c>
      <c r="E895" s="62" t="s">
        <v>389</v>
      </c>
      <c r="F895" s="62" t="s">
        <v>391</v>
      </c>
      <c r="G895" s="62" t="s">
        <v>389</v>
      </c>
      <c r="H895" s="65" t="n">
        <v>2</v>
      </c>
      <c r="I895" s="62" t="s">
        <v>392</v>
      </c>
    </row>
    <row r="896" customFormat="false" ht="15" hidden="false" customHeight="false" outlineLevel="0" collapsed="false">
      <c r="A896" s="62" t="s">
        <v>388</v>
      </c>
      <c r="B896" s="63" t="n">
        <v>1237</v>
      </c>
      <c r="C896" s="64" t="n">
        <v>46309.5670256134</v>
      </c>
      <c r="D896" s="63" t="n">
        <v>13</v>
      </c>
      <c r="E896" s="62" t="s">
        <v>389</v>
      </c>
      <c r="F896" s="62" t="s">
        <v>391</v>
      </c>
      <c r="G896" s="62" t="s">
        <v>389</v>
      </c>
      <c r="H896" s="65" t="n">
        <v>0.5</v>
      </c>
      <c r="I896" s="62" t="s">
        <v>392</v>
      </c>
    </row>
    <row r="897" customFormat="false" ht="15" hidden="false" customHeight="false" outlineLevel="0" collapsed="false">
      <c r="A897" s="62" t="s">
        <v>388</v>
      </c>
      <c r="B897" s="63" t="n">
        <v>1832</v>
      </c>
      <c r="C897" s="64" t="n">
        <v>46309.5675603588</v>
      </c>
      <c r="D897" s="63" t="n">
        <v>13</v>
      </c>
      <c r="E897" s="62" t="s">
        <v>389</v>
      </c>
      <c r="F897" s="62" t="s">
        <v>431</v>
      </c>
      <c r="G897" s="62" t="s">
        <v>389</v>
      </c>
      <c r="H897" s="65" t="n">
        <v>2.7</v>
      </c>
      <c r="I897" s="62" t="s">
        <v>392</v>
      </c>
    </row>
    <row r="898" customFormat="false" ht="15" hidden="false" customHeight="false" outlineLevel="0" collapsed="false">
      <c r="A898" s="62" t="s">
        <v>388</v>
      </c>
      <c r="B898" s="63" t="n">
        <v>1858</v>
      </c>
      <c r="C898" s="64" t="n">
        <v>46309.5693769097</v>
      </c>
      <c r="D898" s="63" t="n">
        <v>13</v>
      </c>
      <c r="E898" s="62" t="s">
        <v>389</v>
      </c>
      <c r="F898" s="62" t="s">
        <v>151</v>
      </c>
      <c r="G898" s="62" t="s">
        <v>389</v>
      </c>
      <c r="H898" s="65" t="n">
        <v>0.8</v>
      </c>
      <c r="I898" s="62" t="s">
        <v>275</v>
      </c>
    </row>
    <row r="899" customFormat="false" ht="15" hidden="false" customHeight="false" outlineLevel="0" collapsed="false">
      <c r="A899" s="62" t="s">
        <v>388</v>
      </c>
      <c r="B899" s="63" t="n">
        <v>1661</v>
      </c>
      <c r="C899" s="64" t="n">
        <v>46309.5701430787</v>
      </c>
      <c r="D899" s="63" t="n">
        <v>13</v>
      </c>
      <c r="E899" s="62" t="s">
        <v>389</v>
      </c>
      <c r="F899" s="62" t="s">
        <v>150</v>
      </c>
      <c r="G899" s="62" t="s">
        <v>389</v>
      </c>
      <c r="H899" s="65" t="n">
        <v>4.5</v>
      </c>
      <c r="I899" s="62" t="s">
        <v>392</v>
      </c>
    </row>
    <row r="900" customFormat="false" ht="15" hidden="false" customHeight="false" outlineLevel="0" collapsed="false">
      <c r="A900" s="62" t="s">
        <v>388</v>
      </c>
      <c r="B900" s="63" t="n">
        <v>1858</v>
      </c>
      <c r="C900" s="64" t="n">
        <v>46309.57117</v>
      </c>
      <c r="D900" s="63" t="n">
        <v>13</v>
      </c>
      <c r="E900" s="62" t="s">
        <v>389</v>
      </c>
      <c r="F900" s="62" t="s">
        <v>151</v>
      </c>
      <c r="G900" s="62" t="s">
        <v>389</v>
      </c>
      <c r="H900" s="65" t="n">
        <v>4.3</v>
      </c>
      <c r="I900" s="62" t="s">
        <v>275</v>
      </c>
    </row>
    <row r="901" customFormat="false" ht="15" hidden="false" customHeight="false" outlineLevel="0" collapsed="false">
      <c r="A901" s="62" t="s">
        <v>388</v>
      </c>
      <c r="B901" s="63" t="n">
        <v>1858</v>
      </c>
      <c r="C901" s="64" t="n">
        <v>46309.5715906713</v>
      </c>
      <c r="D901" s="63" t="n">
        <v>13</v>
      </c>
      <c r="E901" s="62" t="s">
        <v>389</v>
      </c>
      <c r="F901" s="62" t="s">
        <v>151</v>
      </c>
      <c r="G901" s="62" t="s">
        <v>389</v>
      </c>
      <c r="H901" s="65" t="n">
        <v>3.7</v>
      </c>
      <c r="I901" s="62" t="s">
        <v>275</v>
      </c>
    </row>
    <row r="902" customFormat="false" ht="15" hidden="false" customHeight="false" outlineLevel="0" collapsed="false">
      <c r="A902" s="62" t="s">
        <v>388</v>
      </c>
      <c r="B902" s="63" t="n">
        <v>1858</v>
      </c>
      <c r="C902" s="64" t="n">
        <v>46309.5719691435</v>
      </c>
      <c r="D902" s="63" t="n">
        <v>13</v>
      </c>
      <c r="E902" s="62" t="s">
        <v>389</v>
      </c>
      <c r="F902" s="62" t="s">
        <v>152</v>
      </c>
      <c r="G902" s="62" t="s">
        <v>389</v>
      </c>
      <c r="H902" s="65" t="n">
        <v>3.1</v>
      </c>
      <c r="I902" s="62" t="s">
        <v>392</v>
      </c>
    </row>
    <row r="903" customFormat="false" ht="15" hidden="false" customHeight="false" outlineLevel="0" collapsed="false">
      <c r="A903" s="62" t="s">
        <v>388</v>
      </c>
      <c r="B903" s="63" t="n">
        <v>1237</v>
      </c>
      <c r="C903" s="64" t="n">
        <v>46309.5719822569</v>
      </c>
      <c r="D903" s="63" t="n">
        <v>13</v>
      </c>
      <c r="E903" s="62" t="s">
        <v>389</v>
      </c>
      <c r="F903" s="62" t="s">
        <v>391</v>
      </c>
      <c r="G903" s="62" t="s">
        <v>389</v>
      </c>
      <c r="H903" s="65" t="n">
        <v>1</v>
      </c>
      <c r="I903" s="62" t="s">
        <v>392</v>
      </c>
    </row>
    <row r="904" customFormat="false" ht="15" hidden="false" customHeight="false" outlineLevel="0" collapsed="false">
      <c r="A904" s="62" t="s">
        <v>388</v>
      </c>
      <c r="B904" s="63" t="n">
        <v>1237</v>
      </c>
      <c r="C904" s="64" t="n">
        <v>46309.5744816204</v>
      </c>
      <c r="D904" s="63" t="n">
        <v>13</v>
      </c>
      <c r="E904" s="62" t="s">
        <v>389</v>
      </c>
      <c r="F904" s="62" t="s">
        <v>391</v>
      </c>
      <c r="G904" s="62" t="s">
        <v>389</v>
      </c>
      <c r="H904" s="65" t="n">
        <v>0.4</v>
      </c>
      <c r="I904" s="62" t="s">
        <v>392</v>
      </c>
    </row>
    <row r="905" customFormat="false" ht="15" hidden="false" customHeight="false" outlineLevel="0" collapsed="false">
      <c r="A905" s="62" t="s">
        <v>388</v>
      </c>
      <c r="B905" s="63" t="n">
        <v>1237</v>
      </c>
      <c r="C905" s="64" t="n">
        <v>46309.5747737037</v>
      </c>
      <c r="D905" s="63" t="n">
        <v>13</v>
      </c>
      <c r="E905" s="62" t="s">
        <v>389</v>
      </c>
      <c r="F905" s="62" t="s">
        <v>391</v>
      </c>
      <c r="G905" s="62" t="s">
        <v>389</v>
      </c>
      <c r="H905" s="65" t="n">
        <v>0.9</v>
      </c>
      <c r="I905" s="62" t="s">
        <v>392</v>
      </c>
    </row>
    <row r="906" customFormat="false" ht="15" hidden="false" customHeight="false" outlineLevel="0" collapsed="false">
      <c r="A906" s="62" t="s">
        <v>388</v>
      </c>
      <c r="B906" s="63" t="n">
        <v>1865</v>
      </c>
      <c r="C906" s="64" t="n">
        <v>46309.5755144907</v>
      </c>
      <c r="D906" s="63" t="n">
        <v>13</v>
      </c>
      <c r="E906" s="62" t="s">
        <v>389</v>
      </c>
      <c r="F906" s="62" t="s">
        <v>430</v>
      </c>
      <c r="G906" s="62" t="s">
        <v>390</v>
      </c>
      <c r="H906" s="65"/>
      <c r="I906" s="62" t="s">
        <v>275</v>
      </c>
    </row>
    <row r="907" customFormat="false" ht="15" hidden="false" customHeight="false" outlineLevel="0" collapsed="false">
      <c r="A907" s="62" t="s">
        <v>388</v>
      </c>
      <c r="B907" s="63" t="n">
        <v>1858</v>
      </c>
      <c r="C907" s="64" t="n">
        <v>46309.5775452315</v>
      </c>
      <c r="D907" s="63" t="n">
        <v>13</v>
      </c>
      <c r="E907" s="62" t="s">
        <v>389</v>
      </c>
      <c r="F907" s="62" t="s">
        <v>152</v>
      </c>
      <c r="G907" s="62" t="s">
        <v>389</v>
      </c>
      <c r="H907" s="65" t="n">
        <v>0.4</v>
      </c>
      <c r="I907" s="62" t="s">
        <v>392</v>
      </c>
    </row>
    <row r="908" customFormat="false" ht="15" hidden="false" customHeight="false" outlineLevel="0" collapsed="false">
      <c r="A908" s="62" t="s">
        <v>388</v>
      </c>
      <c r="B908" s="63" t="n">
        <v>1858</v>
      </c>
      <c r="C908" s="64" t="n">
        <v>46309.579580787</v>
      </c>
      <c r="D908" s="63" t="n">
        <v>13</v>
      </c>
      <c r="E908" s="62" t="s">
        <v>389</v>
      </c>
      <c r="F908" s="62" t="s">
        <v>152</v>
      </c>
      <c r="G908" s="62" t="s">
        <v>389</v>
      </c>
      <c r="H908" s="65" t="n">
        <v>0.6</v>
      </c>
      <c r="I908" s="62" t="s">
        <v>392</v>
      </c>
    </row>
    <row r="909" customFormat="false" ht="15" hidden="false" customHeight="false" outlineLevel="0" collapsed="false">
      <c r="A909" s="62" t="s">
        <v>388</v>
      </c>
      <c r="B909" s="63" t="n">
        <v>1858</v>
      </c>
      <c r="C909" s="64" t="n">
        <v>46309.5828676157</v>
      </c>
      <c r="D909" s="63" t="n">
        <v>13</v>
      </c>
      <c r="E909" s="62" t="s">
        <v>389</v>
      </c>
      <c r="F909" s="62" t="s">
        <v>152</v>
      </c>
      <c r="G909" s="62" t="s">
        <v>389</v>
      </c>
      <c r="H909" s="65" t="n">
        <v>2.6</v>
      </c>
      <c r="I909" s="62" t="s">
        <v>392</v>
      </c>
    </row>
    <row r="910" customFormat="false" ht="15" hidden="false" customHeight="false" outlineLevel="0" collapsed="false">
      <c r="A910" s="62" t="s">
        <v>388</v>
      </c>
      <c r="B910" s="63" t="n">
        <v>1871</v>
      </c>
      <c r="C910" s="64" t="n">
        <v>46309.6008405208</v>
      </c>
      <c r="D910" s="63" t="n">
        <v>14</v>
      </c>
      <c r="E910" s="62" t="s">
        <v>389</v>
      </c>
      <c r="F910" s="62" t="s">
        <v>430</v>
      </c>
      <c r="G910" s="62" t="s">
        <v>389</v>
      </c>
      <c r="H910" s="65" t="n">
        <v>7.2</v>
      </c>
      <c r="I910" s="62" t="s">
        <v>275</v>
      </c>
    </row>
    <row r="911" customFormat="false" ht="15" hidden="false" customHeight="false" outlineLevel="0" collapsed="false">
      <c r="A911" s="62" t="s">
        <v>388</v>
      </c>
      <c r="B911" s="63" t="n">
        <v>1871</v>
      </c>
      <c r="C911" s="64" t="n">
        <v>46309.6056736111</v>
      </c>
      <c r="D911" s="63" t="n">
        <v>14</v>
      </c>
      <c r="E911" s="62" t="s">
        <v>389</v>
      </c>
      <c r="F911" s="62" t="s">
        <v>431</v>
      </c>
      <c r="G911" s="62" t="s">
        <v>389</v>
      </c>
      <c r="H911" s="65" t="n">
        <v>0.3</v>
      </c>
      <c r="I911" s="62" t="s">
        <v>392</v>
      </c>
    </row>
    <row r="912" customFormat="false" ht="15" hidden="false" customHeight="false" outlineLevel="0" collapsed="false">
      <c r="A912" s="62" t="s">
        <v>388</v>
      </c>
      <c r="B912" s="63" t="n">
        <v>1786</v>
      </c>
      <c r="C912" s="64" t="n">
        <v>46309.6211539699</v>
      </c>
      <c r="D912" s="63" t="n">
        <v>14</v>
      </c>
      <c r="E912" s="62" t="s">
        <v>389</v>
      </c>
      <c r="F912" s="62" t="s">
        <v>150</v>
      </c>
      <c r="G912" s="62" t="s">
        <v>389</v>
      </c>
      <c r="H912" s="65" t="n">
        <v>0.5</v>
      </c>
      <c r="I912" s="62" t="s">
        <v>392</v>
      </c>
    </row>
    <row r="913" customFormat="false" ht="15" hidden="false" customHeight="false" outlineLevel="0" collapsed="false">
      <c r="A913" s="62" t="s">
        <v>388</v>
      </c>
      <c r="B913" s="63" t="n">
        <v>1786</v>
      </c>
      <c r="C913" s="64" t="n">
        <v>46309.6232772454</v>
      </c>
      <c r="D913" s="63" t="n">
        <v>14</v>
      </c>
      <c r="E913" s="62" t="s">
        <v>389</v>
      </c>
      <c r="F913" s="62" t="s">
        <v>150</v>
      </c>
      <c r="G913" s="62" t="s">
        <v>389</v>
      </c>
      <c r="H913" s="65" t="n">
        <v>238.4</v>
      </c>
      <c r="I913" s="62" t="s">
        <v>275</v>
      </c>
    </row>
    <row r="914" customFormat="false" ht="15" hidden="false" customHeight="false" outlineLevel="0" collapsed="false">
      <c r="A914" s="62" t="s">
        <v>388</v>
      </c>
      <c r="B914" s="63" t="n">
        <v>1832</v>
      </c>
      <c r="C914" s="64" t="n">
        <v>46309.6291844213</v>
      </c>
      <c r="D914" s="63" t="n">
        <v>15</v>
      </c>
      <c r="E914" s="62" t="s">
        <v>389</v>
      </c>
      <c r="F914" s="62" t="s">
        <v>431</v>
      </c>
      <c r="G914" s="62" t="s">
        <v>389</v>
      </c>
      <c r="H914" s="65" t="n">
        <v>0.4</v>
      </c>
      <c r="I914" s="62" t="s">
        <v>392</v>
      </c>
    </row>
    <row r="915" customFormat="false" ht="15" hidden="false" customHeight="false" outlineLevel="0" collapsed="false">
      <c r="A915" s="62" t="s">
        <v>388</v>
      </c>
      <c r="B915" s="63" t="n">
        <v>1876</v>
      </c>
      <c r="C915" s="64" t="n">
        <v>46309.6324618982</v>
      </c>
      <c r="D915" s="63" t="n">
        <v>15</v>
      </c>
      <c r="E915" s="62" t="s">
        <v>389</v>
      </c>
      <c r="F915" s="62" t="s">
        <v>430</v>
      </c>
      <c r="G915" s="62" t="s">
        <v>390</v>
      </c>
      <c r="H915" s="65"/>
      <c r="I915" s="62" t="s">
        <v>275</v>
      </c>
    </row>
    <row r="916" customFormat="false" ht="15" hidden="false" customHeight="false" outlineLevel="0" collapsed="false">
      <c r="A916" s="62" t="s">
        <v>388</v>
      </c>
      <c r="B916" s="63" t="n">
        <v>1880</v>
      </c>
      <c r="C916" s="64" t="n">
        <v>46309.6388379514</v>
      </c>
      <c r="D916" s="63" t="n">
        <v>15</v>
      </c>
      <c r="E916" s="62" t="s">
        <v>389</v>
      </c>
      <c r="F916" s="62" t="s">
        <v>430</v>
      </c>
      <c r="G916" s="62" t="s">
        <v>390</v>
      </c>
      <c r="H916" s="65"/>
      <c r="I916" s="62" t="s">
        <v>275</v>
      </c>
    </row>
    <row r="917" customFormat="false" ht="15" hidden="false" customHeight="false" outlineLevel="0" collapsed="false">
      <c r="A917" s="62" t="s">
        <v>388</v>
      </c>
      <c r="B917" s="63" t="n">
        <v>1883</v>
      </c>
      <c r="C917" s="64" t="n">
        <v>46309.6612495949</v>
      </c>
      <c r="D917" s="63" t="n">
        <v>15</v>
      </c>
      <c r="E917" s="62" t="s">
        <v>389</v>
      </c>
      <c r="F917" s="62" t="s">
        <v>430</v>
      </c>
      <c r="G917" s="62" t="s">
        <v>389</v>
      </c>
      <c r="H917" s="65" t="n">
        <v>1.8</v>
      </c>
      <c r="I917" s="62" t="s">
        <v>275</v>
      </c>
    </row>
    <row r="918" customFormat="false" ht="15" hidden="false" customHeight="false" outlineLevel="0" collapsed="false">
      <c r="A918" s="62" t="s">
        <v>388</v>
      </c>
      <c r="B918" s="63" t="n">
        <v>1883</v>
      </c>
      <c r="C918" s="64" t="n">
        <v>46309.6622400695</v>
      </c>
      <c r="D918" s="63" t="n">
        <v>15</v>
      </c>
      <c r="E918" s="62" t="s">
        <v>389</v>
      </c>
      <c r="F918" s="62" t="s">
        <v>431</v>
      </c>
      <c r="G918" s="62" t="s">
        <v>389</v>
      </c>
      <c r="H918" s="65" t="n">
        <v>0.4</v>
      </c>
      <c r="I918" s="62" t="s">
        <v>392</v>
      </c>
    </row>
    <row r="919" customFormat="false" ht="15" hidden="false" customHeight="false" outlineLevel="0" collapsed="false">
      <c r="A919" s="62" t="s">
        <v>388</v>
      </c>
      <c r="B919" s="63" t="n">
        <v>1883</v>
      </c>
      <c r="C919" s="64" t="n">
        <v>46309.6639986574</v>
      </c>
      <c r="D919" s="63" t="n">
        <v>15</v>
      </c>
      <c r="E919" s="62" t="s">
        <v>389</v>
      </c>
      <c r="F919" s="62" t="s">
        <v>431</v>
      </c>
      <c r="G919" s="62" t="s">
        <v>389</v>
      </c>
      <c r="H919" s="65" t="n">
        <v>0.6</v>
      </c>
      <c r="I919" s="62" t="s">
        <v>392</v>
      </c>
    </row>
    <row r="920" customFormat="false" ht="15" hidden="false" customHeight="false" outlineLevel="0" collapsed="false">
      <c r="A920" s="62" t="s">
        <v>388</v>
      </c>
      <c r="B920" s="63" t="n">
        <v>1883</v>
      </c>
      <c r="C920" s="64" t="n">
        <v>46309.6647090394</v>
      </c>
      <c r="D920" s="63" t="n">
        <v>15</v>
      </c>
      <c r="E920" s="62" t="s">
        <v>389</v>
      </c>
      <c r="F920" s="62" t="s">
        <v>431</v>
      </c>
      <c r="G920" s="62" t="s">
        <v>389</v>
      </c>
      <c r="H920" s="65" t="n">
        <v>0.2</v>
      </c>
      <c r="I920" s="62" t="s">
        <v>392</v>
      </c>
    </row>
    <row r="921" customFormat="false" ht="15" hidden="false" customHeight="false" outlineLevel="0" collapsed="false">
      <c r="A921" s="62" t="s">
        <v>388</v>
      </c>
      <c r="B921" s="63" t="n">
        <v>1883</v>
      </c>
      <c r="C921" s="64" t="n">
        <v>46309.6654920718</v>
      </c>
      <c r="D921" s="63" t="n">
        <v>15</v>
      </c>
      <c r="E921" s="62" t="s">
        <v>389</v>
      </c>
      <c r="F921" s="62" t="s">
        <v>431</v>
      </c>
      <c r="G921" s="62" t="s">
        <v>389</v>
      </c>
      <c r="H921" s="65" t="n">
        <v>6.6</v>
      </c>
      <c r="I921" s="62" t="s">
        <v>392</v>
      </c>
    </row>
    <row r="922" customFormat="false" ht="15" hidden="false" customHeight="false" outlineLevel="0" collapsed="false">
      <c r="A922" s="62" t="s">
        <v>388</v>
      </c>
      <c r="B922" s="63" t="n">
        <v>1883</v>
      </c>
      <c r="C922" s="64" t="n">
        <v>46309.6742046991</v>
      </c>
      <c r="D922" s="63" t="n">
        <v>16</v>
      </c>
      <c r="E922" s="62" t="s">
        <v>389</v>
      </c>
      <c r="F922" s="62" t="s">
        <v>151</v>
      </c>
      <c r="G922" s="62" t="s">
        <v>389</v>
      </c>
      <c r="H922" s="65" t="n">
        <v>0.9</v>
      </c>
      <c r="I922" s="62" t="s">
        <v>392</v>
      </c>
    </row>
    <row r="923" customFormat="false" ht="15" hidden="false" customHeight="false" outlineLevel="0" collapsed="false">
      <c r="A923" s="62" t="s">
        <v>388</v>
      </c>
      <c r="B923" s="63" t="n">
        <v>1181</v>
      </c>
      <c r="C923" s="64" t="n">
        <v>46309.7136808681</v>
      </c>
      <c r="D923" s="63" t="n">
        <v>17</v>
      </c>
      <c r="E923" s="62" t="s">
        <v>389</v>
      </c>
      <c r="F923" s="62" t="s">
        <v>152</v>
      </c>
      <c r="G923" s="62" t="s">
        <v>389</v>
      </c>
      <c r="H923" s="65" t="n">
        <v>1.3</v>
      </c>
      <c r="I923" s="62" t="s">
        <v>392</v>
      </c>
    </row>
    <row r="924" customFormat="false" ht="15" hidden="false" customHeight="false" outlineLevel="0" collapsed="false">
      <c r="A924" s="62" t="s">
        <v>388</v>
      </c>
      <c r="B924" s="63" t="n">
        <v>1181</v>
      </c>
      <c r="C924" s="64" t="n">
        <v>46309.7154028472</v>
      </c>
      <c r="D924" s="63" t="n">
        <v>17</v>
      </c>
      <c r="E924" s="62" t="s">
        <v>389</v>
      </c>
      <c r="F924" s="62" t="s">
        <v>152</v>
      </c>
      <c r="G924" s="62" t="s">
        <v>389</v>
      </c>
      <c r="H924" s="65" t="n">
        <v>2.6</v>
      </c>
      <c r="I924" s="62" t="s">
        <v>392</v>
      </c>
    </row>
    <row r="925" customFormat="false" ht="15" hidden="false" customHeight="false" outlineLevel="0" collapsed="false">
      <c r="A925" s="62" t="s">
        <v>388</v>
      </c>
      <c r="B925" s="63" t="n">
        <v>1181</v>
      </c>
      <c r="C925" s="64" t="n">
        <v>46309.7211305903</v>
      </c>
      <c r="D925" s="63" t="n">
        <v>17</v>
      </c>
      <c r="E925" s="62" t="s">
        <v>389</v>
      </c>
      <c r="F925" s="62" t="s">
        <v>407</v>
      </c>
      <c r="G925" s="62" t="s">
        <v>389</v>
      </c>
      <c r="H925" s="65" t="n">
        <v>2.2</v>
      </c>
      <c r="I925" s="62" t="s">
        <v>392</v>
      </c>
    </row>
    <row r="926" customFormat="false" ht="15" hidden="false" customHeight="false" outlineLevel="0" collapsed="false">
      <c r="A926" s="62" t="s">
        <v>388</v>
      </c>
      <c r="B926" s="63" t="n">
        <v>1181</v>
      </c>
      <c r="C926" s="64" t="n">
        <v>46309.7266588079</v>
      </c>
      <c r="D926" s="63" t="n">
        <v>17</v>
      </c>
      <c r="E926" s="62" t="s">
        <v>389</v>
      </c>
      <c r="F926" s="62" t="s">
        <v>407</v>
      </c>
      <c r="G926" s="62" t="s">
        <v>389</v>
      </c>
      <c r="H926" s="65" t="n">
        <v>1.4</v>
      </c>
      <c r="I926" s="62" t="s">
        <v>392</v>
      </c>
    </row>
    <row r="927" customFormat="false" ht="15" hidden="false" customHeight="false" outlineLevel="0" collapsed="false">
      <c r="A927" s="62" t="s">
        <v>388</v>
      </c>
      <c r="B927" s="63" t="n">
        <v>1897</v>
      </c>
      <c r="C927" s="64" t="n">
        <v>46309.7572959028</v>
      </c>
      <c r="D927" s="63" t="n">
        <v>18</v>
      </c>
      <c r="E927" s="62" t="s">
        <v>389</v>
      </c>
      <c r="F927" s="62" t="s">
        <v>430</v>
      </c>
      <c r="G927" s="62" t="s">
        <v>389</v>
      </c>
      <c r="H927" s="65" t="n">
        <v>7.1</v>
      </c>
      <c r="I927" s="62" t="s">
        <v>275</v>
      </c>
    </row>
    <row r="928" customFormat="false" ht="15" hidden="false" customHeight="false" outlineLevel="0" collapsed="false">
      <c r="A928" s="62" t="s">
        <v>388</v>
      </c>
      <c r="B928" s="63" t="n">
        <v>1897</v>
      </c>
      <c r="C928" s="64" t="n">
        <v>46309.7602830787</v>
      </c>
      <c r="D928" s="63" t="n">
        <v>18</v>
      </c>
      <c r="E928" s="62" t="s">
        <v>389</v>
      </c>
      <c r="F928" s="62" t="s">
        <v>431</v>
      </c>
      <c r="G928" s="62" t="s">
        <v>389</v>
      </c>
      <c r="H928" s="65" t="n">
        <v>2.8</v>
      </c>
      <c r="I928" s="62" t="s">
        <v>392</v>
      </c>
    </row>
    <row r="929" customFormat="false" ht="15" hidden="false" customHeight="false" outlineLevel="0" collapsed="false">
      <c r="A929" s="62" t="s">
        <v>388</v>
      </c>
      <c r="B929" s="63" t="n">
        <v>1668</v>
      </c>
      <c r="C929" s="64" t="n">
        <v>46309.7657010764</v>
      </c>
      <c r="D929" s="63" t="n">
        <v>18</v>
      </c>
      <c r="E929" s="62" t="s">
        <v>389</v>
      </c>
      <c r="F929" s="62" t="s">
        <v>150</v>
      </c>
      <c r="G929" s="62" t="s">
        <v>389</v>
      </c>
      <c r="H929" s="65" t="n">
        <v>0.5</v>
      </c>
      <c r="I929" s="62" t="s">
        <v>392</v>
      </c>
    </row>
    <row r="930" customFormat="false" ht="15" hidden="false" customHeight="false" outlineLevel="0" collapsed="false">
      <c r="A930" s="62" t="s">
        <v>388</v>
      </c>
      <c r="B930" s="63" t="n">
        <v>1897</v>
      </c>
      <c r="C930" s="64" t="n">
        <v>46309.7711799769</v>
      </c>
      <c r="D930" s="63" t="n">
        <v>18</v>
      </c>
      <c r="E930" s="62" t="s">
        <v>389</v>
      </c>
      <c r="F930" s="62" t="s">
        <v>151</v>
      </c>
      <c r="G930" s="62" t="s">
        <v>389</v>
      </c>
      <c r="H930" s="65" t="n">
        <v>4.7</v>
      </c>
      <c r="I930" s="62" t="s">
        <v>392</v>
      </c>
    </row>
    <row r="931" customFormat="false" ht="15" hidden="false" customHeight="false" outlineLevel="0" collapsed="false">
      <c r="A931" s="62" t="s">
        <v>388</v>
      </c>
      <c r="B931" s="63" t="n">
        <v>1900</v>
      </c>
      <c r="C931" s="64" t="n">
        <v>46309.7955787269</v>
      </c>
      <c r="D931" s="63" t="n">
        <v>19</v>
      </c>
      <c r="E931" s="62" t="s">
        <v>389</v>
      </c>
      <c r="F931" s="62" t="s">
        <v>431</v>
      </c>
      <c r="G931" s="62" t="s">
        <v>389</v>
      </c>
      <c r="H931" s="65" t="n">
        <v>2.5</v>
      </c>
      <c r="I931" s="62" t="s">
        <v>392</v>
      </c>
    </row>
    <row r="932" customFormat="false" ht="15" hidden="false" customHeight="false" outlineLevel="0" collapsed="false">
      <c r="A932" s="62" t="s">
        <v>388</v>
      </c>
      <c r="B932" s="63" t="n">
        <v>1902</v>
      </c>
      <c r="C932" s="64" t="n">
        <v>46309.7996947454</v>
      </c>
      <c r="D932" s="63" t="n">
        <v>19</v>
      </c>
      <c r="E932" s="62" t="s">
        <v>389</v>
      </c>
      <c r="F932" s="62" t="s">
        <v>430</v>
      </c>
      <c r="G932" s="62" t="s">
        <v>390</v>
      </c>
      <c r="H932" s="65"/>
      <c r="I932" s="62" t="s">
        <v>275</v>
      </c>
    </row>
    <row r="933" customFormat="false" ht="15" hidden="false" customHeight="false" outlineLevel="0" collapsed="false">
      <c r="A933" s="62" t="s">
        <v>388</v>
      </c>
      <c r="B933" s="63" t="n">
        <v>1905</v>
      </c>
      <c r="C933" s="64" t="n">
        <v>46309.8097105671</v>
      </c>
      <c r="D933" s="63" t="n">
        <v>19</v>
      </c>
      <c r="E933" s="62" t="s">
        <v>389</v>
      </c>
      <c r="F933" s="62" t="s">
        <v>430</v>
      </c>
      <c r="G933" s="62" t="s">
        <v>390</v>
      </c>
      <c r="H933" s="65"/>
      <c r="I933" s="62" t="s">
        <v>275</v>
      </c>
    </row>
    <row r="934" customFormat="false" ht="15" hidden="false" customHeight="false" outlineLevel="0" collapsed="false">
      <c r="A934" s="62" t="s">
        <v>388</v>
      </c>
      <c r="B934" s="63" t="n">
        <v>1910</v>
      </c>
      <c r="C934" s="64" t="n">
        <v>46309.8228689468</v>
      </c>
      <c r="D934" s="63" t="n">
        <v>19</v>
      </c>
      <c r="E934" s="62" t="s">
        <v>389</v>
      </c>
      <c r="F934" s="62" t="s">
        <v>430</v>
      </c>
      <c r="G934" s="62" t="s">
        <v>390</v>
      </c>
      <c r="H934" s="65"/>
      <c r="I934" s="62" t="s">
        <v>275</v>
      </c>
    </row>
    <row r="935" customFormat="false" ht="15" hidden="false" customHeight="false" outlineLevel="0" collapsed="false">
      <c r="A935" s="62" t="s">
        <v>388</v>
      </c>
      <c r="B935" s="63" t="n">
        <v>1686</v>
      </c>
      <c r="C935" s="64" t="n">
        <v>46309.914761632</v>
      </c>
      <c r="D935" s="63" t="n">
        <v>21</v>
      </c>
      <c r="E935" s="62" t="s">
        <v>390</v>
      </c>
      <c r="F935" s="62" t="s">
        <v>150</v>
      </c>
      <c r="G935" s="62" t="s">
        <v>390</v>
      </c>
      <c r="H935" s="65"/>
      <c r="I935" s="62" t="s">
        <v>275</v>
      </c>
    </row>
    <row r="936" customFormat="false" ht="15" hidden="false" customHeight="false" outlineLevel="0" collapsed="false">
      <c r="A936" s="62" t="s">
        <v>388</v>
      </c>
      <c r="B936" s="63" t="n">
        <v>1929</v>
      </c>
      <c r="C936" s="64" t="n">
        <v>46309.9350875463</v>
      </c>
      <c r="D936" s="63" t="n">
        <v>22</v>
      </c>
      <c r="E936" s="62" t="s">
        <v>390</v>
      </c>
      <c r="F936" s="62" t="s">
        <v>430</v>
      </c>
      <c r="G936" s="62" t="s">
        <v>390</v>
      </c>
      <c r="H936" s="65"/>
      <c r="I936" s="62" t="s">
        <v>275</v>
      </c>
    </row>
    <row r="937" customFormat="false" ht="15" hidden="false" customHeight="false" outlineLevel="0" collapsed="false">
      <c r="A937" s="62" t="s">
        <v>388</v>
      </c>
      <c r="B937" s="63" t="n">
        <v>1930</v>
      </c>
      <c r="C937" s="64" t="n">
        <v>46309.9562160185</v>
      </c>
      <c r="D937" s="63" t="n">
        <v>22</v>
      </c>
      <c r="E937" s="62" t="s">
        <v>390</v>
      </c>
      <c r="F937" s="62" t="s">
        <v>430</v>
      </c>
      <c r="G937" s="62" t="s">
        <v>390</v>
      </c>
      <c r="H937" s="65"/>
      <c r="I937" s="62" t="s">
        <v>275</v>
      </c>
    </row>
    <row r="938" customFormat="false" ht="15" hidden="false" customHeight="false" outlineLevel="0" collapsed="false">
      <c r="A938" s="62" t="s">
        <v>388</v>
      </c>
      <c r="B938" s="63" t="n">
        <v>1934</v>
      </c>
      <c r="C938" s="64" t="n">
        <v>46309.9719886458</v>
      </c>
      <c r="D938" s="63" t="n">
        <v>23</v>
      </c>
      <c r="E938" s="62" t="s">
        <v>390</v>
      </c>
      <c r="F938" s="62" t="s">
        <v>430</v>
      </c>
      <c r="G938" s="62" t="s">
        <v>389</v>
      </c>
      <c r="H938" s="65" t="n">
        <v>500.1</v>
      </c>
      <c r="I938" s="62" t="s">
        <v>275</v>
      </c>
    </row>
    <row r="939" customFormat="false" ht="15" hidden="false" customHeight="false" outlineLevel="0" collapsed="false">
      <c r="A939" s="62" t="s">
        <v>388</v>
      </c>
      <c r="B939" s="63" t="n">
        <v>1944</v>
      </c>
      <c r="C939" s="64" t="n">
        <v>46310.2682108565</v>
      </c>
      <c r="D939" s="63" t="n">
        <v>6</v>
      </c>
      <c r="E939" s="62" t="s">
        <v>390</v>
      </c>
      <c r="F939" s="62" t="s">
        <v>430</v>
      </c>
      <c r="G939" s="62" t="s">
        <v>389</v>
      </c>
      <c r="H939" s="65" t="n">
        <v>110.5</v>
      </c>
      <c r="I939" s="62" t="s">
        <v>275</v>
      </c>
    </row>
    <row r="940" customFormat="false" ht="15" hidden="false" customHeight="false" outlineLevel="0" collapsed="false">
      <c r="A940" s="62" t="s">
        <v>388</v>
      </c>
      <c r="B940" s="63" t="n">
        <v>1934</v>
      </c>
      <c r="C940" s="64" t="n">
        <v>46310.3177957176</v>
      </c>
      <c r="D940" s="63" t="n">
        <v>7</v>
      </c>
      <c r="E940" s="62" t="s">
        <v>390</v>
      </c>
      <c r="F940" s="62" t="s">
        <v>431</v>
      </c>
      <c r="G940" s="62" t="s">
        <v>389</v>
      </c>
      <c r="H940" s="65" t="n">
        <v>2.1</v>
      </c>
      <c r="I940" s="62" t="s">
        <v>392</v>
      </c>
    </row>
    <row r="941" customFormat="false" ht="15" hidden="false" customHeight="false" outlineLevel="0" collapsed="false">
      <c r="A941" s="62" t="s">
        <v>388</v>
      </c>
      <c r="B941" s="63" t="n">
        <v>1934</v>
      </c>
      <c r="C941" s="64" t="n">
        <v>46310.3197612384</v>
      </c>
      <c r="D941" s="63" t="n">
        <v>7</v>
      </c>
      <c r="E941" s="62" t="s">
        <v>390</v>
      </c>
      <c r="F941" s="62" t="s">
        <v>431</v>
      </c>
      <c r="G941" s="62" t="s">
        <v>389</v>
      </c>
      <c r="H941" s="65" t="n">
        <v>4.4</v>
      </c>
      <c r="I941" s="62" t="s">
        <v>392</v>
      </c>
    </row>
    <row r="942" customFormat="false" ht="15" hidden="false" customHeight="false" outlineLevel="0" collapsed="false">
      <c r="A942" s="62" t="s">
        <v>388</v>
      </c>
      <c r="B942" s="63" t="n">
        <v>1934</v>
      </c>
      <c r="C942" s="64" t="n">
        <v>46310.3250344329</v>
      </c>
      <c r="D942" s="63" t="n">
        <v>7</v>
      </c>
      <c r="E942" s="62" t="s">
        <v>390</v>
      </c>
      <c r="F942" s="62" t="s">
        <v>151</v>
      </c>
      <c r="G942" s="62" t="s">
        <v>389</v>
      </c>
      <c r="H942" s="65" t="n">
        <v>0.4</v>
      </c>
      <c r="I942" s="62" t="s">
        <v>392</v>
      </c>
    </row>
    <row r="943" customFormat="false" ht="15" hidden="false" customHeight="false" outlineLevel="0" collapsed="false">
      <c r="A943" s="62" t="s">
        <v>388</v>
      </c>
      <c r="B943" s="63" t="n">
        <v>1934</v>
      </c>
      <c r="C943" s="64" t="n">
        <v>46310.3261384028</v>
      </c>
      <c r="D943" s="63" t="n">
        <v>7</v>
      </c>
      <c r="E943" s="62" t="s">
        <v>390</v>
      </c>
      <c r="F943" s="62" t="s">
        <v>151</v>
      </c>
      <c r="G943" s="62" t="s">
        <v>389</v>
      </c>
      <c r="H943" s="65" t="n">
        <v>0.8</v>
      </c>
      <c r="I943" s="62" t="s">
        <v>275</v>
      </c>
    </row>
    <row r="944" customFormat="false" ht="15" hidden="false" customHeight="false" outlineLevel="0" collapsed="false">
      <c r="A944" s="62" t="s">
        <v>388</v>
      </c>
      <c r="B944" s="63" t="n">
        <v>1944</v>
      </c>
      <c r="C944" s="64" t="n">
        <v>46310.3448203357</v>
      </c>
      <c r="D944" s="63" t="n">
        <v>8</v>
      </c>
      <c r="E944" s="62" t="s">
        <v>390</v>
      </c>
      <c r="F944" s="62" t="s">
        <v>431</v>
      </c>
      <c r="G944" s="62" t="s">
        <v>389</v>
      </c>
      <c r="H944" s="65" t="n">
        <v>0.1</v>
      </c>
      <c r="I944" s="62" t="s">
        <v>392</v>
      </c>
    </row>
    <row r="945" customFormat="false" ht="15" hidden="false" customHeight="false" outlineLevel="0" collapsed="false">
      <c r="A945" s="62" t="s">
        <v>388</v>
      </c>
      <c r="B945" s="63" t="n">
        <v>1956</v>
      </c>
      <c r="C945" s="64" t="n">
        <v>46310.3499016551</v>
      </c>
      <c r="D945" s="63" t="n">
        <v>8</v>
      </c>
      <c r="E945" s="62" t="s">
        <v>390</v>
      </c>
      <c r="F945" s="62" t="s">
        <v>430</v>
      </c>
      <c r="G945" s="62" t="s">
        <v>389</v>
      </c>
      <c r="H945" s="65" t="n">
        <v>7.1</v>
      </c>
      <c r="I945" s="62" t="s">
        <v>275</v>
      </c>
    </row>
    <row r="946" customFormat="false" ht="15" hidden="false" customHeight="false" outlineLevel="0" collapsed="false">
      <c r="A946" s="62" t="s">
        <v>388</v>
      </c>
      <c r="B946" s="63" t="n">
        <v>1956</v>
      </c>
      <c r="C946" s="64" t="n">
        <v>46310.3547143519</v>
      </c>
      <c r="D946" s="63" t="n">
        <v>8</v>
      </c>
      <c r="E946" s="62" t="s">
        <v>390</v>
      </c>
      <c r="F946" s="62" t="s">
        <v>431</v>
      </c>
      <c r="G946" s="62" t="s">
        <v>389</v>
      </c>
      <c r="H946" s="65" t="n">
        <v>0.2</v>
      </c>
      <c r="I946" s="62" t="s">
        <v>392</v>
      </c>
    </row>
    <row r="947" customFormat="false" ht="15" hidden="false" customHeight="false" outlineLevel="0" collapsed="false">
      <c r="A947" s="62" t="s">
        <v>388</v>
      </c>
      <c r="B947" s="63" t="n">
        <v>1956</v>
      </c>
      <c r="C947" s="64" t="n">
        <v>46310.3550917477</v>
      </c>
      <c r="D947" s="63" t="n">
        <v>8</v>
      </c>
      <c r="E947" s="62" t="s">
        <v>390</v>
      </c>
      <c r="F947" s="62" t="s">
        <v>431</v>
      </c>
      <c r="G947" s="62" t="s">
        <v>389</v>
      </c>
      <c r="H947" s="65" t="n">
        <v>4.7</v>
      </c>
      <c r="I947" s="62" t="s">
        <v>392</v>
      </c>
    </row>
    <row r="948" customFormat="false" ht="15" hidden="false" customHeight="false" outlineLevel="0" collapsed="false">
      <c r="A948" s="62" t="s">
        <v>388</v>
      </c>
      <c r="B948" s="63" t="n">
        <v>1956</v>
      </c>
      <c r="C948" s="64" t="n">
        <v>46310.3806114352</v>
      </c>
      <c r="D948" s="63" t="n">
        <v>9</v>
      </c>
      <c r="E948" s="62" t="s">
        <v>389</v>
      </c>
      <c r="F948" s="62" t="s">
        <v>151</v>
      </c>
      <c r="G948" s="62" t="s">
        <v>389</v>
      </c>
      <c r="H948" s="65" t="n">
        <v>0.8</v>
      </c>
      <c r="I948" s="62" t="s">
        <v>392</v>
      </c>
    </row>
    <row r="949" customFormat="false" ht="15" hidden="false" customHeight="false" outlineLevel="0" collapsed="false">
      <c r="A949" s="62" t="s">
        <v>388</v>
      </c>
      <c r="B949" s="63" t="n">
        <v>1682</v>
      </c>
      <c r="C949" s="64" t="n">
        <v>46310.3906043982</v>
      </c>
      <c r="D949" s="63" t="n">
        <v>9</v>
      </c>
      <c r="E949" s="62" t="s">
        <v>389</v>
      </c>
      <c r="F949" s="62" t="s">
        <v>150</v>
      </c>
      <c r="G949" s="62" t="s">
        <v>389</v>
      </c>
      <c r="H949" s="65" t="n">
        <v>2</v>
      </c>
      <c r="I949" s="62" t="s">
        <v>392</v>
      </c>
    </row>
    <row r="950" customFormat="false" ht="15" hidden="false" customHeight="false" outlineLevel="0" collapsed="false">
      <c r="A950" s="62" t="s">
        <v>388</v>
      </c>
      <c r="B950" s="63" t="n">
        <v>1682</v>
      </c>
      <c r="C950" s="64" t="n">
        <v>46310.3937652199</v>
      </c>
      <c r="D950" s="63" t="n">
        <v>9</v>
      </c>
      <c r="E950" s="62" t="s">
        <v>389</v>
      </c>
      <c r="F950" s="62" t="s">
        <v>150</v>
      </c>
      <c r="G950" s="62" t="s">
        <v>389</v>
      </c>
      <c r="H950" s="65" t="n">
        <v>0.9</v>
      </c>
      <c r="I950" s="62" t="s">
        <v>392</v>
      </c>
    </row>
    <row r="951" customFormat="false" ht="15" hidden="false" customHeight="false" outlineLevel="0" collapsed="false">
      <c r="A951" s="62" t="s">
        <v>388</v>
      </c>
      <c r="B951" s="63" t="n">
        <v>1682</v>
      </c>
      <c r="C951" s="64" t="n">
        <v>46310.4018711343</v>
      </c>
      <c r="D951" s="63" t="n">
        <v>9</v>
      </c>
      <c r="E951" s="62" t="s">
        <v>389</v>
      </c>
      <c r="F951" s="62" t="s">
        <v>150</v>
      </c>
      <c r="G951" s="62" t="s">
        <v>389</v>
      </c>
      <c r="H951" s="65" t="n">
        <v>1.1</v>
      </c>
      <c r="I951" s="62" t="s">
        <v>392</v>
      </c>
    </row>
    <row r="952" customFormat="false" ht="15" hidden="false" customHeight="false" outlineLevel="0" collapsed="false">
      <c r="A952" s="62" t="s">
        <v>388</v>
      </c>
      <c r="B952" s="63" t="n">
        <v>1682</v>
      </c>
      <c r="C952" s="64" t="n">
        <v>46310.4047881134</v>
      </c>
      <c r="D952" s="63" t="n">
        <v>9</v>
      </c>
      <c r="E952" s="62" t="s">
        <v>389</v>
      </c>
      <c r="F952" s="62" t="s">
        <v>150</v>
      </c>
      <c r="G952" s="62" t="s">
        <v>389</v>
      </c>
      <c r="H952" s="65" t="n">
        <v>0.3</v>
      </c>
      <c r="I952" s="62" t="s">
        <v>392</v>
      </c>
    </row>
    <row r="953" customFormat="false" ht="15" hidden="false" customHeight="false" outlineLevel="0" collapsed="false">
      <c r="A953" s="62" t="s">
        <v>388</v>
      </c>
      <c r="B953" s="63" t="n">
        <v>1661</v>
      </c>
      <c r="C953" s="64" t="n">
        <v>46310.4245800463</v>
      </c>
      <c r="D953" s="63" t="n">
        <v>10</v>
      </c>
      <c r="E953" s="62" t="s">
        <v>389</v>
      </c>
      <c r="F953" s="62" t="s">
        <v>150</v>
      </c>
      <c r="G953" s="62" t="s">
        <v>389</v>
      </c>
      <c r="H953" s="65" t="n">
        <v>2.6</v>
      </c>
      <c r="I953" s="62" t="s">
        <v>392</v>
      </c>
    </row>
    <row r="954" customFormat="false" ht="15" hidden="false" customHeight="false" outlineLevel="0" collapsed="false">
      <c r="A954" s="62" t="s">
        <v>388</v>
      </c>
      <c r="B954" s="63" t="n">
        <v>1661</v>
      </c>
      <c r="C954" s="64" t="n">
        <v>46310.4292099074</v>
      </c>
      <c r="D954" s="63" t="n">
        <v>10</v>
      </c>
      <c r="E954" s="62" t="s">
        <v>389</v>
      </c>
      <c r="F954" s="62" t="s">
        <v>150</v>
      </c>
      <c r="G954" s="62" t="s">
        <v>389</v>
      </c>
      <c r="H954" s="65" t="n">
        <v>3.1</v>
      </c>
      <c r="I954" s="62" t="s">
        <v>392</v>
      </c>
    </row>
    <row r="955" customFormat="false" ht="15" hidden="false" customHeight="false" outlineLevel="0" collapsed="false">
      <c r="A955" s="62" t="s">
        <v>388</v>
      </c>
      <c r="B955" s="63" t="n">
        <v>1661</v>
      </c>
      <c r="C955" s="64" t="n">
        <v>46310.4335650347</v>
      </c>
      <c r="D955" s="63" t="n">
        <v>10</v>
      </c>
      <c r="E955" s="62" t="s">
        <v>389</v>
      </c>
      <c r="F955" s="62" t="s">
        <v>150</v>
      </c>
      <c r="G955" s="62" t="s">
        <v>389</v>
      </c>
      <c r="H955" s="65" t="n">
        <v>1.6</v>
      </c>
      <c r="I955" s="62" t="s">
        <v>392</v>
      </c>
    </row>
    <row r="956" customFormat="false" ht="15" hidden="false" customHeight="false" outlineLevel="0" collapsed="false">
      <c r="A956" s="62" t="s">
        <v>388</v>
      </c>
      <c r="B956" s="63" t="n">
        <v>1661</v>
      </c>
      <c r="C956" s="64" t="n">
        <v>46310.442300787</v>
      </c>
      <c r="D956" s="63" t="n">
        <v>10</v>
      </c>
      <c r="E956" s="62" t="s">
        <v>389</v>
      </c>
      <c r="F956" s="62" t="s">
        <v>150</v>
      </c>
      <c r="G956" s="62" t="s">
        <v>389</v>
      </c>
      <c r="H956" s="65" t="n">
        <v>1.9</v>
      </c>
      <c r="I956" s="62" t="s">
        <v>392</v>
      </c>
    </row>
    <row r="957" customFormat="false" ht="15" hidden="false" customHeight="false" outlineLevel="0" collapsed="false">
      <c r="A957" s="62" t="s">
        <v>388</v>
      </c>
      <c r="B957" s="63" t="n">
        <v>1661</v>
      </c>
      <c r="C957" s="64" t="n">
        <v>46310.4447935995</v>
      </c>
      <c r="D957" s="63" t="n">
        <v>10</v>
      </c>
      <c r="E957" s="62" t="s">
        <v>389</v>
      </c>
      <c r="F957" s="62" t="s">
        <v>150</v>
      </c>
      <c r="G957" s="62" t="s">
        <v>389</v>
      </c>
      <c r="H957" s="65" t="n">
        <v>1.5</v>
      </c>
      <c r="I957" s="62" t="s">
        <v>392</v>
      </c>
    </row>
    <row r="958" customFormat="false" ht="15" hidden="false" customHeight="false" outlineLevel="0" collapsed="false">
      <c r="A958" s="62" t="s">
        <v>388</v>
      </c>
      <c r="B958" s="63" t="n">
        <v>1407</v>
      </c>
      <c r="C958" s="64" t="n">
        <v>46310.4497895139</v>
      </c>
      <c r="D958" s="63" t="n">
        <v>10</v>
      </c>
      <c r="E958" s="62" t="s">
        <v>389</v>
      </c>
      <c r="F958" s="62" t="s">
        <v>391</v>
      </c>
      <c r="G958" s="62" t="s">
        <v>389</v>
      </c>
      <c r="H958" s="65" t="n">
        <v>3.2</v>
      </c>
      <c r="I958" s="62" t="s">
        <v>392</v>
      </c>
    </row>
    <row r="959" customFormat="false" ht="15" hidden="false" customHeight="false" outlineLevel="0" collapsed="false">
      <c r="A959" s="62" t="s">
        <v>388</v>
      </c>
      <c r="B959" s="63" t="n">
        <v>1661</v>
      </c>
      <c r="C959" s="64" t="n">
        <v>46310.4505751736</v>
      </c>
      <c r="D959" s="63" t="n">
        <v>10</v>
      </c>
      <c r="E959" s="62" t="s">
        <v>389</v>
      </c>
      <c r="F959" s="62" t="s">
        <v>150</v>
      </c>
      <c r="G959" s="62" t="s">
        <v>389</v>
      </c>
      <c r="H959" s="65" t="n">
        <v>4.4</v>
      </c>
      <c r="I959" s="62" t="s">
        <v>392</v>
      </c>
    </row>
    <row r="960" customFormat="false" ht="15" hidden="false" customHeight="false" outlineLevel="0" collapsed="false">
      <c r="A960" s="62" t="s">
        <v>388</v>
      </c>
      <c r="B960" s="63" t="n">
        <v>1407</v>
      </c>
      <c r="C960" s="64" t="n">
        <v>46310.4527657292</v>
      </c>
      <c r="D960" s="63" t="n">
        <v>10</v>
      </c>
      <c r="E960" s="62" t="s">
        <v>389</v>
      </c>
      <c r="F960" s="62" t="s">
        <v>391</v>
      </c>
      <c r="G960" s="62" t="s">
        <v>389</v>
      </c>
      <c r="H960" s="65" t="n">
        <v>3.6</v>
      </c>
      <c r="I960" s="62" t="s">
        <v>392</v>
      </c>
    </row>
    <row r="961" customFormat="false" ht="15" hidden="false" customHeight="false" outlineLevel="0" collapsed="false">
      <c r="A961" s="62" t="s">
        <v>388</v>
      </c>
      <c r="B961" s="63" t="n">
        <v>1661</v>
      </c>
      <c r="C961" s="64" t="n">
        <v>46310.4574387847</v>
      </c>
      <c r="D961" s="63" t="n">
        <v>10</v>
      </c>
      <c r="E961" s="62" t="s">
        <v>389</v>
      </c>
      <c r="F961" s="62" t="s">
        <v>150</v>
      </c>
      <c r="G961" s="62" t="s">
        <v>389</v>
      </c>
      <c r="H961" s="65" t="n">
        <v>0.8</v>
      </c>
      <c r="I961" s="62" t="s">
        <v>392</v>
      </c>
    </row>
    <row r="962" customFormat="false" ht="15" hidden="false" customHeight="false" outlineLevel="0" collapsed="false">
      <c r="A962" s="62" t="s">
        <v>388</v>
      </c>
      <c r="B962" s="63" t="n">
        <v>1407</v>
      </c>
      <c r="C962" s="64" t="n">
        <v>46310.4658605556</v>
      </c>
      <c r="D962" s="63" t="n">
        <v>11</v>
      </c>
      <c r="E962" s="62" t="s">
        <v>389</v>
      </c>
      <c r="F962" s="62" t="s">
        <v>391</v>
      </c>
      <c r="G962" s="62" t="s">
        <v>390</v>
      </c>
      <c r="H962" s="65"/>
      <c r="I962" s="62" t="s">
        <v>432</v>
      </c>
    </row>
    <row r="963" customFormat="false" ht="15" hidden="false" customHeight="false" outlineLevel="0" collapsed="false">
      <c r="A963" s="62" t="s">
        <v>388</v>
      </c>
      <c r="B963" s="63" t="n">
        <v>1661</v>
      </c>
      <c r="C963" s="64" t="n">
        <v>46310.4712188195</v>
      </c>
      <c r="D963" s="63" t="n">
        <v>11</v>
      </c>
      <c r="E963" s="62" t="s">
        <v>389</v>
      </c>
      <c r="F963" s="62" t="s">
        <v>150</v>
      </c>
      <c r="G963" s="62" t="s">
        <v>389</v>
      </c>
      <c r="H963" s="65" t="n">
        <v>2.4</v>
      </c>
      <c r="I963" s="62" t="s">
        <v>392</v>
      </c>
    </row>
    <row r="964" customFormat="false" ht="15" hidden="false" customHeight="false" outlineLevel="0" collapsed="false">
      <c r="A964" s="62" t="s">
        <v>388</v>
      </c>
      <c r="B964" s="63" t="n">
        <v>1979</v>
      </c>
      <c r="C964" s="64" t="n">
        <v>46310.4712398264</v>
      </c>
      <c r="D964" s="63" t="n">
        <v>11</v>
      </c>
      <c r="E964" s="62" t="s">
        <v>389</v>
      </c>
      <c r="F964" s="62" t="s">
        <v>430</v>
      </c>
      <c r="G964" s="62" t="s">
        <v>389</v>
      </c>
      <c r="H964" s="65" t="n">
        <v>18.9</v>
      </c>
      <c r="I964" s="62" t="s">
        <v>275</v>
      </c>
    </row>
    <row r="965" customFormat="false" ht="15" hidden="false" customHeight="false" outlineLevel="0" collapsed="false">
      <c r="A965" s="62" t="s">
        <v>388</v>
      </c>
      <c r="B965" s="63" t="n">
        <v>1661</v>
      </c>
      <c r="C965" s="64" t="n">
        <v>46310.4754043866</v>
      </c>
      <c r="D965" s="63" t="n">
        <v>11</v>
      </c>
      <c r="E965" s="62" t="s">
        <v>389</v>
      </c>
      <c r="F965" s="62" t="s">
        <v>150</v>
      </c>
      <c r="G965" s="62" t="s">
        <v>389</v>
      </c>
      <c r="H965" s="65" t="n">
        <v>5.4</v>
      </c>
      <c r="I965" s="62" t="s">
        <v>392</v>
      </c>
    </row>
    <row r="966" customFormat="false" ht="15" hidden="false" customHeight="false" outlineLevel="0" collapsed="false">
      <c r="A966" s="62" t="s">
        <v>388</v>
      </c>
      <c r="B966" s="63" t="n">
        <v>1981</v>
      </c>
      <c r="C966" s="64" t="n">
        <v>46310.4808462384</v>
      </c>
      <c r="D966" s="63" t="n">
        <v>11</v>
      </c>
      <c r="E966" s="62" t="s">
        <v>389</v>
      </c>
      <c r="F966" s="62" t="s">
        <v>430</v>
      </c>
      <c r="G966" s="62" t="s">
        <v>390</v>
      </c>
      <c r="H966" s="65"/>
      <c r="I966" s="62" t="s">
        <v>275</v>
      </c>
    </row>
    <row r="967" customFormat="false" ht="15" hidden="false" customHeight="false" outlineLevel="0" collapsed="false">
      <c r="A967" s="62" t="s">
        <v>388</v>
      </c>
      <c r="B967" s="63" t="n">
        <v>1661</v>
      </c>
      <c r="C967" s="64" t="n">
        <v>46310.4823850463</v>
      </c>
      <c r="D967" s="63" t="n">
        <v>11</v>
      </c>
      <c r="E967" s="62" t="s">
        <v>389</v>
      </c>
      <c r="F967" s="62" t="s">
        <v>150</v>
      </c>
      <c r="G967" s="62" t="s">
        <v>389</v>
      </c>
      <c r="H967" s="65" t="n">
        <v>1.1</v>
      </c>
      <c r="I967" s="62" t="s">
        <v>392</v>
      </c>
    </row>
    <row r="968" customFormat="false" ht="15" hidden="false" customHeight="false" outlineLevel="0" collapsed="false">
      <c r="A968" s="62" t="s">
        <v>388</v>
      </c>
      <c r="B968" s="63" t="n">
        <v>1385</v>
      </c>
      <c r="C968" s="64" t="n">
        <v>46310.4836340625</v>
      </c>
      <c r="D968" s="63" t="n">
        <v>11</v>
      </c>
      <c r="E968" s="62" t="s">
        <v>389</v>
      </c>
      <c r="F968" s="62" t="s">
        <v>391</v>
      </c>
      <c r="G968" s="62" t="s">
        <v>390</v>
      </c>
      <c r="H968" s="65"/>
      <c r="I968" s="62" t="s">
        <v>432</v>
      </c>
    </row>
    <row r="969" customFormat="false" ht="15" hidden="false" customHeight="false" outlineLevel="0" collapsed="false">
      <c r="A969" s="62" t="s">
        <v>388</v>
      </c>
      <c r="B969" s="63" t="n">
        <v>1979</v>
      </c>
      <c r="C969" s="64" t="n">
        <v>46310.4841937732</v>
      </c>
      <c r="D969" s="63" t="n">
        <v>11</v>
      </c>
      <c r="E969" s="62" t="s">
        <v>389</v>
      </c>
      <c r="F969" s="62" t="s">
        <v>431</v>
      </c>
      <c r="G969" s="62" t="s">
        <v>389</v>
      </c>
      <c r="H969" s="65" t="n">
        <v>0.3</v>
      </c>
      <c r="I969" s="62" t="s">
        <v>392</v>
      </c>
    </row>
    <row r="970" customFormat="false" ht="15" hidden="false" customHeight="false" outlineLevel="0" collapsed="false">
      <c r="A970" s="62" t="s">
        <v>388</v>
      </c>
      <c r="B970" s="63" t="n">
        <v>1979</v>
      </c>
      <c r="C970" s="64" t="n">
        <v>46310.4856773611</v>
      </c>
      <c r="D970" s="63" t="n">
        <v>11</v>
      </c>
      <c r="E970" s="62" t="s">
        <v>389</v>
      </c>
      <c r="F970" s="62" t="s">
        <v>431</v>
      </c>
      <c r="G970" s="62" t="s">
        <v>389</v>
      </c>
      <c r="H970" s="65" t="n">
        <v>0.1</v>
      </c>
      <c r="I970" s="62" t="s">
        <v>392</v>
      </c>
    </row>
    <row r="971" customFormat="false" ht="15" hidden="false" customHeight="false" outlineLevel="0" collapsed="false">
      <c r="A971" s="62" t="s">
        <v>388</v>
      </c>
      <c r="B971" s="63" t="n">
        <v>1789</v>
      </c>
      <c r="C971" s="64" t="n">
        <v>46310.4953640972</v>
      </c>
      <c r="D971" s="63" t="n">
        <v>11</v>
      </c>
      <c r="E971" s="62" t="s">
        <v>389</v>
      </c>
      <c r="F971" s="62" t="s">
        <v>150</v>
      </c>
      <c r="G971" s="62" t="s">
        <v>389</v>
      </c>
      <c r="H971" s="65" t="n">
        <v>1.6</v>
      </c>
      <c r="I971" s="62" t="s">
        <v>392</v>
      </c>
    </row>
    <row r="972" customFormat="false" ht="15" hidden="false" customHeight="false" outlineLevel="0" collapsed="false">
      <c r="A972" s="62" t="s">
        <v>388</v>
      </c>
      <c r="B972" s="63" t="n">
        <v>1990</v>
      </c>
      <c r="C972" s="64" t="n">
        <v>46310.502936331</v>
      </c>
      <c r="D972" s="63" t="n">
        <v>12</v>
      </c>
      <c r="E972" s="62" t="s">
        <v>389</v>
      </c>
      <c r="F972" s="62" t="s">
        <v>430</v>
      </c>
      <c r="G972" s="62" t="s">
        <v>389</v>
      </c>
      <c r="H972" s="65" t="n">
        <v>6.7</v>
      </c>
      <c r="I972" s="62" t="s">
        <v>275</v>
      </c>
    </row>
    <row r="973" customFormat="false" ht="15" hidden="false" customHeight="false" outlineLevel="0" collapsed="false">
      <c r="A973" s="62" t="s">
        <v>388</v>
      </c>
      <c r="B973" s="63" t="n">
        <v>1990</v>
      </c>
      <c r="C973" s="64" t="n">
        <v>46310.5072558218</v>
      </c>
      <c r="D973" s="63" t="n">
        <v>12</v>
      </c>
      <c r="E973" s="62" t="s">
        <v>389</v>
      </c>
      <c r="F973" s="62" t="s">
        <v>431</v>
      </c>
      <c r="G973" s="62" t="s">
        <v>389</v>
      </c>
      <c r="H973" s="65" t="n">
        <v>0.5</v>
      </c>
      <c r="I973" s="62" t="s">
        <v>392</v>
      </c>
    </row>
    <row r="974" customFormat="false" ht="15" hidden="false" customHeight="false" outlineLevel="0" collapsed="false">
      <c r="A974" s="62" t="s">
        <v>388</v>
      </c>
      <c r="B974" s="63" t="n">
        <v>1533</v>
      </c>
      <c r="C974" s="64" t="n">
        <v>46310.5073611921</v>
      </c>
      <c r="D974" s="63" t="n">
        <v>12</v>
      </c>
      <c r="E974" s="62" t="s">
        <v>389</v>
      </c>
      <c r="F974" s="62" t="s">
        <v>150</v>
      </c>
      <c r="G974" s="62" t="s">
        <v>389</v>
      </c>
      <c r="H974" s="65" t="n">
        <v>1.1</v>
      </c>
      <c r="I974" s="62" t="s">
        <v>392</v>
      </c>
    </row>
    <row r="975" customFormat="false" ht="15" hidden="false" customHeight="false" outlineLevel="0" collapsed="false">
      <c r="A975" s="62" t="s">
        <v>388</v>
      </c>
      <c r="B975" s="63" t="n">
        <v>1533</v>
      </c>
      <c r="C975" s="64" t="n">
        <v>46310.509132037</v>
      </c>
      <c r="D975" s="63" t="n">
        <v>12</v>
      </c>
      <c r="E975" s="62" t="s">
        <v>389</v>
      </c>
      <c r="F975" s="62" t="s">
        <v>150</v>
      </c>
      <c r="G975" s="62" t="s">
        <v>389</v>
      </c>
      <c r="H975" s="65" t="n">
        <v>0.9</v>
      </c>
      <c r="I975" s="62" t="s">
        <v>392</v>
      </c>
    </row>
    <row r="976" customFormat="false" ht="15" hidden="false" customHeight="false" outlineLevel="0" collapsed="false">
      <c r="A976" s="62" t="s">
        <v>388</v>
      </c>
      <c r="B976" s="63" t="n">
        <v>1990</v>
      </c>
      <c r="C976" s="64" t="n">
        <v>46310.5092371181</v>
      </c>
      <c r="D976" s="63" t="n">
        <v>12</v>
      </c>
      <c r="E976" s="62" t="s">
        <v>389</v>
      </c>
      <c r="F976" s="62" t="s">
        <v>431</v>
      </c>
      <c r="G976" s="62" t="s">
        <v>389</v>
      </c>
      <c r="H976" s="65" t="n">
        <v>1.7</v>
      </c>
      <c r="I976" s="62" t="s">
        <v>392</v>
      </c>
    </row>
    <row r="977" customFormat="false" ht="15" hidden="false" customHeight="false" outlineLevel="0" collapsed="false">
      <c r="A977" s="62" t="s">
        <v>388</v>
      </c>
      <c r="B977" s="63" t="n">
        <v>1995</v>
      </c>
      <c r="C977" s="64" t="n">
        <v>46310.5103656366</v>
      </c>
      <c r="D977" s="63" t="n">
        <v>12</v>
      </c>
      <c r="E977" s="62" t="s">
        <v>389</v>
      </c>
      <c r="F977" s="62" t="s">
        <v>430</v>
      </c>
      <c r="G977" s="62" t="s">
        <v>390</v>
      </c>
      <c r="H977" s="65"/>
      <c r="I977" s="62" t="s">
        <v>275</v>
      </c>
    </row>
    <row r="978" customFormat="false" ht="15" hidden="false" customHeight="false" outlineLevel="0" collapsed="false">
      <c r="A978" s="62" t="s">
        <v>388</v>
      </c>
      <c r="B978" s="63" t="n">
        <v>1996</v>
      </c>
      <c r="C978" s="64" t="n">
        <v>46310.525351713</v>
      </c>
      <c r="D978" s="63" t="n">
        <v>12</v>
      </c>
      <c r="E978" s="62" t="s">
        <v>389</v>
      </c>
      <c r="F978" s="62" t="s">
        <v>430</v>
      </c>
      <c r="G978" s="62" t="s">
        <v>390</v>
      </c>
      <c r="H978" s="65"/>
      <c r="I978" s="62" t="s">
        <v>275</v>
      </c>
    </row>
    <row r="979" customFormat="false" ht="15" hidden="false" customHeight="false" outlineLevel="0" collapsed="false">
      <c r="A979" s="62" t="s">
        <v>388</v>
      </c>
      <c r="B979" s="63" t="n">
        <v>1997</v>
      </c>
      <c r="C979" s="64" t="n">
        <v>46310.528588588</v>
      </c>
      <c r="D979" s="63" t="n">
        <v>12</v>
      </c>
      <c r="E979" s="62" t="s">
        <v>389</v>
      </c>
      <c r="F979" s="62" t="s">
        <v>430</v>
      </c>
      <c r="G979" s="62" t="s">
        <v>389</v>
      </c>
      <c r="H979" s="65" t="n">
        <v>5.3</v>
      </c>
      <c r="I979" s="62" t="s">
        <v>275</v>
      </c>
    </row>
    <row r="980" customFormat="false" ht="15" hidden="false" customHeight="false" outlineLevel="0" collapsed="false">
      <c r="A980" s="62" t="s">
        <v>388</v>
      </c>
      <c r="B980" s="63" t="n">
        <v>1997</v>
      </c>
      <c r="C980" s="64" t="n">
        <v>46310.5321899653</v>
      </c>
      <c r="D980" s="63" t="n">
        <v>12</v>
      </c>
      <c r="E980" s="62" t="s">
        <v>389</v>
      </c>
      <c r="F980" s="62" t="s">
        <v>431</v>
      </c>
      <c r="G980" s="62" t="s">
        <v>389</v>
      </c>
      <c r="H980" s="65" t="n">
        <v>0.1</v>
      </c>
      <c r="I980" s="62" t="s">
        <v>392</v>
      </c>
    </row>
    <row r="981" customFormat="false" ht="15" hidden="false" customHeight="false" outlineLevel="0" collapsed="false">
      <c r="A981" s="62" t="s">
        <v>388</v>
      </c>
      <c r="B981" s="63" t="n">
        <v>1997</v>
      </c>
      <c r="C981" s="64" t="n">
        <v>46310.5324357986</v>
      </c>
      <c r="D981" s="63" t="n">
        <v>12</v>
      </c>
      <c r="E981" s="62" t="s">
        <v>389</v>
      </c>
      <c r="F981" s="62" t="s">
        <v>431</v>
      </c>
      <c r="G981" s="62" t="s">
        <v>389</v>
      </c>
      <c r="H981" s="65" t="n">
        <v>6.1</v>
      </c>
      <c r="I981" s="62" t="s">
        <v>392</v>
      </c>
    </row>
    <row r="982" customFormat="false" ht="15" hidden="false" customHeight="false" outlineLevel="0" collapsed="false">
      <c r="A982" s="62" t="s">
        <v>388</v>
      </c>
      <c r="B982" s="63" t="n">
        <v>1997</v>
      </c>
      <c r="C982" s="64" t="n">
        <v>46310.5391278819</v>
      </c>
      <c r="D982" s="63" t="n">
        <v>12</v>
      </c>
      <c r="E982" s="62" t="s">
        <v>389</v>
      </c>
      <c r="F982" s="62" t="s">
        <v>151</v>
      </c>
      <c r="G982" s="62" t="s">
        <v>389</v>
      </c>
      <c r="H982" s="65" t="n">
        <v>3</v>
      </c>
      <c r="I982" s="62" t="s">
        <v>275</v>
      </c>
    </row>
    <row r="983" customFormat="false" ht="15" hidden="false" customHeight="false" outlineLevel="0" collapsed="false">
      <c r="A983" s="62" t="s">
        <v>388</v>
      </c>
      <c r="B983" s="63" t="n">
        <v>1181</v>
      </c>
      <c r="C983" s="64" t="n">
        <v>46310.54159375</v>
      </c>
      <c r="D983" s="63" t="n">
        <v>12</v>
      </c>
      <c r="E983" s="62" t="s">
        <v>389</v>
      </c>
      <c r="F983" s="62" t="s">
        <v>407</v>
      </c>
      <c r="G983" s="62" t="s">
        <v>389</v>
      </c>
      <c r="H983" s="65" t="n">
        <v>9.2</v>
      </c>
      <c r="I983" s="62" t="s">
        <v>392</v>
      </c>
    </row>
    <row r="984" customFormat="false" ht="15" hidden="false" customHeight="false" outlineLevel="0" collapsed="false">
      <c r="A984" s="62" t="s">
        <v>388</v>
      </c>
      <c r="B984" s="63" t="n">
        <v>1997</v>
      </c>
      <c r="C984" s="64" t="n">
        <v>46310.5431507755</v>
      </c>
      <c r="D984" s="63" t="n">
        <v>13</v>
      </c>
      <c r="E984" s="62" t="s">
        <v>389</v>
      </c>
      <c r="F984" s="62" t="s">
        <v>151</v>
      </c>
      <c r="G984" s="62" t="s">
        <v>389</v>
      </c>
      <c r="H984" s="65" t="n">
        <v>0.3</v>
      </c>
      <c r="I984" s="62" t="s">
        <v>392</v>
      </c>
    </row>
    <row r="985" customFormat="false" ht="15" hidden="false" customHeight="false" outlineLevel="0" collapsed="false">
      <c r="A985" s="62" t="s">
        <v>388</v>
      </c>
      <c r="B985" s="63" t="n">
        <v>1997</v>
      </c>
      <c r="C985" s="64" t="n">
        <v>46310.5467675579</v>
      </c>
      <c r="D985" s="63" t="n">
        <v>13</v>
      </c>
      <c r="E985" s="62" t="s">
        <v>389</v>
      </c>
      <c r="F985" s="62" t="s">
        <v>151</v>
      </c>
      <c r="G985" s="62" t="s">
        <v>389</v>
      </c>
      <c r="H985" s="65" t="n">
        <v>53.2</v>
      </c>
      <c r="I985" s="62" t="s">
        <v>275</v>
      </c>
    </row>
    <row r="986" customFormat="false" ht="15" hidden="false" customHeight="false" outlineLevel="0" collapsed="false">
      <c r="A986" s="62" t="s">
        <v>388</v>
      </c>
      <c r="B986" s="63" t="n">
        <v>1181</v>
      </c>
      <c r="C986" s="64" t="n">
        <v>46310.5515167477</v>
      </c>
      <c r="D986" s="63" t="n">
        <v>13</v>
      </c>
      <c r="E986" s="62" t="s">
        <v>389</v>
      </c>
      <c r="F986" s="62" t="s">
        <v>407</v>
      </c>
      <c r="G986" s="62" t="s">
        <v>389</v>
      </c>
      <c r="H986" s="65" t="n">
        <v>5.9</v>
      </c>
      <c r="I986" s="62" t="s">
        <v>392</v>
      </c>
    </row>
    <row r="987" customFormat="false" ht="15" hidden="false" customHeight="false" outlineLevel="0" collapsed="false">
      <c r="A987" s="62" t="s">
        <v>388</v>
      </c>
      <c r="B987" s="63" t="n">
        <v>1956</v>
      </c>
      <c r="C987" s="64" t="n">
        <v>46310.5588215278</v>
      </c>
      <c r="D987" s="63" t="n">
        <v>13</v>
      </c>
      <c r="E987" s="62" t="s">
        <v>389</v>
      </c>
      <c r="F987" s="62" t="s">
        <v>150</v>
      </c>
      <c r="G987" s="62" t="s">
        <v>389</v>
      </c>
      <c r="H987" s="65" t="n">
        <v>3.1</v>
      </c>
      <c r="I987" s="62" t="s">
        <v>392</v>
      </c>
    </row>
    <row r="988" customFormat="false" ht="15" hidden="false" customHeight="false" outlineLevel="0" collapsed="false">
      <c r="A988" s="62" t="s">
        <v>388</v>
      </c>
      <c r="B988" s="63" t="n">
        <v>1997</v>
      </c>
      <c r="C988" s="64" t="n">
        <v>46310.5818777199</v>
      </c>
      <c r="D988" s="63" t="n">
        <v>13</v>
      </c>
      <c r="E988" s="62" t="s">
        <v>389</v>
      </c>
      <c r="F988" s="62" t="s">
        <v>151</v>
      </c>
      <c r="G988" s="62" t="s">
        <v>389</v>
      </c>
      <c r="H988" s="65" t="n">
        <v>2.7</v>
      </c>
      <c r="I988" s="62" t="s">
        <v>275</v>
      </c>
    </row>
    <row r="989" customFormat="false" ht="15" hidden="false" customHeight="false" outlineLevel="0" collapsed="false">
      <c r="A989" s="62" t="s">
        <v>388</v>
      </c>
      <c r="B989" s="63" t="n">
        <v>1997</v>
      </c>
      <c r="C989" s="64" t="n">
        <v>46310.5930228704</v>
      </c>
      <c r="D989" s="63" t="n">
        <v>14</v>
      </c>
      <c r="E989" s="62" t="s">
        <v>389</v>
      </c>
      <c r="F989" s="62" t="s">
        <v>151</v>
      </c>
      <c r="G989" s="62" t="s">
        <v>389</v>
      </c>
      <c r="H989" s="65" t="n">
        <v>1</v>
      </c>
      <c r="I989" s="62" t="s">
        <v>275</v>
      </c>
    </row>
    <row r="990" customFormat="false" ht="15" hidden="false" customHeight="false" outlineLevel="0" collapsed="false">
      <c r="A990" s="62" t="s">
        <v>388</v>
      </c>
      <c r="B990" s="63" t="n">
        <v>1997</v>
      </c>
      <c r="C990" s="64" t="n">
        <v>46310.5935460185</v>
      </c>
      <c r="D990" s="63" t="n">
        <v>14</v>
      </c>
      <c r="E990" s="62" t="s">
        <v>389</v>
      </c>
      <c r="F990" s="62" t="s">
        <v>152</v>
      </c>
      <c r="G990" s="62" t="s">
        <v>389</v>
      </c>
      <c r="H990" s="65" t="n">
        <v>0.2</v>
      </c>
      <c r="I990" s="62" t="s">
        <v>392</v>
      </c>
    </row>
    <row r="991" customFormat="false" ht="15" hidden="false" customHeight="false" outlineLevel="0" collapsed="false">
      <c r="A991" s="62" t="s">
        <v>388</v>
      </c>
      <c r="B991" s="63" t="n">
        <v>1661</v>
      </c>
      <c r="C991" s="64" t="n">
        <v>46310.5966745023</v>
      </c>
      <c r="D991" s="63" t="n">
        <v>14</v>
      </c>
      <c r="E991" s="62" t="s">
        <v>389</v>
      </c>
      <c r="F991" s="62" t="s">
        <v>150</v>
      </c>
      <c r="G991" s="62" t="s">
        <v>389</v>
      </c>
      <c r="H991" s="65" t="n">
        <v>0.2</v>
      </c>
      <c r="I991" s="62" t="s">
        <v>392</v>
      </c>
    </row>
    <row r="992" customFormat="false" ht="15" hidden="false" customHeight="false" outlineLevel="0" collapsed="false">
      <c r="A992" s="62" t="s">
        <v>388</v>
      </c>
      <c r="B992" s="63" t="n">
        <v>1661</v>
      </c>
      <c r="C992" s="64" t="n">
        <v>46310.6001952778</v>
      </c>
      <c r="D992" s="63" t="n">
        <v>14</v>
      </c>
      <c r="E992" s="62" t="s">
        <v>389</v>
      </c>
      <c r="F992" s="62" t="s">
        <v>150</v>
      </c>
      <c r="G992" s="62" t="s">
        <v>389</v>
      </c>
      <c r="H992" s="65" t="n">
        <v>2.6</v>
      </c>
      <c r="I992" s="62" t="s">
        <v>275</v>
      </c>
    </row>
    <row r="993" customFormat="false" ht="15" hidden="false" customHeight="false" outlineLevel="0" collapsed="false">
      <c r="A993" s="62" t="s">
        <v>388</v>
      </c>
      <c r="B993" s="63" t="n">
        <v>1661</v>
      </c>
      <c r="C993" s="64" t="n">
        <v>46310.6019420602</v>
      </c>
      <c r="D993" s="63" t="n">
        <v>14</v>
      </c>
      <c r="E993" s="62" t="s">
        <v>389</v>
      </c>
      <c r="F993" s="62" t="s">
        <v>152</v>
      </c>
      <c r="G993" s="62" t="s">
        <v>389</v>
      </c>
      <c r="H993" s="65" t="n">
        <v>0.1</v>
      </c>
      <c r="I993" s="62" t="s">
        <v>392</v>
      </c>
    </row>
    <row r="994" customFormat="false" ht="15" hidden="false" customHeight="false" outlineLevel="0" collapsed="false">
      <c r="A994" s="62" t="s">
        <v>388</v>
      </c>
      <c r="B994" s="63" t="n">
        <v>1661</v>
      </c>
      <c r="C994" s="64" t="n">
        <v>46310.6025198843</v>
      </c>
      <c r="D994" s="63" t="n">
        <v>14</v>
      </c>
      <c r="E994" s="62" t="s">
        <v>389</v>
      </c>
      <c r="F994" s="62" t="s">
        <v>152</v>
      </c>
      <c r="G994" s="62" t="s">
        <v>389</v>
      </c>
      <c r="H994" s="65" t="n">
        <v>0.5</v>
      </c>
      <c r="I994" s="62" t="s">
        <v>392</v>
      </c>
    </row>
    <row r="995" customFormat="false" ht="15" hidden="false" customHeight="false" outlineLevel="0" collapsed="false">
      <c r="A995" s="62" t="s">
        <v>388</v>
      </c>
      <c r="B995" s="63" t="n">
        <v>2021</v>
      </c>
      <c r="C995" s="64" t="n">
        <v>46310.6462869676</v>
      </c>
      <c r="D995" s="63" t="n">
        <v>15</v>
      </c>
      <c r="E995" s="62" t="s">
        <v>389</v>
      </c>
      <c r="F995" s="62" t="s">
        <v>430</v>
      </c>
      <c r="G995" s="62" t="s">
        <v>389</v>
      </c>
      <c r="H995" s="65" t="n">
        <v>8.1</v>
      </c>
      <c r="I995" s="62" t="s">
        <v>275</v>
      </c>
    </row>
    <row r="996" customFormat="false" ht="15" hidden="false" customHeight="false" outlineLevel="0" collapsed="false">
      <c r="A996" s="62" t="s">
        <v>388</v>
      </c>
      <c r="B996" s="63" t="n">
        <v>2021</v>
      </c>
      <c r="C996" s="64" t="n">
        <v>46310.6511417477</v>
      </c>
      <c r="D996" s="63" t="n">
        <v>15</v>
      </c>
      <c r="E996" s="62" t="s">
        <v>389</v>
      </c>
      <c r="F996" s="62" t="s">
        <v>431</v>
      </c>
      <c r="G996" s="62" t="s">
        <v>389</v>
      </c>
      <c r="H996" s="65" t="n">
        <v>1.2</v>
      </c>
      <c r="I996" s="62" t="s">
        <v>392</v>
      </c>
    </row>
    <row r="997" customFormat="false" ht="15" hidden="false" customHeight="false" outlineLevel="0" collapsed="false">
      <c r="A997" s="62" t="s">
        <v>388</v>
      </c>
      <c r="B997" s="63" t="n">
        <v>2021</v>
      </c>
      <c r="C997" s="64" t="n">
        <v>46310.651980706</v>
      </c>
      <c r="D997" s="63" t="n">
        <v>15</v>
      </c>
      <c r="E997" s="62" t="s">
        <v>389</v>
      </c>
      <c r="F997" s="62" t="s">
        <v>431</v>
      </c>
      <c r="G997" s="62" t="s">
        <v>389</v>
      </c>
      <c r="H997" s="65" t="n">
        <v>3.1</v>
      </c>
      <c r="I997" s="62" t="s">
        <v>392</v>
      </c>
    </row>
    <row r="998" customFormat="false" ht="15" hidden="false" customHeight="false" outlineLevel="0" collapsed="false">
      <c r="A998" s="62" t="s">
        <v>388</v>
      </c>
      <c r="B998" s="63" t="n">
        <v>2021</v>
      </c>
      <c r="C998" s="64" t="n">
        <v>46310.6546209259</v>
      </c>
      <c r="D998" s="63" t="n">
        <v>15</v>
      </c>
      <c r="E998" s="62" t="s">
        <v>389</v>
      </c>
      <c r="F998" s="62" t="s">
        <v>151</v>
      </c>
      <c r="G998" s="62" t="s">
        <v>389</v>
      </c>
      <c r="H998" s="65" t="n">
        <v>1</v>
      </c>
      <c r="I998" s="62" t="s">
        <v>392</v>
      </c>
    </row>
    <row r="999" customFormat="false" ht="15" hidden="false" customHeight="false" outlineLevel="0" collapsed="false">
      <c r="A999" s="62" t="s">
        <v>388</v>
      </c>
      <c r="B999" s="63" t="n">
        <v>2021</v>
      </c>
      <c r="C999" s="64" t="n">
        <v>46310.6667920718</v>
      </c>
      <c r="D999" s="63" t="n">
        <v>16</v>
      </c>
      <c r="E999" s="62" t="s">
        <v>389</v>
      </c>
      <c r="F999" s="62" t="s">
        <v>151</v>
      </c>
      <c r="G999" s="62" t="s">
        <v>389</v>
      </c>
      <c r="H999" s="65" t="n">
        <v>0.7</v>
      </c>
      <c r="I999" s="62" t="s">
        <v>392</v>
      </c>
    </row>
    <row r="1000" customFormat="false" ht="15" hidden="false" customHeight="false" outlineLevel="0" collapsed="false">
      <c r="A1000" s="62" t="s">
        <v>388</v>
      </c>
      <c r="B1000" s="63" t="n">
        <v>1934</v>
      </c>
      <c r="C1000" s="64" t="n">
        <v>46310.7004965857</v>
      </c>
      <c r="D1000" s="63" t="n">
        <v>16</v>
      </c>
      <c r="E1000" s="62" t="s">
        <v>389</v>
      </c>
      <c r="F1000" s="62" t="s">
        <v>152</v>
      </c>
      <c r="G1000" s="62" t="s">
        <v>389</v>
      </c>
      <c r="H1000" s="65" t="n">
        <v>0.6</v>
      </c>
      <c r="I1000" s="62" t="s">
        <v>392</v>
      </c>
    </row>
    <row r="1001" customFormat="false" ht="15" hidden="false" customHeight="false" outlineLevel="0" collapsed="false">
      <c r="A1001" s="62" t="s">
        <v>388</v>
      </c>
      <c r="B1001" s="63" t="n">
        <v>1533</v>
      </c>
      <c r="C1001" s="64" t="n">
        <v>46310.7026134028</v>
      </c>
      <c r="D1001" s="63" t="n">
        <v>16</v>
      </c>
      <c r="E1001" s="62" t="s">
        <v>389</v>
      </c>
      <c r="F1001" s="62" t="s">
        <v>150</v>
      </c>
      <c r="G1001" s="62" t="s">
        <v>389</v>
      </c>
      <c r="H1001" s="65" t="n">
        <v>0.4</v>
      </c>
      <c r="I1001" s="62" t="s">
        <v>392</v>
      </c>
    </row>
    <row r="1002" customFormat="false" ht="15" hidden="false" customHeight="false" outlineLevel="0" collapsed="false">
      <c r="A1002" s="62" t="s">
        <v>388</v>
      </c>
      <c r="B1002" s="63" t="n">
        <v>2033</v>
      </c>
      <c r="C1002" s="64" t="n">
        <v>46310.7094715625</v>
      </c>
      <c r="D1002" s="63" t="n">
        <v>17</v>
      </c>
      <c r="E1002" s="62" t="s">
        <v>389</v>
      </c>
      <c r="F1002" s="62" t="s">
        <v>430</v>
      </c>
      <c r="G1002" s="62" t="s">
        <v>390</v>
      </c>
      <c r="H1002" s="65"/>
      <c r="I1002" s="62" t="s">
        <v>275</v>
      </c>
    </row>
    <row r="1003" customFormat="false" ht="15" hidden="false" customHeight="false" outlineLevel="0" collapsed="false">
      <c r="A1003" s="62" t="s">
        <v>388</v>
      </c>
      <c r="B1003" s="63" t="n">
        <v>2035</v>
      </c>
      <c r="C1003" s="64" t="n">
        <v>46310.7185416435</v>
      </c>
      <c r="D1003" s="63" t="n">
        <v>17</v>
      </c>
      <c r="E1003" s="62" t="s">
        <v>389</v>
      </c>
      <c r="F1003" s="62" t="s">
        <v>430</v>
      </c>
      <c r="G1003" s="62" t="s">
        <v>389</v>
      </c>
      <c r="H1003" s="65" t="n">
        <v>10.9</v>
      </c>
      <c r="I1003" s="62" t="s">
        <v>275</v>
      </c>
    </row>
    <row r="1004" customFormat="false" ht="15" hidden="false" customHeight="false" outlineLevel="0" collapsed="false">
      <c r="A1004" s="62" t="s">
        <v>388</v>
      </c>
      <c r="B1004" s="63" t="n">
        <v>2035</v>
      </c>
      <c r="C1004" s="64" t="n">
        <v>46310.7253179745</v>
      </c>
      <c r="D1004" s="63" t="n">
        <v>17</v>
      </c>
      <c r="E1004" s="62" t="s">
        <v>389</v>
      </c>
      <c r="F1004" s="62" t="s">
        <v>431</v>
      </c>
      <c r="G1004" s="62" t="s">
        <v>389</v>
      </c>
      <c r="H1004" s="65" t="n">
        <v>1.1</v>
      </c>
      <c r="I1004" s="62" t="s">
        <v>392</v>
      </c>
    </row>
    <row r="1005" customFormat="false" ht="15" hidden="false" customHeight="false" outlineLevel="0" collapsed="false">
      <c r="A1005" s="62" t="s">
        <v>388</v>
      </c>
      <c r="B1005" s="63" t="n">
        <v>2035</v>
      </c>
      <c r="C1005" s="64" t="n">
        <v>46310.7263743982</v>
      </c>
      <c r="D1005" s="63" t="n">
        <v>17</v>
      </c>
      <c r="E1005" s="62" t="s">
        <v>389</v>
      </c>
      <c r="F1005" s="62" t="s">
        <v>431</v>
      </c>
      <c r="G1005" s="62" t="s">
        <v>389</v>
      </c>
      <c r="H1005" s="65" t="n">
        <v>0.2</v>
      </c>
      <c r="I1005" s="62" t="s">
        <v>392</v>
      </c>
    </row>
    <row r="1006" customFormat="false" ht="15" hidden="false" customHeight="false" outlineLevel="0" collapsed="false">
      <c r="A1006" s="62" t="s">
        <v>388</v>
      </c>
      <c r="B1006" s="63" t="n">
        <v>2035</v>
      </c>
      <c r="C1006" s="64" t="n">
        <v>46310.726725787</v>
      </c>
      <c r="D1006" s="63" t="n">
        <v>17</v>
      </c>
      <c r="E1006" s="62" t="s">
        <v>389</v>
      </c>
      <c r="F1006" s="62" t="s">
        <v>431</v>
      </c>
      <c r="G1006" s="62" t="s">
        <v>389</v>
      </c>
      <c r="H1006" s="65" t="n">
        <v>6.7</v>
      </c>
      <c r="I1006" s="62" t="s">
        <v>392</v>
      </c>
    </row>
    <row r="1007" customFormat="false" ht="15" hidden="false" customHeight="false" outlineLevel="0" collapsed="false">
      <c r="A1007" s="62" t="s">
        <v>388</v>
      </c>
      <c r="B1007" s="63" t="n">
        <v>1997</v>
      </c>
      <c r="C1007" s="64" t="n">
        <v>46310.7270885764</v>
      </c>
      <c r="D1007" s="63" t="n">
        <v>17</v>
      </c>
      <c r="E1007" s="62" t="s">
        <v>389</v>
      </c>
      <c r="F1007" s="62" t="s">
        <v>152</v>
      </c>
      <c r="G1007" s="62" t="s">
        <v>389</v>
      </c>
      <c r="H1007" s="65" t="n">
        <v>1.1</v>
      </c>
      <c r="I1007" s="62" t="s">
        <v>392</v>
      </c>
    </row>
    <row r="1008" customFormat="false" ht="15" hidden="false" customHeight="false" outlineLevel="0" collapsed="false">
      <c r="A1008" s="62" t="s">
        <v>388</v>
      </c>
      <c r="B1008" s="63" t="n">
        <v>2047</v>
      </c>
      <c r="C1008" s="64" t="n">
        <v>46310.7515111111</v>
      </c>
      <c r="D1008" s="63" t="n">
        <v>18</v>
      </c>
      <c r="E1008" s="62" t="s">
        <v>389</v>
      </c>
      <c r="F1008" s="62" t="s">
        <v>430</v>
      </c>
      <c r="G1008" s="62" t="s">
        <v>389</v>
      </c>
      <c r="H1008" s="65" t="n">
        <v>16.8</v>
      </c>
      <c r="I1008" s="62" t="s">
        <v>275</v>
      </c>
    </row>
    <row r="1009" customFormat="false" ht="15" hidden="false" customHeight="false" outlineLevel="0" collapsed="false">
      <c r="A1009" s="62" t="s">
        <v>388</v>
      </c>
      <c r="B1009" s="63" t="n">
        <v>2035</v>
      </c>
      <c r="C1009" s="64" t="n">
        <v>46310.7536203125</v>
      </c>
      <c r="D1009" s="63" t="n">
        <v>18</v>
      </c>
      <c r="E1009" s="62" t="s">
        <v>389</v>
      </c>
      <c r="F1009" s="62" t="s">
        <v>151</v>
      </c>
      <c r="G1009" s="62" t="s">
        <v>389</v>
      </c>
      <c r="H1009" s="65" t="n">
        <v>0.8</v>
      </c>
      <c r="I1009" s="62" t="s">
        <v>275</v>
      </c>
    </row>
    <row r="1010" customFormat="false" ht="15" hidden="false" customHeight="false" outlineLevel="0" collapsed="false">
      <c r="A1010" s="62" t="s">
        <v>388</v>
      </c>
      <c r="B1010" s="63" t="n">
        <v>2047</v>
      </c>
      <c r="C1010" s="64" t="n">
        <v>46310.7536356829</v>
      </c>
      <c r="D1010" s="63" t="n">
        <v>18</v>
      </c>
      <c r="E1010" s="62" t="s">
        <v>389</v>
      </c>
      <c r="F1010" s="62" t="s">
        <v>431</v>
      </c>
      <c r="G1010" s="62" t="s">
        <v>389</v>
      </c>
      <c r="H1010" s="65" t="n">
        <v>13.7</v>
      </c>
      <c r="I1010" s="62" t="s">
        <v>392</v>
      </c>
    </row>
    <row r="1011" customFormat="false" ht="15" hidden="false" customHeight="false" outlineLevel="0" collapsed="false">
      <c r="A1011" s="62" t="s">
        <v>388</v>
      </c>
      <c r="B1011" s="63" t="n">
        <v>2035</v>
      </c>
      <c r="C1011" s="64" t="n">
        <v>46310.753777662</v>
      </c>
      <c r="D1011" s="63" t="n">
        <v>18</v>
      </c>
      <c r="E1011" s="62" t="s">
        <v>389</v>
      </c>
      <c r="F1011" s="62" t="s">
        <v>151</v>
      </c>
      <c r="G1011" s="62" t="s">
        <v>389</v>
      </c>
      <c r="H1011" s="65" t="n">
        <v>0.5</v>
      </c>
      <c r="I1011" s="62" t="s">
        <v>392</v>
      </c>
    </row>
    <row r="1012" customFormat="false" ht="15" hidden="false" customHeight="false" outlineLevel="0" collapsed="false">
      <c r="A1012" s="62" t="s">
        <v>388</v>
      </c>
      <c r="B1012" s="63" t="n">
        <v>1533</v>
      </c>
      <c r="C1012" s="64" t="n">
        <v>46310.7552608333</v>
      </c>
      <c r="D1012" s="63" t="n">
        <v>18</v>
      </c>
      <c r="E1012" s="62" t="s">
        <v>389</v>
      </c>
      <c r="F1012" s="62" t="s">
        <v>150</v>
      </c>
      <c r="G1012" s="62" t="s">
        <v>389</v>
      </c>
      <c r="H1012" s="65" t="n">
        <v>1.2</v>
      </c>
      <c r="I1012" s="62" t="s">
        <v>392</v>
      </c>
    </row>
    <row r="1013" customFormat="false" ht="15" hidden="false" customHeight="false" outlineLevel="0" collapsed="false">
      <c r="A1013" s="62" t="s">
        <v>388</v>
      </c>
      <c r="B1013" s="63" t="n">
        <v>1533</v>
      </c>
      <c r="C1013" s="64" t="n">
        <v>46310.756339375</v>
      </c>
      <c r="D1013" s="63" t="n">
        <v>18</v>
      </c>
      <c r="E1013" s="62" t="s">
        <v>389</v>
      </c>
      <c r="F1013" s="62" t="s">
        <v>150</v>
      </c>
      <c r="G1013" s="62" t="s">
        <v>389</v>
      </c>
      <c r="H1013" s="65" t="n">
        <v>3.8</v>
      </c>
      <c r="I1013" s="62" t="s">
        <v>392</v>
      </c>
    </row>
    <row r="1014" customFormat="false" ht="15" hidden="false" customHeight="false" outlineLevel="0" collapsed="false">
      <c r="A1014" s="62" t="s">
        <v>388</v>
      </c>
      <c r="B1014" s="63" t="n">
        <v>2048</v>
      </c>
      <c r="C1014" s="64" t="n">
        <v>46310.7583527199</v>
      </c>
      <c r="D1014" s="63" t="n">
        <v>18</v>
      </c>
      <c r="E1014" s="62" t="s">
        <v>389</v>
      </c>
      <c r="F1014" s="62" t="s">
        <v>430</v>
      </c>
      <c r="G1014" s="62" t="s">
        <v>389</v>
      </c>
      <c r="H1014" s="65" t="n">
        <v>21.7</v>
      </c>
      <c r="I1014" s="62" t="s">
        <v>275</v>
      </c>
    </row>
    <row r="1015" customFormat="false" ht="15" hidden="false" customHeight="false" outlineLevel="0" collapsed="false">
      <c r="A1015" s="62" t="s">
        <v>388</v>
      </c>
      <c r="B1015" s="63" t="n">
        <v>2049</v>
      </c>
      <c r="C1015" s="64" t="n">
        <v>46310.7656399884</v>
      </c>
      <c r="D1015" s="63" t="n">
        <v>18</v>
      </c>
      <c r="E1015" s="62" t="s">
        <v>389</v>
      </c>
      <c r="F1015" s="62" t="s">
        <v>430</v>
      </c>
      <c r="G1015" s="62" t="s">
        <v>389</v>
      </c>
      <c r="H1015" s="65" t="n">
        <v>21.6</v>
      </c>
      <c r="I1015" s="62" t="s">
        <v>275</v>
      </c>
    </row>
    <row r="1016" customFormat="false" ht="15" hidden="false" customHeight="false" outlineLevel="0" collapsed="false">
      <c r="A1016" s="62" t="s">
        <v>388</v>
      </c>
      <c r="B1016" s="63" t="n">
        <v>1661</v>
      </c>
      <c r="C1016" s="64" t="n">
        <v>46310.770703044</v>
      </c>
      <c r="D1016" s="63" t="n">
        <v>18</v>
      </c>
      <c r="E1016" s="62" t="s">
        <v>389</v>
      </c>
      <c r="F1016" s="62" t="s">
        <v>150</v>
      </c>
      <c r="G1016" s="62" t="s">
        <v>389</v>
      </c>
      <c r="H1016" s="65" t="n">
        <v>2.3</v>
      </c>
      <c r="I1016" s="62" t="s">
        <v>392</v>
      </c>
    </row>
    <row r="1017" customFormat="false" ht="15" hidden="false" customHeight="false" outlineLevel="0" collapsed="false">
      <c r="A1017" s="62" t="s">
        <v>388</v>
      </c>
      <c r="B1017" s="63" t="n">
        <v>2048</v>
      </c>
      <c r="C1017" s="64" t="n">
        <v>46310.7707543982</v>
      </c>
      <c r="D1017" s="63" t="n">
        <v>18</v>
      </c>
      <c r="E1017" s="62" t="s">
        <v>389</v>
      </c>
      <c r="F1017" s="62" t="s">
        <v>431</v>
      </c>
      <c r="G1017" s="62" t="s">
        <v>389</v>
      </c>
      <c r="H1017" s="65" t="n">
        <v>3.8</v>
      </c>
      <c r="I1017" s="62" t="s">
        <v>392</v>
      </c>
    </row>
    <row r="1018" customFormat="false" ht="15" hidden="false" customHeight="false" outlineLevel="0" collapsed="false">
      <c r="A1018" s="62" t="s">
        <v>388</v>
      </c>
      <c r="B1018" s="63" t="n">
        <v>2049</v>
      </c>
      <c r="C1018" s="64" t="n">
        <v>46310.7724880208</v>
      </c>
      <c r="D1018" s="63" t="n">
        <v>18</v>
      </c>
      <c r="E1018" s="62" t="s">
        <v>389</v>
      </c>
      <c r="F1018" s="62" t="s">
        <v>431</v>
      </c>
      <c r="G1018" s="62" t="s">
        <v>389</v>
      </c>
      <c r="H1018" s="65" t="n">
        <v>11.7</v>
      </c>
      <c r="I1018" s="62" t="s">
        <v>392</v>
      </c>
    </row>
    <row r="1019" customFormat="false" ht="15" hidden="false" customHeight="false" outlineLevel="0" collapsed="false">
      <c r="A1019" s="62" t="s">
        <v>388</v>
      </c>
      <c r="B1019" s="63" t="n">
        <v>1661</v>
      </c>
      <c r="C1019" s="64" t="n">
        <v>46310.7786577546</v>
      </c>
      <c r="D1019" s="63" t="n">
        <v>18</v>
      </c>
      <c r="E1019" s="62" t="s">
        <v>389</v>
      </c>
      <c r="F1019" s="62" t="s">
        <v>150</v>
      </c>
      <c r="G1019" s="62" t="s">
        <v>389</v>
      </c>
      <c r="H1019" s="65" t="n">
        <v>1.4</v>
      </c>
      <c r="I1019" s="62" t="s">
        <v>392</v>
      </c>
    </row>
    <row r="1020" customFormat="false" ht="15" hidden="false" customHeight="false" outlineLevel="0" collapsed="false">
      <c r="A1020" s="62" t="s">
        <v>388</v>
      </c>
      <c r="B1020" s="63" t="n">
        <v>2048</v>
      </c>
      <c r="C1020" s="64" t="n">
        <v>46310.7843472917</v>
      </c>
      <c r="D1020" s="63" t="n">
        <v>18</v>
      </c>
      <c r="E1020" s="62" t="s">
        <v>389</v>
      </c>
      <c r="F1020" s="62" t="s">
        <v>431</v>
      </c>
      <c r="G1020" s="62" t="s">
        <v>389</v>
      </c>
      <c r="H1020" s="65" t="n">
        <v>11.8</v>
      </c>
      <c r="I1020" s="62" t="s">
        <v>275</v>
      </c>
    </row>
    <row r="1021" customFormat="false" ht="15" hidden="false" customHeight="false" outlineLevel="0" collapsed="false">
      <c r="A1021" s="62" t="s">
        <v>388</v>
      </c>
      <c r="B1021" s="63" t="n">
        <v>2052</v>
      </c>
      <c r="C1021" s="64" t="n">
        <v>46310.7851252662</v>
      </c>
      <c r="D1021" s="63" t="n">
        <v>18</v>
      </c>
      <c r="E1021" s="62" t="s">
        <v>389</v>
      </c>
      <c r="F1021" s="62" t="s">
        <v>430</v>
      </c>
      <c r="G1021" s="62" t="s">
        <v>389</v>
      </c>
      <c r="H1021" s="65" t="n">
        <v>28.9</v>
      </c>
      <c r="I1021" s="62" t="s">
        <v>275</v>
      </c>
    </row>
    <row r="1022" customFormat="false" ht="15" hidden="false" customHeight="false" outlineLevel="0" collapsed="false">
      <c r="A1022" s="62" t="s">
        <v>388</v>
      </c>
      <c r="B1022" s="63" t="n">
        <v>2048</v>
      </c>
      <c r="C1022" s="64" t="n">
        <v>46310.7911022685</v>
      </c>
      <c r="D1022" s="63" t="n">
        <v>18</v>
      </c>
      <c r="E1022" s="62" t="s">
        <v>389</v>
      </c>
      <c r="F1022" s="62" t="s">
        <v>151</v>
      </c>
      <c r="G1022" s="62" t="s">
        <v>389</v>
      </c>
      <c r="H1022" s="65" t="n">
        <v>2</v>
      </c>
      <c r="I1022" s="62" t="s">
        <v>392</v>
      </c>
    </row>
    <row r="1023" customFormat="false" ht="15" hidden="false" customHeight="false" outlineLevel="0" collapsed="false">
      <c r="A1023" s="62" t="s">
        <v>388</v>
      </c>
      <c r="B1023" s="63" t="n">
        <v>1661</v>
      </c>
      <c r="C1023" s="64" t="n">
        <v>46310.7918539583</v>
      </c>
      <c r="D1023" s="63" t="n">
        <v>19</v>
      </c>
      <c r="E1023" s="62" t="s">
        <v>389</v>
      </c>
      <c r="F1023" s="62" t="s">
        <v>150</v>
      </c>
      <c r="G1023" s="62" t="s">
        <v>389</v>
      </c>
      <c r="H1023" s="65" t="n">
        <v>0.7</v>
      </c>
      <c r="I1023" s="62" t="s">
        <v>392</v>
      </c>
    </row>
    <row r="1024" customFormat="false" ht="15" hidden="false" customHeight="false" outlineLevel="0" collapsed="false">
      <c r="A1024" s="62" t="s">
        <v>388</v>
      </c>
      <c r="B1024" s="63" t="n">
        <v>2052</v>
      </c>
      <c r="C1024" s="64" t="n">
        <v>46310.7925616204</v>
      </c>
      <c r="D1024" s="63" t="n">
        <v>19</v>
      </c>
      <c r="E1024" s="62" t="s">
        <v>389</v>
      </c>
      <c r="F1024" s="62" t="s">
        <v>431</v>
      </c>
      <c r="G1024" s="62" t="s">
        <v>389</v>
      </c>
      <c r="H1024" s="65" t="n">
        <v>18.2</v>
      </c>
      <c r="I1024" s="62" t="s">
        <v>392</v>
      </c>
    </row>
    <row r="1025" customFormat="false" ht="15" hidden="false" customHeight="false" outlineLevel="0" collapsed="false">
      <c r="A1025" s="62" t="s">
        <v>388</v>
      </c>
      <c r="B1025" s="63" t="n">
        <v>1661</v>
      </c>
      <c r="C1025" s="64" t="n">
        <v>46310.7929884375</v>
      </c>
      <c r="D1025" s="63" t="n">
        <v>19</v>
      </c>
      <c r="E1025" s="62" t="s">
        <v>389</v>
      </c>
      <c r="F1025" s="62" t="s">
        <v>150</v>
      </c>
      <c r="G1025" s="62" t="s">
        <v>389</v>
      </c>
      <c r="H1025" s="65" t="n">
        <v>4.5</v>
      </c>
      <c r="I1025" s="62" t="s">
        <v>392</v>
      </c>
    </row>
    <row r="1026" customFormat="false" ht="15" hidden="false" customHeight="false" outlineLevel="0" collapsed="false">
      <c r="A1026" s="62" t="s">
        <v>388</v>
      </c>
      <c r="B1026" s="63" t="n">
        <v>2049</v>
      </c>
      <c r="C1026" s="64" t="n">
        <v>46310.7941303588</v>
      </c>
      <c r="D1026" s="63" t="n">
        <v>19</v>
      </c>
      <c r="E1026" s="62" t="s">
        <v>389</v>
      </c>
      <c r="F1026" s="62" t="s">
        <v>151</v>
      </c>
      <c r="G1026" s="62" t="s">
        <v>389</v>
      </c>
      <c r="H1026" s="65" t="n">
        <v>101.5</v>
      </c>
      <c r="I1026" s="62" t="s">
        <v>275</v>
      </c>
    </row>
    <row r="1027" customFormat="false" ht="15" hidden="false" customHeight="false" outlineLevel="0" collapsed="false">
      <c r="A1027" s="62" t="s">
        <v>388</v>
      </c>
      <c r="B1027" s="63" t="n">
        <v>1661</v>
      </c>
      <c r="C1027" s="64" t="n">
        <v>46310.7978909491</v>
      </c>
      <c r="D1027" s="63" t="n">
        <v>19</v>
      </c>
      <c r="E1027" s="62" t="s">
        <v>389</v>
      </c>
      <c r="F1027" s="62" t="s">
        <v>407</v>
      </c>
      <c r="G1027" s="62" t="s">
        <v>389</v>
      </c>
      <c r="H1027" s="65" t="n">
        <v>13.5</v>
      </c>
      <c r="I1027" s="62" t="s">
        <v>392</v>
      </c>
    </row>
    <row r="1028" customFormat="false" ht="15" hidden="false" customHeight="false" outlineLevel="0" collapsed="false">
      <c r="A1028" s="62" t="s">
        <v>388</v>
      </c>
      <c r="B1028" s="63" t="n">
        <v>2049</v>
      </c>
      <c r="C1028" s="64" t="n">
        <v>46310.801417662</v>
      </c>
      <c r="D1028" s="63" t="n">
        <v>19</v>
      </c>
      <c r="E1028" s="62" t="s">
        <v>389</v>
      </c>
      <c r="F1028" s="62" t="s">
        <v>151</v>
      </c>
      <c r="G1028" s="62" t="s">
        <v>389</v>
      </c>
      <c r="H1028" s="65" t="n">
        <v>91</v>
      </c>
      <c r="I1028" s="62" t="s">
        <v>275</v>
      </c>
    </row>
    <row r="1029" customFormat="false" ht="15" hidden="false" customHeight="false" outlineLevel="0" collapsed="false">
      <c r="A1029" s="62" t="s">
        <v>388</v>
      </c>
      <c r="B1029" s="63" t="n">
        <v>2035</v>
      </c>
      <c r="C1029" s="64" t="n">
        <v>46310.8098802431</v>
      </c>
      <c r="D1029" s="63" t="n">
        <v>19</v>
      </c>
      <c r="E1029" s="62" t="s">
        <v>389</v>
      </c>
      <c r="F1029" s="62" t="s">
        <v>151</v>
      </c>
      <c r="G1029" s="62" t="s">
        <v>389</v>
      </c>
      <c r="H1029" s="65" t="n">
        <v>3.5</v>
      </c>
      <c r="I1029" s="62" t="s">
        <v>392</v>
      </c>
    </row>
    <row r="1030" customFormat="false" ht="15" hidden="false" customHeight="false" outlineLevel="0" collapsed="false">
      <c r="A1030" s="62" t="s">
        <v>388</v>
      </c>
      <c r="B1030" s="63" t="n">
        <v>2035</v>
      </c>
      <c r="C1030" s="64" t="n">
        <v>46310.8224778588</v>
      </c>
      <c r="D1030" s="63" t="n">
        <v>19</v>
      </c>
      <c r="E1030" s="62" t="s">
        <v>389</v>
      </c>
      <c r="F1030" s="62" t="s">
        <v>151</v>
      </c>
      <c r="G1030" s="62" t="s">
        <v>389</v>
      </c>
      <c r="H1030" s="65" t="n">
        <v>3.4</v>
      </c>
      <c r="I1030" s="62" t="s">
        <v>392</v>
      </c>
    </row>
    <row r="1031" customFormat="false" ht="15" hidden="false" customHeight="false" outlineLevel="0" collapsed="false">
      <c r="A1031" s="62" t="s">
        <v>388</v>
      </c>
      <c r="B1031" s="63" t="n">
        <v>2035</v>
      </c>
      <c r="C1031" s="64" t="n">
        <v>46310.8260672801</v>
      </c>
      <c r="D1031" s="63" t="n">
        <v>19</v>
      </c>
      <c r="E1031" s="62" t="s">
        <v>389</v>
      </c>
      <c r="F1031" s="62" t="s">
        <v>151</v>
      </c>
      <c r="G1031" s="62" t="s">
        <v>389</v>
      </c>
      <c r="H1031" s="65" t="n">
        <v>17</v>
      </c>
      <c r="I1031" s="62" t="s">
        <v>392</v>
      </c>
    </row>
    <row r="1032" customFormat="false" ht="15" hidden="false" customHeight="false" outlineLevel="0" collapsed="false">
      <c r="A1032" s="62" t="s">
        <v>388</v>
      </c>
      <c r="B1032" s="63" t="n">
        <v>2070</v>
      </c>
      <c r="C1032" s="64" t="n">
        <v>46310.8281816088</v>
      </c>
      <c r="D1032" s="63" t="n">
        <v>19</v>
      </c>
      <c r="E1032" s="62" t="s">
        <v>389</v>
      </c>
      <c r="F1032" s="62" t="s">
        <v>430</v>
      </c>
      <c r="G1032" s="62" t="s">
        <v>390</v>
      </c>
      <c r="H1032" s="65"/>
      <c r="I1032" s="62" t="s">
        <v>275</v>
      </c>
    </row>
    <row r="1033" customFormat="false" ht="15" hidden="false" customHeight="false" outlineLevel="0" collapsed="false">
      <c r="A1033" s="62" t="s">
        <v>388</v>
      </c>
      <c r="B1033" s="63" t="n">
        <v>2086</v>
      </c>
      <c r="C1033" s="64" t="n">
        <v>46310.9158493171</v>
      </c>
      <c r="D1033" s="63" t="n">
        <v>21</v>
      </c>
      <c r="E1033" s="62" t="s">
        <v>390</v>
      </c>
      <c r="F1033" s="62" t="s">
        <v>430</v>
      </c>
      <c r="G1033" s="62" t="s">
        <v>390</v>
      </c>
      <c r="H1033" s="65"/>
      <c r="I1033" s="62" t="s">
        <v>275</v>
      </c>
    </row>
    <row r="1034" customFormat="false" ht="15" hidden="false" customHeight="false" outlineLevel="0" collapsed="false">
      <c r="A1034" s="62" t="s">
        <v>388</v>
      </c>
      <c r="B1034" s="63" t="n">
        <v>1750</v>
      </c>
      <c r="C1034" s="64" t="n">
        <v>46310.9345280093</v>
      </c>
      <c r="D1034" s="63" t="n">
        <v>22</v>
      </c>
      <c r="E1034" s="62" t="s">
        <v>390</v>
      </c>
      <c r="F1034" s="62" t="s">
        <v>150</v>
      </c>
      <c r="G1034" s="62" t="s">
        <v>390</v>
      </c>
      <c r="H1034" s="65"/>
      <c r="I1034" s="62" t="s">
        <v>432</v>
      </c>
    </row>
  </sheetData>
  <autoFilter ref="A1:I103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true"/>
  </sheetPr>
  <dimension ref="A1:C1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2" t="s">
        <v>0</v>
      </c>
      <c r="B1" s="1"/>
      <c r="C1" s="1"/>
    </row>
    <row r="2" customFormat="false" ht="30" hidden="false" customHeight="true" outlineLevel="0" collapsed="false">
      <c r="A2" s="4" t="s">
        <v>433</v>
      </c>
      <c r="B2" s="3"/>
      <c r="C2" s="3"/>
    </row>
    <row r="3" customFormat="false" ht="15" hidden="false" customHeight="false" outlineLevel="0" collapsed="false">
      <c r="A3" s="6" t="s">
        <v>434</v>
      </c>
      <c r="B3" s="5"/>
      <c r="C3" s="5"/>
    </row>
    <row r="5" customFormat="false" ht="30" hidden="false" customHeight="true" outlineLevel="0" collapsed="false">
      <c r="A5" s="67" t="s">
        <v>435</v>
      </c>
      <c r="B5" s="68" t="s">
        <v>436</v>
      </c>
    </row>
    <row r="6" customFormat="false" ht="30" hidden="false" customHeight="true" outlineLevel="0" collapsed="false">
      <c r="A6" s="69" t="s">
        <v>437</v>
      </c>
      <c r="B6" s="70" t="s">
        <v>438</v>
      </c>
    </row>
    <row r="7" customFormat="false" ht="18" hidden="false" customHeight="true" outlineLevel="0" collapsed="false">
      <c r="A7" s="67" t="s">
        <v>439</v>
      </c>
      <c r="B7" s="68" t="s">
        <v>440</v>
      </c>
    </row>
    <row r="8" customFormat="false" ht="30" hidden="false" customHeight="true" outlineLevel="0" collapsed="false">
      <c r="A8" s="69" t="s">
        <v>441</v>
      </c>
      <c r="B8" s="70" t="s">
        <v>442</v>
      </c>
    </row>
    <row r="9" customFormat="false" ht="30" hidden="false" customHeight="true" outlineLevel="0" collapsed="false">
      <c r="A9" s="67" t="s">
        <v>443</v>
      </c>
      <c r="B9" s="68" t="s">
        <v>444</v>
      </c>
    </row>
    <row r="10" customFormat="false" ht="45" hidden="false" customHeight="true" outlineLevel="0" collapsed="false">
      <c r="A10" s="69" t="s">
        <v>291</v>
      </c>
      <c r="B10" s="70" t="s">
        <v>445</v>
      </c>
    </row>
    <row r="11" customFormat="false" ht="18" hidden="false" customHeight="true" outlineLevel="0" collapsed="false">
      <c r="A11" s="67" t="s">
        <v>446</v>
      </c>
      <c r="B11" s="68" t="s">
        <v>447</v>
      </c>
    </row>
    <row r="12" customFormat="false" ht="30" hidden="false" customHeight="true" outlineLevel="0" collapsed="false">
      <c r="A12" s="69" t="s">
        <v>448</v>
      </c>
      <c r="B12" s="70" t="s">
        <v>449</v>
      </c>
    </row>
    <row r="13" customFormat="false" ht="18" hidden="false" customHeight="true" outlineLevel="0" collapsed="false">
      <c r="A13" s="67" t="s">
        <v>450</v>
      </c>
      <c r="B13" s="68" t="s">
        <v>451</v>
      </c>
    </row>
    <row r="14" customFormat="false" ht="30" hidden="false" customHeight="true" outlineLevel="0" collapsed="false">
      <c r="A14" s="69" t="s">
        <v>319</v>
      </c>
      <c r="B14" s="70" t="s">
        <v>452</v>
      </c>
    </row>
    <row r="15" customFormat="false" ht="18" hidden="false" customHeight="true" outlineLevel="0" collapsed="false">
      <c r="A15" s="67" t="s">
        <v>453</v>
      </c>
      <c r="B15" s="68" t="s">
        <v>454</v>
      </c>
    </row>
    <row r="16" customFormat="false" ht="18" hidden="false" customHeight="true" outlineLevel="0" collapsed="false">
      <c r="A16" s="69" t="s">
        <v>357</v>
      </c>
      <c r="B16" s="70" t="s">
        <v>455</v>
      </c>
    </row>
    <row r="17" customFormat="false" ht="30" hidden="false" customHeight="true" outlineLevel="0" collapsed="false">
      <c r="A17" s="67" t="s">
        <v>300</v>
      </c>
      <c r="B17" s="68" t="s">
        <v>456</v>
      </c>
    </row>
    <row r="18" customFormat="false" ht="30" hidden="false" customHeight="true" outlineLevel="0" collapsed="false">
      <c r="A18" s="69" t="s">
        <v>457</v>
      </c>
      <c r="B18" s="70" t="s">
        <v>458</v>
      </c>
    </row>
    <row r="19" customFormat="false" ht="18" hidden="false" customHeight="true" outlineLevel="0" collapsed="false">
      <c r="A19" s="67" t="s">
        <v>323</v>
      </c>
      <c r="B19" s="68" t="s">
        <v>459</v>
      </c>
    </row>
    <row r="20" customFormat="false" ht="30" hidden="false" customHeight="true" outlineLevel="0" collapsed="false">
      <c r="A20" s="69" t="s">
        <v>460</v>
      </c>
      <c r="B20" s="70" t="s">
        <v>461</v>
      </c>
    </row>
    <row r="21" customFormat="false" ht="30" hidden="false" customHeight="true" outlineLevel="0" collapsed="false">
      <c r="A21" s="67" t="s">
        <v>462</v>
      </c>
      <c r="B21" s="68" t="s">
        <v>463</v>
      </c>
    </row>
    <row r="22" customFormat="false" ht="30" hidden="false" customHeight="true" outlineLevel="0" collapsed="false">
      <c r="A22" s="69" t="s">
        <v>464</v>
      </c>
      <c r="B22" s="70" t="s">
        <v>465</v>
      </c>
    </row>
    <row r="23" customFormat="false" ht="30" hidden="false" customHeight="true" outlineLevel="0" collapsed="false">
      <c r="A23" s="67" t="s">
        <v>377</v>
      </c>
      <c r="B23" s="68" t="s">
        <v>466</v>
      </c>
    </row>
    <row r="24" customFormat="false" ht="30" hidden="false" customHeight="true" outlineLevel="0" collapsed="false">
      <c r="A24" s="69" t="s">
        <v>379</v>
      </c>
      <c r="B24" s="70" t="s">
        <v>467</v>
      </c>
    </row>
    <row r="25" customFormat="false" ht="30" hidden="false" customHeight="true" outlineLevel="0" collapsed="false">
      <c r="A25" s="67" t="s">
        <v>468</v>
      </c>
      <c r="B25" s="68" t="s">
        <v>469</v>
      </c>
    </row>
    <row r="26" customFormat="false" ht="30" hidden="false" customHeight="true" outlineLevel="0" collapsed="false">
      <c r="A26" s="69" t="s">
        <v>391</v>
      </c>
      <c r="B26" s="70" t="s">
        <v>470</v>
      </c>
    </row>
    <row r="27" customFormat="false" ht="30" hidden="false" customHeight="true" outlineLevel="0" collapsed="false">
      <c r="A27" s="67" t="s">
        <v>471</v>
      </c>
      <c r="B27" s="68" t="s">
        <v>472</v>
      </c>
    </row>
    <row r="28" customFormat="false" ht="45" hidden="false" customHeight="true" outlineLevel="0" collapsed="false">
      <c r="A28" s="69" t="s">
        <v>473</v>
      </c>
      <c r="B28" s="70" t="s">
        <v>474</v>
      </c>
    </row>
    <row r="29" customFormat="false" ht="45" hidden="false" customHeight="true" outlineLevel="0" collapsed="false">
      <c r="A29" s="67" t="s">
        <v>475</v>
      </c>
      <c r="B29" s="68" t="s">
        <v>476</v>
      </c>
    </row>
    <row r="31" customFormat="false" ht="21.75" hidden="false" customHeight="true" outlineLevel="0" collapsed="false">
      <c r="A31" s="7" t="s">
        <v>477</v>
      </c>
    </row>
    <row r="32" customFormat="false" ht="30" hidden="false" customHeight="true" outlineLevel="0" collapsed="false">
      <c r="A32" s="8" t="s">
        <v>179</v>
      </c>
      <c r="B32" s="9" t="s">
        <v>478</v>
      </c>
      <c r="C32" s="9" t="s">
        <v>479</v>
      </c>
    </row>
    <row r="33" customFormat="false" ht="36" hidden="false" customHeight="true" outlineLevel="0" collapsed="false">
      <c r="A33" s="71" t="s">
        <v>430</v>
      </c>
      <c r="B33" s="71" t="s">
        <v>480</v>
      </c>
      <c r="C33" s="72"/>
    </row>
    <row r="34" customFormat="false" ht="15" hidden="false" customHeight="true" outlineLevel="0" collapsed="false">
      <c r="A34" s="73" t="s">
        <v>430</v>
      </c>
      <c r="B34" s="73" t="s">
        <v>481</v>
      </c>
      <c r="C34" s="74" t="s">
        <v>482</v>
      </c>
    </row>
    <row r="35" customFormat="false" ht="24" hidden="false" customHeight="true" outlineLevel="0" collapsed="false">
      <c r="A35" s="71" t="s">
        <v>430</v>
      </c>
      <c r="B35" s="71" t="s">
        <v>483</v>
      </c>
      <c r="C35" s="72"/>
    </row>
    <row r="36" customFormat="false" ht="15" hidden="false" customHeight="true" outlineLevel="0" collapsed="false">
      <c r="A36" s="73" t="s">
        <v>430</v>
      </c>
      <c r="B36" s="73" t="s">
        <v>484</v>
      </c>
      <c r="C36" s="74" t="s">
        <v>485</v>
      </c>
    </row>
    <row r="37" customFormat="false" ht="15" hidden="false" customHeight="true" outlineLevel="0" collapsed="false">
      <c r="A37" s="71" t="s">
        <v>430</v>
      </c>
      <c r="B37" s="71" t="s">
        <v>481</v>
      </c>
      <c r="C37" s="72" t="s">
        <v>486</v>
      </c>
    </row>
    <row r="38" customFormat="false" ht="15" hidden="false" customHeight="true" outlineLevel="0" collapsed="false">
      <c r="A38" s="73" t="s">
        <v>430</v>
      </c>
      <c r="B38" s="73" t="s">
        <v>487</v>
      </c>
      <c r="C38" s="74"/>
    </row>
    <row r="39" customFormat="false" ht="15" hidden="false" customHeight="true" outlineLevel="0" collapsed="false">
      <c r="A39" s="71" t="s">
        <v>430</v>
      </c>
      <c r="B39" s="71" t="s">
        <v>488</v>
      </c>
      <c r="C39" s="72"/>
    </row>
    <row r="40" customFormat="false" ht="48" hidden="false" customHeight="true" outlineLevel="0" collapsed="false">
      <c r="A40" s="73" t="s">
        <v>430</v>
      </c>
      <c r="B40" s="73" t="s">
        <v>489</v>
      </c>
      <c r="C40" s="74"/>
    </row>
    <row r="41" customFormat="false" ht="15" hidden="false" customHeight="true" outlineLevel="0" collapsed="false">
      <c r="A41" s="71" t="s">
        <v>430</v>
      </c>
      <c r="B41" s="71" t="s">
        <v>490</v>
      </c>
      <c r="C41" s="72"/>
    </row>
    <row r="42" customFormat="false" ht="15" hidden="false" customHeight="true" outlineLevel="0" collapsed="false">
      <c r="A42" s="73" t="s">
        <v>430</v>
      </c>
      <c r="B42" s="73" t="s">
        <v>481</v>
      </c>
      <c r="C42" s="74" t="s">
        <v>491</v>
      </c>
    </row>
    <row r="43" customFormat="false" ht="15" hidden="false" customHeight="true" outlineLevel="0" collapsed="false">
      <c r="A43" s="71" t="s">
        <v>430</v>
      </c>
      <c r="B43" s="71" t="s">
        <v>492</v>
      </c>
      <c r="C43" s="72"/>
    </row>
    <row r="44" customFormat="false" ht="108" hidden="false" customHeight="true" outlineLevel="0" collapsed="false">
      <c r="A44" s="73" t="s">
        <v>185</v>
      </c>
      <c r="B44" s="73" t="s">
        <v>493</v>
      </c>
      <c r="C44" s="74"/>
    </row>
    <row r="45" customFormat="false" ht="15" hidden="false" customHeight="true" outlineLevel="0" collapsed="false">
      <c r="A45" s="71" t="s">
        <v>185</v>
      </c>
      <c r="B45" s="71" t="s">
        <v>481</v>
      </c>
      <c r="C45" s="72" t="s">
        <v>491</v>
      </c>
    </row>
    <row r="46" customFormat="false" ht="15" hidden="false" customHeight="true" outlineLevel="0" collapsed="false">
      <c r="A46" s="73" t="s">
        <v>185</v>
      </c>
      <c r="B46" s="73" t="s">
        <v>494</v>
      </c>
      <c r="C46" s="74"/>
    </row>
    <row r="47" customFormat="false" ht="24" hidden="false" customHeight="true" outlineLevel="0" collapsed="false">
      <c r="A47" s="71" t="s">
        <v>149</v>
      </c>
      <c r="B47" s="71" t="s">
        <v>495</v>
      </c>
      <c r="C47" s="72"/>
    </row>
    <row r="48" customFormat="false" ht="15" hidden="false" customHeight="true" outlineLevel="0" collapsed="false">
      <c r="A48" s="73" t="s">
        <v>149</v>
      </c>
      <c r="B48" s="73" t="s">
        <v>481</v>
      </c>
      <c r="C48" s="74" t="s">
        <v>496</v>
      </c>
    </row>
    <row r="49" customFormat="false" ht="36" hidden="false" customHeight="true" outlineLevel="0" collapsed="false">
      <c r="A49" s="71" t="s">
        <v>149</v>
      </c>
      <c r="B49" s="71" t="s">
        <v>497</v>
      </c>
      <c r="C49" s="72"/>
    </row>
    <row r="50" customFormat="false" ht="15" hidden="false" customHeight="true" outlineLevel="0" collapsed="false">
      <c r="A50" s="73" t="s">
        <v>149</v>
      </c>
      <c r="B50" s="73" t="s">
        <v>481</v>
      </c>
      <c r="C50" s="74" t="s">
        <v>496</v>
      </c>
    </row>
    <row r="51" customFormat="false" ht="84" hidden="false" customHeight="true" outlineLevel="0" collapsed="false">
      <c r="A51" s="71" t="s">
        <v>149</v>
      </c>
      <c r="B51" s="71" t="s">
        <v>498</v>
      </c>
      <c r="C51" s="72"/>
    </row>
    <row r="52" customFormat="false" ht="15" hidden="false" customHeight="true" outlineLevel="0" collapsed="false">
      <c r="A52" s="73" t="s">
        <v>149</v>
      </c>
      <c r="B52" s="73" t="s">
        <v>481</v>
      </c>
      <c r="C52" s="74" t="s">
        <v>499</v>
      </c>
    </row>
    <row r="53" customFormat="false" ht="48" hidden="false" customHeight="true" outlineLevel="0" collapsed="false">
      <c r="A53" s="71" t="s">
        <v>149</v>
      </c>
      <c r="B53" s="71" t="s">
        <v>500</v>
      </c>
      <c r="C53" s="72"/>
    </row>
    <row r="54" customFormat="false" ht="15" hidden="false" customHeight="true" outlineLevel="0" collapsed="false">
      <c r="A54" s="73" t="s">
        <v>149</v>
      </c>
      <c r="B54" s="73" t="s">
        <v>481</v>
      </c>
      <c r="C54" s="74" t="s">
        <v>501</v>
      </c>
    </row>
    <row r="55" customFormat="false" ht="15" hidden="false" customHeight="true" outlineLevel="0" collapsed="false">
      <c r="A55" s="71" t="s">
        <v>149</v>
      </c>
      <c r="B55" s="71" t="s">
        <v>502</v>
      </c>
      <c r="C55" s="72"/>
    </row>
    <row r="56" customFormat="false" ht="15" hidden="false" customHeight="true" outlineLevel="0" collapsed="false">
      <c r="A56" s="73" t="s">
        <v>503</v>
      </c>
      <c r="B56" s="73" t="s">
        <v>504</v>
      </c>
      <c r="C56" s="74"/>
    </row>
    <row r="57" customFormat="false" ht="15" hidden="false" customHeight="true" outlineLevel="0" collapsed="false">
      <c r="A57" s="71" t="s">
        <v>503</v>
      </c>
      <c r="B57" s="71" t="s">
        <v>505</v>
      </c>
      <c r="C57" s="72"/>
    </row>
    <row r="58" customFormat="false" ht="15" hidden="false" customHeight="true" outlineLevel="0" collapsed="false">
      <c r="A58" s="73" t="s">
        <v>503</v>
      </c>
      <c r="B58" s="73" t="s">
        <v>506</v>
      </c>
      <c r="C58" s="74"/>
    </row>
    <row r="59" customFormat="false" ht="15" hidden="false" customHeight="true" outlineLevel="0" collapsed="false">
      <c r="A59" s="71" t="s">
        <v>503</v>
      </c>
      <c r="B59" s="71" t="s">
        <v>507</v>
      </c>
      <c r="C59" s="72"/>
    </row>
    <row r="60" customFormat="false" ht="15" hidden="false" customHeight="true" outlineLevel="0" collapsed="false">
      <c r="A60" s="73" t="s">
        <v>503</v>
      </c>
      <c r="B60" s="73" t="s">
        <v>481</v>
      </c>
      <c r="C60" s="74" t="s">
        <v>482</v>
      </c>
    </row>
    <row r="61" customFormat="false" ht="15" hidden="false" customHeight="true" outlineLevel="0" collapsed="false">
      <c r="A61" s="71" t="s">
        <v>503</v>
      </c>
      <c r="B61" s="71" t="s">
        <v>507</v>
      </c>
      <c r="C61" s="72"/>
    </row>
    <row r="62" customFormat="false" ht="15" hidden="false" customHeight="true" outlineLevel="0" collapsed="false">
      <c r="A62" s="73" t="s">
        <v>503</v>
      </c>
      <c r="B62" s="73" t="s">
        <v>481</v>
      </c>
      <c r="C62" s="74" t="s">
        <v>491</v>
      </c>
    </row>
    <row r="63" customFormat="false" ht="72" hidden="false" customHeight="true" outlineLevel="0" collapsed="false">
      <c r="A63" s="71" t="s">
        <v>503</v>
      </c>
      <c r="B63" s="71" t="s">
        <v>508</v>
      </c>
      <c r="C63" s="72"/>
    </row>
    <row r="64" customFormat="false" ht="15" hidden="false" customHeight="true" outlineLevel="0" collapsed="false">
      <c r="A64" s="73" t="s">
        <v>503</v>
      </c>
      <c r="B64" s="73" t="s">
        <v>509</v>
      </c>
      <c r="C64" s="74"/>
    </row>
    <row r="65" customFormat="false" ht="15" hidden="false" customHeight="true" outlineLevel="0" collapsed="false">
      <c r="A65" s="71" t="s">
        <v>503</v>
      </c>
      <c r="B65" s="71" t="s">
        <v>481</v>
      </c>
      <c r="C65" s="72" t="s">
        <v>501</v>
      </c>
    </row>
    <row r="66" customFormat="false" ht="108" hidden="false" customHeight="true" outlineLevel="0" collapsed="false">
      <c r="A66" s="73" t="s">
        <v>503</v>
      </c>
      <c r="B66" s="73" t="s">
        <v>510</v>
      </c>
      <c r="C66" s="74"/>
    </row>
    <row r="67" customFormat="false" ht="15" hidden="false" customHeight="true" outlineLevel="0" collapsed="false">
      <c r="A67" s="71" t="s">
        <v>503</v>
      </c>
      <c r="B67" s="71" t="s">
        <v>481</v>
      </c>
      <c r="C67" s="72" t="s">
        <v>491</v>
      </c>
    </row>
    <row r="68" customFormat="false" ht="15" hidden="false" customHeight="true" outlineLevel="0" collapsed="false">
      <c r="A68" s="73" t="s">
        <v>503</v>
      </c>
      <c r="B68" s="73" t="s">
        <v>511</v>
      </c>
      <c r="C68" s="74"/>
    </row>
    <row r="69" customFormat="false" ht="15" hidden="false" customHeight="true" outlineLevel="0" collapsed="false">
      <c r="A69" s="71" t="s">
        <v>503</v>
      </c>
      <c r="B69" s="71" t="s">
        <v>512</v>
      </c>
      <c r="C69" s="72"/>
    </row>
    <row r="70" customFormat="false" ht="15" hidden="false" customHeight="true" outlineLevel="0" collapsed="false">
      <c r="A70" s="73" t="s">
        <v>503</v>
      </c>
      <c r="B70" s="73" t="s">
        <v>481</v>
      </c>
      <c r="C70" s="74" t="s">
        <v>513</v>
      </c>
    </row>
    <row r="71" customFormat="false" ht="15" hidden="false" customHeight="true" outlineLevel="0" collapsed="false">
      <c r="A71" s="71" t="s">
        <v>503</v>
      </c>
      <c r="B71" s="71" t="s">
        <v>514</v>
      </c>
      <c r="C71" s="72"/>
    </row>
    <row r="72" customFormat="false" ht="15" hidden="false" customHeight="true" outlineLevel="0" collapsed="false">
      <c r="A72" s="73" t="s">
        <v>503</v>
      </c>
      <c r="B72" s="73" t="s">
        <v>481</v>
      </c>
      <c r="C72" s="74" t="s">
        <v>491</v>
      </c>
    </row>
    <row r="73" customFormat="false" ht="36" hidden="false" customHeight="true" outlineLevel="0" collapsed="false">
      <c r="A73" s="71" t="s">
        <v>503</v>
      </c>
      <c r="B73" s="71" t="s">
        <v>515</v>
      </c>
      <c r="C73" s="72"/>
    </row>
    <row r="74" customFormat="false" ht="15" hidden="false" customHeight="true" outlineLevel="0" collapsed="false">
      <c r="A74" s="73" t="s">
        <v>503</v>
      </c>
      <c r="B74" s="73" t="s">
        <v>481</v>
      </c>
      <c r="C74" s="74" t="s">
        <v>491</v>
      </c>
    </row>
    <row r="75" customFormat="false" ht="72" hidden="false" customHeight="true" outlineLevel="0" collapsed="false">
      <c r="A75" s="71" t="s">
        <v>503</v>
      </c>
      <c r="B75" s="71" t="s">
        <v>516</v>
      </c>
      <c r="C75" s="72"/>
    </row>
    <row r="76" customFormat="false" ht="15" hidden="false" customHeight="true" outlineLevel="0" collapsed="false">
      <c r="A76" s="73" t="s">
        <v>503</v>
      </c>
      <c r="B76" s="73" t="s">
        <v>481</v>
      </c>
      <c r="C76" s="74" t="s">
        <v>517</v>
      </c>
    </row>
    <row r="77" customFormat="false" ht="15" hidden="false" customHeight="true" outlineLevel="0" collapsed="false">
      <c r="A77" s="71" t="s">
        <v>503</v>
      </c>
      <c r="B77" s="71" t="s">
        <v>518</v>
      </c>
      <c r="C77" s="72"/>
    </row>
    <row r="78" customFormat="false" ht="15" hidden="false" customHeight="true" outlineLevel="0" collapsed="false">
      <c r="A78" s="73" t="s">
        <v>503</v>
      </c>
      <c r="B78" s="73" t="s">
        <v>481</v>
      </c>
      <c r="C78" s="74" t="s">
        <v>519</v>
      </c>
    </row>
    <row r="79" customFormat="false" ht="144" hidden="false" customHeight="true" outlineLevel="0" collapsed="false">
      <c r="A79" s="71" t="s">
        <v>503</v>
      </c>
      <c r="B79" s="71" t="s">
        <v>520</v>
      </c>
      <c r="C79" s="72"/>
    </row>
    <row r="80" customFormat="false" ht="15" hidden="false" customHeight="true" outlineLevel="0" collapsed="false">
      <c r="A80" s="73" t="s">
        <v>503</v>
      </c>
      <c r="B80" s="73" t="s">
        <v>484</v>
      </c>
      <c r="C80" s="74" t="s">
        <v>513</v>
      </c>
    </row>
    <row r="81" customFormat="false" ht="15" hidden="false" customHeight="true" outlineLevel="0" collapsed="false">
      <c r="A81" s="71" t="s">
        <v>503</v>
      </c>
      <c r="B81" s="71" t="s">
        <v>521</v>
      </c>
      <c r="C81" s="72"/>
    </row>
    <row r="82" customFormat="false" ht="15" hidden="false" customHeight="true" outlineLevel="0" collapsed="false">
      <c r="A82" s="73" t="s">
        <v>503</v>
      </c>
      <c r="B82" s="73" t="s">
        <v>522</v>
      </c>
      <c r="C82" s="74"/>
    </row>
    <row r="83" customFormat="false" ht="15" hidden="false" customHeight="true" outlineLevel="0" collapsed="false">
      <c r="A83" s="71" t="s">
        <v>503</v>
      </c>
      <c r="B83" s="71" t="s">
        <v>523</v>
      </c>
      <c r="C83" s="72"/>
    </row>
    <row r="84" customFormat="false" ht="15" hidden="false" customHeight="true" outlineLevel="0" collapsed="false">
      <c r="A84" s="73" t="s">
        <v>503</v>
      </c>
      <c r="B84" s="73" t="s">
        <v>481</v>
      </c>
      <c r="C84" s="74" t="s">
        <v>513</v>
      </c>
    </row>
    <row r="85" customFormat="false" ht="204" hidden="false" customHeight="true" outlineLevel="0" collapsed="false">
      <c r="A85" s="71" t="s">
        <v>503</v>
      </c>
      <c r="B85" s="71" t="s">
        <v>524</v>
      </c>
      <c r="C85" s="72"/>
    </row>
    <row r="86" customFormat="false" ht="15" hidden="false" customHeight="true" outlineLevel="0" collapsed="false">
      <c r="A86" s="73" t="s">
        <v>503</v>
      </c>
      <c r="B86" s="73" t="s">
        <v>481</v>
      </c>
      <c r="C86" s="74" t="s">
        <v>519</v>
      </c>
    </row>
    <row r="87" customFormat="false" ht="24" hidden="false" customHeight="true" outlineLevel="0" collapsed="false">
      <c r="A87" s="71" t="s">
        <v>503</v>
      </c>
      <c r="B87" s="71" t="s">
        <v>525</v>
      </c>
      <c r="C87" s="72"/>
    </row>
    <row r="88" customFormat="false" ht="15" hidden="false" customHeight="true" outlineLevel="0" collapsed="false">
      <c r="A88" s="73" t="s">
        <v>503</v>
      </c>
      <c r="B88" s="73" t="s">
        <v>481</v>
      </c>
      <c r="C88" s="74" t="s">
        <v>491</v>
      </c>
    </row>
    <row r="89" customFormat="false" ht="15" hidden="false" customHeight="true" outlineLevel="0" collapsed="false">
      <c r="A89" s="71" t="s">
        <v>503</v>
      </c>
      <c r="B89" s="71" t="s">
        <v>526</v>
      </c>
      <c r="C89" s="72"/>
    </row>
    <row r="90" customFormat="false" ht="15" hidden="false" customHeight="true" outlineLevel="0" collapsed="false">
      <c r="A90" s="73" t="s">
        <v>503</v>
      </c>
      <c r="B90" s="73" t="s">
        <v>481</v>
      </c>
      <c r="C90" s="74" t="s">
        <v>527</v>
      </c>
    </row>
    <row r="91" customFormat="false" ht="36" hidden="false" customHeight="true" outlineLevel="0" collapsed="false">
      <c r="A91" s="71" t="s">
        <v>503</v>
      </c>
      <c r="B91" s="71" t="s">
        <v>528</v>
      </c>
      <c r="C91" s="72"/>
    </row>
    <row r="92" customFormat="false" ht="15" hidden="false" customHeight="true" outlineLevel="0" collapsed="false">
      <c r="A92" s="73" t="s">
        <v>503</v>
      </c>
      <c r="B92" s="73" t="s">
        <v>481</v>
      </c>
      <c r="C92" s="74" t="s">
        <v>527</v>
      </c>
    </row>
    <row r="93" customFormat="false" ht="15" hidden="false" customHeight="true" outlineLevel="0" collapsed="false">
      <c r="A93" s="71" t="s">
        <v>503</v>
      </c>
      <c r="B93" s="71" t="s">
        <v>529</v>
      </c>
      <c r="C93" s="72"/>
    </row>
    <row r="94" customFormat="false" ht="15" hidden="false" customHeight="true" outlineLevel="0" collapsed="false">
      <c r="A94" s="73" t="s">
        <v>503</v>
      </c>
      <c r="B94" s="73" t="s">
        <v>481</v>
      </c>
      <c r="C94" s="74" t="s">
        <v>530</v>
      </c>
    </row>
    <row r="95" customFormat="false" ht="15" hidden="false" customHeight="true" outlineLevel="0" collapsed="false">
      <c r="A95" s="71" t="s">
        <v>503</v>
      </c>
      <c r="B95" s="71" t="s">
        <v>531</v>
      </c>
      <c r="C95" s="72"/>
    </row>
    <row r="96" customFormat="false" ht="15" hidden="false" customHeight="true" outlineLevel="0" collapsed="false">
      <c r="A96" s="73" t="s">
        <v>532</v>
      </c>
      <c r="B96" s="73" t="s">
        <v>481</v>
      </c>
      <c r="C96" s="74" t="s">
        <v>533</v>
      </c>
    </row>
    <row r="97" customFormat="false" ht="15" hidden="false" customHeight="true" outlineLevel="0" collapsed="false">
      <c r="A97" s="71" t="s">
        <v>532</v>
      </c>
      <c r="B97" s="71" t="s">
        <v>534</v>
      </c>
      <c r="C97" s="72"/>
    </row>
    <row r="98" customFormat="false" ht="15" hidden="false" customHeight="true" outlineLevel="0" collapsed="false">
      <c r="A98" s="73" t="s">
        <v>532</v>
      </c>
      <c r="B98" s="73" t="s">
        <v>481</v>
      </c>
      <c r="C98" s="74" t="s">
        <v>535</v>
      </c>
    </row>
    <row r="99" customFormat="false" ht="36" hidden="false" customHeight="true" outlineLevel="0" collapsed="false">
      <c r="A99" s="71" t="s">
        <v>532</v>
      </c>
      <c r="B99" s="71" t="s">
        <v>536</v>
      </c>
      <c r="C99" s="72"/>
    </row>
    <row r="100" customFormat="false" ht="15" hidden="false" customHeight="true" outlineLevel="0" collapsed="false">
      <c r="A100" s="73" t="s">
        <v>532</v>
      </c>
      <c r="B100" s="73" t="s">
        <v>481</v>
      </c>
      <c r="C100" s="74" t="s">
        <v>519</v>
      </c>
    </row>
    <row r="101" customFormat="false" ht="15" hidden="false" customHeight="true" outlineLevel="0" collapsed="false">
      <c r="A101" s="71" t="s">
        <v>532</v>
      </c>
      <c r="B101" s="71" t="s">
        <v>502</v>
      </c>
      <c r="C101" s="72"/>
    </row>
    <row r="102" customFormat="false" ht="72" hidden="false" customHeight="true" outlineLevel="0" collapsed="false">
      <c r="A102" s="73" t="s">
        <v>537</v>
      </c>
      <c r="B102" s="73" t="s">
        <v>538</v>
      </c>
      <c r="C102" s="74"/>
    </row>
    <row r="103" customFormat="false" ht="15" hidden="false" customHeight="true" outlineLevel="0" collapsed="false">
      <c r="A103" s="71" t="s">
        <v>537</v>
      </c>
      <c r="B103" s="71" t="s">
        <v>481</v>
      </c>
      <c r="C103" s="72" t="s">
        <v>486</v>
      </c>
    </row>
    <row r="104" customFormat="false" ht="15" hidden="false" customHeight="true" outlineLevel="0" collapsed="false">
      <c r="A104" s="73" t="s">
        <v>537</v>
      </c>
      <c r="B104" s="73" t="s">
        <v>539</v>
      </c>
      <c r="C104" s="74"/>
    </row>
    <row r="105" customFormat="false" ht="15" hidden="false" customHeight="true" outlineLevel="0" collapsed="false">
      <c r="A105" s="71" t="s">
        <v>537</v>
      </c>
      <c r="B105" s="71" t="s">
        <v>481</v>
      </c>
      <c r="C105" s="72" t="s">
        <v>519</v>
      </c>
    </row>
    <row r="106" customFormat="false" ht="15" hidden="false" customHeight="true" outlineLevel="0" collapsed="false">
      <c r="A106" s="73" t="s">
        <v>537</v>
      </c>
      <c r="B106" s="73" t="s">
        <v>502</v>
      </c>
      <c r="C106" s="74"/>
    </row>
    <row r="107" customFormat="false" ht="96" hidden="false" customHeight="true" outlineLevel="0" collapsed="false">
      <c r="A107" s="71" t="s">
        <v>540</v>
      </c>
      <c r="B107" s="71" t="s">
        <v>541</v>
      </c>
      <c r="C107" s="72"/>
    </row>
    <row r="108" customFormat="false" ht="15" hidden="false" customHeight="true" outlineLevel="0" collapsed="false">
      <c r="A108" s="73" t="s">
        <v>540</v>
      </c>
      <c r="B108" s="73" t="s">
        <v>481</v>
      </c>
      <c r="C108" s="74" t="s">
        <v>519</v>
      </c>
    </row>
    <row r="109" customFormat="false" ht="15" hidden="false" customHeight="true" outlineLevel="0" collapsed="false">
      <c r="A109" s="71" t="s">
        <v>540</v>
      </c>
      <c r="B109" s="71" t="s">
        <v>502</v>
      </c>
      <c r="C109" s="72"/>
    </row>
    <row r="110" customFormat="false" ht="15" hidden="false" customHeight="true" outlineLevel="0" collapsed="false">
      <c r="A110" s="73" t="s">
        <v>542</v>
      </c>
      <c r="B110" s="73" t="s">
        <v>543</v>
      </c>
      <c r="C110" s="74"/>
    </row>
    <row r="111" customFormat="false" ht="15" hidden="false" customHeight="true" outlineLevel="0" collapsed="false">
      <c r="A111" s="71" t="s">
        <v>542</v>
      </c>
      <c r="B111" s="71" t="s">
        <v>481</v>
      </c>
      <c r="C111" s="72" t="s">
        <v>533</v>
      </c>
    </row>
    <row r="112" customFormat="false" ht="108" hidden="false" customHeight="true" outlineLevel="0" collapsed="false">
      <c r="A112" s="73" t="s">
        <v>542</v>
      </c>
      <c r="B112" s="73" t="s">
        <v>544</v>
      </c>
      <c r="C112" s="74"/>
    </row>
    <row r="113" customFormat="false" ht="15" hidden="false" customHeight="true" outlineLevel="0" collapsed="false">
      <c r="A113" s="71" t="s">
        <v>542</v>
      </c>
      <c r="B113" s="71" t="s">
        <v>481</v>
      </c>
      <c r="C113" s="72" t="s">
        <v>519</v>
      </c>
    </row>
    <row r="114" customFormat="false" ht="15" hidden="false" customHeight="true" outlineLevel="0" collapsed="false">
      <c r="A114" s="73" t="s">
        <v>542</v>
      </c>
      <c r="B114" s="73" t="s">
        <v>502</v>
      </c>
      <c r="C114" s="74"/>
    </row>
    <row r="115" customFormat="false" ht="36" hidden="false" customHeight="true" outlineLevel="0" collapsed="false">
      <c r="A115" s="71" t="s">
        <v>545</v>
      </c>
      <c r="B115" s="71" t="s">
        <v>546</v>
      </c>
      <c r="C115" s="72"/>
    </row>
    <row r="116" customFormat="false" ht="15" hidden="false" customHeight="true" outlineLevel="0" collapsed="false">
      <c r="A116" s="73" t="s">
        <v>545</v>
      </c>
      <c r="B116" s="73" t="s">
        <v>481</v>
      </c>
      <c r="C116" s="74" t="s">
        <v>547</v>
      </c>
    </row>
    <row r="117" customFormat="false" ht="15" hidden="false" customHeight="true" outlineLevel="0" collapsed="false">
      <c r="A117" s="71" t="s">
        <v>545</v>
      </c>
      <c r="B117" s="71" t="s">
        <v>502</v>
      </c>
      <c r="C117" s="72"/>
    </row>
    <row r="118" customFormat="false" ht="15" hidden="false" customHeight="true" outlineLevel="0" collapsed="false">
      <c r="A118" s="73" t="s">
        <v>548</v>
      </c>
      <c r="B118" s="73" t="s">
        <v>549</v>
      </c>
      <c r="C118" s="74"/>
    </row>
    <row r="119" customFormat="false" ht="15" hidden="false" customHeight="true" outlineLevel="0" collapsed="false">
      <c r="A119" s="71" t="s">
        <v>548</v>
      </c>
      <c r="B119" s="71" t="s">
        <v>481</v>
      </c>
      <c r="C119" s="72" t="s">
        <v>486</v>
      </c>
    </row>
    <row r="120" customFormat="false" ht="216" hidden="false" customHeight="true" outlineLevel="0" collapsed="false">
      <c r="A120" s="73" t="s">
        <v>548</v>
      </c>
      <c r="B120" s="73" t="s">
        <v>550</v>
      </c>
      <c r="C120" s="74"/>
    </row>
    <row r="121" customFormat="false" ht="15" hidden="false" customHeight="true" outlineLevel="0" collapsed="false">
      <c r="A121" s="71" t="s">
        <v>548</v>
      </c>
      <c r="B121" s="71" t="s">
        <v>481</v>
      </c>
      <c r="C121" s="72" t="s">
        <v>551</v>
      </c>
    </row>
    <row r="122" customFormat="false" ht="72" hidden="false" customHeight="true" outlineLevel="0" collapsed="false">
      <c r="A122" s="73" t="s">
        <v>548</v>
      </c>
      <c r="B122" s="73" t="s">
        <v>552</v>
      </c>
      <c r="C122" s="74"/>
    </row>
    <row r="123" customFormat="false" ht="15" hidden="false" customHeight="true" outlineLevel="0" collapsed="false">
      <c r="A123" s="71" t="s">
        <v>548</v>
      </c>
      <c r="B123" s="71" t="s">
        <v>481</v>
      </c>
      <c r="C123" s="72" t="s">
        <v>519</v>
      </c>
    </row>
    <row r="124" customFormat="false" ht="15" hidden="false" customHeight="true" outlineLevel="0" collapsed="false">
      <c r="A124" s="73" t="s">
        <v>548</v>
      </c>
      <c r="B124" s="73" t="s">
        <v>502</v>
      </c>
      <c r="C124" s="74"/>
    </row>
    <row r="125" customFormat="false" ht="108" hidden="false" customHeight="true" outlineLevel="0" collapsed="false">
      <c r="A125" s="71" t="s">
        <v>553</v>
      </c>
      <c r="B125" s="71" t="s">
        <v>554</v>
      </c>
      <c r="C125" s="72"/>
    </row>
    <row r="126" customFormat="false" ht="15" hidden="false" customHeight="true" outlineLevel="0" collapsed="false">
      <c r="A126" s="73" t="s">
        <v>553</v>
      </c>
      <c r="B126" s="73" t="s">
        <v>481</v>
      </c>
      <c r="C126" s="74" t="s">
        <v>535</v>
      </c>
    </row>
    <row r="127" customFormat="false" ht="60" hidden="false" customHeight="true" outlineLevel="0" collapsed="false">
      <c r="A127" s="71" t="s">
        <v>553</v>
      </c>
      <c r="B127" s="71" t="s">
        <v>555</v>
      </c>
      <c r="C127" s="72"/>
    </row>
    <row r="128" customFormat="false" ht="15" hidden="false" customHeight="true" outlineLevel="0" collapsed="false">
      <c r="A128" s="73" t="s">
        <v>553</v>
      </c>
      <c r="B128" s="73" t="s">
        <v>481</v>
      </c>
      <c r="C128" s="74" t="s">
        <v>535</v>
      </c>
    </row>
    <row r="129" customFormat="false" ht="15" hidden="false" customHeight="true" outlineLevel="0" collapsed="false">
      <c r="A129" s="71" t="s">
        <v>553</v>
      </c>
      <c r="B129" s="71" t="s">
        <v>556</v>
      </c>
      <c r="C129" s="72"/>
    </row>
    <row r="130" customFormat="false" ht="15" hidden="false" customHeight="true" outlineLevel="0" collapsed="false">
      <c r="A130" s="73" t="s">
        <v>553</v>
      </c>
      <c r="B130" s="73" t="s">
        <v>488</v>
      </c>
      <c r="C130" s="74"/>
    </row>
    <row r="131" customFormat="false" ht="24" hidden="false" customHeight="true" outlineLevel="0" collapsed="false">
      <c r="A131" s="71" t="s">
        <v>557</v>
      </c>
      <c r="B131" s="71" t="s">
        <v>558</v>
      </c>
      <c r="C131" s="72"/>
    </row>
    <row r="132" customFormat="false" ht="15" hidden="false" customHeight="true" outlineLevel="0" collapsed="false">
      <c r="A132" s="73" t="s">
        <v>557</v>
      </c>
      <c r="B132" s="73" t="s">
        <v>481</v>
      </c>
      <c r="C132" s="74" t="s">
        <v>486</v>
      </c>
    </row>
    <row r="133" customFormat="false" ht="132" hidden="false" customHeight="true" outlineLevel="0" collapsed="false">
      <c r="A133" s="71" t="s">
        <v>557</v>
      </c>
      <c r="B133" s="71" t="s">
        <v>559</v>
      </c>
      <c r="C133" s="72"/>
    </row>
    <row r="134" customFormat="false" ht="15" hidden="false" customHeight="true" outlineLevel="0" collapsed="false">
      <c r="A134" s="73" t="s">
        <v>557</v>
      </c>
      <c r="B134" s="73" t="s">
        <v>481</v>
      </c>
      <c r="C134" s="74" t="s">
        <v>486</v>
      </c>
    </row>
    <row r="135" customFormat="false" ht="15" hidden="false" customHeight="true" outlineLevel="0" collapsed="false">
      <c r="A135" s="71" t="s">
        <v>557</v>
      </c>
      <c r="B135" s="71" t="s">
        <v>560</v>
      </c>
      <c r="C135" s="72"/>
    </row>
    <row r="136" customFormat="false" ht="15" hidden="false" customHeight="true" outlineLevel="0" collapsed="false">
      <c r="A136" s="73" t="s">
        <v>557</v>
      </c>
      <c r="B136" s="73" t="s">
        <v>481</v>
      </c>
      <c r="C136" s="74" t="s">
        <v>551</v>
      </c>
    </row>
    <row r="137" customFormat="false" ht="72" hidden="false" customHeight="true" outlineLevel="0" collapsed="false">
      <c r="A137" s="71" t="s">
        <v>557</v>
      </c>
      <c r="B137" s="71" t="s">
        <v>561</v>
      </c>
      <c r="C137" s="72"/>
    </row>
    <row r="138" customFormat="false" ht="15" hidden="false" customHeight="true" outlineLevel="0" collapsed="false">
      <c r="A138" s="73" t="s">
        <v>557</v>
      </c>
      <c r="B138" s="73" t="s">
        <v>481</v>
      </c>
      <c r="C138" s="74" t="s">
        <v>501</v>
      </c>
    </row>
    <row r="139" customFormat="false" ht="15" hidden="false" customHeight="true" outlineLevel="0" collapsed="false">
      <c r="A139" s="71" t="s">
        <v>557</v>
      </c>
      <c r="B139" s="71" t="s">
        <v>502</v>
      </c>
      <c r="C139" s="72"/>
    </row>
    <row r="140" customFormat="false" ht="120" hidden="false" customHeight="true" outlineLevel="0" collapsed="false">
      <c r="A140" s="73" t="s">
        <v>562</v>
      </c>
      <c r="B140" s="73" t="s">
        <v>563</v>
      </c>
      <c r="C140" s="74"/>
    </row>
    <row r="141" customFormat="false" ht="15" hidden="false" customHeight="true" outlineLevel="0" collapsed="false">
      <c r="A141" s="71" t="s">
        <v>562</v>
      </c>
      <c r="B141" s="71" t="s">
        <v>481</v>
      </c>
      <c r="C141" s="72" t="s">
        <v>486</v>
      </c>
    </row>
    <row r="142" customFormat="false" ht="15" hidden="false" customHeight="true" outlineLevel="0" collapsed="false">
      <c r="A142" s="73" t="s">
        <v>562</v>
      </c>
      <c r="B142" s="73" t="s">
        <v>560</v>
      </c>
      <c r="C142" s="74"/>
    </row>
    <row r="143" customFormat="false" ht="15" hidden="false" customHeight="true" outlineLevel="0" collapsed="false">
      <c r="A143" s="71" t="s">
        <v>562</v>
      </c>
      <c r="B143" s="71" t="s">
        <v>481</v>
      </c>
      <c r="C143" s="72" t="s">
        <v>551</v>
      </c>
    </row>
    <row r="144" customFormat="false" ht="48" hidden="false" customHeight="true" outlineLevel="0" collapsed="false">
      <c r="A144" s="73" t="s">
        <v>562</v>
      </c>
      <c r="B144" s="73" t="s">
        <v>564</v>
      </c>
      <c r="C144" s="74"/>
    </row>
    <row r="145" customFormat="false" ht="15" hidden="false" customHeight="true" outlineLevel="0" collapsed="false">
      <c r="A145" s="71" t="s">
        <v>562</v>
      </c>
      <c r="B145" s="71" t="s">
        <v>481</v>
      </c>
      <c r="C145" s="72" t="s">
        <v>565</v>
      </c>
    </row>
    <row r="146" customFormat="false" ht="36" hidden="false" customHeight="true" outlineLevel="0" collapsed="false">
      <c r="A146" s="73" t="s">
        <v>562</v>
      </c>
      <c r="B146" s="73" t="s">
        <v>566</v>
      </c>
      <c r="C146" s="74"/>
    </row>
    <row r="147" customFormat="false" ht="15" hidden="false" customHeight="true" outlineLevel="0" collapsed="false">
      <c r="A147" s="71" t="s">
        <v>562</v>
      </c>
      <c r="B147" s="71" t="s">
        <v>481</v>
      </c>
      <c r="C147" s="72" t="s">
        <v>491</v>
      </c>
    </row>
    <row r="148" customFormat="false" ht="48" hidden="false" customHeight="true" outlineLevel="0" collapsed="false">
      <c r="A148" s="73" t="s">
        <v>562</v>
      </c>
      <c r="B148" s="73" t="s">
        <v>567</v>
      </c>
      <c r="C148" s="74"/>
    </row>
    <row r="149" customFormat="false" ht="15" hidden="false" customHeight="true" outlineLevel="0" collapsed="false">
      <c r="A149" s="71" t="s">
        <v>562</v>
      </c>
      <c r="B149" s="71" t="s">
        <v>481</v>
      </c>
      <c r="C149" s="72" t="s">
        <v>513</v>
      </c>
    </row>
    <row r="150" customFormat="false" ht="48" hidden="false" customHeight="true" outlineLevel="0" collapsed="false">
      <c r="A150" s="73" t="s">
        <v>562</v>
      </c>
      <c r="B150" s="73" t="s">
        <v>568</v>
      </c>
      <c r="C150" s="74"/>
    </row>
    <row r="151" customFormat="false" ht="15" hidden="false" customHeight="true" outlineLevel="0" collapsed="false">
      <c r="A151" s="71" t="s">
        <v>562</v>
      </c>
      <c r="B151" s="71" t="s">
        <v>481</v>
      </c>
      <c r="C151" s="72" t="s">
        <v>501</v>
      </c>
    </row>
    <row r="152" customFormat="false" ht="72" hidden="false" customHeight="true" outlineLevel="0" collapsed="false">
      <c r="A152" s="73" t="s">
        <v>562</v>
      </c>
      <c r="B152" s="73" t="s">
        <v>569</v>
      </c>
      <c r="C152" s="74"/>
    </row>
    <row r="153" customFormat="false" ht="15" hidden="false" customHeight="true" outlineLevel="0" collapsed="false">
      <c r="A153" s="71" t="s">
        <v>562</v>
      </c>
      <c r="B153" s="71" t="s">
        <v>481</v>
      </c>
      <c r="C153" s="72" t="s">
        <v>565</v>
      </c>
    </row>
    <row r="154" customFormat="false" ht="15" hidden="false" customHeight="true" outlineLevel="0" collapsed="false">
      <c r="A154" s="73" t="s">
        <v>562</v>
      </c>
      <c r="B154" s="73" t="s">
        <v>502</v>
      </c>
      <c r="C154" s="74"/>
    </row>
    <row r="155" customFormat="false" ht="36" hidden="false" customHeight="true" outlineLevel="0" collapsed="false">
      <c r="A155" s="71" t="s">
        <v>570</v>
      </c>
      <c r="B155" s="71" t="s">
        <v>571</v>
      </c>
      <c r="C155" s="72"/>
    </row>
    <row r="156" customFormat="false" ht="15" hidden="false" customHeight="true" outlineLevel="0" collapsed="false">
      <c r="A156" s="73" t="s">
        <v>570</v>
      </c>
      <c r="B156" s="73" t="s">
        <v>481</v>
      </c>
      <c r="C156" s="74" t="s">
        <v>486</v>
      </c>
    </row>
    <row r="157" customFormat="false" ht="15" hidden="false" customHeight="true" outlineLevel="0" collapsed="false">
      <c r="A157" s="71" t="s">
        <v>570</v>
      </c>
      <c r="B157" s="71" t="s">
        <v>560</v>
      </c>
      <c r="C157" s="72"/>
    </row>
    <row r="158" customFormat="false" ht="15" hidden="false" customHeight="true" outlineLevel="0" collapsed="false">
      <c r="A158" s="73" t="s">
        <v>570</v>
      </c>
      <c r="B158" s="73" t="s">
        <v>481</v>
      </c>
      <c r="C158" s="74" t="s">
        <v>551</v>
      </c>
    </row>
    <row r="159" customFormat="false" ht="60" hidden="false" customHeight="true" outlineLevel="0" collapsed="false">
      <c r="A159" s="71" t="s">
        <v>570</v>
      </c>
      <c r="B159" s="71" t="s">
        <v>572</v>
      </c>
      <c r="C159" s="72"/>
    </row>
    <row r="160" customFormat="false" ht="15" hidden="false" customHeight="true" outlineLevel="0" collapsed="false">
      <c r="A160" s="73" t="s">
        <v>570</v>
      </c>
      <c r="B160" s="73" t="s">
        <v>481</v>
      </c>
      <c r="C160" s="74" t="s">
        <v>565</v>
      </c>
    </row>
    <row r="161" customFormat="false" ht="48" hidden="false" customHeight="true" outlineLevel="0" collapsed="false">
      <c r="A161" s="71" t="s">
        <v>570</v>
      </c>
      <c r="B161" s="71" t="s">
        <v>568</v>
      </c>
      <c r="C161" s="72"/>
    </row>
    <row r="162" customFormat="false" ht="15" hidden="false" customHeight="true" outlineLevel="0" collapsed="false">
      <c r="A162" s="73" t="s">
        <v>570</v>
      </c>
      <c r="B162" s="73" t="s">
        <v>481</v>
      </c>
      <c r="C162" s="74" t="s">
        <v>501</v>
      </c>
    </row>
    <row r="163" customFormat="false" ht="15" hidden="false" customHeight="true" outlineLevel="0" collapsed="false">
      <c r="A163" s="71" t="s">
        <v>570</v>
      </c>
      <c r="B163" s="71" t="s">
        <v>502</v>
      </c>
      <c r="C163" s="72"/>
    </row>
    <row r="164" customFormat="false" ht="216" hidden="false" customHeight="true" outlineLevel="0" collapsed="false">
      <c r="A164" s="73" t="s">
        <v>407</v>
      </c>
      <c r="B164" s="73" t="s">
        <v>573</v>
      </c>
      <c r="C164" s="74"/>
    </row>
    <row r="165" customFormat="false" ht="15" hidden="false" customHeight="true" outlineLevel="0" collapsed="false">
      <c r="A165" s="71" t="s">
        <v>407</v>
      </c>
      <c r="B165" s="71" t="s">
        <v>481</v>
      </c>
      <c r="C165" s="72" t="s">
        <v>574</v>
      </c>
    </row>
    <row r="166" customFormat="false" ht="72" hidden="false" customHeight="true" outlineLevel="0" collapsed="false">
      <c r="A166" s="73" t="s">
        <v>407</v>
      </c>
      <c r="B166" s="73" t="s">
        <v>575</v>
      </c>
      <c r="C166" s="74"/>
    </row>
    <row r="167" customFormat="false" ht="15" hidden="false" customHeight="true" outlineLevel="0" collapsed="false">
      <c r="A167" s="71" t="s">
        <v>407</v>
      </c>
      <c r="B167" s="71" t="s">
        <v>488</v>
      </c>
      <c r="C167" s="72"/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2026-10-16T20:58:47Z</dcterms:created>
  <dc:creator>openpyxl</dc:creator>
  <dc:description/>
  <dc:language>en-US</dc:language>
  <cp:lastModifiedBy/>
  <dcterms:modified xsi:type="dcterms:W3CDTF">2026-10-16T20:58:57Z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