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étricas semanales" sheetId="2" state="visible" r:id="rId4"/>
    <sheet name="Embudo" sheetId="3" state="visible" r:id="rId5"/>
    <sheet name="Tiempos" sheetId="4" state="visible" r:id="rId6"/>
    <sheet name="Ofertas y ventas" sheetId="5" state="visible" r:id="rId7"/>
    <sheet name="Perfil y asesores" sheetId="6" state="visible" r:id="rId8"/>
    <sheet name="Datos" sheetId="7" state="visible" r:id="rId9"/>
    <sheet name="Respuestas" sheetId="8" state="visible" r:id="rId10"/>
    <sheet name="Notas" sheetId="9" state="visible" r:id="rId11"/>
  </sheets>
  <definedNames>
    <definedName function="false" hidden="true" localSheetId="6" name="_xlnm._FilterDatabase" vbProcedure="false">Datos!$A$1:$AU$112</definedName>
    <definedName function="false" hidden="true" localSheetId="7" name="_xlnm._FilterDatabase" vbProcedure="false">Respuestas!$A$1:$I$259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<sst xmlns="http://schemas.openxmlformats.org/spreadsheetml/2006/main" count="5108" uniqueCount="557">
  <si>
    <t xml:space="preserve">DESARROLLO PROFESIONAL SyS</t>
  </si>
  <si>
    <t xml:space="preserve">Línea base (As Is) · Embudo Core Tools Premium</t>
  </si>
  <si>
    <t xml:space="preserve">CRM · 111 leads del 5 al 15 de octubre de 2026 · corte: 15 oct 2026, 23:59 h (Monterrey) · medido en solo lectura, sin mover ni enviar nada</t>
  </si>
  <si>
    <t xml:space="preserve">Los números</t>
  </si>
  <si>
    <t xml:space="preserve">Qué medimos</t>
  </si>
  <si>
    <t xml:space="preserve">Valor</t>
  </si>
  <si>
    <t xml:space="preserve">Cómo leerlo</t>
  </si>
  <si>
    <t xml:space="preserve">Leads que entraron</t>
  </si>
  <si>
    <t xml:space="preserve">Del 5 al 15 de octubre de 2026. Semana completa del 5 al 11 y 4 días de la siguiente.</t>
  </si>
  <si>
    <t xml:space="preserve">Contestaron el saludo</t>
  </si>
  <si>
    <t xml:space="preserve">Escribieron después de que el bot pidió el nombre.</t>
  </si>
  <si>
    <t xml:space="preserve">Dejaron de escribir en el saludo o antes</t>
  </si>
  <si>
    <t xml:space="preserve">La caída más grande del embudo.</t>
  </si>
  <si>
    <t xml:space="preserve">Llegaron a facilidades de pago</t>
  </si>
  <si>
    <t xml:space="preserve">Etapa 1.3 o más lejos.</t>
  </si>
  <si>
    <t xml:space="preserve">Recibieron al menos una oferta</t>
  </si>
  <si>
    <t xml:space="preserve">$3,799, $3,400, $2,799 o $1,950.</t>
  </si>
  <si>
    <t xml:space="preserve">Primeras ofertas que manda el bot</t>
  </si>
  <si>
    <t xml:space="preserve">Por tiempo, no por lo que dice el lead.</t>
  </si>
  <si>
    <t xml:space="preserve">Entraron fuera de horario (antes de 9 h o desde 21 h)</t>
  </si>
  <si>
    <t xml:space="preserve">El equipo en la práctica atiende de 7 a 22 h.</t>
  </si>
  <si>
    <t xml:space="preserve">Horas hasta el 1er mensaje de una persona (mediana)</t>
  </si>
  <si>
    <t xml:space="preserve">Mover de etapa llega en minutos; el primer mensaje escrito, no.</t>
  </si>
  <si>
    <t xml:space="preserve">Nunca recibieron un mensaje de una persona</t>
  </si>
  <si>
    <t xml:space="preserve">Hasta el corte, solo les escribió el bot.</t>
  </si>
  <si>
    <t xml:space="preserve">Leads donde intervino auxiliar</t>
  </si>
  <si>
    <t xml:space="preserve">Escribió o movió de etapa al lead.</t>
  </si>
  <si>
    <t xml:space="preserve">Ventas</t>
  </si>
  <si>
    <t xml:space="preserve">Leads en la etapa Ganado al corte.</t>
  </si>
  <si>
    <t xml:space="preserve">Conversión (ventas ÷ leads)</t>
  </si>
  <si>
    <t xml:space="preserve">Ventas a precio de lista ($3,999 o más)</t>
  </si>
  <si>
    <t xml:space="preserve">El resto fueron con descuento.</t>
  </si>
  <si>
    <t xml:space="preserve">Precio promedio de venta</t>
  </si>
  <si>
    <t xml:space="preserve">Precio de lista: $3,999.</t>
  </si>
  <si>
    <t xml:space="preserve">Leads abiertos al corte</t>
  </si>
  <si>
    <t xml:space="preserve">Todavía pueden avanzar; sobre todo los de la última semana.</t>
  </si>
  <si>
    <t xml:space="preserve">Lo más importante</t>
  </si>
  <si>
    <t xml:space="preserve">•  La mitad de los leads (53%) deja de escribir en el saludo o antes.</t>
  </si>
  <si>
    <t xml:space="preserve">•  Si el lead contesta el saludo (64%), el bot se detiene y espera a que una persona lo mueva; 9 leads esperaron más de 1 hora.</t>
  </si>
  <si>
    <t xml:space="preserve">•  El primer mensaje de una persona tarda 19.1 h (mediana); 14% de los leads nunca recibe uno.</t>
  </si>
  <si>
    <t xml:space="preserve">•  El bot manda las ofertas por tiempo: la primera llega a las 33.8 h (mediana) y el 86% recibe al menos una.</t>
  </si>
  <si>
    <t xml:space="preserve">•  7 ventas (6.3%); 5 con descuento y 2 a precio de lista. Precio promedio $3,762.</t>
  </si>
  <si>
    <t xml:space="preserve">•  Quien abre un link compra 12.5% contra 3.8% de quien no lo abre, y esa señal no detona ninguna acción.</t>
  </si>
  <si>
    <t xml:space="preserve">Puntos a mejorar</t>
  </si>
  <si>
    <t xml:space="preserve">Punto</t>
  </si>
  <si>
    <t xml:space="preserve">Dato</t>
  </si>
  <si>
    <t xml:space="preserve">Qué muestra el dato</t>
  </si>
  <si>
    <t xml:space="preserve">1 · La mitad deja de escribir en el saludo o antes</t>
  </si>
  <si>
    <t xml:space="preserve">27% solo mandó su primer mensaje y 26% contestó el saludo (casi siempre su nombre) y ya no volvió a escribir. Es la caída más grande del embudo.</t>
  </si>
  <si>
    <t xml:space="preserve">2 · Si el lead contesta el saludo, el bot se detiene y espera a una persona</t>
  </si>
  <si>
    <t xml:space="preserve">Leads que esperaron más de 1 hora para pasar a 1.1. Contesta el 64% y casi siempre lo mueve una persona: en horario tarda 0.4 min (mediana); fuera de horario, 3.1 min, y quien escribe de noche espera hasta la mañana.</t>
  </si>
  <si>
    <t xml:space="preserve">3 · El primer mensaje de una persona llega tarde</t>
  </si>
  <si>
    <t xml:space="preserve">Horas (mediana). Una persona mueve al lead en 3.9 min, pero su primer mensaje escrito tarda 19.1 h; 39% lo recibe después de 1 día y 14% nunca. Con mensaje en la 1.ª hora compra el 13.5%; después de 1 día, el 0.0% (relación, no causa).</t>
  </si>
  <si>
    <t xml:space="preserve">4 · Las ofertas salen por tiempo y casi todo se vende con descuento</t>
  </si>
  <si>
    <t xml:space="preserve">Ventas con descuento. El 86% recibe al menos una oferta y el bot manda el 83% de las primeras, a las 33.8 h (mediana) de entrar, conteste o no. De 7 ventas, 5 fueron con descuento; precio promedio $3,762 contra $3,999 de lista.</t>
  </si>
  <si>
    <t xml:space="preserve">5 · Los leads que piden cómo pagar se enfrían</t>
  </si>
  <si>
    <t xml:space="preserve">Compran de los que llegan a facilidades de pago. 35 leads (32%) llegaron a 1.3 o más lejos y 7 compraron; 13 dejaron de escribir ya en facilidades o en forma de pago.</t>
  </si>
  <si>
    <t xml:space="preserve">6 · La pregunta de ocupación casi no se contesta y no cambia el flujo</t>
  </si>
  <si>
    <t xml:space="preserve">Contestan su área en 24 h. El bot sigue igual para todos: 2 h después de preguntar pasa al lead a Negativo, haya contestado o no.</t>
  </si>
  <si>
    <t xml:space="preserve">7 · Las señales de interés no detonan una acción</t>
  </si>
  <si>
    <t xml:space="preserve">Compran de los que abren un link. El 29% abrió su ruta, la clase demo o el mapa; de ellos compra el 12.5%, contra 3.8% de los que no. El CRM solo lo deja como nota interna.</t>
  </si>
  <si>
    <t xml:space="preserve">8 · Los Perdidos se cierran a mano y sin diagnóstico</t>
  </si>
  <si>
    <t xml:space="preserve">De los Perdidos con razón «No contestaron». Una persona marca el 94% de los 62 Perdidos, a las 89.1 h (mediana) de entrar, y la razón no dice en qué etapa ni por qué se fue. 7 leads volvieron a escribir ya en Perdido y 1 de las 7 ventas salió de ahí.</t>
  </si>
  <si>
    <t xml:space="preserve">9 · El reparto de leads está cargado a una sola asesora</t>
  </si>
  <si>
    <t xml:space="preserve">Leads a nombre de Salma. También quedan a su nombre el 75% de los que entran fuera de horario. En horario, su primera acción tarda 3.9 min (mediana) contra 1.6 min del resto del equipo; con los de fuera de horario, 338.6 min.</t>
  </si>
  <si>
    <t xml:space="preserve">10 · Fuera de horario la atención baja</t>
  </si>
  <si>
    <t xml:space="preserve">De los mensajes del lead fuera de horario que una persona contesta en 15 min, contra 82% en horario. El 29% de los leads entra fuera de 9 a 21 h; aquí el primer mensaje de una persona tarda parecido dentro y fuera de horario (20.3 h contra 17.4 h).</t>
  </si>
  <si>
    <t xml:space="preserve">Valor y Dato se calculan con fórmulas sobre las hojas Datos y Respuestas. Los textos se escribieron con los datos al corte del 15 de octubre de 2026.</t>
  </si>
  <si>
    <t xml:space="preserve">Muestra chica en ventas (7): un solo caso mueve mucho los porcentajes. 42 leads siguen abiertos.</t>
  </si>
  <si>
    <t xml:space="preserve">Métricas por semana</t>
  </si>
  <si>
    <t xml:space="preserve">Core Tools Premium · semana según la fecha en que entró el lead · corte: 15 oct 2026, 23:59 h (Monterrey)</t>
  </si>
  <si>
    <t xml:space="preserve">Métrica</t>
  </si>
  <si>
    <t xml:space="preserve">2026-S41</t>
  </si>
  <si>
    <t xml:space="preserve">2026-S42</t>
  </si>
  <si>
    <t xml:space="preserve">Total</t>
  </si>
  <si>
    <t xml:space="preserve">Cómo se calcula</t>
  </si>
  <si>
    <t xml:space="preserve">5 al 11 oct (completa)</t>
  </si>
  <si>
    <t xml:space="preserve">12 al 15 oct (4 días)</t>
  </si>
  <si>
    <t xml:space="preserve">Volumen</t>
  </si>
  <si>
    <t xml:space="preserve">Leads</t>
  </si>
  <si>
    <t xml:space="preserve">Leads que entraron.</t>
  </si>
  <si>
    <t xml:space="preserve">% que entra fuera de horario</t>
  </si>
  <si>
    <t xml:space="preserve">Antes de 9 h o desde 21 h (horario de los bots en el CRM).</t>
  </si>
  <si>
    <t xml:space="preserve">Saludo</t>
  </si>
  <si>
    <t xml:space="preserve">% que contesta el saludo</t>
  </si>
  <si>
    <t xml:space="preserve">Escribió después de que el bot pidió el nombre y antes de salir de 1 Saludo.</t>
  </si>
  <si>
    <t xml:space="preserve">% que da su nombre</t>
  </si>
  <si>
    <t xml:space="preserve">Su nombre aparece en lo que contestó al saludo.</t>
  </si>
  <si>
    <t xml:space="preserve">Minutos de su respuesta al paso a 1.1 · mediana, de 9 a 21 h</t>
  </si>
  <si>
    <t xml:space="preserve">Solo quienes contestaron. La mediana es el caso de en medio: no la mueven los extremos.</t>
  </si>
  <si>
    <t xml:space="preserve">Minutos de su respuesta al paso a 1.1 · mediana, fuera de horario</t>
  </si>
  <si>
    <t xml:space="preserve">Minutos de su respuesta al paso a 1.1 · promedio, de 9 a 21 h</t>
  </si>
  <si>
    <t xml:space="preserve">Minutos de su respuesta al paso a 1.1 · promedio, fuera de horario</t>
  </si>
  <si>
    <t xml:space="preserve">Lo sube quien escribe de noche y espera hasta la mañana.</t>
  </si>
  <si>
    <t xml:space="preserve">Esperaron más de 1 hora para pasar a 1.1</t>
  </si>
  <si>
    <t xml:space="preserve">Contestaron y nadie los movió en la primera hora.</t>
  </si>
  <si>
    <t xml:space="preserve">Avance</t>
  </si>
  <si>
    <t xml:space="preserve">% que pasa de 1.1 a 1.2</t>
  </si>
  <si>
    <t xml:space="preserve">Es automático, a los 8 segundos.</t>
  </si>
  <si>
    <t xml:space="preserve">% que contesta la ocupación (de los que llegan a 1.2)</t>
  </si>
  <si>
    <t xml:space="preserve">Contestó en 24 h con su área o si estudia.</t>
  </si>
  <si>
    <t xml:space="preserve">% que entra a Negativo</t>
  </si>
  <si>
    <t xml:space="preserve">El bot lo pasa solo si nadie lo mueve en 2 h.</t>
  </si>
  <si>
    <t xml:space="preserve">% que llega a facilidades de pago</t>
  </si>
  <si>
    <t xml:space="preserve">Etapa 1.3 o 1.4, o más lejos.</t>
  </si>
  <si>
    <t xml:space="preserve">% que llega a forma de pago</t>
  </si>
  <si>
    <t xml:space="preserve">Etapas 2.x, MSI y 3.x, o Ganado.</t>
  </si>
  <si>
    <t xml:space="preserve">Atención de personas</t>
  </si>
  <si>
    <t xml:space="preserve">Minutos hasta la 1a acción de una persona · mediana</t>
  </si>
  <si>
    <t xml:space="preserve">Un mensaje o un cambio de etapa hecho por una persona.</t>
  </si>
  <si>
    <t xml:space="preserve">Horas hasta el 1er mensaje de una persona · mediana</t>
  </si>
  <si>
    <t xml:space="preserve">Desde que entra el lead. Mover de etapa no cuenta.</t>
  </si>
  <si>
    <t xml:space="preserve">% que nunca recibió un mensaje de una persona</t>
  </si>
  <si>
    <t xml:space="preserve">Hasta el corte, solo le escribió el bot.</t>
  </si>
  <si>
    <t xml:space="preserve">Minutos que tarda una persona en contestarle al lead · mediana</t>
  </si>
  <si>
    <t xml:space="preserve">Mediana por lead y luego la de todos. Detalle en la hoja Respuestas.</t>
  </si>
  <si>
    <t xml:space="preserve">% con audio del equipo</t>
  </si>
  <si>
    <t xml:space="preserve">Nota de voz de una persona, no del bot.</t>
  </si>
  <si>
    <t xml:space="preserve">% donde intervino auxiliar</t>
  </si>
  <si>
    <t xml:space="preserve">La auxiliar escribió o movió al lead de etapa.</t>
  </si>
  <si>
    <t xml:space="preserve">Ofertas</t>
  </si>
  <si>
    <t xml:space="preserve">% que recibe alguna oferta</t>
  </si>
  <si>
    <t xml:space="preserve">$3,799, $3,400, $2,799 o $1,950 escrito en un mensaje.</t>
  </si>
  <si>
    <t xml:space="preserve">% que recibe $3,799</t>
  </si>
  <si>
    <t xml:space="preserve">% que recibe $2,799</t>
  </si>
  <si>
    <t xml:space="preserve">% que recibe $1,950</t>
  </si>
  <si>
    <t xml:space="preserve">% de primeras ofertas que manda el bot</t>
  </si>
  <si>
    <t xml:space="preserve">El resto lo manda una persona, casi siempre con plantilla.</t>
  </si>
  <si>
    <t xml:space="preserve">Horas hasta la 1a oferta · mediana</t>
  </si>
  <si>
    <t xml:space="preserve">Desde que entra el lead.</t>
  </si>
  <si>
    <t xml:space="preserve">Interés y volumen de mensajes</t>
  </si>
  <si>
    <t xml:space="preserve">% que abrió algún link</t>
  </si>
  <si>
    <t xml:space="preserve">Ruta, clase demo, mapa o perfil de ejemplo (aviso del CRM).</t>
  </si>
  <si>
    <t xml:space="preserve">Mensajes del lead por lead · promedio</t>
  </si>
  <si>
    <t xml:space="preserve">Mensajes del bot por lead · promedio</t>
  </si>
  <si>
    <t xml:space="preserve">Mensajes de personas por lead · promedio</t>
  </si>
  <si>
    <t xml:space="preserve">Ventas y precio</t>
  </si>
  <si>
    <t xml:space="preserve">Leads en Ganado al corte.</t>
  </si>
  <si>
    <t xml:space="preserve">Ventas a $3,999 o más</t>
  </si>
  <si>
    <t xml:space="preserve">Precio que quedó registrado en el CRM.</t>
  </si>
  <si>
    <t xml:space="preserve">Ventas con descuento</t>
  </si>
  <si>
    <t xml:space="preserve">Lista: $3,999.</t>
  </si>
  <si>
    <t xml:space="preserve">Ingreso registrado</t>
  </si>
  <si>
    <t xml:space="preserve">Suma de los precios de venta.</t>
  </si>
  <si>
    <t xml:space="preserve">Horas hasta la venta · mediana</t>
  </si>
  <si>
    <t xml:space="preserve">Desde que entra el lead hasta Ganado.</t>
  </si>
  <si>
    <t xml:space="preserve">Dónde dejó de escribir (% de los leads)</t>
  </si>
  <si>
    <t xml:space="preserve">Solo su primer mensaje</t>
  </si>
  <si>
    <t xml:space="preserve">Saludo: contestó y no volvió</t>
  </si>
  <si>
    <t xml:space="preserve">1.2 Lista de cursos</t>
  </si>
  <si>
    <t xml:space="preserve">Negativo</t>
  </si>
  <si>
    <t xml:space="preserve">Facilidades de pago</t>
  </si>
  <si>
    <t xml:space="preserve">Forma o medio de pago</t>
  </si>
  <si>
    <t xml:space="preserve">Ya marcado como Perdido</t>
  </si>
  <si>
    <t xml:space="preserve">Compró</t>
  </si>
  <si>
    <t xml:space="preserve">Estado al corte</t>
  </si>
  <si>
    <t xml:space="preserve">Abiertos</t>
  </si>
  <si>
    <t xml:space="preserve">Todavía pueden avanzar.</t>
  </si>
  <si>
    <t xml:space="preserve">Perdidos</t>
  </si>
  <si>
    <t xml:space="preserve">Ganados</t>
  </si>
  <si>
    <t xml:space="preserve">% de Perdidos que marcó una persona</t>
  </si>
  <si>
    <t xml:space="preserve">El resto lo mandó el bot al final de Negativo.</t>
  </si>
  <si>
    <t xml:space="preserve">% de Perdidos con razón «No contestaron»</t>
  </si>
  <si>
    <t xml:space="preserve">Horas hasta Perdido · mediana</t>
  </si>
  <si>
    <t xml:space="preserve">Leads que escribieron después de marcarlos Perdido</t>
  </si>
  <si>
    <t xml:space="preserve">El lead volvió a escribir cuando ya estaba en Perdido.</t>
  </si>
  <si>
    <t xml:space="preserve">Ventas de leads que estuvieron en Perdido</t>
  </si>
  <si>
    <t xml:space="preserve">Los sacaron de Perdido y compraron.</t>
  </si>
  <si>
    <t xml:space="preserve">De 9 a 21 h contra fuera de horario (todo el período)</t>
  </si>
  <si>
    <t xml:space="preserve">De 9 a 21 h</t>
  </si>
  <si>
    <t xml:space="preserve">Fuera</t>
  </si>
  <si>
    <t xml:space="preserve">Nota</t>
  </si>
  <si>
    <t xml:space="preserve">Minutos de su respuesta a 1.1 · mediana</t>
  </si>
  <si>
    <t xml:space="preserve">Escribieron de noche y los movieron en la mañana.</t>
  </si>
  <si>
    <t xml:space="preserve">De noche el lead se queda con el bot.</t>
  </si>
  <si>
    <t xml:space="preserve">Conversión</t>
  </si>
  <si>
    <t xml:space="preserve">Embudo</t>
  </si>
  <si>
    <t xml:space="preserve">Core Tools Premium · 111 leads del 5 al 15 de octubre de 2026 · conteos con fórmulas sobre la hoja Datos</t>
  </si>
  <si>
    <t xml:space="preserve">Leads que llegaron a cada etapa</t>
  </si>
  <si>
    <t xml:space="preserve">Etapa</t>
  </si>
  <si>
    <t xml:space="preserve">% de la etapa anterior</t>
  </si>
  <si>
    <t xml:space="preserve">% de los que entraron</t>
  </si>
  <si>
    <t xml:space="preserve">Entraron a 1 Saludo</t>
  </si>
  <si>
    <t xml:space="preserve">—</t>
  </si>
  <si>
    <t xml:space="preserve">Todos reciben el saludo y la petición de nombre.</t>
  </si>
  <si>
    <t xml:space="preserve">1.1 Informes</t>
  </si>
  <si>
    <t xml:space="preserve">Lo mueve una persona si contestó; el bot, si no contestó.</t>
  </si>
  <si>
    <t xml:space="preserve">Automático.</t>
  </si>
  <si>
    <t xml:space="preserve">Facilidades de pago, 1.3 y 1.4</t>
  </si>
  <si>
    <t xml:space="preserve">Lo mueve una persona o el lead contesta la oferta del bot.</t>
  </si>
  <si>
    <t xml:space="preserve">Forma o medio de pago, 2.x y 3.x</t>
  </si>
  <si>
    <t xml:space="preserve">Eligió cómo pagar o recibió los datos.</t>
  </si>
  <si>
    <t xml:space="preserve">Compraron</t>
  </si>
  <si>
    <t xml:space="preserve">Etapa Ganado.</t>
  </si>
  <si>
    <t xml:space="preserve">Además: entraron a Negativo</t>
  </si>
  <si>
    <t xml:space="preserve">Seguimiento automático del bot si nadie mueve al lead en 2 h.</t>
  </si>
  <si>
    <t xml:space="preserve">Dónde dejó de escribir el lead</t>
  </si>
  <si>
    <t xml:space="preserve">Etapa de su último mensaje</t>
  </si>
  <si>
    <t xml:space="preserve">% de los leads</t>
  </si>
  <si>
    <t xml:space="preserve">No volvió a escribir después de su primer mensaje.</t>
  </si>
  <si>
    <t xml:space="preserve">Contestó el saludo (casi siempre su nombre) y ya no escribió.</t>
  </si>
  <si>
    <t xml:space="preserve">Incluye 1.1 Informes (dura 8 segundos).</t>
  </si>
  <si>
    <t xml:space="preserve">Seguimiento automático del bot.</t>
  </si>
  <si>
    <t xml:space="preserve">1.3 y 1.4: ya pidió o recibió cómo pagar.</t>
  </si>
  <si>
    <t xml:space="preserve">2.x, MSI y 3.x: eligió cómo pagar o recibió los datos.</t>
  </si>
  <si>
    <t xml:space="preserve">Escribió cuando ya estaba en Perdido.</t>
  </si>
  <si>
    <t xml:space="preserve">«Llegó a una etapa» = llegó a esa etapa o a una más lejana. Una venta cuenta como que pasó por todas.</t>
  </si>
  <si>
    <t xml:space="preserve">Tiempos de atención</t>
  </si>
  <si>
    <t xml:space="preserve">Core Tools Premium · desde que entra el lead y cuando el lead escribe · corte: 15 oct 2026, 23:59 h (Monterrey)</t>
  </si>
  <si>
    <t xml:space="preserve">¿Cuánto tarda el primer mensaje de una persona?</t>
  </si>
  <si>
    <t xml:space="preserve">Tiempo desde que entró</t>
  </si>
  <si>
    <t xml:space="preserve">% que contestó el saludo</t>
  </si>
  <si>
    <t xml:space="preserve">% que llegó a facilidades</t>
  </si>
  <si>
    <t xml:space="preserve">5 min o menos</t>
  </si>
  <si>
    <t xml:space="preserve">5 a 15 min</t>
  </si>
  <si>
    <t xml:space="preserve">15 a 60 min</t>
  </si>
  <si>
    <t xml:space="preserve">1 a 4 h</t>
  </si>
  <si>
    <t xml:space="preserve">4 a 24 h</t>
  </si>
  <si>
    <t xml:space="preserve">Más de 1 día</t>
  </si>
  <si>
    <t xml:space="preserve">Nunca (solo el bot)</t>
  </si>
  <si>
    <t xml:space="preserve">Relación, no causa: quien contesta más rápido también recibe antes el mensaje de una persona.</t>
  </si>
  <si>
    <t xml:space="preserve">Cuando el lead escribe, ¿cuánto tarda una persona en contestar?</t>
  </si>
  <si>
    <t xml:space="preserve">Tiempo de respuesta</t>
  </si>
  <si>
    <t xml:space="preserve">% de 9 a 21 h</t>
  </si>
  <si>
    <t xml:space="preserve">Fuera de horario</t>
  </si>
  <si>
    <t xml:space="preserve">% fuera</t>
  </si>
  <si>
    <t xml:space="preserve">% total</t>
  </si>
  <si>
    <t xml:space="preserve">Más de 4 h</t>
  </si>
  <si>
    <t xml:space="preserve">Sin respuesta de una persona</t>
  </si>
  <si>
    <t xml:space="preserve">Mensajes del lead (rachas)</t>
  </si>
  <si>
    <t xml:space="preserve">Minutos de respuesta · mediana</t>
  </si>
  <si>
    <t xml:space="preserve">% en que el bot contestó primero</t>
  </si>
  <si>
    <t xml:space="preserve">Racha = uno o varios mensajes seguidos del lead, después de que el bot pidió el nombre. Se mide hasta el siguiente mensaje de una persona.</t>
  </si>
  <si>
    <t xml:space="preserve">Según la hora en que entró el lead</t>
  </si>
  <si>
    <t xml:space="preserve">Hora de entrada</t>
  </si>
  <si>
    <t xml:space="preserve">Min. a 1.1 (mediana)</t>
  </si>
  <si>
    <t xml:space="preserve">00:00 a 00:59  (fuera de horario)</t>
  </si>
  <si>
    <t xml:space="preserve">01:00 a 01:59  (fuera de horario)</t>
  </si>
  <si>
    <t xml:space="preserve">02:00 a 02:59  (fuera de horario)</t>
  </si>
  <si>
    <t xml:space="preserve">03:00 a 03:59  (fuera de horario)</t>
  </si>
  <si>
    <t xml:space="preserve">04:00 a 04:59  (fuera de horario)</t>
  </si>
  <si>
    <t xml:space="preserve">05:00 a 05:59  (fuera de horario)</t>
  </si>
  <si>
    <t xml:space="preserve">06:00 a 06:59  (fuera de horario)</t>
  </si>
  <si>
    <t xml:space="preserve">07:00 a 07:59  (fuera de horario)</t>
  </si>
  <si>
    <t xml:space="preserve">08:00 a 08:59  (fuera de horario)</t>
  </si>
  <si>
    <t xml:space="preserve">09:00 a 09:59</t>
  </si>
  <si>
    <t xml:space="preserve">10:00 a 10:59</t>
  </si>
  <si>
    <t xml:space="preserve">11:00 a 11:59</t>
  </si>
  <si>
    <t xml:space="preserve">12:00 a 12:59</t>
  </si>
  <si>
    <t xml:space="preserve">13:00 a 13:59</t>
  </si>
  <si>
    <t xml:space="preserve">14:00 a 14:59</t>
  </si>
  <si>
    <t xml:space="preserve">15:00 a 15:59</t>
  </si>
  <si>
    <t xml:space="preserve">16:00 a 16:59</t>
  </si>
  <si>
    <t xml:space="preserve">17:00 a 17:59</t>
  </si>
  <si>
    <t xml:space="preserve">18:00 a 18:59</t>
  </si>
  <si>
    <t xml:space="preserve">19:00 a 19:59</t>
  </si>
  <si>
    <t xml:space="preserve">20:00 a 20:59</t>
  </si>
  <si>
    <t xml:space="preserve">21:00 a 21:59  (fuera de horario)</t>
  </si>
  <si>
    <t xml:space="preserve">22:00 a 22:59  (fuera de horario)</t>
  </si>
  <si>
    <t xml:space="preserve">23:00 a 23:59  (fuera de horario)</t>
  </si>
  <si>
    <t xml:space="preserve">Ofertas y ventas</t>
  </si>
  <si>
    <t xml:space="preserve">Core Tools Premium · ofertas escritas en mensajes y ventas registradas en el CRM · corte: 15 oct 2026, 23:59 h (Monterrey)</t>
  </si>
  <si>
    <t xml:space="preserve">Ofertas que recibió el lead</t>
  </si>
  <si>
    <t xml:space="preserve">Oferta</t>
  </si>
  <si>
    <t xml:space="preserve">Alguna oferta</t>
  </si>
  <si>
    <t xml:space="preserve">$3,799</t>
  </si>
  <si>
    <t xml:space="preserve">$3,400</t>
  </si>
  <si>
    <t xml:space="preserve">$2,799</t>
  </si>
  <si>
    <t xml:space="preserve">$1,950</t>
  </si>
  <si>
    <t xml:space="preserve">Ninguna oferta</t>
  </si>
  <si>
    <t xml:space="preserve">Un lead puede recibir varias ofertas. «Compraron» incluye a quien compró a otro precio.</t>
  </si>
  <si>
    <t xml:space="preserve">¿Quién mandó la primera oferta?</t>
  </si>
  <si>
    <t xml:space="preserve">Primera oferta enviada por</t>
  </si>
  <si>
    <t xml:space="preserve">% de las primeras ofertas</t>
  </si>
  <si>
    <t xml:space="preserve">Horas a la 1a oferta (mediana)</t>
  </si>
  <si>
    <t xml:space="preserve">Bot</t>
  </si>
  <si>
    <t xml:space="preserve">Joceline</t>
  </si>
  <si>
    <t xml:space="preserve">Salma</t>
  </si>
  <si>
    <t xml:space="preserve">Alexander</t>
  </si>
  <si>
    <t xml:space="preserve">Victoria</t>
  </si>
  <si>
    <t xml:space="preserve">Cuando una persona manda la oferta casi siempre es con una plantilla de Meta (imagen con el precio y botones).</t>
  </si>
  <si>
    <t xml:space="preserve">Precio al que se vendió</t>
  </si>
  <si>
    <t xml:space="preserve">Precio de venta</t>
  </si>
  <si>
    <t xml:space="preserve">% de las ventas</t>
  </si>
  <si>
    <t xml:space="preserve">Ingreso</t>
  </si>
  <si>
    <t xml:space="preserve">$3,999 o más (lista)</t>
  </si>
  <si>
    <t xml:space="preserve">$2,000</t>
  </si>
  <si>
    <t xml:space="preserve">Ingreso si todas fueran a $3,999</t>
  </si>
  <si>
    <t xml:space="preserve">Precio = presupuesto registrado al pasar a Ganado. $8,538 son 2 membresías; $2,000 es una membresía de 6 meses.</t>
  </si>
  <si>
    <t xml:space="preserve">Las ventas, una por una</t>
  </si>
  <si>
    <t xml:space="preserve">ID (#)</t>
  </si>
  <si>
    <t xml:space="preserve">Entrada</t>
  </si>
  <si>
    <t xml:space="preserve">Asesor asignado</t>
  </si>
  <si>
    <t xml:space="preserve">Ofertas recibidas</t>
  </si>
  <si>
    <t xml:space="preserve">Estado del cobro</t>
  </si>
  <si>
    <t xml:space="preserve">Horas hasta la venta</t>
  </si>
  <si>
    <t xml:space="preserve">Cada celda apunta a su fila en la hoja Datos.</t>
  </si>
  <si>
    <t xml:space="preserve">Perfil del lead, señales y asesores</t>
  </si>
  <si>
    <t xml:space="preserve">Core Tools Premium · corte: 15 oct 2026, 23:59 h (Monterrey)</t>
  </si>
  <si>
    <t xml:space="preserve">Ocupación (de quienes la contestaron)</t>
  </si>
  <si>
    <t xml:space="preserve">Ocupación</t>
  </si>
  <si>
    <t xml:space="preserve">% de los que contestaron</t>
  </si>
  <si>
    <t xml:space="preserve">Llegaron a facilidades</t>
  </si>
  <si>
    <t xml:space="preserve">Calidad</t>
  </si>
  <si>
    <t xml:space="preserve">Producción u operaciones</t>
  </si>
  <si>
    <t xml:space="preserve">Supervisión o jefatura</t>
  </si>
  <si>
    <t xml:space="preserve">Ingeniería</t>
  </si>
  <si>
    <t xml:space="preserve">Estudiante o recién egresado</t>
  </si>
  <si>
    <t xml:space="preserve">Sin empleo o buscando</t>
  </si>
  <si>
    <t xml:space="preserve">Otra área</t>
  </si>
  <si>
    <t xml:space="preserve">Agrupado por palabras de lo que contestó en 24 h. Si trabaja y estudia, cuenta su área de trabajo.</t>
  </si>
  <si>
    <t xml:space="preserve">Señales y conversión</t>
  </si>
  <si>
    <t xml:space="preserve">Señal</t>
  </si>
  <si>
    <t xml:space="preserve">Sí: leads</t>
  </si>
  <si>
    <t xml:space="preserve">Sí: ventas</t>
  </si>
  <si>
    <t xml:space="preserve">Sí: conversión</t>
  </si>
  <si>
    <t xml:space="preserve">No: leads</t>
  </si>
  <si>
    <t xml:space="preserve">No: ventas</t>
  </si>
  <si>
    <t xml:space="preserve">No: conversión</t>
  </si>
  <si>
    <t xml:space="preserve">Contestó el saludo</t>
  </si>
  <si>
    <t xml:space="preserve">Contestó la ocupación</t>
  </si>
  <si>
    <t xml:space="preserve">Abrió algún link</t>
  </si>
  <si>
    <t xml:space="preserve">Recibió audio del equipo</t>
  </si>
  <si>
    <t xml:space="preserve">Intervino auxiliar</t>
  </si>
  <si>
    <t xml:space="preserve">Entró de 9 a 21 h</t>
  </si>
  <si>
    <t xml:space="preserve">Recibió oferta</t>
  </si>
  <si>
    <t xml:space="preserve">Relación, no causa. Con pocas ventas, cada caso pesa mucho.</t>
  </si>
  <si>
    <t xml:space="preserve">Links que abrió el lead (aviso del CRM)</t>
  </si>
  <si>
    <t xml:space="preserve">Link</t>
  </si>
  <si>
    <t xml:space="preserve">Su ruta (temario)</t>
  </si>
  <si>
    <t xml:space="preserve">Clase demo</t>
  </si>
  <si>
    <t xml:space="preserve">Mapa de las 64 certificaciones</t>
  </si>
  <si>
    <t xml:space="preserve">Perfil profesional de ejemplo</t>
  </si>
  <si>
    <t xml:space="preserve">Por asesor asignado</t>
  </si>
  <si>
    <t xml:space="preserve">Asesor</t>
  </si>
  <si>
    <t xml:space="preserve">Min. a la 1a acción (mediana)</t>
  </si>
  <si>
    <t xml:space="preserve">Horas al 1er mensaje (mediana)</t>
  </si>
  <si>
    <t xml:space="preserve">% de los leads fuera de horario</t>
  </si>
  <si>
    <t xml:space="preserve">Sin asignar</t>
  </si>
  <si>
    <t xml:space="preserve">La última columna dice qué parte de los leads que entran fuera de horario queda a nombre de cada asesor.</t>
  </si>
  <si>
    <t xml:space="preserve">Asesor = a nombre de quién quedó el lead. Joceline apoya como auxiliar: los leads no quedan a su nombre.</t>
  </si>
  <si>
    <t xml:space="preserve">Cómo se cierran los Perdidos</t>
  </si>
  <si>
    <t xml:space="preserve">Concepto</t>
  </si>
  <si>
    <t xml:space="preserve">% de los Perdidos</t>
  </si>
  <si>
    <t xml:space="preserve">Horas hasta Perdido (mediana)</t>
  </si>
  <si>
    <t xml:space="preserve">Los marcó una persona</t>
  </si>
  <si>
    <t xml:space="preserve">Los pasó el bot</t>
  </si>
  <si>
    <t xml:space="preserve">Razón: No contestaron</t>
  </si>
  <si>
    <t xml:space="preserve">Razón: Por el momento no</t>
  </si>
  <si>
    <t xml:space="preserve">Razón: No le interesa</t>
  </si>
  <si>
    <t xml:space="preserve">Sin razón</t>
  </si>
  <si>
    <t xml:space="preserve">Otra razón</t>
  </si>
  <si>
    <t xml:space="preserve">Semana</t>
  </si>
  <si>
    <t xml:space="preserve">¿Entró de 9 a 21 h?</t>
  </si>
  <si>
    <t xml:space="preserve">¿Contestó el saludo?</t>
  </si>
  <si>
    <t xml:space="preserve">¿Dio su nombre?</t>
  </si>
  <si>
    <t xml:space="preserve">¿Llegó a 1.1?</t>
  </si>
  <si>
    <t xml:space="preserve">Minutos de su respuesta a 1.1</t>
  </si>
  <si>
    <t xml:space="preserve">Lo pasó a 1.1</t>
  </si>
  <si>
    <t xml:space="preserve">¿Llegó a 1.2?</t>
  </si>
  <si>
    <t xml:space="preserve">¿Contestó la ocupación?</t>
  </si>
  <si>
    <t xml:space="preserve">¿Entró a Negativo?</t>
  </si>
  <si>
    <t xml:space="preserve">¿Llegó a facilidades de pago?</t>
  </si>
  <si>
    <t xml:space="preserve">¿Llegó a forma de pago?</t>
  </si>
  <si>
    <t xml:space="preserve">¿Intervino auxiliar?</t>
  </si>
  <si>
    <t xml:space="preserve">Minutos hasta el 1er mensaje de una persona</t>
  </si>
  <si>
    <t xml:space="preserve">1er mensaje de una persona por</t>
  </si>
  <si>
    <t xml:space="preserve">Minutos hasta la 1a acción de una persona</t>
  </si>
  <si>
    <t xml:space="preserve">Mediana de minutos de respuesta de una persona</t>
  </si>
  <si>
    <t xml:space="preserve">Mensajes del lead sin respuesta de una persona</t>
  </si>
  <si>
    <t xml:space="preserve">¿Audio del equipo?</t>
  </si>
  <si>
    <t xml:space="preserve">¿Recibió oferta?</t>
  </si>
  <si>
    <t xml:space="preserve">Horas hasta la 1a oferta</t>
  </si>
  <si>
    <t xml:space="preserve">Mensajes del lead</t>
  </si>
  <si>
    <t xml:space="preserve">Mensajes del bot</t>
  </si>
  <si>
    <t xml:space="preserve">Mensajes de personas</t>
  </si>
  <si>
    <t xml:space="preserve">¿Abrió algún link?</t>
  </si>
  <si>
    <t xml:space="preserve">Links abiertos</t>
  </si>
  <si>
    <t xml:space="preserve">Mensajes del bot bloqueados (24 h)</t>
  </si>
  <si>
    <t xml:space="preserve">Dejó de escribir en</t>
  </si>
  <si>
    <t xml:space="preserve">Estado</t>
  </si>
  <si>
    <t xml:space="preserve">Cómo llegó a Perdido</t>
  </si>
  <si>
    <t xml:space="preserve">Razón de pérdida</t>
  </si>
  <si>
    <t xml:space="preserve">Horas hasta Perdido</t>
  </si>
  <si>
    <t xml:space="preserve">¿Lo marcaron Perdido alguna vez?</t>
  </si>
  <si>
    <t xml:space="preserve">¿Escribió después de marcarlo Perdido?</t>
  </si>
  <si>
    <t xml:space="preserve">¿Compró?</t>
  </si>
  <si>
    <t xml:space="preserve">Anuncio (utm_medium)</t>
  </si>
  <si>
    <t xml:space="preserve">Core Tools Premium</t>
  </si>
  <si>
    <t xml:space="preserve">Sí</t>
  </si>
  <si>
    <t xml:space="preserve">No</t>
  </si>
  <si>
    <t xml:space="preserve">$3,799, $2,799</t>
  </si>
  <si>
    <t xml:space="preserve">Perdido</t>
  </si>
  <si>
    <t xml:space="preserve">Persona</t>
  </si>
  <si>
    <t xml:space="preserve">No contestaron</t>
  </si>
  <si>
    <t xml:space="preserve">CHALECO</t>
  </si>
  <si>
    <t xml:space="preserve">Ruta, Clase demo</t>
  </si>
  <si>
    <t xml:space="preserve">50% Descuento DC-3👉</t>
  </si>
  <si>
    <t xml:space="preserve">Ruta</t>
  </si>
  <si>
    <t xml:space="preserve">Ganado</t>
  </si>
  <si>
    <t xml:space="preserve">Pagada completa</t>
  </si>
  <si>
    <t xml:space="preserve">Clase demo, Mapa 64</t>
  </si>
  <si>
    <t xml:space="preserve">Ruta, Clase demo, Perfil ejemplo, Mapa 64</t>
  </si>
  <si>
    <t xml:space="preserve">Por el momento no</t>
  </si>
  <si>
    <t xml:space="preserve">Mapa 64</t>
  </si>
  <si>
    <t xml:space="preserve">Chaleco</t>
  </si>
  <si>
    <t xml:space="preserve">Sin registro de cobro</t>
  </si>
  <si>
    <t xml:space="preserve">Abierto</t>
  </si>
  <si>
    <t xml:space="preserve">Ruta, Mapa 64, Clase demo</t>
  </si>
  <si>
    <t xml:space="preserve">Ruta, Mapa 64</t>
  </si>
  <si>
    <t xml:space="preserve">$3,799, $2,799, $1,950</t>
  </si>
  <si>
    <t xml:space="preserve">Mensaje del lead</t>
  </si>
  <si>
    <t xml:space="preserve">Hora</t>
  </si>
  <si>
    <t xml:space="preserve">¿De 9 a 21 h?</t>
  </si>
  <si>
    <t xml:space="preserve">Etapa en ese momento</t>
  </si>
  <si>
    <t xml:space="preserve">¿Le contestó una persona?</t>
  </si>
  <si>
    <t xml:space="preserve">Minutos hasta la respuesta de una persona</t>
  </si>
  <si>
    <t xml:space="preserve">Primero le contestó</t>
  </si>
  <si>
    <t xml:space="preserve">1 Saludo</t>
  </si>
  <si>
    <t xml:space="preserve">1.1 / 1.2 Informes y lista</t>
  </si>
  <si>
    <t xml:space="preserve">Nadie</t>
  </si>
  <si>
    <t xml:space="preserve">Notas y definiciones</t>
  </si>
  <si>
    <t xml:space="preserve">Core Tools Premium · cómo se midió cada dato</t>
  </si>
  <si>
    <t xml:space="preserve">Período</t>
  </si>
  <si>
    <t xml:space="preserve">Del 5 al 15 de octubre de 2026: la semana completa del 5 al 11 (S41) y 4 días de la siguiente (S42, del 12 al 15). El CRM atiende leads nuevos desde el 5 de octubre; lo anterior está en Kommo y no se incluye.</t>
  </si>
  <si>
    <t xml:space="preserve">Corte</t>
  </si>
  <si>
    <t xml:space="preserve">Todo se midió hasta el 15 de octubre a las 23:59 h (hora de Monterrey): solo cuentan leads que entraron hasta esa hora, y los mensajes, cambios de etapa y ventas que pasaron hasta esa hora, aunque el lead haya avanzado el 16. Así el As Is no se mueve.</t>
  </si>
  <si>
    <t xml:space="preserve">Fuente</t>
  </si>
  <si>
    <t xml:space="preserve">CRM de SyS. Se usó el usuario de Joceline, que ve todos los embudos.</t>
  </si>
  <si>
    <t xml:space="preserve">Cómo se midió</t>
  </si>
  <si>
    <t xml:space="preserve">Solo lectura: tablero de cada embudo, historial de etapas y mensajes de cada lead, y la configuración de los bots. Solo se hicieron consultas: no se movió, editó ni envió nada, y ni siquiera se marcaron los chats como vistos.</t>
  </si>
  <si>
    <t xml:space="preserve">A qué embudo pertenece un lead</t>
  </si>
  <si>
    <t xml:space="preserve">Al primer embudo de venta al que entró (sin contar «Leads entrantes», que solo reparte). 4 leads de los 3 embudos se movieron después a otro embudo y siguen contando en el de entrada.</t>
  </si>
  <si>
    <t xml:space="preserve">Cuando el lead escribió por primera vez. Casi todos pasan al embudo en menos de un segundo. 5 leads (4 de ISO + Calidad y 1 de Core Tools Premium) los atendió una persona desde «Leads entrantes», sin bot, y pasaron al embudo ya avanzados; 3 de ellos son ventas.</t>
  </si>
  <si>
    <t xml:space="preserve">Exclusiones</t>
  </si>
  <si>
    <t xml:space="preserve">Ninguna: no hubo leads de prueba en el período.</t>
  </si>
  <si>
    <t xml:space="preserve">Privacidad</t>
  </si>
  <si>
    <t xml:space="preserve">Sin nombres, teléfonos ni textos de los leads. Del equipo solo aparece el nombre con el que se le conoce. En los textos del bot se ocultan los datos bancarios.</t>
  </si>
  <si>
    <t xml:space="preserve">Horario</t>
  </si>
  <si>
    <t xml:space="preserve">«De 9 a 21 h» es el horario de los bots en el CRM (los 7 días). En la práctica el equipo escribe de 7 a 22 h.</t>
  </si>
  <si>
    <t xml:space="preserve">Escribió algo después de que el bot pidió el nombre y antes de salir de 1 Saludo. Es la misma regla que usa el bot: si contesta en 30 min, el bot reacciona y se detiene.</t>
  </si>
  <si>
    <t xml:space="preserve">Dio su nombre</t>
  </si>
  <si>
    <t xml:space="preserve">El nombre que quedó en el contacto aparece en lo que contestó al saludo. A quien no contestó, el bot lo llama «Inge».</t>
  </si>
  <si>
    <t xml:space="preserve">Desde su primera respuesta al saludo hasta que pasó a 1.1 (o a una etapa más lejana). Solo para quien contestó.</t>
  </si>
  <si>
    <t xml:space="preserve">Lo que contestó en 24 h a «¿en qué área trabajas?», agrupado por palabras: calidad, producción u operaciones, supervisión o jefatura, ingeniería, estudiante o recién egresado, sin empleo, otra área. Si escribió una duda u otro tema, cuenta como No.</t>
  </si>
  <si>
    <t xml:space="preserve">Llegó a una etapa</t>
  </si>
  <si>
    <t xml:space="preserve">Sí = llegó a esa etapa o a una más lejana. Una venta cuenta como que pasó por todas. Facilidades de pago = 1.3 o 1.4; forma de pago = 2.x, MSI y 3.x.</t>
  </si>
  <si>
    <t xml:space="preserve">Sí = la auxiliar (Joceline) escribió en la conversación o movió al lead de etapa antes del corte.</t>
  </si>
  <si>
    <t xml:space="preserve">1er mensaje y 1a acción de una persona</t>
  </si>
  <si>
    <t xml:space="preserve">1er mensaje = primer mensaje escrito por una persona (texto, audio, imagen o plantilla). 1a acción = ese mensaje o un cambio de etapa hecho a mano, lo que pase primero. Se miden desde que entró el lead.</t>
  </si>
  <si>
    <t xml:space="preserve">Tiempo de respuesta de una persona</t>
  </si>
  <si>
    <t xml:space="preserve">Cada racha de mensajes del lead (después de que el bot pidió el nombre) se mide hasta el siguiente mensaje de una persona. Detalle en la hoja Respuestas.</t>
  </si>
  <si>
    <t xml:space="preserve">Ofertas y audios</t>
  </si>
  <si>
    <t xml:space="preserve">Oferta = mensaje que dice $3,799, $3,400, $2,799 o $1,950 (también en el texto de una plantilla). Una oferta dentro de una imagen o un audio no se cuenta. Audio del equipo = nota de voz de una persona; los audios automáticos del bot no cuentan.</t>
  </si>
  <si>
    <t xml:space="preserve">Avisos que el CRM deja como nota interna cuando el lead abre su ruta, la clase demo, el mapa de las 64 certificaciones o el perfil de ejemplo.</t>
  </si>
  <si>
    <t xml:space="preserve">Etapa en la que estaba el lead cuando mandó su último mensaje. «Solo su primer mensaje» = no escribió después de que el bot pidió el nombre.</t>
  </si>
  <si>
    <t xml:space="preserve">Estado, venta y precio</t>
  </si>
  <si>
    <t xml:space="preserve">Estado al corte, según el historial de etapas. Venta = lead en Ganado. Precio = el que quedó registrado en el CRM. Estado del cobro = registro de ventas del CRM (pagada o con saldo).</t>
  </si>
  <si>
    <t xml:space="preserve">Cómo llegó: «Persona» si lo movió alguien del equipo; «Bot» si lo pasó el bot. Razón = la que quedó registrada en el CRM. «¿Escribió después de marcarlo Perdido?» = el lead mandó un mensaje cuando ya estaba en Perdido.</t>
  </si>
  <si>
    <t xml:space="preserve">Límites</t>
  </si>
  <si>
    <t xml:space="preserve">Pocas ventas: un solo caso mueve mucho los porcentajes. Los leads de la última semana todavía están abiertos, así que su conversión aún puede subir. Las relaciones entre señales y ventas no prueban causa.</t>
  </si>
  <si>
    <t xml:space="preserve">Qué dispara las ofertas</t>
  </si>
  <si>
    <t xml:space="preserve">El bot, por tiempo. Si nadie mueve al lead, 2 h después de la pregunta de ocupación pasa a Negativo. Desde ahí, solo en horario: $3,799 unas 24 h después, $2,799 unas 64 h después, «la cerramos hoy» a las 88 h y Perdido a las 112 h. En los pasos de pago el bot puede ofrecer $1,950.</t>
  </si>
  <si>
    <t xml:space="preserve">Etapas de este embudo</t>
  </si>
  <si>
    <t xml:space="preserve">Saludo = «1 Saludo» · Negativo = «Negativo 1» · Facilidades de pago = «1.3 Llamadita y facilidad pago», «1.4 Facilidades de pago» · Forma de pago = «2. Una sola exhibición», «2. Parcialidades», «MSI», «2. MSI 3999», «2. MSI 2799», «3 Transferencia / OXXO», «3. PayPal», «3. Débito / crédito» · Stand-by = «STBY clientes con interés» (ningún lead del período pasó por ahí)</t>
  </si>
  <si>
    <t xml:space="preserve">Textos del bot por etapa · Core Tools Premium (configuración vigente desde el 5 de octubre)</t>
  </si>
  <si>
    <t xml:space="preserve">Mensaje o acción</t>
  </si>
  <si>
    <t xml:space="preserve">Espera</t>
  </si>
  <si>
    <t xml:space="preserve">¡Hola excelente día Inge👋! Te saluda *Salma Pérez* de _*SyS*_ 😊
Con mucho gusto te comparto la información referente a los cursos que solicitas.</t>
  </si>
  <si>
    <t xml:space="preserve">(pausa)</t>
  </si>
  <si>
    <t xml:space="preserve">3 s</t>
  </si>
  <si>
    <t xml:space="preserve">Para continuar,
¿Me puedes compartir tu nombre? 🙌</t>
  </si>
  <si>
    <t xml:space="preserve">Espera la respuesta del lead</t>
  </si>
  <si>
    <t xml:space="preserve">30 min</t>
  </si>
  <si>
    <t xml:space="preserve">5 s</t>
  </si>
  <si>
    <t xml:space="preserve">Reacciona al mensaje del lead</t>
  </si>
  <si>
    <t xml:space="preserve">Se detiene y espera a una persona</t>
  </si>
  <si>
    <t xml:space="preserve">Hola Inge👋 no te preocupes, igual te comparto la información del curso por si te interesa.
Si después me pasas tu nombre, con gusto te la personalizo 😊</t>
  </si>
  <si>
    <t xml:space="preserve">Guarda nombre = «Inge»</t>
  </si>
  <si>
    <t xml:space="preserve">8 s</t>
  </si>
  <si>
    <t xml:space="preserve">Pasa a «1.1 Informes»</t>
  </si>
  <si>
    <t xml:space="preserve">Excelente {{nombre}} que gustazo! Muchas gracias por interesarte🙌
Te explico rapidito, tu programa *Core Tools* son *8 certificaciones*, y por cada una se entrega diploma y constancia *DC-3 avalada ante la STPS*.
Van en ruta: arrancas con AMEF y cierras con FODA, para que al final tengas el perfil completo de Calidad y no cursos sueltos.
Y algunas cuentan con *Certificación Internacional*, que le da más peso a tu currículum 🏅</t>
  </si>
  <si>
    <t xml:space="preserve">Pasa a «1.2 Lista de cursos»</t>
  </si>
  <si>
    <t xml:space="preserve">Aquí te comparto tus *8 certificaciones* con sus horas académicas y costo total😊
[con archivo]</t>
  </si>
  <si>
    <t xml:space="preserve">7 s</t>
  </si>
  <si>
    <t xml:space="preserve">Y aquí puedes abrir el temario de cada una, ver cuánto dura y qué documento te llevas 👇
https://academy.dpsys.com.mx/ruta-core-tools/{{numero}}</t>
  </si>
  <si>
    <t xml:space="preserve">Y para que sepas cómo funciona aquí en SyS {{nombre}} 🙌
Cuando compras una ruta con nosotros, tienes acceso a *todas las demás rutas* y a todo nuestro catálogo — que actualmente son *64 certificaciones*.
Tu ruta es *CoreTools*: esas 8 son las que te voy llevando en orden hasta que las termines. El resto se queda abierto por si algún día lo ocupas.</t>
  </si>
  <si>
    <t xml:space="preserve">2 min</t>
  </si>
  <si>
    <t xml:space="preserve">Solo una pregunta {{nombre}}, ¿en qué área trabajas actualmente? o ¿estás estudiando?
Así te armo cuáles de los otros cursos del catálogo te conviene tomar *además de tus 8* 🙌</t>
  </si>
  <si>
    <t xml:space="preserve">2 h</t>
  </si>
  <si>
    <t xml:space="preserve">Pasa a «Negativo 1»</t>
  </si>
  <si>
    <t xml:space="preserve">Negativo 1 (solo en horario)</t>
  </si>
  <si>
    <t xml:space="preserve">Si Paso del negativo = «1», salta a otro paso</t>
  </si>
  <si>
    <t xml:space="preserve">Si Paso del negativo = «2», salta a otro paso</t>
  </si>
  <si>
    <t xml:space="preserve">Si Paso del negativo = «3», salta a otro paso</t>
  </si>
  <si>
    <t xml:space="preserve">[con archivo]</t>
  </si>
  <si>
    <t xml:space="preserve">Además, aquí puedes buscar por nombre a cualquiera de nuestros egresados y verificar su certificación tú mismo. 
Es una bitácora pública, no un testimonio que yo te cuente 👇
https://academy.dpsys.com.mx/egresados</t>
  </si>
  <si>
    <t xml:space="preserve">Guarda Paso del negativo = «1»</t>
  </si>
  <si>
    <t xml:space="preserve">{{nombre}}, antes de que tomes una decisión, quiero que conozcas exactamente lo que vas a recibir 🙌
Aquí puedes ver una *clase demo completa, gratis y sin registro:*
https://academy.dpsys.com.mx/clase-demo/{{numero}} 
Así puedes conocer la plataforma y nuestra forma de explicar antes de inscribirte.</t>
  </si>
  <si>
    <t xml:space="preserve">Cuando la veas, dime qué te pareció y te ayudo con lo siguiente 😊</t>
  </si>
  <si>
    <t xml:space="preserve">Guarda Paso del negativo = «2»</t>
  </si>
  <si>
    <t xml:space="preserve">18 h</t>
  </si>
  <si>
    <t xml:space="preserve">Que onda {{nombre}}, recuerda que esta membresía incluye las demás rutas🦾</t>
  </si>
  <si>
    <t xml:space="preserve">En total son *64 certificaciones*.
Estoy seguro de que te van a ayudar un montón</t>
  </si>
  <si>
    <t xml:space="preserve">Puedes empezar por tu ruta que son 9 certificaciones y de ahí pasarte a otros cursos🙌
https://academy.dpsys.com.mx/mapa/{{numero}}
Te comparto *todos los cursos* que vas a obtener☝️</t>
  </si>
  <si>
    <t xml:space="preserve">1 min</t>
  </si>
  <si>
    <t xml:space="preserve">Si te interesa aprovechar la membresía, dime y te comparto las *facilidades de pago y los medios disponibles para que puedas iniciar*🙌</t>
  </si>
  <si>
    <t xml:space="preserve">4 h</t>
  </si>
  <si>
    <t xml:space="preserve">¡Qué tal, Inge! 😊
⚡ ¡Tenemos una OFERTA RELÁMPAGO disponible solo por hoy! ⚡
Esta oferta está disponible únicamente para las primeras 3 personas que realicen su apartado o pago.
🎓 Llévate los 64 cursos de la membresía + sus certificaciones correspondientes por solo $3,799 MXN.
Contamos con diferentes opciones de pago para facilitar tu inscripción. 🙌
¿Quieres que te comparta los medios de pago disponibles para aprovechar la oferta? 🤗</t>
  </si>
  <si>
    <t xml:space="preserve">Si mensaje = «Reservar mi lugar», salta a otro paso</t>
  </si>
  <si>
    <t xml:space="preserve">Si mensaje = «Ver métodos pago», salta a otro paso</t>
  </si>
  <si>
    <t xml:space="preserve">Guarda Paso del negativo = «3»</t>
  </si>
  <si>
    <t xml:space="preserve">Da clic en *"leer más"* para darle más valor a tu *CV* 👇
Algo que debes saber es que algunos de nuestros cursos incluidos en la membresía cuentan con *Certificación Internacional*, lo que respalda los conocimientos y habilidades que desarrollas durante tu formación.
Al finalizar tus cursos puedes contar con un *perfil profesional público con tus certificaciones*, horas de capacitación, DC-3 y competencias desarrolladas, para compartirlo en tu CV o LinkedIn.
Así puede verse tu perfil👇:
https://academy.dpsys.com.mx/demo-perfil-ingeniero/{{numero}}
¿Qué tanto valor crees que tendría esto para tu crecimiento profesional? 🙌</t>
  </si>
  <si>
    <t xml:space="preserve">Inge, te aviso antes de cerrar la promoción 👌
[con archivo]</t>
  </si>
  <si>
    <t xml:space="preserve">Nos quedan 4 lugares y hoy puedo dejarte la membresía anual de _$3,999_ en *$2,799 MXN.*</t>
  </si>
  <si>
    <t xml:space="preserve">24 h</t>
  </si>
  <si>
    <t xml:space="preserve">La promoción la cerramos *hoy.*
*¿Te aparto uno de los 4 lugares?*</t>
  </si>
  <si>
    <t xml:space="preserve">Pasa a «Perdido»</t>
  </si>
  <si>
    <t xml:space="preserve">10 s</t>
  </si>
  <si>
    <t xml:space="preserve">Pasa a «1.4 Facilidades de pago»</t>
  </si>
  <si>
    <t xml:space="preserve">1.3 Llamadita y facilidad pago</t>
  </si>
  <si>
    <t xml:space="preserve">5 min</t>
  </si>
  <si>
    <t xml:space="preserve">Igual si gustas {{nombre}} te puedo hacer una llamadita para explicarte todo más claro</t>
  </si>
  <si>
    <t xml:space="preserve">10 min</t>
  </si>
  <si>
    <t xml:space="preserve">Te comento que también para que sea más accesible para ti, contamos con facilidades de pago💳
¿Quieres que te muestre cómo quedaría en tu caso?</t>
  </si>
  <si>
    <t xml:space="preserve">1.4 Facilidades de pago</t>
  </si>
  <si>
    <t xml:space="preserve">Manejamos 3 facilidades de pago:
*Pago en una sola exhibición
*Pago en 3 parcialidades
*Meses sin intereses (3, 6 , 9 Y 12 meses) con tu tarjeta de crédito</t>
  </si>
  <si>
    <t xml:space="preserve">Cuál de estos 3 te interesa más {{nombre}}?</t>
  </si>
  <si>
    <t xml:space="preserve">2. Una sola exhibición</t>
  </si>
  <si>
    <t xml:space="preserve">Excelente, mira lo puedes realizar a través de:
-Paypal
-Tarjetas de débito/crédito.
-Transferencias electrónicas.
-Depósitos/Pago en Oxxo
Que opción tomarías {{nombre}}?</t>
  </si>
  <si>
    <t xml:space="preserve">4.0 h</t>
  </si>
  <si>
    <t xml:space="preserve">2. Parcialidades</t>
  </si>
  <si>
    <t xml:space="preserve">Excelente, mira te comparto como quedaría el desglose de tus pagos a continuación {{nombre}} 🤗</t>
  </si>
  <si>
    <t xml:space="preserve">Lo puedes realizar a través de:
-Paypal
-Tarjetas de débito/crédito.
-Transferencias electrónicas.
-Depósitos/Pago en Oxxo
Que opción tomarías {{nombre}}?</t>
  </si>
  <si>
    <t xml:space="preserve">MSI</t>
  </si>
  <si>
    <t xml:space="preserve">Para poder aplicar es entrando al link:
https://buy.stripe.com/dRmbJ23cGcd81FdfnDbsd0y</t>
  </si>
  <si>
    <t xml:space="preserve">2. MSI 3999</t>
  </si>
  <si>
    <t xml:space="preserve">Excelente Inge mira:</t>
  </si>
  <si>
    <t xml:space="preserve">Te envío un ejemplo y como se ve en el link para comprar a meses sin intereses.
Para poder aplicar es entrando al link:
https://buy.stripe.com/dRmbJ23cGcd81FdfnDbsd0y
Cuando ingreses tu tarjeta de crédito te saldrá la opción de pagar a meses (como se ve en la imagen).
[con archivo]</t>
  </si>
  <si>
    <t xml:space="preserve">Ya con el pago quedas dentro y aseguras tu lugar en la membresía, ¿quieres que te lo separe de una vez?</t>
  </si>
  <si>
    <t xml:space="preserve">45 min</t>
  </si>
  <si>
    <t xml:space="preserve">Hola, Inge 🙌 Solo paso a confirmar que recibiste los medios de pago.
La idea es apoyarte en lo que necesites y que no se te quede pendiente tu lugar en la membresía. ✅
Estoy a tus órdenes para cualquier duda o detalle que quieras aclarar 😉.</t>
  </si>
  <si>
    <t xml:space="preserve">3 Transferencia / OXXO</t>
  </si>
  <si>
    <t xml:space="preserve">Aquí te comparto la cuenta Inge
[con archivo]</t>
  </si>
  <si>
    <t xml:space="preserve">BANCO:
BBVA
NÚMERO DE TARJETA:
[número oculto]
CUENTA CLABE:
[número oculto]
BENEFICIARIO:
[nombre oculto]</t>
  </si>
  <si>
    <t xml:space="preserve">👉 Ya con el pago quedas dentro y aseguras tu lugar en la membresía, ¿quieres que te lo separe de una vez?</t>
  </si>
  <si>
    <t xml:space="preserve">Hola Inge 🙌, solo paso a confirmar que recibiste los medios de pago
La idea es apoyarte en lo que necesites y que no se te quede pendiente tu lugar en la membresía ✅
Estoy a tus órdenes para cualquier duda o detalle que quieras aclarar 😉</t>
  </si>
  <si>
    <t xml:space="preserve">3. PayPal</t>
  </si>
  <si>
    <t xml:space="preserve">*Te dejo el link para pagar vía PayPal:*
http://paypal.me/desarrollosys
Una vez realizado el pago, me comparte los siguientes datos de favor:
- Comprobante (Donde se aprecie el monto)
- Nombre Completo
- Correo</t>
  </si>
  <si>
    <t xml:space="preserve">Hola Inge 🙌, solo paso a confirmar que recibiste los medios de pago.
La idea es apoyarte en lo que necesites y que no se te quede pendiente tu lugar en la membresía ✅.</t>
  </si>
  <si>
    <t xml:space="preserve">3. Débito / crédito</t>
  </si>
  <si>
    <t xml:space="preserve">Para poder pagar con tarjeta de débito o crédito es es este link que te compartire Inge:
https://buy.stripe.com/dRmbJ23cGcd81FdfnDbsd0y</t>
  </si>
  <si>
    <t xml:space="preserve">STBY clientes con interés</t>
  </si>
  <si>
    <t xml:space="preserve">Crea una tarea de seguimiento para el asesor</t>
  </si>
  <si>
    <t xml:space="preserve">¡Listo  {{nombre}} ! 🎉 Ya quedó registrado tu pago y tu cuenta ya está creada en nuestra plataforma 🙌
Solo falta un paso y empiezas 🎓✨
Te acaba de llegar un correo:
📩 De: Academy SyS (contacto@dpsys.com.mx)
✉️ Asunto: "Gracias por tu compra — tu acceso ya está listo"
Qué hacer:
Abre ese correo 📬
Dale al botón "Crear mi contraseña"
Escribe la contraseña que tú quieras (mínimo 8 caracteres) 🔒
¡Listo! Ya puedes entrar a tus cursos 🚀</t>
  </si>
  <si>
    <t xml:space="preserve">2 s</t>
  </si>
  <si>
    <t xml:space="preserve">En ese mismo correo viene tu nota de pago y hasta qué fecha tienes acceso 📅
⚠️ Si no lo ves, revisa tu carpeta de spam o correo no deseado — a veces se va para allá. Si aun así no aparece, avísame por aquí y te lo reenvío 🤗
Para entrar después: academy.dpsys.com.mx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</si>
</sst>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0%"/>
    <numFmt numFmtId="167" formatCode="0.0"/>
    <numFmt numFmtId="168" formatCode="0.0%"/>
    <numFmt numFmtId="169" formatCode="\$#,##0"/>
    <numFmt numFmtId="170" formatCode="0"/>
    <numFmt numFmtId="171" formatCode="dd/mm/yyyy\ hh:mm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7"/>
      <color rgb="FF330A28"/>
      <name val="Arial"/>
      <family val="0"/>
      <charset val="1"/>
    </font>
    <font>
      <i val="true"/>
      <sz val="9"/>
      <color rgb="FF6F6270"/>
      <name val="Arial"/>
      <family val="0"/>
      <charset val="1"/>
    </font>
    <font>
      <b val="true"/>
      <sz val="12"/>
      <color rgb="FF800E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A3540"/>
      <name val="Arial"/>
      <family val="0"/>
      <charset val="1"/>
    </font>
    <font>
      <b val="true"/>
      <sz val="10"/>
      <color rgb="FF330A28"/>
      <name val="Arial"/>
      <family val="0"/>
      <charset val="1"/>
    </font>
    <font>
      <sz val="9"/>
      <color rgb="FF6F6270"/>
      <name val="Arial"/>
      <family val="0"/>
      <charset val="1"/>
    </font>
    <font>
      <b val="true"/>
      <sz val="11"/>
      <color rgb="FF800E64"/>
      <name val="Arial"/>
      <family val="0"/>
      <charset val="1"/>
    </font>
    <font>
      <sz val="9"/>
      <color rgb="FF4A3540"/>
      <name val="Arial"/>
      <family val="0"/>
      <charset val="1"/>
    </font>
    <font>
      <i val="true"/>
      <sz val="8"/>
      <color rgb="FF6F6270"/>
      <name val="Arial"/>
      <family val="0"/>
      <charset val="1"/>
    </font>
    <font>
      <b val="true"/>
      <sz val="10"/>
      <color rgb="FF800E64"/>
      <name val="Arial"/>
      <family val="0"/>
      <charset val="1"/>
    </font>
    <font>
      <b val="true"/>
      <sz val="10"/>
      <color rgb="FF4A3540"/>
      <name val="Arial"/>
      <family val="0"/>
      <charset val="1"/>
    </font>
    <font>
      <sz val="10"/>
      <color rgb="FF6F627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800E64"/>
        <bgColor rgb="FF800080"/>
      </patternFill>
    </fill>
    <fill>
      <patternFill patternType="solid">
        <fgColor rgb="FFFFFFFF"/>
        <bgColor rgb="FFFBF8FA"/>
      </patternFill>
    </fill>
    <fill>
      <patternFill patternType="solid">
        <fgColor rgb="FFFBF8FA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00E64"/>
      </bottom>
      <diagonal/>
    </border>
    <border diagonalUp="false" diagonalDown="false">
      <left style="thin">
        <color rgb="FFE6DCE3"/>
      </left>
      <right style="thin">
        <color rgb="FFE6DCE3"/>
      </right>
      <top style="thin">
        <color rgb="FFE6DCE3"/>
      </top>
      <bottom style="thin">
        <color rgb="FFE6DCE3"/>
      </bottom>
      <diagonal/>
    </border>
    <border diagonalUp="false" diagonalDown="false">
      <left/>
      <right/>
      <top/>
      <bottom style="thin">
        <color rgb="FFE6DC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00E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4A354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E64"/>
      <rgbColor rgb="FF008080"/>
      <rgbColor rgb="FFC0C0C0"/>
      <rgbColor rgb="FF878787"/>
      <rgbColor rgb="FF9999FF"/>
      <rgbColor rgb="FFC94F9B"/>
      <rgbColor rgb="FFFBF8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6DCE3"/>
      <rgbColor rgb="FF3366FF"/>
      <rgbColor rgb="FF33CCCC"/>
      <rgbColor rgb="FF99CC00"/>
      <rgbColor rgb="FFFFCC00"/>
      <rgbColor rgb="FFFF9900"/>
      <rgbColor rgb="FFFF6600"/>
      <rgbColor rgb="FF6F6270"/>
      <rgbColor rgb="FFB98AAA"/>
      <rgbColor rgb="FF003366"/>
      <rgbColor rgb="FF339966"/>
      <rgbColor rgb="FF003300"/>
      <rgbColor rgb="FF330A28"/>
      <rgbColor rgb="FF993300"/>
      <rgbColor rgb="FF993366"/>
      <rgbColor rgb="FF333399"/>
      <rgbColor rgb="FF4A35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que llegaron a cada etapa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Embudo!$A$7:$A$12</c:f>
              <c:strCache>
                <c:ptCount val="6"/>
                <c:pt idx="0">
                  <c:v>Entraron a 1 Saludo</c:v>
                </c:pt>
                <c:pt idx="1">
                  <c:v>1.1 Informes</c:v>
                </c:pt>
                <c:pt idx="2">
                  <c:v>1.2 Lista de cursos</c:v>
                </c:pt>
                <c:pt idx="3">
                  <c:v>Facilidades de pago, 1.3 y 1.4</c:v>
                </c:pt>
                <c:pt idx="4">
                  <c:v>Forma o medio de pago, 2.x y 3.x</c:v>
                </c:pt>
                <c:pt idx="5">
                  <c:v>Compraron</c:v>
                </c:pt>
              </c:strCache>
            </c:strRef>
          </c:cat>
          <c:val>
            <c:numRef>
              <c:f>Embudo!$B$7:$B$12</c:f>
              <c:numCache>
                <c:formatCode>#,##0</c:formatCode>
                <c:ptCount val="6"/>
                <c:pt idx="0">
                  <c:v>111</c:v>
                </c:pt>
                <c:pt idx="1">
                  <c:v>111</c:v>
                </c:pt>
                <c:pt idx="2">
                  <c:v>111</c:v>
                </c:pt>
                <c:pt idx="3">
                  <c:v>35</c:v>
                </c:pt>
                <c:pt idx="4">
                  <c:v>12</c:v>
                </c:pt>
                <c:pt idx="5">
                  <c:v>7</c:v>
                </c:pt>
              </c:numCache>
            </c:numRef>
          </c:val>
        </c:ser>
        <c:gapWidth val="60"/>
        <c:overlap val="0"/>
        <c:axId val="59369574"/>
        <c:axId val="16624266"/>
      </c:barChart>
      <c:catAx>
        <c:axId val="59369574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624266"/>
        <c:crosses val="autoZero"/>
        <c:auto val="1"/>
        <c:lblAlgn val="ctr"/>
        <c:lblOffset val="100"/>
        <c:noMultiLvlLbl val="0"/>
      </c:catAx>
      <c:valAx>
        <c:axId val="1662426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69574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Dónde dejó de escribir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Embudo!$A$18:$A$25</c:f>
              <c:strCache>
                <c:ptCount val="8"/>
                <c:pt idx="0">
                  <c:v>Solo su primer mensaje</c:v>
                </c:pt>
                <c:pt idx="1">
                  <c:v>Saludo: contestó y no volvió</c:v>
                </c:pt>
                <c:pt idx="2">
                  <c:v>1.2 Lista de cursos</c:v>
                </c:pt>
                <c:pt idx="3">
                  <c:v>Negativo</c:v>
                </c:pt>
                <c:pt idx="4">
                  <c:v>Facilidades de pago</c:v>
                </c:pt>
                <c:pt idx="5">
                  <c:v>Forma o medio de pago</c:v>
                </c:pt>
                <c:pt idx="6">
                  <c:v>Ya marcado como Perdido</c:v>
                </c:pt>
                <c:pt idx="7">
                  <c:v>Compró</c:v>
                </c:pt>
              </c:strCache>
            </c:strRef>
          </c:cat>
          <c:val>
            <c:numRef>
              <c:f>Embudo!$B$18:$B$25</c:f>
              <c:numCache>
                <c:formatCode>#,##0</c:formatCode>
                <c:ptCount val="8"/>
                <c:pt idx="0">
                  <c:v>30</c:v>
                </c:pt>
                <c:pt idx="1">
                  <c:v>29</c:v>
                </c:pt>
                <c:pt idx="2">
                  <c:v>17</c:v>
                </c:pt>
                <c:pt idx="3">
                  <c:v>10</c:v>
                </c:pt>
                <c:pt idx="4">
                  <c:v>10</c:v>
                </c:pt>
                <c:pt idx="5">
                  <c:v>3</c:v>
                </c:pt>
                <c:pt idx="6">
                  <c:v>5</c:v>
                </c:pt>
                <c:pt idx="7">
                  <c:v>7</c:v>
                </c:pt>
              </c:numCache>
            </c:numRef>
          </c:val>
        </c:ser>
        <c:gapWidth val="60"/>
        <c:overlap val="0"/>
        <c:axId val="11159162"/>
        <c:axId val="90477326"/>
      </c:barChart>
      <c:catAx>
        <c:axId val="1115916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477326"/>
        <c:crosses val="autoZero"/>
        <c:auto val="1"/>
        <c:lblAlgn val="ctr"/>
        <c:lblOffset val="100"/>
        <c:noMultiLvlLbl val="0"/>
      </c:catAx>
      <c:valAx>
        <c:axId val="90477326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59162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Conversión según el primer mensaje de una persona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Tiempos!$A$7:$A$13</c:f>
              <c:strCache>
                <c:ptCount val="7"/>
                <c:pt idx="0">
                  <c:v>5 min o menos</c:v>
                </c:pt>
                <c:pt idx="1">
                  <c:v>5 a 15 min</c:v>
                </c:pt>
                <c:pt idx="2">
                  <c:v>15 a 60 min</c:v>
                </c:pt>
                <c:pt idx="3">
                  <c:v>1 a 4 h</c:v>
                </c:pt>
                <c:pt idx="4">
                  <c:v>4 a 24 h</c:v>
                </c:pt>
                <c:pt idx="5">
                  <c:v>Más de 1 día</c:v>
                </c:pt>
                <c:pt idx="6">
                  <c:v>Nunca (solo el bot)</c:v>
                </c:pt>
              </c:strCache>
            </c:strRef>
          </c:cat>
          <c:val>
            <c:numRef>
              <c:f>Tiempos!$G$7:$G$13</c:f>
              <c:numCache>
                <c:formatCode>0.0%</c:formatCode>
                <c:ptCount val="7"/>
                <c:pt idx="0">
                  <c:v>0.3</c:v>
                </c:pt>
                <c:pt idx="1">
                  <c:v>0.111111111111111</c:v>
                </c:pt>
                <c:pt idx="2">
                  <c:v>0</c:v>
                </c:pt>
                <c:pt idx="3">
                  <c:v>0.5</c:v>
                </c:pt>
                <c:pt idx="4">
                  <c:v>0.0714285714285714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60"/>
        <c:overlap val="0"/>
        <c:axId val="89954012"/>
        <c:axId val="38191110"/>
      </c:barChart>
      <c:catAx>
        <c:axId val="899540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91110"/>
        <c:crosses val="autoZero"/>
        <c:auto val="1"/>
        <c:lblAlgn val="ctr"/>
        <c:lblOffset val="100"/>
        <c:noMultiLvlLbl val="0"/>
      </c:catAx>
      <c:valAx>
        <c:axId val="38191110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954012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Leads según la hora en que entraron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spPr>
            <a:solidFill>
              <a:srgbClr val="800e64"/>
            </a:solidFill>
            <a:ln w="9360">
              <a:solidFill>
                <a:srgbClr val="800e64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Tiempos!$A$32:$A$55</c:f>
              <c:strCache>
                <c:ptCount val="24"/>
                <c:pt idx="0">
                  <c:v>00:00 a 00:59  (fuera de horario)</c:v>
                </c:pt>
                <c:pt idx="1">
                  <c:v>01:00 a 01:59  (fuera de horario)</c:v>
                </c:pt>
                <c:pt idx="2">
                  <c:v>02:00 a 02:59  (fuera de horario)</c:v>
                </c:pt>
                <c:pt idx="3">
                  <c:v>03:00 a 03:59  (fuera de horario)</c:v>
                </c:pt>
                <c:pt idx="4">
                  <c:v>04:00 a 04:59  (fuera de horario)</c:v>
                </c:pt>
                <c:pt idx="5">
                  <c:v>05:00 a 05:59  (fuera de horario)</c:v>
                </c:pt>
                <c:pt idx="6">
                  <c:v>06:00 a 06:59  (fuera de horario)</c:v>
                </c:pt>
                <c:pt idx="7">
                  <c:v>07:00 a 07:59  (fuera de horario)</c:v>
                </c:pt>
                <c:pt idx="8">
                  <c:v>08:00 a 08:59  (fuera de horario)</c:v>
                </c:pt>
                <c:pt idx="9">
                  <c:v>09:00 a 09:59</c:v>
                </c:pt>
                <c:pt idx="10">
                  <c:v>10:00 a 10:59</c:v>
                </c:pt>
                <c:pt idx="11">
                  <c:v>11:00 a 11:59</c:v>
                </c:pt>
                <c:pt idx="12">
                  <c:v>12:00 a 12:59</c:v>
                </c:pt>
                <c:pt idx="13">
                  <c:v>13:00 a 13:59</c:v>
                </c:pt>
                <c:pt idx="14">
                  <c:v>14:00 a 14:59</c:v>
                </c:pt>
                <c:pt idx="15">
                  <c:v>15:00 a 15:59</c:v>
                </c:pt>
                <c:pt idx="16">
                  <c:v>16:00 a 16:59</c:v>
                </c:pt>
                <c:pt idx="17">
                  <c:v>17:00 a 17:59</c:v>
                </c:pt>
                <c:pt idx="18">
                  <c:v>18:00 a 18:59</c:v>
                </c:pt>
                <c:pt idx="19">
                  <c:v>19:00 a 19:59</c:v>
                </c:pt>
                <c:pt idx="20">
                  <c:v>20:00 a 20:59</c:v>
                </c:pt>
                <c:pt idx="21">
                  <c:v>21:00 a 21:59  (fuera de horario)</c:v>
                </c:pt>
                <c:pt idx="22">
                  <c:v>22:00 a 22:59  (fuera de horario)</c:v>
                </c:pt>
                <c:pt idx="23">
                  <c:v>23:00 a 23:59  (fuera de horario)</c:v>
                </c:pt>
              </c:strCache>
            </c:strRef>
          </c:cat>
          <c:val>
            <c:numRef>
              <c:f>Tiempos!$B$32:$B$55</c:f>
              <c:numCache>
                <c:formatCode>#,##0</c:formatCode>
                <c:ptCount val="24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5</c:v>
                </c:pt>
                <c:pt idx="10">
                  <c:v>5</c:v>
                </c:pt>
                <c:pt idx="11">
                  <c:v>9</c:v>
                </c:pt>
                <c:pt idx="12">
                  <c:v>6</c:v>
                </c:pt>
                <c:pt idx="13">
                  <c:v>9</c:v>
                </c:pt>
                <c:pt idx="14">
                  <c:v>6</c:v>
                </c:pt>
                <c:pt idx="15">
                  <c:v>5</c:v>
                </c:pt>
                <c:pt idx="16">
                  <c:v>5</c:v>
                </c:pt>
                <c:pt idx="17">
                  <c:v>9</c:v>
                </c:pt>
                <c:pt idx="18">
                  <c:v>4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7</c:v>
                </c:pt>
                <c:pt idx="23">
                  <c:v>5</c:v>
                </c:pt>
              </c:numCache>
            </c:numRef>
          </c:val>
        </c:ser>
        <c:gapWidth val="60"/>
        <c:overlap val="0"/>
        <c:axId val="2998526"/>
        <c:axId val="1970443"/>
      </c:barChart>
      <c:catAx>
        <c:axId val="29985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0443"/>
        <c:crosses val="autoZero"/>
        <c:auto val="1"/>
        <c:lblAlgn val="ctr"/>
        <c:lblOffset val="100"/>
        <c:noMultiLvlLbl val="0"/>
      </c:catAx>
      <c:valAx>
        <c:axId val="197044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98526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4</xdr:row>
      <xdr:rowOff>0</xdr:rowOff>
    </xdr:from>
    <xdr:to>
      <xdr:col>16</xdr:col>
      <xdr:colOff>4680</xdr:colOff>
      <xdr:row>16</xdr:row>
      <xdr:rowOff>231480</xdr:rowOff>
    </xdr:to>
    <xdr:graphicFrame>
      <xdr:nvGraphicFramePr>
        <xdr:cNvPr id="0" name="Chart 1"/>
        <xdr:cNvGraphicFramePr/>
      </xdr:nvGraphicFramePr>
      <xdr:xfrm>
        <a:off x="9586080" y="10857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21</xdr:row>
      <xdr:rowOff>0</xdr:rowOff>
    </xdr:from>
    <xdr:to>
      <xdr:col>16</xdr:col>
      <xdr:colOff>4680</xdr:colOff>
      <xdr:row>38</xdr:row>
      <xdr:rowOff>1080</xdr:rowOff>
    </xdr:to>
    <xdr:graphicFrame>
      <xdr:nvGraphicFramePr>
        <xdr:cNvPr id="1" name="Chart 2"/>
        <xdr:cNvGraphicFramePr/>
      </xdr:nvGraphicFramePr>
      <xdr:xfrm>
        <a:off x="9586080" y="487692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18</xdr:col>
      <xdr:colOff>4320</xdr:colOff>
      <xdr:row>17</xdr:row>
      <xdr:rowOff>41040</xdr:rowOff>
    </xdr:to>
    <xdr:graphicFrame>
      <xdr:nvGraphicFramePr>
        <xdr:cNvPr id="2" name="Chart 1"/>
        <xdr:cNvGraphicFramePr/>
      </xdr:nvGraphicFramePr>
      <xdr:xfrm>
        <a:off x="7682760" y="1085760"/>
        <a:ext cx="61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29</xdr:row>
      <xdr:rowOff>0</xdr:rowOff>
    </xdr:from>
    <xdr:to>
      <xdr:col>19</xdr:col>
      <xdr:colOff>473040</xdr:colOff>
      <xdr:row>42</xdr:row>
      <xdr:rowOff>127080</xdr:rowOff>
    </xdr:to>
    <xdr:graphicFrame>
      <xdr:nvGraphicFramePr>
        <xdr:cNvPr id="3" name="Chart 2"/>
        <xdr:cNvGraphicFramePr/>
      </xdr:nvGraphicFramePr>
      <xdr:xfrm>
        <a:off x="7682760" y="640080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0E64"/>
    <pageSetUpPr fitToPage="true"/>
  </sheetPr>
  <dimension ref="A1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2"/>
    <col collapsed="false" customWidth="true" hidden="false" outlineLevel="0" max="3" min="3" style="0" width="14"/>
    <col collapsed="false" customWidth="true" hidden="false" outlineLevel="0" max="4" min="4" style="0" width="78"/>
    <col collapsed="false" customWidth="true" hidden="false" outlineLevel="0" max="5" min="5" style="0" width="2"/>
  </cols>
  <sheetData>
    <row r="1" customFormat="false" ht="25.5" hidden="false" customHeight="true" outlineLevel="0" collapsed="false">
      <c r="A1" s="1"/>
      <c r="B1" s="2" t="s">
        <v>0</v>
      </c>
      <c r="C1" s="1"/>
      <c r="D1" s="1"/>
      <c r="E1" s="1"/>
    </row>
    <row r="2" customFormat="false" ht="30" hidden="false" customHeight="true" outlineLevel="0" collapsed="false">
      <c r="A2" s="3"/>
      <c r="B2" s="4" t="s">
        <v>1</v>
      </c>
      <c r="C2" s="3"/>
      <c r="D2" s="3"/>
      <c r="E2" s="3"/>
    </row>
    <row r="3" customFormat="false" ht="15" hidden="false" customHeight="false" outlineLevel="0" collapsed="false">
      <c r="A3" s="5"/>
      <c r="B3" s="6" t="s">
        <v>2</v>
      </c>
      <c r="C3" s="5"/>
      <c r="D3" s="5"/>
      <c r="E3" s="5"/>
    </row>
    <row r="5" customFormat="false" ht="21.75" hidden="false" customHeight="true" outlineLevel="0" collapsed="false">
      <c r="B5" s="7" t="s">
        <v>3</v>
      </c>
    </row>
    <row r="6" customFormat="false" ht="30" hidden="false" customHeight="true" outlineLevel="0" collapsed="false">
      <c r="B6" s="8" t="s">
        <v>4</v>
      </c>
      <c r="C6" s="9" t="s">
        <v>5</v>
      </c>
      <c r="D6" s="9" t="s">
        <v>6</v>
      </c>
    </row>
    <row r="7" customFormat="false" ht="15" hidden="false" customHeight="false" outlineLevel="0" collapsed="false">
      <c r="B7" s="10" t="s">
        <v>7</v>
      </c>
      <c r="C7" s="11" t="n">
        <f aca="false">COUNT(Datos!$B$2:$B$112)</f>
        <v>111</v>
      </c>
      <c r="D7" s="12" t="s">
        <v>8</v>
      </c>
    </row>
    <row r="8" customFormat="false" ht="15" hidden="false" customHeight="false" outlineLevel="0" collapsed="false">
      <c r="B8" s="13" t="s">
        <v>9</v>
      </c>
      <c r="C8" s="14" t="n">
        <f aca="false">IFERROR(COUNTIFS(Datos!$G$2:$G$112,"Sí")/COUNT(Datos!$B$2:$B$112),"—")</f>
        <v>0.63963963963964</v>
      </c>
      <c r="D8" s="15" t="s">
        <v>10</v>
      </c>
    </row>
    <row r="9" customFormat="false" ht="15" hidden="false" customHeight="false" outlineLevel="0" collapsed="false">
      <c r="B9" s="10" t="s">
        <v>11</v>
      </c>
      <c r="C9" s="16" t="n">
        <f aca="false">IFERROR((COUNTIFS(Datos!$AJ$2:$AJ$112,"Solo su primer mensaje")+COUNTIFS(Datos!$AJ$2:$AJ$112,"Saludo: contestó y no volvió"))/COUNT(Datos!$B$2:$B$112),"—")</f>
        <v>0.531531531531532</v>
      </c>
      <c r="D9" s="12" t="s">
        <v>12</v>
      </c>
    </row>
    <row r="10" customFormat="false" ht="15" hidden="false" customHeight="false" outlineLevel="0" collapsed="false">
      <c r="B10" s="13" t="s">
        <v>13</v>
      </c>
      <c r="C10" s="14" t="n">
        <f aca="false">IFERROR(COUNTIFS(Datos!$P$2:$P$112,"Sí")/COUNT(Datos!$B$2:$B$112),"—")</f>
        <v>0.315315315315315</v>
      </c>
      <c r="D10" s="15" t="s">
        <v>14</v>
      </c>
    </row>
    <row r="11" customFormat="false" ht="15" hidden="false" customHeight="false" outlineLevel="0" collapsed="false">
      <c r="B11" s="10" t="s">
        <v>15</v>
      </c>
      <c r="C11" s="16" t="n">
        <f aca="false">IFERROR(COUNTIFS(Datos!$Z$2:$Z$112,"Sí")/COUNT(Datos!$B$2:$B$112),"—")</f>
        <v>0.855855855855856</v>
      </c>
      <c r="D11" s="12" t="s">
        <v>16</v>
      </c>
    </row>
    <row r="12" customFormat="false" ht="15" hidden="false" customHeight="false" outlineLevel="0" collapsed="false">
      <c r="B12" s="13" t="s">
        <v>17</v>
      </c>
      <c r="C12" s="14" t="n">
        <f aca="false">IFERROR(COUNTIFS(Datos!$AB$2:$AB$112,"Bot")/COUNTIFS(Datos!$Z$2:$Z$112,"Sí"),"—")</f>
        <v>0.831578947368421</v>
      </c>
      <c r="D12" s="15" t="s">
        <v>18</v>
      </c>
    </row>
    <row r="13" customFormat="false" ht="15" hidden="false" customHeight="false" outlineLevel="0" collapsed="false">
      <c r="B13" s="10" t="s">
        <v>19</v>
      </c>
      <c r="C13" s="16" t="n">
        <f aca="false">IFERROR(COUNTIFS(Datos!$F$2:$F$112,"No")/COUNT(Datos!$B$2:$B$112),"—")</f>
        <v>0.288288288288288</v>
      </c>
      <c r="D13" s="12" t="s">
        <v>20</v>
      </c>
    </row>
    <row r="14" customFormat="false" ht="15" hidden="false" customHeight="false" outlineLevel="0" collapsed="false">
      <c r="B14" s="13" t="s">
        <v>21</v>
      </c>
      <c r="C14" s="17" t="n">
        <f aca="false">IFERROR(MEDIAN(Datos!$T$2:$T$112)/60,"—")</f>
        <v>19.1375</v>
      </c>
      <c r="D14" s="15" t="s">
        <v>22</v>
      </c>
    </row>
    <row r="15" customFormat="false" ht="15" hidden="false" customHeight="false" outlineLevel="0" collapsed="false">
      <c r="B15" s="10" t="s">
        <v>23</v>
      </c>
      <c r="C15" s="16" t="n">
        <f aca="false">IFERROR(COUNTBLANK(Datos!$T$2:$T$112)/COUNT(Datos!$B$2:$B$112),"—")</f>
        <v>0.135135135135135</v>
      </c>
      <c r="D15" s="12" t="s">
        <v>24</v>
      </c>
    </row>
    <row r="16" customFormat="false" ht="15" hidden="false" customHeight="false" outlineLevel="0" collapsed="false">
      <c r="B16" s="13" t="s">
        <v>25</v>
      </c>
      <c r="C16" s="14" t="n">
        <f aca="false">IFERROR(COUNTIFS(Datos!$S$2:$S$112,"Sí")/COUNT(Datos!$B$2:$B$112),"—")</f>
        <v>0.333333333333333</v>
      </c>
      <c r="D16" s="15" t="s">
        <v>26</v>
      </c>
    </row>
    <row r="17" customFormat="false" ht="15" hidden="false" customHeight="false" outlineLevel="0" collapsed="false">
      <c r="B17" s="10" t="s">
        <v>27</v>
      </c>
      <c r="C17" s="11" t="n">
        <f aca="false">COUNTIFS(Datos!$AQ$2:$AQ$112,"Sí")</f>
        <v>7</v>
      </c>
      <c r="D17" s="12" t="s">
        <v>28</v>
      </c>
    </row>
    <row r="18" customFormat="false" ht="15" hidden="false" customHeight="false" outlineLevel="0" collapsed="false">
      <c r="B18" s="13" t="s">
        <v>29</v>
      </c>
      <c r="C18" s="18" t="n">
        <f aca="false">IFERROR(COUNTIFS(Datos!$AQ$2:$AQ$112,"Sí")/COUNT(Datos!$B$2:$B$112),"—")</f>
        <v>0.0630630630630631</v>
      </c>
      <c r="D18" s="15"/>
    </row>
    <row r="19" customFormat="false" ht="15" hidden="false" customHeight="false" outlineLevel="0" collapsed="false">
      <c r="B19" s="10" t="s">
        <v>30</v>
      </c>
      <c r="C19" s="11" t="n">
        <f aca="false">COUNTIFS(Datos!$AQ$2:$AQ$112,"Sí",Datos!$AR$2:$AR$112,"&gt;=3999")</f>
        <v>2</v>
      </c>
      <c r="D19" s="12" t="s">
        <v>31</v>
      </c>
    </row>
    <row r="20" customFormat="false" ht="15" hidden="false" customHeight="false" outlineLevel="0" collapsed="false">
      <c r="B20" s="13" t="s">
        <v>32</v>
      </c>
      <c r="C20" s="19" t="n">
        <f aca="false">IFERROR(AVERAGEIFS(Datos!$AR$2:$AR$112,Datos!$AQ$2:$AQ$112,"Sí"),"—")</f>
        <v>3762</v>
      </c>
      <c r="D20" s="15" t="s">
        <v>33</v>
      </c>
    </row>
    <row r="21" customFormat="false" ht="15" hidden="false" customHeight="false" outlineLevel="0" collapsed="false">
      <c r="B21" s="10" t="s">
        <v>34</v>
      </c>
      <c r="C21" s="11" t="n">
        <f aca="false">COUNTIFS(Datos!$AK$2:$AK$112,"Abierto")</f>
        <v>42</v>
      </c>
      <c r="D21" s="12" t="s">
        <v>35</v>
      </c>
    </row>
    <row r="23" customFormat="false" ht="21.75" hidden="false" customHeight="true" outlineLevel="0" collapsed="false">
      <c r="B23" s="7" t="s">
        <v>36</v>
      </c>
    </row>
    <row r="24" customFormat="false" ht="18" hidden="false" customHeight="true" outlineLevel="0" collapsed="false">
      <c r="B24" s="20" t="s">
        <v>37</v>
      </c>
      <c r="C24" s="20"/>
      <c r="D24" s="20"/>
    </row>
    <row r="25" customFormat="false" ht="18" hidden="false" customHeight="true" outlineLevel="0" collapsed="false">
      <c r="B25" s="20" t="s">
        <v>38</v>
      </c>
      <c r="C25" s="20"/>
      <c r="D25" s="20"/>
    </row>
    <row r="26" customFormat="false" ht="18" hidden="false" customHeight="true" outlineLevel="0" collapsed="false">
      <c r="B26" s="20" t="s">
        <v>39</v>
      </c>
      <c r="C26" s="20"/>
      <c r="D26" s="20"/>
    </row>
    <row r="27" customFormat="false" ht="18" hidden="false" customHeight="true" outlineLevel="0" collapsed="false">
      <c r="B27" s="20" t="s">
        <v>40</v>
      </c>
      <c r="C27" s="20"/>
      <c r="D27" s="20"/>
    </row>
    <row r="28" customFormat="false" ht="18" hidden="false" customHeight="true" outlineLevel="0" collapsed="false">
      <c r="B28" s="20" t="s">
        <v>41</v>
      </c>
      <c r="C28" s="20"/>
      <c r="D28" s="20"/>
    </row>
    <row r="29" customFormat="false" ht="18" hidden="false" customHeight="true" outlineLevel="0" collapsed="false">
      <c r="B29" s="20" t="s">
        <v>42</v>
      </c>
      <c r="C29" s="20"/>
      <c r="D29" s="20"/>
    </row>
    <row r="31" customFormat="false" ht="21.75" hidden="false" customHeight="true" outlineLevel="0" collapsed="false">
      <c r="B31" s="7" t="s">
        <v>43</v>
      </c>
    </row>
    <row r="32" customFormat="false" ht="30" hidden="false" customHeight="true" outlineLevel="0" collapsed="false">
      <c r="B32" s="8" t="s">
        <v>44</v>
      </c>
      <c r="C32" s="9" t="s">
        <v>45</v>
      </c>
      <c r="D32" s="9" t="s">
        <v>46</v>
      </c>
    </row>
    <row r="33" customFormat="false" ht="51.75" hidden="false" customHeight="true" outlineLevel="0" collapsed="false">
      <c r="B33" s="21" t="s">
        <v>47</v>
      </c>
      <c r="C33" s="22" t="n">
        <f aca="false">IFERROR((COUNTIFS(Datos!$AJ$2:$AJ$112,"Solo su primer mensaje")+COUNTIFS(Datos!$AJ$2:$AJ$112,"Saludo: contestó y no volvió"))/COUNT(Datos!$B$2:$B$112),"—")</f>
        <v>0.531531531531532</v>
      </c>
      <c r="D33" s="23" t="s">
        <v>48</v>
      </c>
    </row>
    <row r="34" customFormat="false" ht="51.75" hidden="false" customHeight="true" outlineLevel="0" collapsed="false">
      <c r="B34" s="24" t="s">
        <v>49</v>
      </c>
      <c r="C34" s="25" t="n">
        <f aca="false">COUNTIFS(Datos!$J$2:$J$112,"&gt;60")</f>
        <v>9</v>
      </c>
      <c r="D34" s="26" t="s">
        <v>50</v>
      </c>
    </row>
    <row r="35" customFormat="false" ht="51.75" hidden="false" customHeight="true" outlineLevel="0" collapsed="false">
      <c r="B35" s="21" t="s">
        <v>51</v>
      </c>
      <c r="C35" s="27" t="n">
        <f aca="false">IFERROR(MEDIAN(Datos!$T$2:$T$112)/60,"—")</f>
        <v>19.1375</v>
      </c>
      <c r="D35" s="23" t="s">
        <v>52</v>
      </c>
    </row>
    <row r="36" customFormat="false" ht="51.75" hidden="false" customHeight="true" outlineLevel="0" collapsed="false">
      <c r="B36" s="24" t="s">
        <v>53</v>
      </c>
      <c r="C36" s="28" t="n">
        <f aca="false">IFERROR(COUNTIFS(Datos!$AQ$2:$AQ$112,"Sí",Datos!$AR$2:$AR$112,"&lt;3999")/COUNTIFS(Datos!$AQ$2:$AQ$112,"Sí"),"—")</f>
        <v>0.714285714285714</v>
      </c>
      <c r="D36" s="26" t="s">
        <v>54</v>
      </c>
    </row>
    <row r="37" customFormat="false" ht="51.75" hidden="false" customHeight="true" outlineLevel="0" collapsed="false">
      <c r="B37" s="21" t="s">
        <v>55</v>
      </c>
      <c r="C37" s="29" t="n">
        <f aca="false">IFERROR(COUNTIFS(Datos!$P$2:$P$112,"Sí",Datos!$AQ$2:$AQ$112,"Sí")/COUNTIFS(Datos!$P$2:$P$112,"Sí"),"—")</f>
        <v>0.2</v>
      </c>
      <c r="D37" s="23" t="s">
        <v>56</v>
      </c>
    </row>
    <row r="38" customFormat="false" ht="51.75" hidden="false" customHeight="true" outlineLevel="0" collapsed="false">
      <c r="B38" s="24" t="s">
        <v>57</v>
      </c>
      <c r="C38" s="28" t="n">
        <f aca="false">IFERROR(COUNTIFS(Datos!$L$2:$L$112,"Sí",Datos!$M$2:$M$112,"Sí")/COUNTIFS(Datos!$L$2:$L$112,"Sí"),"—")</f>
        <v>0.333333333333333</v>
      </c>
      <c r="D38" s="26" t="s">
        <v>58</v>
      </c>
    </row>
    <row r="39" customFormat="false" ht="51.75" hidden="false" customHeight="true" outlineLevel="0" collapsed="false">
      <c r="B39" s="21" t="s">
        <v>59</v>
      </c>
      <c r="C39" s="29" t="n">
        <f aca="false">IFERROR(COUNTIFS(Datos!$AG$2:$AG$112,"Sí",Datos!$AQ$2:$AQ$112,"Sí")/COUNTIFS(Datos!$AG$2:$AG$112,"Sí"),"—")</f>
        <v>0.125</v>
      </c>
      <c r="D39" s="23" t="s">
        <v>60</v>
      </c>
    </row>
    <row r="40" customFormat="false" ht="51.75" hidden="false" customHeight="true" outlineLevel="0" collapsed="false">
      <c r="B40" s="24" t="s">
        <v>61</v>
      </c>
      <c r="C40" s="28" t="n">
        <f aca="false">IFERROR(COUNTIFS(Datos!$AM$2:$AM$112,"No contestaron")/COUNTIFS(Datos!$AK$2:$AK$112,"Perdido"),"—")</f>
        <v>0.887096774193548</v>
      </c>
      <c r="D40" s="26" t="s">
        <v>62</v>
      </c>
    </row>
    <row r="41" customFormat="false" ht="51.75" hidden="false" customHeight="true" outlineLevel="0" collapsed="false">
      <c r="B41" s="21" t="s">
        <v>63</v>
      </c>
      <c r="C41" s="22" t="n">
        <f aca="false">IFERROR(COUNTIFS(Datos!$R$2:$R$112,"Salma")/COUNT(Datos!$B$2:$B$112),"—")</f>
        <v>0.630630630630631</v>
      </c>
      <c r="D41" s="23" t="s">
        <v>64</v>
      </c>
    </row>
    <row r="42" customFormat="false" ht="51.75" hidden="false" customHeight="true" outlineLevel="0" collapsed="false">
      <c r="B42" s="24" t="s">
        <v>65</v>
      </c>
      <c r="C42" s="28" t="n">
        <f aca="false">IFERROR(COUNTIFS(Respuestas!$E$2:$E$259,"No",Respuestas!$H$2:$H$259,"&lt;=15")/COUNTIFS(Respuestas!$E$2:$E$259,"No"),"—")</f>
        <v>0.662162162162162</v>
      </c>
      <c r="D42" s="26" t="s">
        <v>66</v>
      </c>
    </row>
    <row r="44" customFormat="false" ht="15" hidden="false" customHeight="false" outlineLevel="0" collapsed="false">
      <c r="B44" s="30" t="s">
        <v>67</v>
      </c>
    </row>
    <row r="45" customFormat="false" ht="15" hidden="false" customHeight="false" outlineLevel="0" collapsed="false">
      <c r="B45" s="30" t="s">
        <v>68</v>
      </c>
    </row>
  </sheetData>
  <mergeCells count="6">
    <mergeCell ref="B24:D24"/>
    <mergeCell ref="B25:D25"/>
    <mergeCell ref="B26:D26"/>
    <mergeCell ref="B27:D27"/>
    <mergeCell ref="B28:D28"/>
    <mergeCell ref="B29:D29"/>
  </mergeCells>
  <printOptions headings="false" gridLines="false" gridLinesSet="true" horizontalCentered="true" verticalCentered="false"/>
  <pageMargins left="0.4" right="0.4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E8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6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</row>
    <row r="2" customFormat="false" ht="30" hidden="false" customHeight="true" outlineLevel="0" collapsed="false">
      <c r="A2" s="4" t="s">
        <v>69</v>
      </c>
      <c r="B2" s="3"/>
      <c r="C2" s="3"/>
      <c r="D2" s="3"/>
      <c r="E2" s="3"/>
    </row>
    <row r="3" customFormat="false" ht="15" hidden="false" customHeight="false" outlineLevel="0" collapsed="false">
      <c r="A3" s="6" t="s">
        <v>70</v>
      </c>
      <c r="B3" s="5"/>
      <c r="C3" s="5"/>
      <c r="D3" s="5"/>
      <c r="E3" s="5"/>
    </row>
    <row r="5" customFormat="false" ht="30" hidden="false" customHeight="true" outlineLevel="0" collapsed="false">
      <c r="A5" s="8" t="s">
        <v>71</v>
      </c>
      <c r="B5" s="9" t="s">
        <v>72</v>
      </c>
      <c r="C5" s="9" t="s">
        <v>73</v>
      </c>
      <c r="D5" s="9" t="s">
        <v>74</v>
      </c>
      <c r="E5" s="9" t="s">
        <v>75</v>
      </c>
    </row>
    <row r="6" customFormat="false" ht="15" hidden="false" customHeight="false" outlineLevel="0" collapsed="false">
      <c r="B6" s="31" t="s">
        <v>76</v>
      </c>
      <c r="C6" s="31" t="s">
        <v>77</v>
      </c>
      <c r="D6" s="31"/>
    </row>
    <row r="8" customFormat="false" ht="15" hidden="false" customHeight="false" outlineLevel="0" collapsed="false">
      <c r="A8" s="32" t="s">
        <v>78</v>
      </c>
      <c r="B8" s="33"/>
      <c r="C8" s="33"/>
      <c r="D8" s="33"/>
      <c r="E8" s="33"/>
    </row>
    <row r="9" customFormat="false" ht="15" hidden="false" customHeight="false" outlineLevel="0" collapsed="false">
      <c r="A9" s="10" t="s">
        <v>79</v>
      </c>
      <c r="B9" s="34" t="n">
        <f aca="false">COUNTIFS(Datos!$D$2:$D$112,B$5)</f>
        <v>69</v>
      </c>
      <c r="C9" s="34" t="n">
        <f aca="false">COUNTIFS(Datos!$D$2:$D$112,C$5)</f>
        <v>42</v>
      </c>
      <c r="D9" s="35" t="n">
        <f aca="false">COUNT(Datos!$B$2:$B$112)</f>
        <v>111</v>
      </c>
      <c r="E9" s="12" t="s">
        <v>80</v>
      </c>
    </row>
    <row r="10" customFormat="false" ht="15" hidden="false" customHeight="false" outlineLevel="0" collapsed="false">
      <c r="A10" s="13" t="s">
        <v>81</v>
      </c>
      <c r="B10" s="36" t="n">
        <f aca="false">IFERROR(COUNTIFS(Datos!$D$2:$D$112,B$5,Datos!$F$2:$F$112,"No")/COUNTIFS(Datos!$D$2:$D$112,B$5),"—")</f>
        <v>0.318840579710145</v>
      </c>
      <c r="C10" s="36" t="n">
        <f aca="false">IFERROR(COUNTIFS(Datos!$D$2:$D$112,C$5,Datos!$F$2:$F$112,"No")/COUNTIFS(Datos!$D$2:$D$112,C$5),"—")</f>
        <v>0.238095238095238</v>
      </c>
      <c r="D10" s="37" t="n">
        <f aca="false">IFERROR(COUNTIFS(Datos!$F$2:$F$112,"No")/COUNT(Datos!$B$2:$B$112),"—")</f>
        <v>0.288288288288288</v>
      </c>
      <c r="E10" s="15" t="s">
        <v>82</v>
      </c>
    </row>
    <row r="12" customFormat="false" ht="15" hidden="false" customHeight="false" outlineLevel="0" collapsed="false">
      <c r="A12" s="32" t="s">
        <v>83</v>
      </c>
      <c r="B12" s="33"/>
      <c r="C12" s="33"/>
      <c r="D12" s="33"/>
      <c r="E12" s="33"/>
    </row>
    <row r="13" customFormat="false" ht="15" hidden="false" customHeight="false" outlineLevel="0" collapsed="false">
      <c r="A13" s="10" t="s">
        <v>84</v>
      </c>
      <c r="B13" s="38" t="n">
        <f aca="false">IFERROR(COUNTIFS(Datos!$D$2:$D$112,B$5,Datos!$G$2:$G$112,"Sí")/COUNTIFS(Datos!$D$2:$D$112,B$5),"—")</f>
        <v>0.579710144927536</v>
      </c>
      <c r="C13" s="38" t="n">
        <f aca="false">IFERROR(COUNTIFS(Datos!$D$2:$D$112,C$5,Datos!$G$2:$G$112,"Sí")/COUNTIFS(Datos!$D$2:$D$112,C$5),"—")</f>
        <v>0.738095238095238</v>
      </c>
      <c r="D13" s="39" t="n">
        <f aca="false">IFERROR(COUNTIFS(Datos!$G$2:$G$112,"Sí")/COUNT(Datos!$B$2:$B$112),"—")</f>
        <v>0.63963963963964</v>
      </c>
      <c r="E13" s="12" t="s">
        <v>85</v>
      </c>
    </row>
    <row r="14" customFormat="false" ht="15" hidden="false" customHeight="false" outlineLevel="0" collapsed="false">
      <c r="A14" s="13" t="s">
        <v>86</v>
      </c>
      <c r="B14" s="36" t="n">
        <f aca="false">IFERROR(COUNTIFS(Datos!$D$2:$D$112,B$5,Datos!$H$2:$H$112,"Sí")/COUNTIFS(Datos!$D$2:$D$112,B$5),"—")</f>
        <v>0.579710144927536</v>
      </c>
      <c r="C14" s="36" t="n">
        <f aca="false">IFERROR(COUNTIFS(Datos!$D$2:$D$112,C$5,Datos!$H$2:$H$112,"Sí")/COUNTIFS(Datos!$D$2:$D$112,C$5),"—")</f>
        <v>0.714285714285714</v>
      </c>
      <c r="D14" s="37" t="n">
        <f aca="false">IFERROR(COUNTIFS(Datos!$H$2:$H$112,"Sí")/COUNT(Datos!$B$2:$B$112),"—")</f>
        <v>0.630630630630631</v>
      </c>
      <c r="E14" s="15" t="s">
        <v>87</v>
      </c>
    </row>
    <row r="15" customFormat="false" ht="22.35" hidden="false" customHeight="false" outlineLevel="0" collapsed="false">
      <c r="A15" s="10" t="s">
        <v>88</v>
      </c>
      <c r="B15" s="40" t="n">
        <f aca="false" t="array" ref="B15:B15">IFERROR(MEDIAN(IF((Datos!$D$2:$D$112=B$5)*(Datos!$F$2:$F$112="Sí")*(Datos!$J$2:$J$112&lt;&gt;""),Datos!$J$2:$J$112)),"—")</f>
        <v>0.4</v>
      </c>
      <c r="C15" s="40" t="n">
        <f aca="false" t="array" ref="C15:C15">IFERROR(MEDIAN(IF((Datos!$D$2:$D$112=C$5)*(Datos!$F$2:$F$112="Sí")*(Datos!$J$2:$J$112&lt;&gt;""),Datos!$J$2:$J$112)),"—")</f>
        <v>0.3</v>
      </c>
      <c r="D15" s="41" t="n">
        <f aca="false" t="array" ref="D15:D15">IFERROR(MEDIAN(IF((Datos!$F$2:$F$112="Sí")*(Datos!$J$2:$J$112&lt;&gt;""),Datos!$J$2:$J$112)),"—")</f>
        <v>0.4</v>
      </c>
      <c r="E15" s="12" t="s">
        <v>89</v>
      </c>
    </row>
    <row r="16" customFormat="false" ht="15" hidden="false" customHeight="false" outlineLevel="0" collapsed="false">
      <c r="A16" s="13" t="s">
        <v>90</v>
      </c>
      <c r="B16" s="42" t="n">
        <f aca="false" t="array" ref="B16:B16">IFERROR(MEDIAN(IF((Datos!$D$2:$D$112=B$5)*(Datos!$F$2:$F$112="No")*(Datos!$J$2:$J$112&lt;&gt;""),Datos!$J$2:$J$112)),"—")</f>
        <v>1</v>
      </c>
      <c r="C16" s="42" t="n">
        <f aca="false" t="array" ref="C16:C16">IFERROR(MEDIAN(IF((Datos!$D$2:$D$112=C$5)*(Datos!$F$2:$F$112="No")*(Datos!$J$2:$J$112&lt;&gt;""),Datos!$J$2:$J$112)),"—")</f>
        <v>3.15</v>
      </c>
      <c r="D16" s="43" t="n">
        <f aca="false" t="array" ref="D16:D16">IFERROR(MEDIAN(IF((Datos!$F$2:$F$112="No")*(Datos!$J$2:$J$112&lt;&gt;""),Datos!$J$2:$J$112)),"—")</f>
        <v>3.1</v>
      </c>
      <c r="E16" s="15"/>
    </row>
    <row r="17" customFormat="false" ht="15" hidden="false" customHeight="false" outlineLevel="0" collapsed="false">
      <c r="A17" s="10" t="s">
        <v>91</v>
      </c>
      <c r="B17" s="40" t="n">
        <f aca="false">IFERROR(AVERAGEIFS(Datos!$J$2:$J$112,Datos!$D$2:$D$112,B$5,Datos!$F$2:$F$112,"Sí"),"—")</f>
        <v>2.24</v>
      </c>
      <c r="C17" s="40" t="n">
        <f aca="false">IFERROR(AVERAGEIFS(Datos!$J$2:$J$112,Datos!$D$2:$D$112,C$5,Datos!$F$2:$F$112,"Sí"),"—")</f>
        <v>0.721739130434783</v>
      </c>
      <c r="D17" s="41" t="n">
        <f aca="false">IFERROR(AVERAGEIFS(Datos!$J$2:$J$112,Datos!$F$2:$F$112,"Sí"),"—")</f>
        <v>1.5125</v>
      </c>
      <c r="E17" s="12"/>
    </row>
    <row r="18" customFormat="false" ht="15" hidden="false" customHeight="false" outlineLevel="0" collapsed="false">
      <c r="A18" s="13" t="s">
        <v>92</v>
      </c>
      <c r="B18" s="42" t="n">
        <f aca="false">IFERROR(AVERAGEIFS(Datos!$J$2:$J$112,Datos!$D$2:$D$112,B$5,Datos!$F$2:$F$112,"No"),"—")</f>
        <v>170.286666666667</v>
      </c>
      <c r="C18" s="42" t="n">
        <f aca="false">IFERROR(AVERAGEIFS(Datos!$J$2:$J$112,Datos!$D$2:$D$112,C$5,Datos!$F$2:$F$112,"No"),"—")</f>
        <v>157.9375</v>
      </c>
      <c r="D18" s="43" t="n">
        <f aca="false">IFERROR(AVERAGEIFS(Datos!$J$2:$J$112,Datos!$F$2:$F$112,"No"),"—")</f>
        <v>165.991304347826</v>
      </c>
      <c r="E18" s="15" t="s">
        <v>93</v>
      </c>
    </row>
    <row r="19" customFormat="false" ht="15" hidden="false" customHeight="false" outlineLevel="0" collapsed="false">
      <c r="A19" s="10" t="s">
        <v>94</v>
      </c>
      <c r="B19" s="34" t="n">
        <f aca="false">COUNTIFS(Datos!$D$2:$D$112,B$5,Datos!$J$2:$J$112,"&gt;60")</f>
        <v>6</v>
      </c>
      <c r="C19" s="34" t="n">
        <f aca="false">COUNTIFS(Datos!$D$2:$D$112,C$5,Datos!$J$2:$J$112,"&gt;60")</f>
        <v>3</v>
      </c>
      <c r="D19" s="35" t="n">
        <f aca="false">COUNTIFS(Datos!$J$2:$J$112,"&gt;60")</f>
        <v>9</v>
      </c>
      <c r="E19" s="12" t="s">
        <v>95</v>
      </c>
    </row>
    <row r="21" customFormat="false" ht="15" hidden="false" customHeight="false" outlineLevel="0" collapsed="false">
      <c r="A21" s="32" t="s">
        <v>96</v>
      </c>
      <c r="B21" s="33"/>
      <c r="C21" s="33"/>
      <c r="D21" s="33"/>
      <c r="E21" s="33"/>
    </row>
    <row r="22" customFormat="false" ht="15" hidden="false" customHeight="false" outlineLevel="0" collapsed="false">
      <c r="A22" s="10" t="s">
        <v>97</v>
      </c>
      <c r="B22" s="38" t="n">
        <f aca="false">IFERROR(COUNTIFS(Datos!$D$2:$D$112,B$5,Datos!$I$2:$I$112,"Sí",Datos!$L$2:$L$112,"Sí")/COUNTIFS(Datos!$D$2:$D$112,B$5,Datos!$I$2:$I$112,"Sí"),"—")</f>
        <v>1</v>
      </c>
      <c r="C22" s="38" t="n">
        <f aca="false">IFERROR(COUNTIFS(Datos!$D$2:$D$112,C$5,Datos!$I$2:$I$112,"Sí",Datos!$L$2:$L$112,"Sí")/COUNTIFS(Datos!$D$2:$D$112,C$5,Datos!$I$2:$I$112,"Sí"),"—")</f>
        <v>1</v>
      </c>
      <c r="D22" s="39" t="n">
        <f aca="false">IFERROR(COUNTIFS(Datos!$I$2:$I$112,"Sí",Datos!$L$2:$L$112,"Sí")/COUNTIFS(Datos!$I$2:$I$112,"Sí"),"—")</f>
        <v>1</v>
      </c>
      <c r="E22" s="12" t="s">
        <v>98</v>
      </c>
    </row>
    <row r="23" customFormat="false" ht="15" hidden="false" customHeight="false" outlineLevel="0" collapsed="false">
      <c r="A23" s="13" t="s">
        <v>99</v>
      </c>
      <c r="B23" s="36" t="n">
        <f aca="false">IFERROR(COUNTIFS(Datos!$D$2:$D$112,B$5,Datos!$L$2:$L$112,"Sí",Datos!$M$2:$M$112,"Sí")/COUNTIFS(Datos!$D$2:$D$112,B$5,Datos!$L$2:$L$112,"Sí"),"—")</f>
        <v>0.333333333333333</v>
      </c>
      <c r="C23" s="36" t="n">
        <f aca="false">IFERROR(COUNTIFS(Datos!$D$2:$D$112,C$5,Datos!$L$2:$L$112,"Sí",Datos!$M$2:$M$112,"Sí")/COUNTIFS(Datos!$D$2:$D$112,C$5,Datos!$L$2:$L$112,"Sí"),"—")</f>
        <v>0.333333333333333</v>
      </c>
      <c r="D23" s="37" t="n">
        <f aca="false">IFERROR(COUNTIFS(Datos!$L$2:$L$112,"Sí",Datos!$M$2:$M$112,"Sí")/COUNTIFS(Datos!$L$2:$L$112,"Sí"),"—")</f>
        <v>0.333333333333333</v>
      </c>
      <c r="E23" s="15" t="s">
        <v>100</v>
      </c>
    </row>
    <row r="24" customFormat="false" ht="15" hidden="false" customHeight="false" outlineLevel="0" collapsed="false">
      <c r="A24" s="10" t="s">
        <v>101</v>
      </c>
      <c r="B24" s="38" t="n">
        <f aca="false">IFERROR(COUNTIFS(Datos!$D$2:$D$112,B$5,Datos!$O$2:$O$112,"Sí")/COUNTIFS(Datos!$D$2:$D$112,B$5),"—")</f>
        <v>0.942028985507246</v>
      </c>
      <c r="C24" s="38" t="n">
        <f aca="false">IFERROR(COUNTIFS(Datos!$D$2:$D$112,C$5,Datos!$O$2:$O$112,"Sí")/COUNTIFS(Datos!$D$2:$D$112,C$5),"—")</f>
        <v>0.904761904761905</v>
      </c>
      <c r="D24" s="39" t="n">
        <f aca="false">IFERROR(COUNTIFS(Datos!$O$2:$O$112,"Sí")/COUNT(Datos!$B$2:$B$112),"—")</f>
        <v>0.927927927927928</v>
      </c>
      <c r="E24" s="12" t="s">
        <v>102</v>
      </c>
    </row>
    <row r="25" customFormat="false" ht="15" hidden="false" customHeight="false" outlineLevel="0" collapsed="false">
      <c r="A25" s="13" t="s">
        <v>103</v>
      </c>
      <c r="B25" s="36" t="n">
        <f aca="false">IFERROR(COUNTIFS(Datos!$D$2:$D$112,B$5,Datos!$P$2:$P$112,"Sí")/COUNTIFS(Datos!$D$2:$D$112,B$5),"—")</f>
        <v>0.333333333333333</v>
      </c>
      <c r="C25" s="36" t="n">
        <f aca="false">IFERROR(COUNTIFS(Datos!$D$2:$D$112,C$5,Datos!$P$2:$P$112,"Sí")/COUNTIFS(Datos!$D$2:$D$112,C$5),"—")</f>
        <v>0.285714285714286</v>
      </c>
      <c r="D25" s="37" t="n">
        <f aca="false">IFERROR(COUNTIFS(Datos!$P$2:$P$112,"Sí")/COUNT(Datos!$B$2:$B$112),"—")</f>
        <v>0.315315315315315</v>
      </c>
      <c r="E25" s="15" t="s">
        <v>104</v>
      </c>
    </row>
    <row r="26" customFormat="false" ht="15" hidden="false" customHeight="false" outlineLevel="0" collapsed="false">
      <c r="A26" s="10" t="s">
        <v>105</v>
      </c>
      <c r="B26" s="38" t="n">
        <f aca="false">IFERROR(COUNTIFS(Datos!$D$2:$D$112,B$5,Datos!$Q$2:$Q$112,"Sí")/COUNTIFS(Datos!$D$2:$D$112,B$5),"—")</f>
        <v>0.159420289855072</v>
      </c>
      <c r="C26" s="38" t="n">
        <f aca="false">IFERROR(COUNTIFS(Datos!$D$2:$D$112,C$5,Datos!$Q$2:$Q$112,"Sí")/COUNTIFS(Datos!$D$2:$D$112,C$5),"—")</f>
        <v>0.0238095238095238</v>
      </c>
      <c r="D26" s="39" t="n">
        <f aca="false">IFERROR(COUNTIFS(Datos!$Q$2:$Q$112,"Sí")/COUNT(Datos!$B$2:$B$112),"—")</f>
        <v>0.108108108108108</v>
      </c>
      <c r="E26" s="12" t="s">
        <v>106</v>
      </c>
    </row>
    <row r="28" customFormat="false" ht="15" hidden="false" customHeight="false" outlineLevel="0" collapsed="false">
      <c r="A28" s="32" t="s">
        <v>107</v>
      </c>
      <c r="B28" s="33"/>
      <c r="C28" s="33"/>
      <c r="D28" s="33"/>
      <c r="E28" s="33"/>
    </row>
    <row r="29" customFormat="false" ht="15" hidden="false" customHeight="false" outlineLevel="0" collapsed="false">
      <c r="A29" s="10" t="s">
        <v>108</v>
      </c>
      <c r="B29" s="40" t="n">
        <f aca="false" t="array" ref="B29:B29">IFERROR(MEDIAN(IF((Datos!$D$2:$D$112=B$5)*(Datos!$V$2:$V$112&lt;&gt;""),Datos!$V$2:$V$112)),"—")</f>
        <v>15.4</v>
      </c>
      <c r="C29" s="40" t="n">
        <f aca="false" t="array" ref="C29:C29">IFERROR(MEDIAN(IF((Datos!$D$2:$D$112=C$5)*(Datos!$V$2:$V$112&lt;&gt;""),Datos!$V$2:$V$112)),"—")</f>
        <v>2.2</v>
      </c>
      <c r="D29" s="41" t="n">
        <f aca="false">IFERROR(MEDIAN(Datos!$V$2:$V$112),"—")</f>
        <v>3.95</v>
      </c>
      <c r="E29" s="12" t="s">
        <v>109</v>
      </c>
    </row>
    <row r="30" customFormat="false" ht="15" hidden="false" customHeight="false" outlineLevel="0" collapsed="false">
      <c r="A30" s="13" t="s">
        <v>110</v>
      </c>
      <c r="B30" s="42" t="n">
        <f aca="false" t="array" ref="B30:B30">IFERROR(MEDIAN(IF((Datos!$D$2:$D$112=B$5)*(Datos!$T$2:$T$112&lt;&gt;""),Datos!$T$2:$T$112))/60,"—")</f>
        <v>51.8783333333333</v>
      </c>
      <c r="C30" s="42" t="n">
        <f aca="false" t="array" ref="C30:C30">IFERROR(MEDIAN(IF((Datos!$D$2:$D$112=C$5)*(Datos!$T$2:$T$112&lt;&gt;""),Datos!$T$2:$T$112))/60,"—")</f>
        <v>0.870833333333333</v>
      </c>
      <c r="D30" s="43" t="n">
        <f aca="false">IFERROR(MEDIAN(Datos!$T$2:$T$112)/60,"—")</f>
        <v>19.1375</v>
      </c>
      <c r="E30" s="15" t="s">
        <v>111</v>
      </c>
    </row>
    <row r="31" customFormat="false" ht="15" hidden="false" customHeight="false" outlineLevel="0" collapsed="false">
      <c r="A31" s="10" t="s">
        <v>112</v>
      </c>
      <c r="B31" s="38" t="n">
        <f aca="false">IFERROR(COUNTIFS(Datos!$D$2:$D$112,B$5,Datos!$T$2:$T$112,"")/COUNTIFS(Datos!$D$2:$D$112,B$5),"—")</f>
        <v>0.0144927536231884</v>
      </c>
      <c r="C31" s="38" t="n">
        <f aca="false">IFERROR(COUNTIFS(Datos!$D$2:$D$112,C$5,Datos!$T$2:$T$112,"")/COUNTIFS(Datos!$D$2:$D$112,C$5),"—")</f>
        <v>0.333333333333333</v>
      </c>
      <c r="D31" s="39" t="n">
        <f aca="false">IFERROR(COUNTBLANK(Datos!$T$2:$T$112)/COUNT(Datos!$B$2:$B$112),"—")</f>
        <v>0.135135135135135</v>
      </c>
      <c r="E31" s="12" t="s">
        <v>113</v>
      </c>
    </row>
    <row r="32" customFormat="false" ht="15" hidden="false" customHeight="false" outlineLevel="0" collapsed="false">
      <c r="A32" s="13" t="s">
        <v>114</v>
      </c>
      <c r="B32" s="42" t="n">
        <f aca="false" t="array" ref="B32:B32">IFERROR(MEDIAN(IF((Datos!$D$2:$D$112=B$5)*(Datos!$W$2:$W$112&lt;&gt;""),Datos!$W$2:$W$112)),"—")</f>
        <v>7.4</v>
      </c>
      <c r="C32" s="42" t="n">
        <f aca="false" t="array" ref="C32:C32">IFERROR(MEDIAN(IF((Datos!$D$2:$D$112=C$5)*(Datos!$W$2:$W$112&lt;&gt;""),Datos!$W$2:$W$112)),"—")</f>
        <v>4.9</v>
      </c>
      <c r="D32" s="43" t="n">
        <f aca="false">IFERROR(MEDIAN(Datos!$W$2:$W$112),"—")</f>
        <v>6.8</v>
      </c>
      <c r="E32" s="15" t="s">
        <v>115</v>
      </c>
    </row>
    <row r="33" customFormat="false" ht="15" hidden="false" customHeight="false" outlineLevel="0" collapsed="false">
      <c r="A33" s="10" t="s">
        <v>116</v>
      </c>
      <c r="B33" s="38" t="n">
        <f aca="false">IFERROR(COUNTIFS(Datos!$D$2:$D$112,B$5,Datos!$Y$2:$Y$112,"Sí")/COUNTIFS(Datos!$D$2:$D$112,B$5),"—")</f>
        <v>0.333333333333333</v>
      </c>
      <c r="C33" s="38" t="n">
        <f aca="false">IFERROR(COUNTIFS(Datos!$D$2:$D$112,C$5,Datos!$Y$2:$Y$112,"Sí")/COUNTIFS(Datos!$D$2:$D$112,C$5),"—")</f>
        <v>0.333333333333333</v>
      </c>
      <c r="D33" s="39" t="n">
        <f aca="false">IFERROR(COUNTIFS(Datos!$Y$2:$Y$112,"Sí")/COUNT(Datos!$B$2:$B$112),"—")</f>
        <v>0.333333333333333</v>
      </c>
      <c r="E33" s="12" t="s">
        <v>117</v>
      </c>
    </row>
    <row r="34" customFormat="false" ht="15" hidden="false" customHeight="false" outlineLevel="0" collapsed="false">
      <c r="A34" s="13" t="s">
        <v>118</v>
      </c>
      <c r="B34" s="36" t="n">
        <f aca="false">IFERROR(COUNTIFS(Datos!$D$2:$D$112,B$5,Datos!$S$2:$S$112,"Sí")/COUNTIFS(Datos!$D$2:$D$112,B$5),"—")</f>
        <v>0.347826086956522</v>
      </c>
      <c r="C34" s="36" t="n">
        <f aca="false">IFERROR(COUNTIFS(Datos!$D$2:$D$112,C$5,Datos!$S$2:$S$112,"Sí")/COUNTIFS(Datos!$D$2:$D$112,C$5),"—")</f>
        <v>0.30952380952381</v>
      </c>
      <c r="D34" s="37" t="n">
        <f aca="false">IFERROR(COUNTIFS(Datos!$S$2:$S$112,"Sí")/COUNT(Datos!$B$2:$B$112),"—")</f>
        <v>0.333333333333333</v>
      </c>
      <c r="E34" s="15" t="s">
        <v>119</v>
      </c>
    </row>
    <row r="36" customFormat="false" ht="15" hidden="false" customHeight="false" outlineLevel="0" collapsed="false">
      <c r="A36" s="32" t="s">
        <v>120</v>
      </c>
      <c r="B36" s="33"/>
      <c r="C36" s="33"/>
      <c r="D36" s="33"/>
      <c r="E36" s="33"/>
    </row>
    <row r="37" customFormat="false" ht="15" hidden="false" customHeight="false" outlineLevel="0" collapsed="false">
      <c r="A37" s="10" t="s">
        <v>121</v>
      </c>
      <c r="B37" s="38" t="n">
        <f aca="false">IFERROR(COUNTIFS(Datos!$D$2:$D$112,B$5,Datos!$Z$2:$Z$112,"Sí")/COUNTIFS(Datos!$D$2:$D$112,B$5),"—")</f>
        <v>0.956521739130435</v>
      </c>
      <c r="C37" s="38" t="n">
        <f aca="false">IFERROR(COUNTIFS(Datos!$D$2:$D$112,C$5,Datos!$Z$2:$Z$112,"Sí")/COUNTIFS(Datos!$D$2:$D$112,C$5),"—")</f>
        <v>0.690476190476191</v>
      </c>
      <c r="D37" s="39" t="n">
        <f aca="false">IFERROR(COUNTIFS(Datos!$Z$2:$Z$112,"Sí")/COUNT(Datos!$B$2:$B$112),"—")</f>
        <v>0.855855855855856</v>
      </c>
      <c r="E37" s="12" t="s">
        <v>122</v>
      </c>
    </row>
    <row r="38" customFormat="false" ht="15" hidden="false" customHeight="false" outlineLevel="0" collapsed="false">
      <c r="A38" s="13" t="s">
        <v>123</v>
      </c>
      <c r="B38" s="36" t="n">
        <f aca="false">IFERROR(COUNTIFS(Datos!$D$2:$D$112,B$5,Datos!$AA$2:$AA$112,"*3,799*")/COUNTIFS(Datos!$D$2:$D$112,B$5),"—")</f>
        <v>0.927536231884058</v>
      </c>
      <c r="C38" s="36" t="n">
        <f aca="false">IFERROR(COUNTIFS(Datos!$D$2:$D$112,C$5,Datos!$AA$2:$AA$112,"*3,799*")/COUNTIFS(Datos!$D$2:$D$112,C$5),"—")</f>
        <v>0.690476190476191</v>
      </c>
      <c r="D38" s="37" t="n">
        <f aca="false">IFERROR(COUNTIFS(Datos!$AA$2:$AA$112,"*3,799*")/COUNT(Datos!$B$2:$B$112),"—")</f>
        <v>0.837837837837838</v>
      </c>
      <c r="E38" s="15"/>
    </row>
    <row r="39" customFormat="false" ht="15" hidden="false" customHeight="false" outlineLevel="0" collapsed="false">
      <c r="A39" s="10" t="s">
        <v>124</v>
      </c>
      <c r="B39" s="38" t="n">
        <f aca="false">IFERROR(COUNTIFS(Datos!$D$2:$D$112,B$5,Datos!$AA$2:$AA$112,"*2,799*")/COUNTIFS(Datos!$D$2:$D$112,B$5),"—")</f>
        <v>0.927536231884058</v>
      </c>
      <c r="C39" s="38" t="n">
        <f aca="false">IFERROR(COUNTIFS(Datos!$D$2:$D$112,C$5,Datos!$AA$2:$AA$112,"*2,799*")/COUNTIFS(Datos!$D$2:$D$112,C$5),"—")</f>
        <v>0.30952380952381</v>
      </c>
      <c r="D39" s="39" t="n">
        <f aca="false">IFERROR(COUNTIFS(Datos!$AA$2:$AA$112,"*2,799*")/COUNT(Datos!$B$2:$B$112),"—")</f>
        <v>0.693693693693694</v>
      </c>
      <c r="E39" s="12"/>
    </row>
    <row r="40" customFormat="false" ht="15" hidden="false" customHeight="false" outlineLevel="0" collapsed="false">
      <c r="A40" s="13" t="s">
        <v>125</v>
      </c>
      <c r="B40" s="36" t="n">
        <f aca="false">IFERROR(COUNTIFS(Datos!$D$2:$D$112,B$5,Datos!$AA$2:$AA$112,"*1,950*")/COUNTIFS(Datos!$D$2:$D$112,B$5),"—")</f>
        <v>0</v>
      </c>
      <c r="C40" s="36" t="n">
        <f aca="false">IFERROR(COUNTIFS(Datos!$D$2:$D$112,C$5,Datos!$AA$2:$AA$112,"*1,950*")/COUNTIFS(Datos!$D$2:$D$112,C$5),"—")</f>
        <v>0.0238095238095238</v>
      </c>
      <c r="D40" s="37" t="n">
        <f aca="false">IFERROR(COUNTIFS(Datos!$AA$2:$AA$112,"*1,950*")/COUNT(Datos!$B$2:$B$112),"—")</f>
        <v>0.00900900900900901</v>
      </c>
      <c r="E40" s="15"/>
    </row>
    <row r="41" customFormat="false" ht="15" hidden="false" customHeight="false" outlineLevel="0" collapsed="false">
      <c r="A41" s="10" t="s">
        <v>126</v>
      </c>
      <c r="B41" s="38" t="n">
        <f aca="false">IFERROR(COUNTIFS(Datos!$D$2:$D$112,B$5,Datos!$Z$2:$Z$112,"Sí",Datos!$AB$2:$AB$112,"Bot")/COUNTIFS(Datos!$D$2:$D$112,B$5,Datos!$Z$2:$Z$112,"Sí"),"—")</f>
        <v>0.833333333333333</v>
      </c>
      <c r="C41" s="38" t="n">
        <f aca="false">IFERROR(COUNTIFS(Datos!$D$2:$D$112,C$5,Datos!$Z$2:$Z$112,"Sí",Datos!$AB$2:$AB$112,"Bot")/COUNTIFS(Datos!$D$2:$D$112,C$5,Datos!$Z$2:$Z$112,"Sí"),"—")</f>
        <v>0.827586206896552</v>
      </c>
      <c r="D41" s="39" t="n">
        <f aca="false">IFERROR(COUNTIFS(Datos!$Z$2:$Z$112,"Sí",Datos!$AB$2:$AB$112,"Bot")/COUNTIFS(Datos!$Z$2:$Z$112,"Sí"),"—")</f>
        <v>0.831578947368421</v>
      </c>
      <c r="E41" s="12" t="s">
        <v>127</v>
      </c>
    </row>
    <row r="42" customFormat="false" ht="15" hidden="false" customHeight="false" outlineLevel="0" collapsed="false">
      <c r="A42" s="13" t="s">
        <v>128</v>
      </c>
      <c r="B42" s="42" t="n">
        <f aca="false" t="array" ref="B42:B42">IFERROR(MEDIAN(IF((Datos!$D$2:$D$112=B$5)*(Datos!$AC$2:$AC$112&lt;&gt;""),Datos!$AC$2:$AC$112)),"—")</f>
        <v>33.05</v>
      </c>
      <c r="C42" s="42" t="n">
        <f aca="false" t="array" ref="C42:C42">IFERROR(MEDIAN(IF((Datos!$D$2:$D$112=C$5)*(Datos!$AC$2:$AC$112&lt;&gt;""),Datos!$AC$2:$AC$112)),"—")</f>
        <v>33.8</v>
      </c>
      <c r="D42" s="43" t="n">
        <f aca="false">IFERROR(MEDIAN(Datos!$AC$2:$AC$112),"—")</f>
        <v>33.8</v>
      </c>
      <c r="E42" s="15" t="s">
        <v>129</v>
      </c>
    </row>
    <row r="44" customFormat="false" ht="15" hidden="false" customHeight="false" outlineLevel="0" collapsed="false">
      <c r="A44" s="32" t="s">
        <v>130</v>
      </c>
      <c r="B44" s="33"/>
      <c r="C44" s="33"/>
      <c r="D44" s="33"/>
      <c r="E44" s="33"/>
    </row>
    <row r="45" customFormat="false" ht="15" hidden="false" customHeight="false" outlineLevel="0" collapsed="false">
      <c r="A45" s="10" t="s">
        <v>131</v>
      </c>
      <c r="B45" s="38" t="n">
        <f aca="false">IFERROR(COUNTIFS(Datos!$D$2:$D$112,B$5,Datos!$AG$2:$AG$112,"Sí")/COUNTIFS(Datos!$D$2:$D$112,B$5),"—")</f>
        <v>0.289855072463768</v>
      </c>
      <c r="C45" s="38" t="n">
        <f aca="false">IFERROR(COUNTIFS(Datos!$D$2:$D$112,C$5,Datos!$AG$2:$AG$112,"Sí")/COUNTIFS(Datos!$D$2:$D$112,C$5),"—")</f>
        <v>0.285714285714286</v>
      </c>
      <c r="D45" s="39" t="n">
        <f aca="false">IFERROR(COUNTIFS(Datos!$AG$2:$AG$112,"Sí")/COUNT(Datos!$B$2:$B$112),"—")</f>
        <v>0.288288288288288</v>
      </c>
      <c r="E45" s="12" t="s">
        <v>132</v>
      </c>
    </row>
    <row r="46" customFormat="false" ht="15" hidden="false" customHeight="false" outlineLevel="0" collapsed="false">
      <c r="A46" s="13" t="s">
        <v>133</v>
      </c>
      <c r="B46" s="42" t="n">
        <f aca="false">IFERROR(AVERAGEIFS(Datos!$AD$2:$AD$112,Datos!$D$2:$D$112,B$5),"—")</f>
        <v>4.46376811594203</v>
      </c>
      <c r="C46" s="42" t="n">
        <f aca="false">IFERROR(AVERAGEIFS(Datos!$AD$2:$AD$112,Datos!$D$2:$D$112,C$5),"—")</f>
        <v>3.38095238095238</v>
      </c>
      <c r="D46" s="43" t="n">
        <f aca="false">IFERROR(AVERAGE(Datos!$AD$2:$AD$112),"—")</f>
        <v>4.05405405405405</v>
      </c>
      <c r="E46" s="15"/>
    </row>
    <row r="47" customFormat="false" ht="15" hidden="false" customHeight="false" outlineLevel="0" collapsed="false">
      <c r="A47" s="10" t="s">
        <v>134</v>
      </c>
      <c r="B47" s="40" t="n">
        <f aca="false">IFERROR(AVERAGEIFS(Datos!$AE$2:$AE$112,Datos!$D$2:$D$112,B$5),"—")</f>
        <v>19.5072463768116</v>
      </c>
      <c r="C47" s="40" t="n">
        <f aca="false">IFERROR(AVERAGEIFS(Datos!$AE$2:$AE$112,Datos!$D$2:$D$112,C$5),"—")</f>
        <v>16</v>
      </c>
      <c r="D47" s="41" t="n">
        <f aca="false">IFERROR(AVERAGE(Datos!$AE$2:$AE$112),"—")</f>
        <v>18.1801801801802</v>
      </c>
      <c r="E47" s="12"/>
    </row>
    <row r="48" customFormat="false" ht="15" hidden="false" customHeight="false" outlineLevel="0" collapsed="false">
      <c r="A48" s="13" t="s">
        <v>135</v>
      </c>
      <c r="B48" s="42" t="n">
        <f aca="false">IFERROR(AVERAGEIFS(Datos!$AF$2:$AF$112,Datos!$D$2:$D$112,B$5),"—")</f>
        <v>5.56521739130435</v>
      </c>
      <c r="C48" s="42" t="n">
        <f aca="false">IFERROR(AVERAGEIFS(Datos!$AF$2:$AF$112,Datos!$D$2:$D$112,C$5),"—")</f>
        <v>3.35714285714286</v>
      </c>
      <c r="D48" s="43" t="n">
        <f aca="false">IFERROR(AVERAGE(Datos!$AF$2:$AF$112),"—")</f>
        <v>4.72972972972973</v>
      </c>
      <c r="E48" s="15"/>
    </row>
    <row r="50" customFormat="false" ht="15" hidden="false" customHeight="false" outlineLevel="0" collapsed="false">
      <c r="A50" s="32" t="s">
        <v>136</v>
      </c>
      <c r="B50" s="33"/>
      <c r="C50" s="33"/>
      <c r="D50" s="33"/>
      <c r="E50" s="33"/>
    </row>
    <row r="51" customFormat="false" ht="15" hidden="false" customHeight="false" outlineLevel="0" collapsed="false">
      <c r="A51" s="10" t="s">
        <v>27</v>
      </c>
      <c r="B51" s="34" t="n">
        <f aca="false">COUNTIFS(Datos!$D$2:$D$112,B$5,Datos!$AQ$2:$AQ$112,"Sí")</f>
        <v>7</v>
      </c>
      <c r="C51" s="34" t="n">
        <f aca="false">COUNTIFS(Datos!$D$2:$D$112,C$5,Datos!$AQ$2:$AQ$112,"Sí")</f>
        <v>0</v>
      </c>
      <c r="D51" s="35" t="n">
        <f aca="false">COUNTIFS(Datos!$AQ$2:$AQ$112,"Sí")</f>
        <v>7</v>
      </c>
      <c r="E51" s="12" t="s">
        <v>137</v>
      </c>
    </row>
    <row r="52" customFormat="false" ht="15" hidden="false" customHeight="false" outlineLevel="0" collapsed="false">
      <c r="A52" s="13" t="s">
        <v>29</v>
      </c>
      <c r="B52" s="36" t="n">
        <f aca="false">IFERROR(COUNTIFS(Datos!$D$2:$D$112,B$5,Datos!$AQ$2:$AQ$112,"Sí")/COUNTIFS(Datos!$D$2:$D$112,B$5),"—")</f>
        <v>0.101449275362319</v>
      </c>
      <c r="C52" s="36" t="n">
        <f aca="false">IFERROR(COUNTIFS(Datos!$D$2:$D$112,C$5,Datos!$AQ$2:$AQ$112,"Sí")/COUNTIFS(Datos!$D$2:$D$112,C$5),"—")</f>
        <v>0</v>
      </c>
      <c r="D52" s="37" t="n">
        <f aca="false">IFERROR(COUNTIFS(Datos!$AQ$2:$AQ$112,"Sí")/COUNT(Datos!$B$2:$B$112),"—")</f>
        <v>0.0630630630630631</v>
      </c>
      <c r="E52" s="15"/>
    </row>
    <row r="53" customFormat="false" ht="15" hidden="false" customHeight="false" outlineLevel="0" collapsed="false">
      <c r="A53" s="10" t="s">
        <v>138</v>
      </c>
      <c r="B53" s="34" t="n">
        <f aca="false">COUNTIFS(Datos!$D$2:$D$112,B$5,Datos!$AQ$2:$AQ$112,"Sí",Datos!$AR$2:$AR$112,"&gt;=3999")</f>
        <v>2</v>
      </c>
      <c r="C53" s="34" t="n">
        <f aca="false">COUNTIFS(Datos!$D$2:$D$112,C$5,Datos!$AQ$2:$AQ$112,"Sí",Datos!$AR$2:$AR$112,"&gt;=3999")</f>
        <v>0</v>
      </c>
      <c r="D53" s="35" t="n">
        <f aca="false">COUNTIFS(Datos!$AQ$2:$AQ$112,"Sí",Datos!$AR$2:$AR$112,"&gt;=3999")</f>
        <v>2</v>
      </c>
      <c r="E53" s="12" t="s">
        <v>139</v>
      </c>
    </row>
    <row r="54" customFormat="false" ht="15" hidden="false" customHeight="false" outlineLevel="0" collapsed="false">
      <c r="A54" s="13" t="s">
        <v>140</v>
      </c>
      <c r="B54" s="44" t="n">
        <f aca="false">COUNTIFS(Datos!$D$2:$D$112,B$5,Datos!$AQ$2:$AQ$112,"Sí",Datos!$AR$2:$AR$112,"&lt;3999")</f>
        <v>5</v>
      </c>
      <c r="C54" s="44" t="n">
        <f aca="false">COUNTIFS(Datos!$D$2:$D$112,C$5,Datos!$AQ$2:$AQ$112,"Sí",Datos!$AR$2:$AR$112,"&lt;3999")</f>
        <v>0</v>
      </c>
      <c r="D54" s="45" t="n">
        <f aca="false">COUNTIFS(Datos!$AQ$2:$AQ$112,"Sí",Datos!$AR$2:$AR$112,"&lt;3999")</f>
        <v>5</v>
      </c>
      <c r="E54" s="15"/>
    </row>
    <row r="55" customFormat="false" ht="15" hidden="false" customHeight="false" outlineLevel="0" collapsed="false">
      <c r="A55" s="10" t="s">
        <v>32</v>
      </c>
      <c r="B55" s="46" t="n">
        <f aca="false">IFERROR(AVERAGEIFS(Datos!$AR$2:$AR$112,Datos!$D$2:$D$112,B$5,Datos!$AQ$2:$AQ$112,"Sí"),"—")</f>
        <v>3762</v>
      </c>
      <c r="C55" s="46" t="str">
        <f aca="false">IFERROR(AVERAGEIFS(Datos!$AR$2:$AR$112,Datos!$D$2:$D$112,C$5,Datos!$AQ$2:$AQ$112,"Sí"),"—")</f>
        <v>—</v>
      </c>
      <c r="D55" s="47" t="n">
        <f aca="false">IFERROR(AVERAGEIFS(Datos!$AR$2:$AR$112,Datos!$AQ$2:$AQ$112,"Sí"),"—")</f>
        <v>3762</v>
      </c>
      <c r="E55" s="12" t="s">
        <v>141</v>
      </c>
    </row>
    <row r="56" customFormat="false" ht="15" hidden="false" customHeight="false" outlineLevel="0" collapsed="false">
      <c r="A56" s="13" t="s">
        <v>142</v>
      </c>
      <c r="B56" s="48" t="n">
        <f aca="false">SUMIFS(Datos!$AR$2:$AR$112,Datos!$D$2:$D$112,B$5,Datos!$AQ$2:$AQ$112,"Sí")</f>
        <v>26334</v>
      </c>
      <c r="C56" s="48" t="n">
        <f aca="false">SUMIFS(Datos!$AR$2:$AR$112,Datos!$D$2:$D$112,C$5,Datos!$AQ$2:$AQ$112,"Sí")</f>
        <v>0</v>
      </c>
      <c r="D56" s="49" t="n">
        <f aca="false">SUMIFS(Datos!$AR$2:$AR$112,Datos!$AQ$2:$AQ$112,"Sí")</f>
        <v>26334</v>
      </c>
      <c r="E56" s="15" t="s">
        <v>143</v>
      </c>
    </row>
    <row r="57" customFormat="false" ht="15" hidden="false" customHeight="false" outlineLevel="0" collapsed="false">
      <c r="A57" s="10" t="s">
        <v>144</v>
      </c>
      <c r="B57" s="40" t="n">
        <f aca="false" t="array" ref="B57:B57">IFERROR(MEDIAN(IF((Datos!$D$2:$D$112=B$5)*(Datos!$AT$2:$AT$112&lt;&gt;""),Datos!$AT$2:$AT$112)),"—")</f>
        <v>10.3</v>
      </c>
      <c r="C57" s="40" t="str">
        <f aca="false" t="array" ref="C57:C57">IFERROR(MEDIAN(IF((Datos!$D$2:$D$112=C$5)*(Datos!$AT$2:$AT$112&lt;&gt;""),Datos!$AT$2:$AT$112)),"—")</f>
        <v>—</v>
      </c>
      <c r="D57" s="41" t="n">
        <f aca="false">IFERROR(MEDIAN(Datos!$AT$2:$AT$112),"—")</f>
        <v>10.3</v>
      </c>
      <c r="E57" s="12" t="s">
        <v>145</v>
      </c>
    </row>
    <row r="59" customFormat="false" ht="15" hidden="false" customHeight="false" outlineLevel="0" collapsed="false">
      <c r="A59" s="32" t="s">
        <v>146</v>
      </c>
      <c r="B59" s="33"/>
      <c r="C59" s="33"/>
      <c r="D59" s="33"/>
      <c r="E59" s="33"/>
    </row>
    <row r="60" customFormat="false" ht="15" hidden="false" customHeight="false" outlineLevel="0" collapsed="false">
      <c r="A60" s="10" t="s">
        <v>147</v>
      </c>
      <c r="B60" s="38" t="n">
        <f aca="false">IFERROR(COUNTIFS(Datos!$D$2:$D$112,B$5,Datos!$AJ$2:$AJ$112,"Solo su primer mensaje")/COUNTIFS(Datos!$D$2:$D$112,B$5),"—")</f>
        <v>0.304347826086957</v>
      </c>
      <c r="C60" s="38" t="n">
        <f aca="false">IFERROR(COUNTIFS(Datos!$D$2:$D$112,C$5,Datos!$AJ$2:$AJ$112,"Solo su primer mensaje")/COUNTIFS(Datos!$D$2:$D$112,C$5),"—")</f>
        <v>0.214285714285714</v>
      </c>
      <c r="D60" s="39" t="n">
        <f aca="false">IFERROR(COUNTIFS(Datos!$AJ$2:$AJ$112,"Solo su primer mensaje")/COUNT(Datos!$B$2:$B$112),"—")</f>
        <v>0.27027027027027</v>
      </c>
      <c r="E60" s="12"/>
    </row>
    <row r="61" customFormat="false" ht="15" hidden="false" customHeight="false" outlineLevel="0" collapsed="false">
      <c r="A61" s="13" t="s">
        <v>148</v>
      </c>
      <c r="B61" s="36" t="n">
        <f aca="false">IFERROR(COUNTIFS(Datos!$D$2:$D$112,B$5,Datos!$AJ$2:$AJ$112,"Saludo: contestó y no volvió")/COUNTIFS(Datos!$D$2:$D$112,B$5),"—")</f>
        <v>0.217391304347826</v>
      </c>
      <c r="C61" s="36" t="n">
        <f aca="false">IFERROR(COUNTIFS(Datos!$D$2:$D$112,C$5,Datos!$AJ$2:$AJ$112,"Saludo: contestó y no volvió")/COUNTIFS(Datos!$D$2:$D$112,C$5),"—")</f>
        <v>0.333333333333333</v>
      </c>
      <c r="D61" s="37" t="n">
        <f aca="false">IFERROR(COUNTIFS(Datos!$AJ$2:$AJ$112,"Saludo: contestó y no volvió")/COUNT(Datos!$B$2:$B$112),"—")</f>
        <v>0.261261261261261</v>
      </c>
      <c r="E61" s="15"/>
    </row>
    <row r="62" customFormat="false" ht="15" hidden="false" customHeight="false" outlineLevel="0" collapsed="false">
      <c r="A62" s="10" t="s">
        <v>149</v>
      </c>
      <c r="B62" s="38" t="n">
        <f aca="false">IFERROR(COUNTIFS(Datos!$D$2:$D$112,B$5,Datos!$AJ$2:$AJ$112,"1.2 Lista de cursos")/COUNTIFS(Datos!$D$2:$D$112,B$5),"—")</f>
        <v>0.101449275362319</v>
      </c>
      <c r="C62" s="38" t="n">
        <f aca="false">IFERROR(COUNTIFS(Datos!$D$2:$D$112,C$5,Datos!$AJ$2:$AJ$112,"1.2 Lista de cursos")/COUNTIFS(Datos!$D$2:$D$112,C$5),"—")</f>
        <v>0.238095238095238</v>
      </c>
      <c r="D62" s="39" t="n">
        <f aca="false">IFERROR(COUNTIFS(Datos!$AJ$2:$AJ$112,"1.2 Lista de cursos")/COUNT(Datos!$B$2:$B$112),"—")</f>
        <v>0.153153153153153</v>
      </c>
      <c r="E62" s="12"/>
    </row>
    <row r="63" customFormat="false" ht="15" hidden="false" customHeight="false" outlineLevel="0" collapsed="false">
      <c r="A63" s="13" t="s">
        <v>150</v>
      </c>
      <c r="B63" s="36" t="n">
        <f aca="false">IFERROR(COUNTIFS(Datos!$D$2:$D$112,B$5,Datos!$AJ$2:$AJ$112,"Negativo")/COUNTIFS(Datos!$D$2:$D$112,B$5),"—")</f>
        <v>0.101449275362319</v>
      </c>
      <c r="C63" s="36" t="n">
        <f aca="false">IFERROR(COUNTIFS(Datos!$D$2:$D$112,C$5,Datos!$AJ$2:$AJ$112,"Negativo")/COUNTIFS(Datos!$D$2:$D$112,C$5),"—")</f>
        <v>0.0714285714285714</v>
      </c>
      <c r="D63" s="37" t="n">
        <f aca="false">IFERROR(COUNTIFS(Datos!$AJ$2:$AJ$112,"Negativo")/COUNT(Datos!$B$2:$B$112),"—")</f>
        <v>0.0900900900900901</v>
      </c>
      <c r="E63" s="15"/>
    </row>
    <row r="64" customFormat="false" ht="15" hidden="false" customHeight="false" outlineLevel="0" collapsed="false">
      <c r="A64" s="10" t="s">
        <v>151</v>
      </c>
      <c r="B64" s="38" t="n">
        <f aca="false">IFERROR(COUNTIFS(Datos!$D$2:$D$112,B$5,Datos!$AJ$2:$AJ$112,"Facilidades de pago")/COUNTIFS(Datos!$D$2:$D$112,B$5),"—")</f>
        <v>0.072463768115942</v>
      </c>
      <c r="C64" s="38" t="n">
        <f aca="false">IFERROR(COUNTIFS(Datos!$D$2:$D$112,C$5,Datos!$AJ$2:$AJ$112,"Facilidades de pago")/COUNTIFS(Datos!$D$2:$D$112,C$5),"—")</f>
        <v>0.119047619047619</v>
      </c>
      <c r="D64" s="39" t="n">
        <f aca="false">IFERROR(COUNTIFS(Datos!$AJ$2:$AJ$112,"Facilidades de pago")/COUNT(Datos!$B$2:$B$112),"—")</f>
        <v>0.0900900900900901</v>
      </c>
      <c r="E64" s="12"/>
    </row>
    <row r="65" customFormat="false" ht="15" hidden="false" customHeight="false" outlineLevel="0" collapsed="false">
      <c r="A65" s="13" t="s">
        <v>152</v>
      </c>
      <c r="B65" s="36" t="n">
        <f aca="false">IFERROR(COUNTIFS(Datos!$D$2:$D$112,B$5,Datos!$AJ$2:$AJ$112,"Forma o medio de pago")/COUNTIFS(Datos!$D$2:$D$112,B$5),"—")</f>
        <v>0.0289855072463768</v>
      </c>
      <c r="C65" s="36" t="n">
        <f aca="false">IFERROR(COUNTIFS(Datos!$D$2:$D$112,C$5,Datos!$AJ$2:$AJ$112,"Forma o medio de pago")/COUNTIFS(Datos!$D$2:$D$112,C$5),"—")</f>
        <v>0.0238095238095238</v>
      </c>
      <c r="D65" s="37" t="n">
        <f aca="false">IFERROR(COUNTIFS(Datos!$AJ$2:$AJ$112,"Forma o medio de pago")/COUNT(Datos!$B$2:$B$112),"—")</f>
        <v>0.027027027027027</v>
      </c>
      <c r="E65" s="15"/>
    </row>
    <row r="66" customFormat="false" ht="15" hidden="false" customHeight="false" outlineLevel="0" collapsed="false">
      <c r="A66" s="10" t="s">
        <v>153</v>
      </c>
      <c r="B66" s="38" t="n">
        <f aca="false">IFERROR(COUNTIFS(Datos!$D$2:$D$112,B$5,Datos!$AJ$2:$AJ$112,"Ya marcado como Perdido")/COUNTIFS(Datos!$D$2:$D$112,B$5),"—")</f>
        <v>0.072463768115942</v>
      </c>
      <c r="C66" s="38" t="n">
        <f aca="false">IFERROR(COUNTIFS(Datos!$D$2:$D$112,C$5,Datos!$AJ$2:$AJ$112,"Ya marcado como Perdido")/COUNTIFS(Datos!$D$2:$D$112,C$5),"—")</f>
        <v>0</v>
      </c>
      <c r="D66" s="39" t="n">
        <f aca="false">IFERROR(COUNTIFS(Datos!$AJ$2:$AJ$112,"Ya marcado como Perdido")/COUNT(Datos!$B$2:$B$112),"—")</f>
        <v>0.045045045045045</v>
      </c>
      <c r="E66" s="12"/>
    </row>
    <row r="67" customFormat="false" ht="15" hidden="false" customHeight="false" outlineLevel="0" collapsed="false">
      <c r="A67" s="13" t="s">
        <v>154</v>
      </c>
      <c r="B67" s="36" t="n">
        <f aca="false">IFERROR(COUNTIFS(Datos!$D$2:$D$112,B$5,Datos!$AJ$2:$AJ$112,"Compró")/COUNTIFS(Datos!$D$2:$D$112,B$5),"—")</f>
        <v>0.101449275362319</v>
      </c>
      <c r="C67" s="36" t="n">
        <f aca="false">IFERROR(COUNTIFS(Datos!$D$2:$D$112,C$5,Datos!$AJ$2:$AJ$112,"Compró")/COUNTIFS(Datos!$D$2:$D$112,C$5),"—")</f>
        <v>0</v>
      </c>
      <c r="D67" s="37" t="n">
        <f aca="false">IFERROR(COUNTIFS(Datos!$AJ$2:$AJ$112,"Compró")/COUNT(Datos!$B$2:$B$112),"—")</f>
        <v>0.0630630630630631</v>
      </c>
      <c r="E67" s="15"/>
    </row>
    <row r="69" customFormat="false" ht="15" hidden="false" customHeight="false" outlineLevel="0" collapsed="false">
      <c r="A69" s="32" t="s">
        <v>155</v>
      </c>
      <c r="B69" s="33"/>
      <c r="C69" s="33"/>
      <c r="D69" s="33"/>
      <c r="E69" s="33"/>
    </row>
    <row r="70" customFormat="false" ht="15" hidden="false" customHeight="false" outlineLevel="0" collapsed="false">
      <c r="A70" s="10" t="s">
        <v>156</v>
      </c>
      <c r="B70" s="34" t="n">
        <f aca="false">COUNTIFS(Datos!$D$2:$D$112,B$5,Datos!$AK$2:$AK$112,"Abierto")</f>
        <v>4</v>
      </c>
      <c r="C70" s="34" t="n">
        <f aca="false">COUNTIFS(Datos!$D$2:$D$112,C$5,Datos!$AK$2:$AK$112,"Abierto")</f>
        <v>38</v>
      </c>
      <c r="D70" s="35" t="n">
        <f aca="false">COUNTIFS(Datos!$AK$2:$AK$112,"Abierto")</f>
        <v>42</v>
      </c>
      <c r="E70" s="12" t="s">
        <v>157</v>
      </c>
    </row>
    <row r="71" customFormat="false" ht="15" hidden="false" customHeight="false" outlineLevel="0" collapsed="false">
      <c r="A71" s="13" t="s">
        <v>158</v>
      </c>
      <c r="B71" s="44" t="n">
        <f aca="false">COUNTIFS(Datos!$D$2:$D$112,B$5,Datos!$AK$2:$AK$112,"Perdido")</f>
        <v>58</v>
      </c>
      <c r="C71" s="44" t="n">
        <f aca="false">COUNTIFS(Datos!$D$2:$D$112,C$5,Datos!$AK$2:$AK$112,"Perdido")</f>
        <v>4</v>
      </c>
      <c r="D71" s="45" t="n">
        <f aca="false">COUNTIFS(Datos!$AK$2:$AK$112,"Perdido")</f>
        <v>62</v>
      </c>
      <c r="E71" s="15"/>
    </row>
    <row r="72" customFormat="false" ht="15" hidden="false" customHeight="false" outlineLevel="0" collapsed="false">
      <c r="A72" s="10" t="s">
        <v>159</v>
      </c>
      <c r="B72" s="34" t="n">
        <f aca="false">COUNTIFS(Datos!$D$2:$D$112,B$5,Datos!$AK$2:$AK$112,"Ganado")</f>
        <v>7</v>
      </c>
      <c r="C72" s="34" t="n">
        <f aca="false">COUNTIFS(Datos!$D$2:$D$112,C$5,Datos!$AK$2:$AK$112,"Ganado")</f>
        <v>0</v>
      </c>
      <c r="D72" s="35" t="n">
        <f aca="false">COUNTIFS(Datos!$AK$2:$AK$112,"Ganado")</f>
        <v>7</v>
      </c>
      <c r="E72" s="12"/>
    </row>
    <row r="73" customFormat="false" ht="15" hidden="false" customHeight="false" outlineLevel="0" collapsed="false">
      <c r="A73" s="13" t="s">
        <v>160</v>
      </c>
      <c r="B73" s="36" t="n">
        <f aca="false">IFERROR(COUNTIFS(Datos!$D$2:$D$112,B$5,Datos!$AK$2:$AK$112,"Perdido",Datos!$AL$2:$AL$112,"Persona")/COUNTIFS(Datos!$D$2:$D$112,B$5,Datos!$AK$2:$AK$112,"Perdido"),"—")</f>
        <v>0.931034482758621</v>
      </c>
      <c r="C73" s="36" t="n">
        <f aca="false">IFERROR(COUNTIFS(Datos!$D$2:$D$112,C$5,Datos!$AK$2:$AK$112,"Perdido",Datos!$AL$2:$AL$112,"Persona")/COUNTIFS(Datos!$D$2:$D$112,C$5,Datos!$AK$2:$AK$112,"Perdido"),"—")</f>
        <v>1</v>
      </c>
      <c r="D73" s="37" t="n">
        <f aca="false">IFERROR(COUNTIFS(Datos!$AK$2:$AK$112,"Perdido",Datos!$AL$2:$AL$112,"Persona")/COUNTIFS(Datos!$AK$2:$AK$112,"Perdido"),"—")</f>
        <v>0.935483870967742</v>
      </c>
      <c r="E73" s="15" t="s">
        <v>161</v>
      </c>
    </row>
    <row r="74" customFormat="false" ht="15" hidden="false" customHeight="false" outlineLevel="0" collapsed="false">
      <c r="A74" s="10" t="s">
        <v>162</v>
      </c>
      <c r="B74" s="38" t="n">
        <f aca="false">IFERROR(COUNTIFS(Datos!$D$2:$D$112,B$5,Datos!$AK$2:$AK$112,"Perdido",Datos!$AM$2:$AM$112,"No contestaron")/COUNTIFS(Datos!$D$2:$D$112,B$5,Datos!$AK$2:$AK$112,"Perdido"),"—")</f>
        <v>0.896551724137931</v>
      </c>
      <c r="C74" s="38" t="n">
        <f aca="false">IFERROR(COUNTIFS(Datos!$D$2:$D$112,C$5,Datos!$AK$2:$AK$112,"Perdido",Datos!$AM$2:$AM$112,"No contestaron")/COUNTIFS(Datos!$D$2:$D$112,C$5,Datos!$AK$2:$AK$112,"Perdido"),"—")</f>
        <v>0.75</v>
      </c>
      <c r="D74" s="39" t="n">
        <f aca="false">IFERROR(COUNTIFS(Datos!$AK$2:$AK$112,"Perdido",Datos!$AM$2:$AM$112,"No contestaron")/COUNTIFS(Datos!$AK$2:$AK$112,"Perdido"),"—")</f>
        <v>0.887096774193548</v>
      </c>
      <c r="E74" s="12"/>
    </row>
    <row r="75" customFormat="false" ht="15" hidden="false" customHeight="false" outlineLevel="0" collapsed="false">
      <c r="A75" s="13" t="s">
        <v>163</v>
      </c>
      <c r="B75" s="42" t="n">
        <f aca="false" t="array" ref="B75:B75">IFERROR(MEDIAN(IF((Datos!$D$2:$D$112=B$5)*(Datos!$AN$2:$AN$112&lt;&gt;""),Datos!$AN$2:$AN$112)),"—")</f>
        <v>89.45</v>
      </c>
      <c r="C75" s="42" t="n">
        <f aca="false" t="array" ref="C75:C75">IFERROR(MEDIAN(IF((Datos!$D$2:$D$112=C$5)*(Datos!$AN$2:$AN$112&lt;&gt;""),Datos!$AN$2:$AN$112)),"—")</f>
        <v>61.6</v>
      </c>
      <c r="D75" s="43" t="n">
        <f aca="false">IFERROR(MEDIAN(Datos!$AN$2:$AN$112),"—")</f>
        <v>89.1</v>
      </c>
      <c r="E75" s="15"/>
    </row>
    <row r="76" customFormat="false" ht="15" hidden="false" customHeight="false" outlineLevel="0" collapsed="false">
      <c r="A76" s="10" t="s">
        <v>164</v>
      </c>
      <c r="B76" s="34" t="n">
        <f aca="false">COUNTIFS(Datos!$D$2:$D$112,B$5,Datos!$AP$2:$AP$112,"Sí")</f>
        <v>7</v>
      </c>
      <c r="C76" s="34" t="n">
        <f aca="false">COUNTIFS(Datos!$D$2:$D$112,C$5,Datos!$AP$2:$AP$112,"Sí")</f>
        <v>0</v>
      </c>
      <c r="D76" s="35" t="n">
        <f aca="false">COUNTIFS(Datos!$AP$2:$AP$112,"Sí")</f>
        <v>7</v>
      </c>
      <c r="E76" s="12" t="s">
        <v>165</v>
      </c>
    </row>
    <row r="77" customFormat="false" ht="15" hidden="false" customHeight="false" outlineLevel="0" collapsed="false">
      <c r="A77" s="13" t="s">
        <v>166</v>
      </c>
      <c r="B77" s="44" t="n">
        <f aca="false">COUNTIFS(Datos!$D$2:$D$112,B$5,Datos!$AO$2:$AO$112,"Sí",Datos!$AQ$2:$AQ$112,"Sí")</f>
        <v>1</v>
      </c>
      <c r="C77" s="44" t="n">
        <f aca="false">COUNTIFS(Datos!$D$2:$D$112,C$5,Datos!$AO$2:$AO$112,"Sí",Datos!$AQ$2:$AQ$112,"Sí")</f>
        <v>0</v>
      </c>
      <c r="D77" s="45" t="n">
        <f aca="false">COUNTIFS(Datos!$AO$2:$AO$112,"Sí",Datos!$AQ$2:$AQ$112,"Sí")</f>
        <v>1</v>
      </c>
      <c r="E77" s="15" t="s">
        <v>167</v>
      </c>
    </row>
    <row r="80" customFormat="false" ht="21.75" hidden="false" customHeight="true" outlineLevel="0" collapsed="false">
      <c r="A80" s="7" t="s">
        <v>168</v>
      </c>
    </row>
    <row r="81" customFormat="false" ht="30" hidden="false" customHeight="true" outlineLevel="0" collapsed="false">
      <c r="A81" s="8" t="s">
        <v>71</v>
      </c>
      <c r="B81" s="9" t="s">
        <v>169</v>
      </c>
      <c r="C81" s="9" t="s">
        <v>170</v>
      </c>
      <c r="D81" s="9" t="s">
        <v>74</v>
      </c>
      <c r="E81" s="9" t="s">
        <v>171</v>
      </c>
    </row>
    <row r="82" customFormat="false" ht="15" hidden="false" customHeight="false" outlineLevel="0" collapsed="false">
      <c r="A82" s="10" t="s">
        <v>79</v>
      </c>
      <c r="B82" s="34" t="n">
        <f aca="false">COUNTIFS(Datos!$F$2:$F$112,"Sí")</f>
        <v>79</v>
      </c>
      <c r="C82" s="34" t="n">
        <f aca="false">COUNTIFS(Datos!$F$2:$F$112,"No")</f>
        <v>32</v>
      </c>
      <c r="D82" s="35" t="n">
        <f aca="false">COUNT(Datos!$B$2:$B$112)</f>
        <v>111</v>
      </c>
      <c r="E82" s="12"/>
    </row>
    <row r="83" customFormat="false" ht="15" hidden="false" customHeight="false" outlineLevel="0" collapsed="false">
      <c r="A83" s="13" t="s">
        <v>84</v>
      </c>
      <c r="B83" s="36" t="n">
        <f aca="false">IFERROR(COUNTIFS(Datos!$F$2:$F$112,"Sí",Datos!$G$2:$G$112,"Sí")/COUNTIFS(Datos!$F$2:$F$112,"Sí"),"—")</f>
        <v>0.607594936708861</v>
      </c>
      <c r="C83" s="36" t="n">
        <f aca="false">IFERROR(COUNTIFS(Datos!$F$2:$F$112,"No",Datos!$G$2:$G$112,"Sí")/COUNTIFS(Datos!$F$2:$F$112,"No"),"—")</f>
        <v>0.71875</v>
      </c>
      <c r="D83" s="37" t="n">
        <f aca="false">IFERROR(COUNTIFS(Datos!$G$2:$G$112,"Sí")/COUNT(Datos!$B$2:$B$112),"—")</f>
        <v>0.63963963963964</v>
      </c>
      <c r="E83" s="15"/>
    </row>
    <row r="84" customFormat="false" ht="15" hidden="false" customHeight="false" outlineLevel="0" collapsed="false">
      <c r="A84" s="10" t="s">
        <v>172</v>
      </c>
      <c r="B84" s="40" t="n">
        <f aca="false" t="array" ref="B84:B84">IFERROR(MEDIAN(IF((Datos!$F$2:$F$112="Sí")*(Datos!$J$2:$J$112&lt;&gt;""),Datos!$J$2:$J$112)),"—")</f>
        <v>0.4</v>
      </c>
      <c r="C84" s="40" t="n">
        <f aca="false" t="array" ref="C84:C84">IFERROR(MEDIAN(IF((Datos!$F$2:$F$112="No")*(Datos!$J$2:$J$112&lt;&gt;""),Datos!$J$2:$J$112)),"—")</f>
        <v>3.1</v>
      </c>
      <c r="D84" s="41" t="n">
        <f aca="false">IFERROR(MEDIAN(Datos!$J$2:$J$112),"—")</f>
        <v>0.5</v>
      </c>
      <c r="E84" s="12"/>
    </row>
    <row r="85" customFormat="false" ht="15" hidden="false" customHeight="false" outlineLevel="0" collapsed="false">
      <c r="A85" s="13" t="s">
        <v>94</v>
      </c>
      <c r="B85" s="44" t="n">
        <f aca="false">COUNTIFS(Datos!$F$2:$F$112,"Sí",Datos!$J$2:$J$112,"&gt;60")</f>
        <v>0</v>
      </c>
      <c r="C85" s="44" t="n">
        <f aca="false">COUNTIFS(Datos!$F$2:$F$112,"No",Datos!$J$2:$J$112,"&gt;60")</f>
        <v>9</v>
      </c>
      <c r="D85" s="45" t="n">
        <f aca="false">COUNTIFS(Datos!$J$2:$J$112,"&gt;60")</f>
        <v>9</v>
      </c>
      <c r="E85" s="15" t="s">
        <v>173</v>
      </c>
    </row>
    <row r="86" customFormat="false" ht="15" hidden="false" customHeight="false" outlineLevel="0" collapsed="false">
      <c r="A86" s="10" t="s">
        <v>110</v>
      </c>
      <c r="B86" s="40" t="n">
        <f aca="false" t="array" ref="B86:B86">IFERROR(MEDIAN(IF((Datos!$F$2:$F$112="Sí")*(Datos!$T$2:$T$112&lt;&gt;""),Datos!$T$2:$T$112))/60,"—")</f>
        <v>20.3091666666667</v>
      </c>
      <c r="C86" s="40" t="n">
        <f aca="false" t="array" ref="C86:C86">IFERROR(MEDIAN(IF((Datos!$F$2:$F$112="No")*(Datos!$T$2:$T$112&lt;&gt;""),Datos!$T$2:$T$112))/60,"—")</f>
        <v>17.3858333333333</v>
      </c>
      <c r="D86" s="41" t="n">
        <f aca="false">IFERROR(MEDIAN(Datos!$T$2:$T$112)/60,"—")</f>
        <v>19.1375</v>
      </c>
      <c r="E86" s="12" t="s">
        <v>174</v>
      </c>
    </row>
    <row r="87" customFormat="false" ht="15" hidden="false" customHeight="false" outlineLevel="0" collapsed="false">
      <c r="A87" s="13" t="s">
        <v>103</v>
      </c>
      <c r="B87" s="36" t="n">
        <f aca="false">IFERROR(COUNTIFS(Datos!$F$2:$F$112,"Sí",Datos!$P$2:$P$112,"Sí")/COUNTIFS(Datos!$F$2:$F$112,"Sí"),"—")</f>
        <v>0.316455696202532</v>
      </c>
      <c r="C87" s="36" t="n">
        <f aca="false">IFERROR(COUNTIFS(Datos!$F$2:$F$112,"No",Datos!$P$2:$P$112,"Sí")/COUNTIFS(Datos!$F$2:$F$112,"No"),"—")</f>
        <v>0.3125</v>
      </c>
      <c r="D87" s="37" t="n">
        <f aca="false">IFERROR(COUNTIFS(Datos!$P$2:$P$112,"Sí")/COUNT(Datos!$B$2:$B$112),"—")</f>
        <v>0.315315315315315</v>
      </c>
      <c r="E87" s="15"/>
    </row>
    <row r="88" customFormat="false" ht="15" hidden="false" customHeight="false" outlineLevel="0" collapsed="false">
      <c r="A88" s="10" t="s">
        <v>27</v>
      </c>
      <c r="B88" s="34" t="n">
        <f aca="false">COUNTIFS(Datos!$F$2:$F$112,"Sí",Datos!$AQ$2:$AQ$112,"Sí")</f>
        <v>5</v>
      </c>
      <c r="C88" s="34" t="n">
        <f aca="false">COUNTIFS(Datos!$F$2:$F$112,"No",Datos!$AQ$2:$AQ$112,"Sí")</f>
        <v>2</v>
      </c>
      <c r="D88" s="35" t="n">
        <f aca="false">COUNTIFS(Datos!$AQ$2:$AQ$112,"Sí")</f>
        <v>7</v>
      </c>
      <c r="E88" s="12"/>
    </row>
    <row r="89" customFormat="false" ht="15" hidden="false" customHeight="false" outlineLevel="0" collapsed="false">
      <c r="A89" s="13" t="s">
        <v>175</v>
      </c>
      <c r="B89" s="36" t="n">
        <f aca="false">IFERROR(COUNTIFS(Datos!$F$2:$F$112,"Sí",Datos!$AQ$2:$AQ$112,"Sí")/COUNTIFS(Datos!$F$2:$F$112,"Sí"),"—")</f>
        <v>0.0632911392405063</v>
      </c>
      <c r="C89" s="36" t="n">
        <f aca="false">IFERROR(COUNTIFS(Datos!$F$2:$F$112,"No",Datos!$AQ$2:$AQ$112,"Sí")/COUNTIFS(Datos!$F$2:$F$112,"No"),"—")</f>
        <v>0.0625</v>
      </c>
      <c r="D89" s="37" t="n">
        <f aca="false">IFERROR(COUNTIFS(Datos!$AQ$2:$AQ$112,"Sí")/COUNT(Datos!$B$2:$B$112),"—")</f>
        <v>0.0630630630630631</v>
      </c>
      <c r="E89" s="15"/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6"/>
    <col collapsed="false" customWidth="true" hidden="false" outlineLevel="0" max="5" min="5" style="0" width="52"/>
    <col collapsed="false" customWidth="true" hidden="false" outlineLevel="0" max="6" min="6" style="0" width="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</row>
    <row r="2" customFormat="false" ht="30" hidden="false" customHeight="true" outlineLevel="0" collapsed="false">
      <c r="A2" s="4" t="s">
        <v>176</v>
      </c>
      <c r="B2" s="3"/>
      <c r="C2" s="3"/>
      <c r="D2" s="3"/>
      <c r="E2" s="3"/>
    </row>
    <row r="3" customFormat="false" ht="15" hidden="false" customHeight="false" outlineLevel="0" collapsed="false">
      <c r="A3" s="6" t="s">
        <v>177</v>
      </c>
      <c r="B3" s="5"/>
      <c r="C3" s="5"/>
      <c r="D3" s="5"/>
      <c r="E3" s="5"/>
    </row>
    <row r="5" customFormat="false" ht="21.75" hidden="false" customHeight="true" outlineLevel="0" collapsed="false">
      <c r="A5" s="7" t="s">
        <v>178</v>
      </c>
    </row>
    <row r="6" customFormat="false" ht="30" hidden="false" customHeight="true" outlineLevel="0" collapsed="false">
      <c r="A6" s="8" t="s">
        <v>179</v>
      </c>
      <c r="B6" s="9" t="s">
        <v>79</v>
      </c>
      <c r="C6" s="9" t="s">
        <v>180</v>
      </c>
      <c r="D6" s="9" t="s">
        <v>181</v>
      </c>
      <c r="E6" s="9" t="s">
        <v>171</v>
      </c>
    </row>
    <row r="7" customFormat="false" ht="15" hidden="false" customHeight="false" outlineLevel="0" collapsed="false">
      <c r="A7" s="10" t="s">
        <v>182</v>
      </c>
      <c r="B7" s="35" t="n">
        <f aca="false">COUNT(Datos!$B$2:$B$112)</f>
        <v>111</v>
      </c>
      <c r="C7" s="38" t="s">
        <v>183</v>
      </c>
      <c r="D7" s="38" t="n">
        <f aca="false">IFERROR(B7/B$7,"—")</f>
        <v>1</v>
      </c>
      <c r="E7" s="12" t="s">
        <v>184</v>
      </c>
    </row>
    <row r="8" customFormat="false" ht="15" hidden="false" customHeight="false" outlineLevel="0" collapsed="false">
      <c r="A8" s="13" t="s">
        <v>185</v>
      </c>
      <c r="B8" s="45" t="n">
        <f aca="false">COUNTIFS(Datos!$I$2:$I$112,"Sí")</f>
        <v>111</v>
      </c>
      <c r="C8" s="36" t="n">
        <f aca="false">IFERROR(B8/B7,"—")</f>
        <v>1</v>
      </c>
      <c r="D8" s="36" t="n">
        <f aca="false">IFERROR(B8/B$7,"—")</f>
        <v>1</v>
      </c>
      <c r="E8" s="15" t="s">
        <v>186</v>
      </c>
    </row>
    <row r="9" customFormat="false" ht="15" hidden="false" customHeight="false" outlineLevel="0" collapsed="false">
      <c r="A9" s="10" t="s">
        <v>149</v>
      </c>
      <c r="B9" s="35" t="n">
        <f aca="false">COUNTIFS(Datos!$L$2:$L$112,"Sí")</f>
        <v>111</v>
      </c>
      <c r="C9" s="38" t="n">
        <f aca="false">IFERROR(B9/B8,"—")</f>
        <v>1</v>
      </c>
      <c r="D9" s="38" t="n">
        <f aca="false">IFERROR(B9/B$7,"—")</f>
        <v>1</v>
      </c>
      <c r="E9" s="12" t="s">
        <v>187</v>
      </c>
    </row>
    <row r="10" customFormat="false" ht="15" hidden="false" customHeight="false" outlineLevel="0" collapsed="false">
      <c r="A10" s="13" t="s">
        <v>188</v>
      </c>
      <c r="B10" s="45" t="n">
        <f aca="false">COUNTIFS(Datos!$P$2:$P$112,"Sí")</f>
        <v>35</v>
      </c>
      <c r="C10" s="36" t="n">
        <f aca="false">IFERROR(B10/B9,"—")</f>
        <v>0.315315315315315</v>
      </c>
      <c r="D10" s="36" t="n">
        <f aca="false">IFERROR(B10/B$7,"—")</f>
        <v>0.315315315315315</v>
      </c>
      <c r="E10" s="15" t="s">
        <v>189</v>
      </c>
    </row>
    <row r="11" customFormat="false" ht="15" hidden="false" customHeight="false" outlineLevel="0" collapsed="false">
      <c r="A11" s="10" t="s">
        <v>190</v>
      </c>
      <c r="B11" s="35" t="n">
        <f aca="false">COUNTIFS(Datos!$Q$2:$Q$112,"Sí")</f>
        <v>12</v>
      </c>
      <c r="C11" s="38" t="n">
        <f aca="false">IFERROR(B11/B10,"—")</f>
        <v>0.342857142857143</v>
      </c>
      <c r="D11" s="38" t="n">
        <f aca="false">IFERROR(B11/B$7,"—")</f>
        <v>0.108108108108108</v>
      </c>
      <c r="E11" s="12" t="s">
        <v>191</v>
      </c>
    </row>
    <row r="12" customFormat="false" ht="15" hidden="false" customHeight="false" outlineLevel="0" collapsed="false">
      <c r="A12" s="13" t="s">
        <v>192</v>
      </c>
      <c r="B12" s="45" t="n">
        <f aca="false">COUNTIFS(Datos!$AQ$2:$AQ$112,"Sí")</f>
        <v>7</v>
      </c>
      <c r="C12" s="36" t="n">
        <f aca="false">IFERROR(B12/B11,"—")</f>
        <v>0.583333333333333</v>
      </c>
      <c r="D12" s="36" t="n">
        <f aca="false">IFERROR(B12/B$7,"—")</f>
        <v>0.0630630630630631</v>
      </c>
      <c r="E12" s="15" t="s">
        <v>193</v>
      </c>
    </row>
    <row r="13" customFormat="false" ht="15" hidden="false" customHeight="false" outlineLevel="0" collapsed="false">
      <c r="A13" s="50" t="s">
        <v>194</v>
      </c>
      <c r="B13" s="34" t="n">
        <f aca="false">COUNTIFS(Datos!$O$2:$O$112,"Sí")</f>
        <v>103</v>
      </c>
      <c r="D13" s="38" t="n">
        <f aca="false">IFERROR(B13/B$7,"—")</f>
        <v>0.927927927927928</v>
      </c>
      <c r="E13" s="12" t="s">
        <v>195</v>
      </c>
    </row>
    <row r="16" customFormat="false" ht="21.75" hidden="false" customHeight="true" outlineLevel="0" collapsed="false">
      <c r="A16" s="7" t="s">
        <v>196</v>
      </c>
    </row>
    <row r="17" customFormat="false" ht="30" hidden="false" customHeight="true" outlineLevel="0" collapsed="false">
      <c r="A17" s="8" t="s">
        <v>197</v>
      </c>
      <c r="B17" s="9" t="s">
        <v>79</v>
      </c>
      <c r="C17" s="9" t="s">
        <v>198</v>
      </c>
      <c r="D17" s="9" t="s">
        <v>171</v>
      </c>
      <c r="E17" s="9"/>
    </row>
    <row r="18" customFormat="false" ht="15" hidden="false" customHeight="true" outlineLevel="0" collapsed="false">
      <c r="A18" s="10" t="s">
        <v>147</v>
      </c>
      <c r="B18" s="35" t="n">
        <f aca="false">COUNTIFS(Datos!$AJ$2:$AJ$112,A18)</f>
        <v>30</v>
      </c>
      <c r="C18" s="38" t="n">
        <f aca="false">IFERROR(B18/COUNT(Datos!$B$2:$B$112),"—")</f>
        <v>0.27027027027027</v>
      </c>
      <c r="D18" s="12" t="s">
        <v>199</v>
      </c>
      <c r="E18" s="12"/>
    </row>
    <row r="19" customFormat="false" ht="15" hidden="false" customHeight="true" outlineLevel="0" collapsed="false">
      <c r="A19" s="13" t="s">
        <v>148</v>
      </c>
      <c r="B19" s="45" t="n">
        <f aca="false">COUNTIFS(Datos!$AJ$2:$AJ$112,A19)</f>
        <v>29</v>
      </c>
      <c r="C19" s="36" t="n">
        <f aca="false">IFERROR(B19/COUNT(Datos!$B$2:$B$112),"—")</f>
        <v>0.261261261261261</v>
      </c>
      <c r="D19" s="15" t="s">
        <v>200</v>
      </c>
      <c r="E19" s="15"/>
    </row>
    <row r="20" customFormat="false" ht="15" hidden="false" customHeight="true" outlineLevel="0" collapsed="false">
      <c r="A20" s="10" t="s">
        <v>149</v>
      </c>
      <c r="B20" s="35" t="n">
        <f aca="false">COUNTIFS(Datos!$AJ$2:$AJ$112,A20)</f>
        <v>17</v>
      </c>
      <c r="C20" s="38" t="n">
        <f aca="false">IFERROR(B20/COUNT(Datos!$B$2:$B$112),"—")</f>
        <v>0.153153153153153</v>
      </c>
      <c r="D20" s="12" t="s">
        <v>201</v>
      </c>
      <c r="E20" s="12"/>
    </row>
    <row r="21" customFormat="false" ht="15" hidden="false" customHeight="true" outlineLevel="0" collapsed="false">
      <c r="A21" s="13" t="s">
        <v>150</v>
      </c>
      <c r="B21" s="45" t="n">
        <f aca="false">COUNTIFS(Datos!$AJ$2:$AJ$112,A21)</f>
        <v>10</v>
      </c>
      <c r="C21" s="36" t="n">
        <f aca="false">IFERROR(B21/COUNT(Datos!$B$2:$B$112),"—")</f>
        <v>0.0900900900900901</v>
      </c>
      <c r="D21" s="15" t="s">
        <v>202</v>
      </c>
      <c r="E21" s="15"/>
    </row>
    <row r="22" customFormat="false" ht="15" hidden="false" customHeight="true" outlineLevel="0" collapsed="false">
      <c r="A22" s="10" t="s">
        <v>151</v>
      </c>
      <c r="B22" s="35" t="n">
        <f aca="false">COUNTIFS(Datos!$AJ$2:$AJ$112,A22)</f>
        <v>10</v>
      </c>
      <c r="C22" s="38" t="n">
        <f aca="false">IFERROR(B22/COUNT(Datos!$B$2:$B$112),"—")</f>
        <v>0.0900900900900901</v>
      </c>
      <c r="D22" s="12" t="s">
        <v>203</v>
      </c>
      <c r="E22" s="12"/>
    </row>
    <row r="23" customFormat="false" ht="15" hidden="false" customHeight="true" outlineLevel="0" collapsed="false">
      <c r="A23" s="13" t="s">
        <v>152</v>
      </c>
      <c r="B23" s="45" t="n">
        <f aca="false">COUNTIFS(Datos!$AJ$2:$AJ$112,A23)</f>
        <v>3</v>
      </c>
      <c r="C23" s="36" t="n">
        <f aca="false">IFERROR(B23/COUNT(Datos!$B$2:$B$112),"—")</f>
        <v>0.027027027027027</v>
      </c>
      <c r="D23" s="15" t="s">
        <v>204</v>
      </c>
      <c r="E23" s="15"/>
    </row>
    <row r="24" customFormat="false" ht="15" hidden="false" customHeight="true" outlineLevel="0" collapsed="false">
      <c r="A24" s="10" t="s">
        <v>153</v>
      </c>
      <c r="B24" s="35" t="n">
        <f aca="false">COUNTIFS(Datos!$AJ$2:$AJ$112,A24)</f>
        <v>5</v>
      </c>
      <c r="C24" s="38" t="n">
        <f aca="false">IFERROR(B24/COUNT(Datos!$B$2:$B$112),"—")</f>
        <v>0.045045045045045</v>
      </c>
      <c r="D24" s="12" t="s">
        <v>205</v>
      </c>
      <c r="E24" s="12"/>
    </row>
    <row r="25" customFormat="false" ht="15" hidden="false" customHeight="true" outlineLevel="0" collapsed="false">
      <c r="A25" s="13" t="s">
        <v>154</v>
      </c>
      <c r="B25" s="45" t="n">
        <f aca="false">COUNTIFS(Datos!$AJ$2:$AJ$112,A25)</f>
        <v>7</v>
      </c>
      <c r="C25" s="36" t="n">
        <f aca="false">IFERROR(B25/COUNT(Datos!$B$2:$B$112),"—")</f>
        <v>0.0630630630630631</v>
      </c>
      <c r="D25" s="15" t="s">
        <v>193</v>
      </c>
      <c r="E25" s="15"/>
    </row>
    <row r="26" customFormat="false" ht="15" hidden="false" customHeight="false" outlineLevel="0" collapsed="false">
      <c r="A26" s="51" t="s">
        <v>74</v>
      </c>
      <c r="B26" s="35" t="n">
        <f aca="false">SUM(B18:B25)</f>
        <v>111</v>
      </c>
      <c r="C26" s="39" t="n">
        <f aca="false">IFERROR(B26/COUNT(Datos!$B$2:$B$112),"—")</f>
        <v>1</v>
      </c>
    </row>
    <row r="28" customFormat="false" ht="15" hidden="false" customHeight="false" outlineLevel="0" collapsed="false">
      <c r="A28" s="30" t="s">
        <v>206</v>
      </c>
    </row>
  </sheetData>
  <mergeCells count="9"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</mergeCells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4" t="s">
        <v>207</v>
      </c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6" t="s">
        <v>208</v>
      </c>
      <c r="B3" s="5"/>
      <c r="C3" s="5"/>
      <c r="D3" s="5"/>
      <c r="E3" s="5"/>
      <c r="F3" s="5"/>
      <c r="G3" s="5"/>
    </row>
    <row r="5" customFormat="false" ht="21.75" hidden="false" customHeight="true" outlineLevel="0" collapsed="false">
      <c r="A5" s="7" t="s">
        <v>209</v>
      </c>
    </row>
    <row r="6" customFormat="false" ht="30" hidden="false" customHeight="true" outlineLevel="0" collapsed="false">
      <c r="A6" s="8" t="s">
        <v>210</v>
      </c>
      <c r="B6" s="9" t="s">
        <v>79</v>
      </c>
      <c r="C6" s="9" t="s">
        <v>198</v>
      </c>
      <c r="D6" s="9" t="s">
        <v>211</v>
      </c>
      <c r="E6" s="9" t="s">
        <v>212</v>
      </c>
      <c r="F6" s="9" t="s">
        <v>27</v>
      </c>
      <c r="G6" s="9" t="s">
        <v>175</v>
      </c>
    </row>
    <row r="7" customFormat="false" ht="15" hidden="false" customHeight="false" outlineLevel="0" collapsed="false">
      <c r="A7" s="10" t="s">
        <v>213</v>
      </c>
      <c r="B7" s="35" t="n">
        <f aca="false">COUNTIFS(Datos!$T$2:$T$112,"&lt;=5")</f>
        <v>10</v>
      </c>
      <c r="C7" s="38" t="n">
        <f aca="false">IFERROR(B7/COUNT(Datos!$B$2:$B$112),"—")</f>
        <v>0.0900900900900901</v>
      </c>
      <c r="D7" s="38" t="n">
        <f aca="false">IFERROR(COUNTIFS(Datos!$T$2:$T$112,"&lt;=5",Datos!$G$2:$G$112,"Sí")/B7,"—")</f>
        <v>0.8</v>
      </c>
      <c r="E7" s="38" t="n">
        <f aca="false">IFERROR(COUNTIFS(Datos!$T$2:$T$112,"&lt;=5",Datos!$P$2:$P$112,"Sí")/B7,"—")</f>
        <v>0.7</v>
      </c>
      <c r="F7" s="34" t="n">
        <f aca="false">COUNTIFS(Datos!$T$2:$T$112,"&lt;=5",Datos!$AQ$2:$AQ$112,"Sí")</f>
        <v>3</v>
      </c>
      <c r="G7" s="52" t="n">
        <f aca="false">IFERROR(F7/B7,"—")</f>
        <v>0.3</v>
      </c>
    </row>
    <row r="8" customFormat="false" ht="15" hidden="false" customHeight="false" outlineLevel="0" collapsed="false">
      <c r="A8" s="13" t="s">
        <v>214</v>
      </c>
      <c r="B8" s="45" t="n">
        <f aca="false">COUNTIFS(Datos!$T$2:$T$112,"&gt;5",Datos!$T$2:$T$112,"&lt;=15")</f>
        <v>18</v>
      </c>
      <c r="C8" s="36" t="n">
        <f aca="false">IFERROR(B8/COUNT(Datos!$B$2:$B$112),"—")</f>
        <v>0.162162162162162</v>
      </c>
      <c r="D8" s="36" t="n">
        <f aca="false">IFERROR(COUNTIFS(Datos!$T$2:$T$112,"&gt;5",Datos!$T$2:$T$112,"&lt;=15",Datos!$G$2:$G$112,"Sí")/B8,"—")</f>
        <v>1</v>
      </c>
      <c r="E8" s="36" t="n">
        <f aca="false">IFERROR(COUNTIFS(Datos!$T$2:$T$112,"&gt;5",Datos!$T$2:$T$112,"&lt;=15",Datos!$P$2:$P$112,"Sí")/B8,"—")</f>
        <v>0.722222222222222</v>
      </c>
      <c r="F8" s="44" t="n">
        <f aca="false">COUNTIFS(Datos!$T$2:$T$112,"&gt;5",Datos!$T$2:$T$112,"&lt;=15",Datos!$AQ$2:$AQ$112,"Sí")</f>
        <v>2</v>
      </c>
      <c r="G8" s="53" t="n">
        <f aca="false">IFERROR(F8/B8,"—")</f>
        <v>0.111111111111111</v>
      </c>
    </row>
    <row r="9" customFormat="false" ht="15" hidden="false" customHeight="false" outlineLevel="0" collapsed="false">
      <c r="A9" s="10" t="s">
        <v>215</v>
      </c>
      <c r="B9" s="35" t="n">
        <f aca="false">COUNTIFS(Datos!$T$2:$T$112,"&gt;15",Datos!$T$2:$T$112,"&lt;=60")</f>
        <v>9</v>
      </c>
      <c r="C9" s="38" t="n">
        <f aca="false">IFERROR(B9/COUNT(Datos!$B$2:$B$112),"—")</f>
        <v>0.0810810810810811</v>
      </c>
      <c r="D9" s="38" t="n">
        <f aca="false">IFERROR(COUNTIFS(Datos!$T$2:$T$112,"&gt;15",Datos!$T$2:$T$112,"&lt;=60",Datos!$G$2:$G$112,"Sí")/B9,"—")</f>
        <v>0.666666666666667</v>
      </c>
      <c r="E9" s="38" t="n">
        <f aca="false">IFERROR(COUNTIFS(Datos!$T$2:$T$112,"&gt;15",Datos!$T$2:$T$112,"&lt;=60",Datos!$P$2:$P$112,"Sí")/B9,"—")</f>
        <v>0.888888888888889</v>
      </c>
      <c r="F9" s="34" t="n">
        <f aca="false">COUNTIFS(Datos!$T$2:$T$112,"&gt;15",Datos!$T$2:$T$112,"&lt;=60",Datos!$AQ$2:$AQ$112,"Sí")</f>
        <v>0</v>
      </c>
      <c r="G9" s="52" t="n">
        <f aca="false">IFERROR(F9/B9,"—")</f>
        <v>0</v>
      </c>
    </row>
    <row r="10" customFormat="false" ht="15" hidden="false" customHeight="false" outlineLevel="0" collapsed="false">
      <c r="A10" s="13" t="s">
        <v>216</v>
      </c>
      <c r="B10" s="45" t="n">
        <f aca="false">COUNTIFS(Datos!$T$2:$T$112,"&gt;60",Datos!$T$2:$T$112,"&lt;=240")</f>
        <v>2</v>
      </c>
      <c r="C10" s="36" t="n">
        <f aca="false">IFERROR(B10/COUNT(Datos!$B$2:$B$112),"—")</f>
        <v>0.018018018018018</v>
      </c>
      <c r="D10" s="36" t="n">
        <f aca="false">IFERROR(COUNTIFS(Datos!$T$2:$T$112,"&gt;60",Datos!$T$2:$T$112,"&lt;=240",Datos!$G$2:$G$112,"Sí")/B10,"—")</f>
        <v>0</v>
      </c>
      <c r="E10" s="36" t="n">
        <f aca="false">IFERROR(COUNTIFS(Datos!$T$2:$T$112,"&gt;60",Datos!$T$2:$T$112,"&lt;=240",Datos!$P$2:$P$112,"Sí")/B10,"—")</f>
        <v>1</v>
      </c>
      <c r="F10" s="44" t="n">
        <f aca="false">COUNTIFS(Datos!$T$2:$T$112,"&gt;60",Datos!$T$2:$T$112,"&lt;=240",Datos!$AQ$2:$AQ$112,"Sí")</f>
        <v>1</v>
      </c>
      <c r="G10" s="53" t="n">
        <f aca="false">IFERROR(F10/B10,"—")</f>
        <v>0.5</v>
      </c>
    </row>
    <row r="11" customFormat="false" ht="15" hidden="false" customHeight="false" outlineLevel="0" collapsed="false">
      <c r="A11" s="10" t="s">
        <v>217</v>
      </c>
      <c r="B11" s="35" t="n">
        <f aca="false">COUNTIFS(Datos!$T$2:$T$112,"&gt;240",Datos!$T$2:$T$112,"&lt;=1440")</f>
        <v>14</v>
      </c>
      <c r="C11" s="38" t="n">
        <f aca="false">IFERROR(B11/COUNT(Datos!$B$2:$B$112),"—")</f>
        <v>0.126126126126126</v>
      </c>
      <c r="D11" s="38" t="n">
        <f aca="false">IFERROR(COUNTIFS(Datos!$T$2:$T$112,"&gt;240",Datos!$T$2:$T$112,"&lt;=1440",Datos!$G$2:$G$112,"Sí")/B11,"—")</f>
        <v>0.785714285714286</v>
      </c>
      <c r="E11" s="38" t="n">
        <f aca="false">IFERROR(COUNTIFS(Datos!$T$2:$T$112,"&gt;240",Datos!$T$2:$T$112,"&lt;=1440",Datos!$P$2:$P$112,"Sí")/B11,"—")</f>
        <v>0.357142857142857</v>
      </c>
      <c r="F11" s="34" t="n">
        <f aca="false">COUNTIFS(Datos!$T$2:$T$112,"&gt;240",Datos!$T$2:$T$112,"&lt;=1440",Datos!$AQ$2:$AQ$112,"Sí")</f>
        <v>1</v>
      </c>
      <c r="G11" s="52" t="n">
        <f aca="false">IFERROR(F11/B11,"—")</f>
        <v>0.0714285714285714</v>
      </c>
    </row>
    <row r="12" customFormat="false" ht="15" hidden="false" customHeight="false" outlineLevel="0" collapsed="false">
      <c r="A12" s="13" t="s">
        <v>218</v>
      </c>
      <c r="B12" s="45" t="n">
        <f aca="false">COUNTIFS(Datos!$T$2:$T$112,"&gt;1440")</f>
        <v>43</v>
      </c>
      <c r="C12" s="36" t="n">
        <f aca="false">IFERROR(B12/COUNT(Datos!$B$2:$B$112),"—")</f>
        <v>0.387387387387387</v>
      </c>
      <c r="D12" s="36" t="n">
        <f aca="false">IFERROR(COUNTIFS(Datos!$T$2:$T$112,"&gt;1440",Datos!$G$2:$G$112,"Sí")/B12,"—")</f>
        <v>0.418604651162791</v>
      </c>
      <c r="E12" s="36" t="n">
        <f aca="false">IFERROR(COUNTIFS(Datos!$T$2:$T$112,"&gt;1440",Datos!$P$2:$P$112,"Sí")/B12,"—")</f>
        <v>0</v>
      </c>
      <c r="F12" s="44" t="n">
        <f aca="false">COUNTIFS(Datos!$T$2:$T$112,"&gt;1440",Datos!$AQ$2:$AQ$112,"Sí")</f>
        <v>0</v>
      </c>
      <c r="G12" s="53" t="n">
        <f aca="false">IFERROR(F12/B12,"—")</f>
        <v>0</v>
      </c>
    </row>
    <row r="13" customFormat="false" ht="15" hidden="false" customHeight="false" outlineLevel="0" collapsed="false">
      <c r="A13" s="10" t="s">
        <v>219</v>
      </c>
      <c r="B13" s="35" t="n">
        <f aca="false">COUNTIFS(Datos!$T$2:$T$112,"")</f>
        <v>15</v>
      </c>
      <c r="C13" s="38" t="n">
        <f aca="false">IFERROR(B13/COUNT(Datos!$B$2:$B$112),"—")</f>
        <v>0.135135135135135</v>
      </c>
      <c r="D13" s="38" t="n">
        <f aca="false">IFERROR(COUNTIFS(Datos!$T$2:$T$112,"",Datos!$G$2:$G$112,"Sí")/B13,"—")</f>
        <v>0.6</v>
      </c>
      <c r="E13" s="38" t="n">
        <f aca="false">IFERROR(COUNTIFS(Datos!$T$2:$T$112,"",Datos!$P$2:$P$112,"Sí")/B13,"—")</f>
        <v>0</v>
      </c>
      <c r="F13" s="34" t="n">
        <f aca="false">COUNTIFS(Datos!$T$2:$T$112,"",Datos!$AQ$2:$AQ$112,"Sí")</f>
        <v>0</v>
      </c>
      <c r="G13" s="52" t="n">
        <f aca="false">IFERROR(F13/B13,"—")</f>
        <v>0</v>
      </c>
    </row>
    <row r="14" customFormat="false" ht="15" hidden="false" customHeight="false" outlineLevel="0" collapsed="false">
      <c r="A14" s="51" t="s">
        <v>74</v>
      </c>
      <c r="B14" s="35" t="n">
        <f aca="false">SUM(B7:B13)</f>
        <v>111</v>
      </c>
      <c r="F14" s="35" t="n">
        <f aca="false">SUM(F7:F13)</f>
        <v>7</v>
      </c>
      <c r="G14" s="39" t="n">
        <f aca="false">IFERROR(F14/B14,"—")</f>
        <v>0.0630630630630631</v>
      </c>
    </row>
    <row r="15" customFormat="false" ht="15" hidden="false" customHeight="false" outlineLevel="0" collapsed="false">
      <c r="A15" s="30" t="s">
        <v>220</v>
      </c>
    </row>
    <row r="17" customFormat="false" ht="21.75" hidden="false" customHeight="true" outlineLevel="0" collapsed="false">
      <c r="A17" s="7" t="s">
        <v>221</v>
      </c>
    </row>
    <row r="18" customFormat="false" ht="30" hidden="false" customHeight="true" outlineLevel="0" collapsed="false">
      <c r="A18" s="8" t="s">
        <v>222</v>
      </c>
      <c r="B18" s="9" t="s">
        <v>169</v>
      </c>
      <c r="C18" s="9" t="s">
        <v>223</v>
      </c>
      <c r="D18" s="9" t="s">
        <v>224</v>
      </c>
      <c r="E18" s="9" t="s">
        <v>225</v>
      </c>
      <c r="F18" s="9" t="s">
        <v>74</v>
      </c>
      <c r="G18" s="9" t="s">
        <v>226</v>
      </c>
    </row>
    <row r="19" customFormat="false" ht="15" hidden="false" customHeight="false" outlineLevel="0" collapsed="false">
      <c r="A19" s="10" t="s">
        <v>213</v>
      </c>
      <c r="B19" s="34" t="n">
        <f aca="false">COUNTIFS(Respuestas!$H$2:$H$259,"&lt;=5",Respuestas!$E$2:$E$259,"Sí")</f>
        <v>115</v>
      </c>
      <c r="C19" s="38" t="n">
        <f aca="false">IFERROR(B19/COUNTIFS(Respuestas!$E$2:$E$259,"Sí"),"—")</f>
        <v>0.625</v>
      </c>
      <c r="D19" s="34" t="n">
        <f aca="false">COUNTIFS(Respuestas!$H$2:$H$259,"&lt;=5",Respuestas!$E$2:$E$259,"No")</f>
        <v>38</v>
      </c>
      <c r="E19" s="38" t="n">
        <f aca="false">IFERROR(D19/COUNTIFS(Respuestas!$E$2:$E$259,"No"),"—")</f>
        <v>0.513513513513514</v>
      </c>
      <c r="F19" s="35" t="n">
        <f aca="false">COUNTIFS(Respuestas!$H$2:$H$259,"&lt;=5")</f>
        <v>153</v>
      </c>
      <c r="G19" s="39" t="n">
        <f aca="false">IFERROR(F19/COUNT(Respuestas!$B$2:$B$259),"—")</f>
        <v>0.593023255813954</v>
      </c>
    </row>
    <row r="20" customFormat="false" ht="15" hidden="false" customHeight="false" outlineLevel="0" collapsed="false">
      <c r="A20" s="13" t="s">
        <v>214</v>
      </c>
      <c r="B20" s="44" t="n">
        <f aca="false">COUNTIFS(Respuestas!$H$2:$H$259,"&gt;5",Respuestas!$H$2:$H$259,"&lt;=15",Respuestas!$E$2:$E$259,"Sí")</f>
        <v>35</v>
      </c>
      <c r="C20" s="36" t="n">
        <f aca="false">IFERROR(B20/COUNTIFS(Respuestas!$E$2:$E$259,"Sí"),"—")</f>
        <v>0.190217391304348</v>
      </c>
      <c r="D20" s="44" t="n">
        <f aca="false">COUNTIFS(Respuestas!$H$2:$H$259,"&gt;5",Respuestas!$H$2:$H$259,"&lt;=15",Respuestas!$E$2:$E$259,"No")</f>
        <v>11</v>
      </c>
      <c r="E20" s="36" t="n">
        <f aca="false">IFERROR(D20/COUNTIFS(Respuestas!$E$2:$E$259,"No"),"—")</f>
        <v>0.148648648648649</v>
      </c>
      <c r="F20" s="45" t="n">
        <f aca="false">COUNTIFS(Respuestas!$H$2:$H$259,"&gt;5",Respuestas!$H$2:$H$259,"&lt;=15")</f>
        <v>46</v>
      </c>
      <c r="G20" s="37" t="n">
        <f aca="false">IFERROR(F20/COUNT(Respuestas!$B$2:$B$259),"—")</f>
        <v>0.178294573643411</v>
      </c>
    </row>
    <row r="21" customFormat="false" ht="15" hidden="false" customHeight="false" outlineLevel="0" collapsed="false">
      <c r="A21" s="10" t="s">
        <v>215</v>
      </c>
      <c r="B21" s="34" t="n">
        <f aca="false">COUNTIFS(Respuestas!$H$2:$H$259,"&gt;15",Respuestas!$H$2:$H$259,"&lt;=60",Respuestas!$E$2:$E$259,"Sí")</f>
        <v>6</v>
      </c>
      <c r="C21" s="38" t="n">
        <f aca="false">IFERROR(B21/COUNTIFS(Respuestas!$E$2:$E$259,"Sí"),"—")</f>
        <v>0.0326086956521739</v>
      </c>
      <c r="D21" s="34" t="n">
        <f aca="false">COUNTIFS(Respuestas!$H$2:$H$259,"&gt;15",Respuestas!$H$2:$H$259,"&lt;=60",Respuestas!$E$2:$E$259,"No")</f>
        <v>5</v>
      </c>
      <c r="E21" s="38" t="n">
        <f aca="false">IFERROR(D21/COUNTIFS(Respuestas!$E$2:$E$259,"No"),"—")</f>
        <v>0.0675675675675676</v>
      </c>
      <c r="F21" s="35" t="n">
        <f aca="false">COUNTIFS(Respuestas!$H$2:$H$259,"&gt;15",Respuestas!$H$2:$H$259,"&lt;=60")</f>
        <v>11</v>
      </c>
      <c r="G21" s="39" t="n">
        <f aca="false">IFERROR(F21/COUNT(Respuestas!$B$2:$B$259),"—")</f>
        <v>0.0426356589147287</v>
      </c>
    </row>
    <row r="22" customFormat="false" ht="15" hidden="false" customHeight="false" outlineLevel="0" collapsed="false">
      <c r="A22" s="13" t="s">
        <v>216</v>
      </c>
      <c r="B22" s="44" t="n">
        <f aca="false">COUNTIFS(Respuestas!$H$2:$H$259,"&gt;60",Respuestas!$H$2:$H$259,"&lt;=240",Respuestas!$E$2:$E$259,"Sí")</f>
        <v>2</v>
      </c>
      <c r="C22" s="36" t="n">
        <f aca="false">IFERROR(B22/COUNTIFS(Respuestas!$E$2:$E$259,"Sí"),"—")</f>
        <v>0.0108695652173913</v>
      </c>
      <c r="D22" s="44" t="n">
        <f aca="false">COUNTIFS(Respuestas!$H$2:$H$259,"&gt;60",Respuestas!$H$2:$H$259,"&lt;=240",Respuestas!$E$2:$E$259,"No")</f>
        <v>0</v>
      </c>
      <c r="E22" s="36" t="n">
        <f aca="false">IFERROR(D22/COUNTIFS(Respuestas!$E$2:$E$259,"No"),"—")</f>
        <v>0</v>
      </c>
      <c r="F22" s="45" t="n">
        <f aca="false">COUNTIFS(Respuestas!$H$2:$H$259,"&gt;60",Respuestas!$H$2:$H$259,"&lt;=240")</f>
        <v>2</v>
      </c>
      <c r="G22" s="37" t="n">
        <f aca="false">IFERROR(F22/COUNT(Respuestas!$B$2:$B$259),"—")</f>
        <v>0.00775193798449612</v>
      </c>
    </row>
    <row r="23" customFormat="false" ht="15" hidden="false" customHeight="false" outlineLevel="0" collapsed="false">
      <c r="A23" s="10" t="s">
        <v>227</v>
      </c>
      <c r="B23" s="34" t="n">
        <f aca="false">COUNTIFS(Respuestas!$H$2:$H$259,"&gt;240",Respuestas!$E$2:$E$259,"Sí")</f>
        <v>18</v>
      </c>
      <c r="C23" s="38" t="n">
        <f aca="false">IFERROR(B23/COUNTIFS(Respuestas!$E$2:$E$259,"Sí"),"—")</f>
        <v>0.0978260869565217</v>
      </c>
      <c r="D23" s="34" t="n">
        <f aca="false">COUNTIFS(Respuestas!$H$2:$H$259,"&gt;240",Respuestas!$E$2:$E$259,"No")</f>
        <v>16</v>
      </c>
      <c r="E23" s="38" t="n">
        <f aca="false">IFERROR(D23/COUNTIFS(Respuestas!$E$2:$E$259,"No"),"—")</f>
        <v>0.216216216216216</v>
      </c>
      <c r="F23" s="35" t="n">
        <f aca="false">COUNTIFS(Respuestas!$H$2:$H$259,"&gt;240")</f>
        <v>34</v>
      </c>
      <c r="G23" s="39" t="n">
        <f aca="false">IFERROR(F23/COUNT(Respuestas!$B$2:$B$259),"—")</f>
        <v>0.131782945736434</v>
      </c>
    </row>
    <row r="24" customFormat="false" ht="15" hidden="false" customHeight="false" outlineLevel="0" collapsed="false">
      <c r="A24" s="13" t="s">
        <v>228</v>
      </c>
      <c r="B24" s="44" t="n">
        <f aca="false">COUNTIFS(Respuestas!$H$2:$H$259,"",Respuestas!$E$2:$E$259,"Sí")</f>
        <v>8</v>
      </c>
      <c r="C24" s="36" t="n">
        <f aca="false">IFERROR(B24/COUNTIFS(Respuestas!$E$2:$E$259,"Sí"),"—")</f>
        <v>0.0434782608695652</v>
      </c>
      <c r="D24" s="44" t="n">
        <f aca="false">COUNTIFS(Respuestas!$H$2:$H$259,"",Respuestas!$E$2:$E$259,"No")</f>
        <v>4</v>
      </c>
      <c r="E24" s="36" t="n">
        <f aca="false">IFERROR(D24/COUNTIFS(Respuestas!$E$2:$E$259,"No"),"—")</f>
        <v>0.0540540540540541</v>
      </c>
      <c r="F24" s="45" t="n">
        <f aca="false">COUNTIFS(Respuestas!$H$2:$H$259,"")</f>
        <v>12</v>
      </c>
      <c r="G24" s="37" t="n">
        <f aca="false">IFERROR(F24/COUNT(Respuestas!$B$2:$B$259),"—")</f>
        <v>0.0465116279069767</v>
      </c>
    </row>
    <row r="25" customFormat="false" ht="15" hidden="false" customHeight="false" outlineLevel="0" collapsed="false">
      <c r="A25" s="51" t="s">
        <v>229</v>
      </c>
      <c r="B25" s="35" t="n">
        <f aca="false">COUNTIFS(Respuestas!$E$2:$E$259,"Sí")</f>
        <v>184</v>
      </c>
      <c r="D25" s="35" t="n">
        <f aca="false">COUNTIFS(Respuestas!$E$2:$E$259,"No")</f>
        <v>74</v>
      </c>
      <c r="F25" s="35" t="n">
        <f aca="false">COUNT(Respuestas!$B$2:$B$259)</f>
        <v>258</v>
      </c>
    </row>
    <row r="26" customFormat="false" ht="15" hidden="false" customHeight="false" outlineLevel="0" collapsed="false">
      <c r="A26" s="10" t="s">
        <v>230</v>
      </c>
      <c r="B26" s="40" t="n">
        <f aca="false" t="array" ref="B26:B26">IFERROR(MEDIAN(IF((Respuestas!$E$2:$E$259="Sí")*(Respuestas!$H$2:$H$259&lt;&gt;""),Respuestas!$H$2:$H$259)),"—")</f>
        <v>3.1</v>
      </c>
      <c r="D26" s="40" t="n">
        <f aca="false" t="array" ref="D26:D26">IFERROR(MEDIAN(IF((Respuestas!$E$2:$E$259="No")*(Respuestas!$H$2:$H$259&lt;&gt;""),Respuestas!$H$2:$H$259)),"—")</f>
        <v>3</v>
      </c>
      <c r="F26" s="41" t="n">
        <f aca="false">IFERROR(MEDIAN(Respuestas!$H$2:$H$259),"—")</f>
        <v>3.1</v>
      </c>
    </row>
    <row r="27" customFormat="false" ht="15" hidden="false" customHeight="false" outlineLevel="0" collapsed="false">
      <c r="A27" s="10" t="s">
        <v>231</v>
      </c>
      <c r="C27" s="38" t="n">
        <f aca="false">IFERROR(COUNTIFS(Respuestas!$E$2:$E$259,"Sí",Respuestas!$I$2:$I$259,"Bot")/B25,"—")</f>
        <v>0.342391304347826</v>
      </c>
      <c r="E27" s="38" t="n">
        <f aca="false">IFERROR(COUNTIFS(Respuestas!$E$2:$E$259,"No",Respuestas!$I$2:$I$259,"Bot")/D25,"—")</f>
        <v>0.364864864864865</v>
      </c>
      <c r="G27" s="39" t="n">
        <f aca="false">IFERROR(COUNTIFS(Respuestas!$I$2:$I$259,"Bot")/F25,"—")</f>
        <v>0.348837209302326</v>
      </c>
    </row>
    <row r="28" customFormat="false" ht="15" hidden="false" customHeight="false" outlineLevel="0" collapsed="false">
      <c r="A28" s="30" t="s">
        <v>232</v>
      </c>
    </row>
    <row r="30" customFormat="false" ht="21.75" hidden="false" customHeight="true" outlineLevel="0" collapsed="false">
      <c r="A30" s="7" t="s">
        <v>233</v>
      </c>
    </row>
    <row r="31" customFormat="false" ht="30" hidden="false" customHeight="true" outlineLevel="0" collapsed="false">
      <c r="A31" s="8" t="s">
        <v>234</v>
      </c>
      <c r="B31" s="9" t="s">
        <v>79</v>
      </c>
      <c r="C31" s="9" t="s">
        <v>198</v>
      </c>
      <c r="D31" s="9" t="s">
        <v>211</v>
      </c>
      <c r="E31" s="9" t="s">
        <v>235</v>
      </c>
      <c r="F31" s="9" t="s">
        <v>27</v>
      </c>
      <c r="G31" s="9" t="s">
        <v>175</v>
      </c>
    </row>
    <row r="32" customFormat="false" ht="15" hidden="false" customHeight="false" outlineLevel="0" collapsed="false">
      <c r="A32" s="10" t="s">
        <v>236</v>
      </c>
      <c r="B32" s="35" t="n">
        <f aca="false">COUNTIFS(Datos!$E$2:$E$112,0)</f>
        <v>2</v>
      </c>
      <c r="C32" s="38" t="n">
        <f aca="false">IFERROR(B32/COUNT(Datos!$B$2:$B$112),"—")</f>
        <v>0.018018018018018</v>
      </c>
      <c r="D32" s="38" t="n">
        <f aca="false">IFERROR(COUNTIFS(Datos!$E$2:$E$112,0,Datos!$G$2:$G$112,"Sí")/B32,"—")</f>
        <v>0.5</v>
      </c>
      <c r="E32" s="40" t="n">
        <f aca="false" t="array" ref="E32:E32">IFERROR(MEDIAN(IF((Datos!$E$2:$E$112=0)*(Datos!$J$2:$J$112&lt;&gt;""),Datos!$J$2:$J$112)),"—")</f>
        <v>439</v>
      </c>
      <c r="F32" s="34" t="n">
        <f aca="false">COUNTIFS(Datos!$E$2:$E$112,0,Datos!$AQ$2:$AQ$112,"Sí")</f>
        <v>0</v>
      </c>
      <c r="G32" s="38" t="n">
        <f aca="false">IFERROR(F32/B32,"—")</f>
        <v>0</v>
      </c>
    </row>
    <row r="33" customFormat="false" ht="15" hidden="false" customHeight="false" outlineLevel="0" collapsed="false">
      <c r="A33" s="13" t="s">
        <v>237</v>
      </c>
      <c r="B33" s="45" t="n">
        <f aca="false">COUNTIFS(Datos!$E$2:$E$112,1)</f>
        <v>2</v>
      </c>
      <c r="C33" s="36" t="n">
        <f aca="false">IFERROR(B33/COUNT(Datos!$B$2:$B$112),"—")</f>
        <v>0.018018018018018</v>
      </c>
      <c r="D33" s="36" t="n">
        <f aca="false">IFERROR(COUNTIFS(Datos!$E$2:$E$112,1,Datos!$G$2:$G$112,"Sí")/B33,"—")</f>
        <v>0</v>
      </c>
      <c r="E33" s="42" t="str">
        <f aca="false" t="array" ref="E33:E33">IFERROR(MEDIAN(IF((Datos!$E$2:$E$112=1)*(Datos!$J$2:$J$112&lt;&gt;""),Datos!$J$2:$J$112)),"—")</f>
        <v>—</v>
      </c>
      <c r="F33" s="44" t="n">
        <f aca="false">COUNTIFS(Datos!$E$2:$E$112,1,Datos!$AQ$2:$AQ$112,"Sí")</f>
        <v>0</v>
      </c>
      <c r="G33" s="36" t="n">
        <f aca="false">IFERROR(F33/B33,"—")</f>
        <v>0</v>
      </c>
    </row>
    <row r="34" customFormat="false" ht="15" hidden="false" customHeight="false" outlineLevel="0" collapsed="false">
      <c r="A34" s="10" t="s">
        <v>238</v>
      </c>
      <c r="B34" s="35" t="n">
        <f aca="false">COUNTIFS(Datos!$E$2:$E$112,2)</f>
        <v>0</v>
      </c>
      <c r="C34" s="38" t="n">
        <f aca="false">IFERROR(B34/COUNT(Datos!$B$2:$B$112),"—")</f>
        <v>0</v>
      </c>
      <c r="D34" s="38" t="str">
        <f aca="false">IFERROR(COUNTIFS(Datos!$E$2:$E$112,2,Datos!$G$2:$G$112,"Sí")/B34,"—")</f>
        <v>—</v>
      </c>
      <c r="E34" s="40" t="str">
        <f aca="false" t="array" ref="E34:E34">IFERROR(MEDIAN(IF((Datos!$E$2:$E$112=2)*(Datos!$J$2:$J$112&lt;&gt;""),Datos!$J$2:$J$112)),"—")</f>
        <v>—</v>
      </c>
      <c r="F34" s="34" t="n">
        <f aca="false">COUNTIFS(Datos!$E$2:$E$112,2,Datos!$AQ$2:$AQ$112,"Sí")</f>
        <v>0</v>
      </c>
      <c r="G34" s="38" t="str">
        <f aca="false">IFERROR(F34/B34,"—")</f>
        <v>—</v>
      </c>
    </row>
    <row r="35" customFormat="false" ht="15" hidden="false" customHeight="false" outlineLevel="0" collapsed="false">
      <c r="A35" s="13" t="s">
        <v>239</v>
      </c>
      <c r="B35" s="45" t="n">
        <f aca="false">COUNTIFS(Datos!$E$2:$E$112,3)</f>
        <v>2</v>
      </c>
      <c r="C35" s="36" t="n">
        <f aca="false">IFERROR(B35/COUNT(Datos!$B$2:$B$112),"—")</f>
        <v>0.018018018018018</v>
      </c>
      <c r="D35" s="36" t="n">
        <f aca="false">IFERROR(COUNTIFS(Datos!$E$2:$E$112,3,Datos!$G$2:$G$112,"Sí")/B35,"—")</f>
        <v>1</v>
      </c>
      <c r="E35" s="42" t="n">
        <f aca="false" t="array" ref="E35:E35">IFERROR(MEDIAN(IF((Datos!$E$2:$E$112=3)*(Datos!$J$2:$J$112&lt;&gt;""),Datos!$J$2:$J$112)),"—")</f>
        <v>258.15</v>
      </c>
      <c r="F35" s="44" t="n">
        <f aca="false">COUNTIFS(Datos!$E$2:$E$112,3,Datos!$AQ$2:$AQ$112,"Sí")</f>
        <v>0</v>
      </c>
      <c r="G35" s="36" t="n">
        <f aca="false">IFERROR(F35/B35,"—")</f>
        <v>0</v>
      </c>
    </row>
    <row r="36" customFormat="false" ht="15" hidden="false" customHeight="false" outlineLevel="0" collapsed="false">
      <c r="A36" s="10" t="s">
        <v>240</v>
      </c>
      <c r="B36" s="35" t="n">
        <f aca="false">COUNTIFS(Datos!$E$2:$E$112,4)</f>
        <v>1</v>
      </c>
      <c r="C36" s="38" t="n">
        <f aca="false">IFERROR(B36/COUNT(Datos!$B$2:$B$112),"—")</f>
        <v>0.00900900900900901</v>
      </c>
      <c r="D36" s="38" t="n">
        <f aca="false">IFERROR(COUNTIFS(Datos!$E$2:$E$112,4,Datos!$G$2:$G$112,"Sí")/B36,"—")</f>
        <v>0</v>
      </c>
      <c r="E36" s="40" t="str">
        <f aca="false" t="array" ref="E36:E36">IFERROR(MEDIAN(IF((Datos!$E$2:$E$112=4)*(Datos!$J$2:$J$112&lt;&gt;""),Datos!$J$2:$J$112)),"—")</f>
        <v>—</v>
      </c>
      <c r="F36" s="34" t="n">
        <f aca="false">COUNTIFS(Datos!$E$2:$E$112,4,Datos!$AQ$2:$AQ$112,"Sí")</f>
        <v>0</v>
      </c>
      <c r="G36" s="38" t="n">
        <f aca="false">IFERROR(F36/B36,"—")</f>
        <v>0</v>
      </c>
    </row>
    <row r="37" customFormat="false" ht="15" hidden="false" customHeight="false" outlineLevel="0" collapsed="false">
      <c r="A37" s="13" t="s">
        <v>241</v>
      </c>
      <c r="B37" s="45" t="n">
        <f aca="false">COUNTIFS(Datos!$E$2:$E$112,5)</f>
        <v>0</v>
      </c>
      <c r="C37" s="36" t="n">
        <f aca="false">IFERROR(B37/COUNT(Datos!$B$2:$B$112),"—")</f>
        <v>0</v>
      </c>
      <c r="D37" s="36" t="str">
        <f aca="false">IFERROR(COUNTIFS(Datos!$E$2:$E$112,5,Datos!$G$2:$G$112,"Sí")/B37,"—")</f>
        <v>—</v>
      </c>
      <c r="E37" s="42" t="str">
        <f aca="false" t="array" ref="E37:E37">IFERROR(MEDIAN(IF((Datos!$E$2:$E$112=5)*(Datos!$J$2:$J$112&lt;&gt;""),Datos!$J$2:$J$112)),"—")</f>
        <v>—</v>
      </c>
      <c r="F37" s="44" t="n">
        <f aca="false">COUNTIFS(Datos!$E$2:$E$112,5,Datos!$AQ$2:$AQ$112,"Sí")</f>
        <v>0</v>
      </c>
      <c r="G37" s="36" t="str">
        <f aca="false">IFERROR(F37/B37,"—")</f>
        <v>—</v>
      </c>
    </row>
    <row r="38" customFormat="false" ht="15" hidden="false" customHeight="false" outlineLevel="0" collapsed="false">
      <c r="A38" s="10" t="s">
        <v>242</v>
      </c>
      <c r="B38" s="35" t="n">
        <f aca="false">COUNTIFS(Datos!$E$2:$E$112,6)</f>
        <v>0</v>
      </c>
      <c r="C38" s="38" t="n">
        <f aca="false">IFERROR(B38/COUNT(Datos!$B$2:$B$112),"—")</f>
        <v>0</v>
      </c>
      <c r="D38" s="38" t="str">
        <f aca="false">IFERROR(COUNTIFS(Datos!$E$2:$E$112,6,Datos!$G$2:$G$112,"Sí")/B38,"—")</f>
        <v>—</v>
      </c>
      <c r="E38" s="40" t="str">
        <f aca="false" t="array" ref="E38:E38">IFERROR(MEDIAN(IF((Datos!$E$2:$E$112=6)*(Datos!$J$2:$J$112&lt;&gt;""),Datos!$J$2:$J$112)),"—")</f>
        <v>—</v>
      </c>
      <c r="F38" s="34" t="n">
        <f aca="false">COUNTIFS(Datos!$E$2:$E$112,6,Datos!$AQ$2:$AQ$112,"Sí")</f>
        <v>0</v>
      </c>
      <c r="G38" s="38" t="str">
        <f aca="false">IFERROR(F38/B38,"—")</f>
        <v>—</v>
      </c>
    </row>
    <row r="39" customFormat="false" ht="15" hidden="false" customHeight="false" outlineLevel="0" collapsed="false">
      <c r="A39" s="13" t="s">
        <v>243</v>
      </c>
      <c r="B39" s="45" t="n">
        <f aca="false">COUNTIFS(Datos!$E$2:$E$112,7)</f>
        <v>1</v>
      </c>
      <c r="C39" s="36" t="n">
        <f aca="false">IFERROR(B39/COUNT(Datos!$B$2:$B$112),"—")</f>
        <v>0.00900900900900901</v>
      </c>
      <c r="D39" s="36" t="n">
        <f aca="false">IFERROR(COUNTIFS(Datos!$E$2:$E$112,7,Datos!$G$2:$G$112,"Sí")/B39,"—")</f>
        <v>1</v>
      </c>
      <c r="E39" s="42" t="n">
        <f aca="false" t="array" ref="E39:E39">IFERROR(MEDIAN(IF((Datos!$E$2:$E$112=7)*(Datos!$J$2:$J$112&lt;&gt;""),Datos!$J$2:$J$112)),"—")</f>
        <v>3.1</v>
      </c>
      <c r="F39" s="44" t="n">
        <f aca="false">COUNTIFS(Datos!$E$2:$E$112,7,Datos!$AQ$2:$AQ$112,"Sí")</f>
        <v>0</v>
      </c>
      <c r="G39" s="36" t="n">
        <f aca="false">IFERROR(F39/B39,"—")</f>
        <v>0</v>
      </c>
    </row>
    <row r="40" customFormat="false" ht="15" hidden="false" customHeight="false" outlineLevel="0" collapsed="false">
      <c r="A40" s="10" t="s">
        <v>244</v>
      </c>
      <c r="B40" s="35" t="n">
        <f aca="false">COUNTIFS(Datos!$E$2:$E$112,8)</f>
        <v>4</v>
      </c>
      <c r="C40" s="38" t="n">
        <f aca="false">IFERROR(B40/COUNT(Datos!$B$2:$B$112),"—")</f>
        <v>0.036036036036036</v>
      </c>
      <c r="D40" s="38" t="n">
        <f aca="false">IFERROR(COUNTIFS(Datos!$E$2:$E$112,8,Datos!$G$2:$G$112,"Sí")/B40,"—")</f>
        <v>1</v>
      </c>
      <c r="E40" s="40" t="n">
        <f aca="false" t="array" ref="E40:E40">IFERROR(MEDIAN(IF((Datos!$E$2:$E$112=8)*(Datos!$J$2:$J$112&lt;&gt;""),Datos!$J$2:$J$112)),"—")</f>
        <v>0.3</v>
      </c>
      <c r="F40" s="34" t="n">
        <f aca="false">COUNTIFS(Datos!$E$2:$E$112,8,Datos!$AQ$2:$AQ$112,"Sí")</f>
        <v>1</v>
      </c>
      <c r="G40" s="38" t="n">
        <f aca="false">IFERROR(F40/B40,"—")</f>
        <v>0.25</v>
      </c>
    </row>
    <row r="41" customFormat="false" ht="15" hidden="false" customHeight="false" outlineLevel="0" collapsed="false">
      <c r="A41" s="13" t="s">
        <v>245</v>
      </c>
      <c r="B41" s="45" t="n">
        <f aca="false">COUNTIFS(Datos!$E$2:$E$112,9)</f>
        <v>5</v>
      </c>
      <c r="C41" s="36" t="n">
        <f aca="false">IFERROR(B41/COUNT(Datos!$B$2:$B$112),"—")</f>
        <v>0.045045045045045</v>
      </c>
      <c r="D41" s="36" t="n">
        <f aca="false">IFERROR(COUNTIFS(Datos!$E$2:$E$112,9,Datos!$G$2:$G$112,"Sí")/B41,"—")</f>
        <v>0.8</v>
      </c>
      <c r="E41" s="42" t="n">
        <f aca="false" t="array" ref="E41:E41">IFERROR(MEDIAN(IF((Datos!$E$2:$E$112=9)*(Datos!$J$2:$J$112&lt;&gt;""),Datos!$J$2:$J$112)),"—")</f>
        <v>0.3</v>
      </c>
      <c r="F41" s="44" t="n">
        <f aca="false">COUNTIFS(Datos!$E$2:$E$112,9,Datos!$AQ$2:$AQ$112,"Sí")</f>
        <v>0</v>
      </c>
      <c r="G41" s="36" t="n">
        <f aca="false">IFERROR(F41/B41,"—")</f>
        <v>0</v>
      </c>
    </row>
    <row r="42" customFormat="false" ht="15" hidden="false" customHeight="false" outlineLevel="0" collapsed="false">
      <c r="A42" s="10" t="s">
        <v>246</v>
      </c>
      <c r="B42" s="35" t="n">
        <f aca="false">COUNTIFS(Datos!$E$2:$E$112,10)</f>
        <v>5</v>
      </c>
      <c r="C42" s="38" t="n">
        <f aca="false">IFERROR(B42/COUNT(Datos!$B$2:$B$112),"—")</f>
        <v>0.045045045045045</v>
      </c>
      <c r="D42" s="38" t="n">
        <f aca="false">IFERROR(COUNTIFS(Datos!$E$2:$E$112,10,Datos!$G$2:$G$112,"Sí")/B42,"—")</f>
        <v>0.6</v>
      </c>
      <c r="E42" s="40" t="n">
        <f aca="false" t="array" ref="E42:E42">IFERROR(MEDIAN(IF((Datos!$E$2:$E$112=10)*(Datos!$J$2:$J$112&lt;&gt;""),Datos!$J$2:$J$112)),"—")</f>
        <v>1</v>
      </c>
      <c r="F42" s="34" t="n">
        <f aca="false">COUNTIFS(Datos!$E$2:$E$112,10,Datos!$AQ$2:$AQ$112,"Sí")</f>
        <v>0</v>
      </c>
      <c r="G42" s="38" t="n">
        <f aca="false">IFERROR(F42/B42,"—")</f>
        <v>0</v>
      </c>
    </row>
    <row r="43" customFormat="false" ht="15" hidden="false" customHeight="false" outlineLevel="0" collapsed="false">
      <c r="A43" s="13" t="s">
        <v>247</v>
      </c>
      <c r="B43" s="45" t="n">
        <f aca="false">COUNTIFS(Datos!$E$2:$E$112,11)</f>
        <v>9</v>
      </c>
      <c r="C43" s="36" t="n">
        <f aca="false">IFERROR(B43/COUNT(Datos!$B$2:$B$112),"—")</f>
        <v>0.0810810810810811</v>
      </c>
      <c r="D43" s="36" t="n">
        <f aca="false">IFERROR(COUNTIFS(Datos!$E$2:$E$112,11,Datos!$G$2:$G$112,"Sí")/B43,"—")</f>
        <v>0.555555555555556</v>
      </c>
      <c r="E43" s="42" t="n">
        <f aca="false" t="array" ref="E43:E43">IFERROR(MEDIAN(IF((Datos!$E$2:$E$112=11)*(Datos!$J$2:$J$112&lt;&gt;""),Datos!$J$2:$J$112)),"—")</f>
        <v>1.1</v>
      </c>
      <c r="F43" s="44" t="n">
        <f aca="false">COUNTIFS(Datos!$E$2:$E$112,11,Datos!$AQ$2:$AQ$112,"Sí")</f>
        <v>0</v>
      </c>
      <c r="G43" s="36" t="n">
        <f aca="false">IFERROR(F43/B43,"—")</f>
        <v>0</v>
      </c>
    </row>
    <row r="44" customFormat="false" ht="15" hidden="false" customHeight="false" outlineLevel="0" collapsed="false">
      <c r="A44" s="10" t="s">
        <v>248</v>
      </c>
      <c r="B44" s="35" t="n">
        <f aca="false">COUNTIFS(Datos!$E$2:$E$112,12)</f>
        <v>6</v>
      </c>
      <c r="C44" s="38" t="n">
        <f aca="false">IFERROR(B44/COUNT(Datos!$B$2:$B$112),"—")</f>
        <v>0.0540540540540541</v>
      </c>
      <c r="D44" s="38" t="n">
        <f aca="false">IFERROR(COUNTIFS(Datos!$E$2:$E$112,12,Datos!$G$2:$G$112,"Sí")/B44,"—")</f>
        <v>0.833333333333333</v>
      </c>
      <c r="E44" s="40" t="n">
        <f aca="false" t="array" ref="E44:E44">IFERROR(MEDIAN(IF((Datos!$E$2:$E$112=12)*(Datos!$J$2:$J$112&lt;&gt;""),Datos!$J$2:$J$112)),"—")</f>
        <v>0.2</v>
      </c>
      <c r="F44" s="34" t="n">
        <f aca="false">COUNTIFS(Datos!$E$2:$E$112,12,Datos!$AQ$2:$AQ$112,"Sí")</f>
        <v>0</v>
      </c>
      <c r="G44" s="38" t="n">
        <f aca="false">IFERROR(F44/B44,"—")</f>
        <v>0</v>
      </c>
    </row>
    <row r="45" customFormat="false" ht="15" hidden="false" customHeight="false" outlineLevel="0" collapsed="false">
      <c r="A45" s="13" t="s">
        <v>249</v>
      </c>
      <c r="B45" s="45" t="n">
        <f aca="false">COUNTIFS(Datos!$E$2:$E$112,13)</f>
        <v>9</v>
      </c>
      <c r="C45" s="36" t="n">
        <f aca="false">IFERROR(B45/COUNT(Datos!$B$2:$B$112),"—")</f>
        <v>0.0810810810810811</v>
      </c>
      <c r="D45" s="36" t="n">
        <f aca="false">IFERROR(COUNTIFS(Datos!$E$2:$E$112,13,Datos!$G$2:$G$112,"Sí")/B45,"—")</f>
        <v>0.333333333333333</v>
      </c>
      <c r="E45" s="42" t="n">
        <f aca="false" t="array" ref="E45:E45">IFERROR(MEDIAN(IF((Datos!$E$2:$E$112=13)*(Datos!$J$2:$J$112&lt;&gt;""),Datos!$J$2:$J$112)),"—")</f>
        <v>0.3</v>
      </c>
      <c r="F45" s="44" t="n">
        <f aca="false">COUNTIFS(Datos!$E$2:$E$112,13,Datos!$AQ$2:$AQ$112,"Sí")</f>
        <v>2</v>
      </c>
      <c r="G45" s="36" t="n">
        <f aca="false">IFERROR(F45/B45,"—")</f>
        <v>0.222222222222222</v>
      </c>
    </row>
    <row r="46" customFormat="false" ht="15" hidden="false" customHeight="false" outlineLevel="0" collapsed="false">
      <c r="A46" s="10" t="s">
        <v>250</v>
      </c>
      <c r="B46" s="35" t="n">
        <f aca="false">COUNTIFS(Datos!$E$2:$E$112,14)</f>
        <v>6</v>
      </c>
      <c r="C46" s="38" t="n">
        <f aca="false">IFERROR(B46/COUNT(Datos!$B$2:$B$112),"—")</f>
        <v>0.0540540540540541</v>
      </c>
      <c r="D46" s="38" t="n">
        <f aca="false">IFERROR(COUNTIFS(Datos!$E$2:$E$112,14,Datos!$G$2:$G$112,"Sí")/B46,"—")</f>
        <v>0.5</v>
      </c>
      <c r="E46" s="40" t="n">
        <f aca="false" t="array" ref="E46:E46">IFERROR(MEDIAN(IF((Datos!$E$2:$E$112=14)*(Datos!$J$2:$J$112&lt;&gt;""),Datos!$J$2:$J$112)),"—")</f>
        <v>1.6</v>
      </c>
      <c r="F46" s="34" t="n">
        <f aca="false">COUNTIFS(Datos!$E$2:$E$112,14,Datos!$AQ$2:$AQ$112,"Sí")</f>
        <v>0</v>
      </c>
      <c r="G46" s="38" t="n">
        <f aca="false">IFERROR(F46/B46,"—")</f>
        <v>0</v>
      </c>
    </row>
    <row r="47" customFormat="false" ht="15" hidden="false" customHeight="false" outlineLevel="0" collapsed="false">
      <c r="A47" s="13" t="s">
        <v>251</v>
      </c>
      <c r="B47" s="45" t="n">
        <f aca="false">COUNTIFS(Datos!$E$2:$E$112,15)</f>
        <v>5</v>
      </c>
      <c r="C47" s="36" t="n">
        <f aca="false">IFERROR(B47/COUNT(Datos!$B$2:$B$112),"—")</f>
        <v>0.045045045045045</v>
      </c>
      <c r="D47" s="36" t="n">
        <f aca="false">IFERROR(COUNTIFS(Datos!$E$2:$E$112,15,Datos!$G$2:$G$112,"Sí")/B47,"—")</f>
        <v>0.6</v>
      </c>
      <c r="E47" s="42" t="n">
        <f aca="false" t="array" ref="E47:E47">IFERROR(MEDIAN(IF((Datos!$E$2:$E$112=15)*(Datos!$J$2:$J$112&lt;&gt;""),Datos!$J$2:$J$112)),"—")</f>
        <v>0.6</v>
      </c>
      <c r="F47" s="44" t="n">
        <f aca="false">COUNTIFS(Datos!$E$2:$E$112,15,Datos!$AQ$2:$AQ$112,"Sí")</f>
        <v>0</v>
      </c>
      <c r="G47" s="36" t="n">
        <f aca="false">IFERROR(F47/B47,"—")</f>
        <v>0</v>
      </c>
    </row>
    <row r="48" customFormat="false" ht="15" hidden="false" customHeight="false" outlineLevel="0" collapsed="false">
      <c r="A48" s="10" t="s">
        <v>252</v>
      </c>
      <c r="B48" s="35" t="n">
        <f aca="false">COUNTIFS(Datos!$E$2:$E$112,16)</f>
        <v>5</v>
      </c>
      <c r="C48" s="38" t="n">
        <f aca="false">IFERROR(B48/COUNT(Datos!$B$2:$B$112),"—")</f>
        <v>0.045045045045045</v>
      </c>
      <c r="D48" s="38" t="n">
        <f aca="false">IFERROR(COUNTIFS(Datos!$E$2:$E$112,16,Datos!$G$2:$G$112,"Sí")/B48,"—")</f>
        <v>0.8</v>
      </c>
      <c r="E48" s="40" t="n">
        <f aca="false" t="array" ref="E48:E48">IFERROR(MEDIAN(IF((Datos!$E$2:$E$112=16)*(Datos!$J$2:$J$112&lt;&gt;""),Datos!$J$2:$J$112)),"—")</f>
        <v>0.5</v>
      </c>
      <c r="F48" s="34" t="n">
        <f aca="false">COUNTIFS(Datos!$E$2:$E$112,16,Datos!$AQ$2:$AQ$112,"Sí")</f>
        <v>0</v>
      </c>
      <c r="G48" s="38" t="n">
        <f aca="false">IFERROR(F48/B48,"—")</f>
        <v>0</v>
      </c>
    </row>
    <row r="49" customFormat="false" ht="15" hidden="false" customHeight="false" outlineLevel="0" collapsed="false">
      <c r="A49" s="13" t="s">
        <v>253</v>
      </c>
      <c r="B49" s="45" t="n">
        <f aca="false">COUNTIFS(Datos!$E$2:$E$112,17)</f>
        <v>9</v>
      </c>
      <c r="C49" s="36" t="n">
        <f aca="false">IFERROR(B49/COUNT(Datos!$B$2:$B$112),"—")</f>
        <v>0.0810810810810811</v>
      </c>
      <c r="D49" s="36" t="n">
        <f aca="false">IFERROR(COUNTIFS(Datos!$E$2:$E$112,17,Datos!$G$2:$G$112,"Sí")/B49,"—")</f>
        <v>0.777777777777778</v>
      </c>
      <c r="E49" s="42" t="n">
        <f aca="false" t="array" ref="E49:E49">IFERROR(MEDIAN(IF((Datos!$E$2:$E$112=17)*(Datos!$J$2:$J$112&lt;&gt;""),Datos!$J$2:$J$112)),"—")</f>
        <v>0.3</v>
      </c>
      <c r="F49" s="44" t="n">
        <f aca="false">COUNTIFS(Datos!$E$2:$E$112,17,Datos!$AQ$2:$AQ$112,"Sí")</f>
        <v>1</v>
      </c>
      <c r="G49" s="36" t="n">
        <f aca="false">IFERROR(F49/B49,"—")</f>
        <v>0.111111111111111</v>
      </c>
    </row>
    <row r="50" customFormat="false" ht="15" hidden="false" customHeight="false" outlineLevel="0" collapsed="false">
      <c r="A50" s="10" t="s">
        <v>254</v>
      </c>
      <c r="B50" s="35" t="n">
        <f aca="false">COUNTIFS(Datos!$E$2:$E$112,18)</f>
        <v>4</v>
      </c>
      <c r="C50" s="38" t="n">
        <f aca="false">IFERROR(B50/COUNT(Datos!$B$2:$B$112),"—")</f>
        <v>0.036036036036036</v>
      </c>
      <c r="D50" s="38" t="n">
        <f aca="false">IFERROR(COUNTIFS(Datos!$E$2:$E$112,18,Datos!$G$2:$G$112,"Sí")/B50,"—")</f>
        <v>0.5</v>
      </c>
      <c r="E50" s="40" t="n">
        <f aca="false" t="array" ref="E50:E50">IFERROR(MEDIAN(IF((Datos!$E$2:$E$112=18)*(Datos!$J$2:$J$112&lt;&gt;""),Datos!$J$2:$J$112)),"—")</f>
        <v>0.3</v>
      </c>
      <c r="F50" s="34" t="n">
        <f aca="false">COUNTIFS(Datos!$E$2:$E$112,18,Datos!$AQ$2:$AQ$112,"Sí")</f>
        <v>1</v>
      </c>
      <c r="G50" s="38" t="n">
        <f aca="false">IFERROR(F50/B50,"—")</f>
        <v>0.25</v>
      </c>
    </row>
    <row r="51" customFormat="false" ht="15" hidden="false" customHeight="false" outlineLevel="0" collapsed="false">
      <c r="A51" s="13" t="s">
        <v>255</v>
      </c>
      <c r="B51" s="45" t="n">
        <f aca="false">COUNTIFS(Datos!$E$2:$E$112,19)</f>
        <v>8</v>
      </c>
      <c r="C51" s="36" t="n">
        <f aca="false">IFERROR(B51/COUNT(Datos!$B$2:$B$112),"—")</f>
        <v>0.0720720720720721</v>
      </c>
      <c r="D51" s="36" t="n">
        <f aca="false">IFERROR(COUNTIFS(Datos!$E$2:$E$112,19,Datos!$G$2:$G$112,"Sí")/B51,"—")</f>
        <v>0.5</v>
      </c>
      <c r="E51" s="42" t="n">
        <f aca="false" t="array" ref="E51:E51">IFERROR(MEDIAN(IF((Datos!$E$2:$E$112=19)*(Datos!$J$2:$J$112&lt;&gt;""),Datos!$J$2:$J$112)),"—")</f>
        <v>1.15</v>
      </c>
      <c r="F51" s="44" t="n">
        <f aca="false">COUNTIFS(Datos!$E$2:$E$112,19,Datos!$AQ$2:$AQ$112,"Sí")</f>
        <v>0</v>
      </c>
      <c r="G51" s="36" t="n">
        <f aca="false">IFERROR(F51/B51,"—")</f>
        <v>0</v>
      </c>
    </row>
    <row r="52" customFormat="false" ht="15" hidden="false" customHeight="false" outlineLevel="0" collapsed="false">
      <c r="A52" s="10" t="s">
        <v>256</v>
      </c>
      <c r="B52" s="35" t="n">
        <f aca="false">COUNTIFS(Datos!$E$2:$E$112,20)</f>
        <v>8</v>
      </c>
      <c r="C52" s="38" t="n">
        <f aca="false">IFERROR(B52/COUNT(Datos!$B$2:$B$112),"—")</f>
        <v>0.0720720720720721</v>
      </c>
      <c r="D52" s="38" t="n">
        <f aca="false">IFERROR(COUNTIFS(Datos!$E$2:$E$112,20,Datos!$G$2:$G$112,"Sí")/B52,"—")</f>
        <v>0.625</v>
      </c>
      <c r="E52" s="40" t="n">
        <f aca="false" t="array" ref="E52:E52">IFERROR(MEDIAN(IF((Datos!$E$2:$E$112=20)*(Datos!$J$2:$J$112&lt;&gt;""),Datos!$J$2:$J$112)),"—")</f>
        <v>0.3</v>
      </c>
      <c r="F52" s="34" t="n">
        <f aca="false">COUNTIFS(Datos!$E$2:$E$112,20,Datos!$AQ$2:$AQ$112,"Sí")</f>
        <v>1</v>
      </c>
      <c r="G52" s="38" t="n">
        <f aca="false">IFERROR(F52/B52,"—")</f>
        <v>0.125</v>
      </c>
    </row>
    <row r="53" customFormat="false" ht="15" hidden="false" customHeight="false" outlineLevel="0" collapsed="false">
      <c r="A53" s="13" t="s">
        <v>257</v>
      </c>
      <c r="B53" s="45" t="n">
        <f aca="false">COUNTIFS(Datos!$E$2:$E$112,21)</f>
        <v>8</v>
      </c>
      <c r="C53" s="36" t="n">
        <f aca="false">IFERROR(B53/COUNT(Datos!$B$2:$B$112),"—")</f>
        <v>0.0720720720720721</v>
      </c>
      <c r="D53" s="36" t="n">
        <f aca="false">IFERROR(COUNTIFS(Datos!$E$2:$E$112,21,Datos!$G$2:$G$112,"Sí")/B53,"—")</f>
        <v>0.625</v>
      </c>
      <c r="E53" s="42" t="n">
        <f aca="false" t="array" ref="E53:E53">IFERROR(MEDIAN(IF((Datos!$E$2:$E$112=21)*(Datos!$J$2:$J$112&lt;&gt;""),Datos!$J$2:$J$112)),"—")</f>
        <v>0.4</v>
      </c>
      <c r="F53" s="44" t="n">
        <f aca="false">COUNTIFS(Datos!$E$2:$E$112,21,Datos!$AQ$2:$AQ$112,"Sí")</f>
        <v>1</v>
      </c>
      <c r="G53" s="36" t="n">
        <f aca="false">IFERROR(F53/B53,"—")</f>
        <v>0.125</v>
      </c>
    </row>
    <row r="54" customFormat="false" ht="15" hidden="false" customHeight="false" outlineLevel="0" collapsed="false">
      <c r="A54" s="10" t="s">
        <v>258</v>
      </c>
      <c r="B54" s="35" t="n">
        <f aca="false">COUNTIFS(Datos!$E$2:$E$112,22)</f>
        <v>7</v>
      </c>
      <c r="C54" s="38" t="n">
        <f aca="false">IFERROR(B54/COUNT(Datos!$B$2:$B$112),"—")</f>
        <v>0.0630630630630631</v>
      </c>
      <c r="D54" s="38" t="n">
        <f aca="false">IFERROR(COUNTIFS(Datos!$E$2:$E$112,22,Datos!$G$2:$G$112,"Sí")/B54,"—")</f>
        <v>0.714285714285714</v>
      </c>
      <c r="E54" s="40" t="n">
        <f aca="false" t="array" ref="E54:E54">IFERROR(MEDIAN(IF((Datos!$E$2:$E$112=22)*(Datos!$J$2:$J$112&lt;&gt;""),Datos!$J$2:$J$112)),"—")</f>
        <v>1.3</v>
      </c>
      <c r="F54" s="34" t="n">
        <f aca="false">COUNTIFS(Datos!$E$2:$E$112,22,Datos!$AQ$2:$AQ$112,"Sí")</f>
        <v>0</v>
      </c>
      <c r="G54" s="38" t="n">
        <f aca="false">IFERROR(F54/B54,"—")</f>
        <v>0</v>
      </c>
    </row>
    <row r="55" customFormat="false" ht="15" hidden="false" customHeight="false" outlineLevel="0" collapsed="false">
      <c r="A55" s="13" t="s">
        <v>259</v>
      </c>
      <c r="B55" s="45" t="n">
        <f aca="false">COUNTIFS(Datos!$E$2:$E$112,23)</f>
        <v>5</v>
      </c>
      <c r="C55" s="36" t="n">
        <f aca="false">IFERROR(B55/COUNT(Datos!$B$2:$B$112),"—")</f>
        <v>0.045045045045045</v>
      </c>
      <c r="D55" s="36" t="n">
        <f aca="false">IFERROR(COUNTIFS(Datos!$E$2:$E$112,23,Datos!$G$2:$G$112,"Sí")/B55,"—")</f>
        <v>1</v>
      </c>
      <c r="E55" s="42" t="n">
        <f aca="false" t="array" ref="E55:E55">IFERROR(MEDIAN(IF((Datos!$E$2:$E$112=23)*(Datos!$J$2:$J$112&lt;&gt;""),Datos!$J$2:$J$112)),"—")</f>
        <v>462.8</v>
      </c>
      <c r="F55" s="44" t="n">
        <f aca="false">COUNTIFS(Datos!$E$2:$E$112,23,Datos!$AQ$2:$AQ$112,"Sí")</f>
        <v>0</v>
      </c>
      <c r="G55" s="36" t="n">
        <f aca="false">IFERROR(F55/B55,"—")</f>
        <v>0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H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7"/>
    <col collapsed="false" customWidth="true" hidden="false" outlineLevel="0" max="3" min="3" style="0" width="13"/>
    <col collapsed="false" customWidth="true" hidden="false" outlineLevel="0" max="5" min="4" style="0" width="18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3"/>
    <col collapsed="false" customWidth="true" hidden="false" outlineLevel="0" max="9" min="9" style="0" width="2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" t="s">
        <v>260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6" t="s">
        <v>261</v>
      </c>
      <c r="B3" s="5"/>
      <c r="C3" s="5"/>
      <c r="D3" s="5"/>
      <c r="E3" s="5"/>
      <c r="F3" s="5"/>
      <c r="G3" s="5"/>
      <c r="H3" s="5"/>
    </row>
    <row r="5" customFormat="false" ht="21.75" hidden="false" customHeight="true" outlineLevel="0" collapsed="false">
      <c r="A5" s="7" t="s">
        <v>262</v>
      </c>
    </row>
    <row r="6" customFormat="false" ht="30" hidden="false" customHeight="true" outlineLevel="0" collapsed="false">
      <c r="A6" s="8" t="s">
        <v>263</v>
      </c>
      <c r="B6" s="9" t="s">
        <v>79</v>
      </c>
      <c r="C6" s="9" t="s">
        <v>198</v>
      </c>
      <c r="D6" s="9" t="s">
        <v>192</v>
      </c>
      <c r="E6" s="9" t="s">
        <v>175</v>
      </c>
    </row>
    <row r="7" customFormat="false" ht="15" hidden="false" customHeight="false" outlineLevel="0" collapsed="false">
      <c r="A7" s="10" t="s">
        <v>264</v>
      </c>
      <c r="B7" s="35" t="n">
        <f aca="false">COUNTIFS(Datos!$Z$2:$Z$112,"Sí")</f>
        <v>95</v>
      </c>
      <c r="C7" s="38" t="n">
        <f aca="false">IFERROR(B7/COUNT(Datos!$B$2:$B$112),"—")</f>
        <v>0.855855855855856</v>
      </c>
      <c r="D7" s="34" t="n">
        <f aca="false">COUNTIFS(Datos!$Z$2:$Z$112,"Sí",Datos!$AQ$2:$AQ$112,"Sí")</f>
        <v>4</v>
      </c>
      <c r="E7" s="38" t="n">
        <f aca="false">IFERROR(D7/B7,"—")</f>
        <v>0.0421052631578947</v>
      </c>
    </row>
    <row r="8" customFormat="false" ht="15" hidden="false" customHeight="false" outlineLevel="0" collapsed="false">
      <c r="A8" s="13" t="s">
        <v>265</v>
      </c>
      <c r="B8" s="45" t="n">
        <f aca="false">COUNTIFS(Datos!$AA$2:$AA$112,"*3,799*")</f>
        <v>93</v>
      </c>
      <c r="C8" s="36" t="n">
        <f aca="false">IFERROR(B8/COUNT(Datos!$B$2:$B$112),"—")</f>
        <v>0.837837837837838</v>
      </c>
      <c r="D8" s="44" t="n">
        <f aca="false">COUNTIFS(Datos!$AA$2:$AA$112,"*3,799*",Datos!$AQ$2:$AQ$112,"Sí")</f>
        <v>2</v>
      </c>
      <c r="E8" s="36" t="n">
        <f aca="false">IFERROR(D8/B8,"—")</f>
        <v>0.021505376344086</v>
      </c>
    </row>
    <row r="9" customFormat="false" ht="15" hidden="false" customHeight="false" outlineLevel="0" collapsed="false">
      <c r="A9" s="10" t="s">
        <v>266</v>
      </c>
      <c r="B9" s="35" t="n">
        <f aca="false">COUNTIFS(Datos!$AA$2:$AA$112,"*3,400*")</f>
        <v>1</v>
      </c>
      <c r="C9" s="38" t="n">
        <f aca="false">IFERROR(B9/COUNT(Datos!$B$2:$B$112),"—")</f>
        <v>0.00900900900900901</v>
      </c>
      <c r="D9" s="34" t="n">
        <f aca="false">COUNTIFS(Datos!$AA$2:$AA$112,"*3,400*",Datos!$AQ$2:$AQ$112,"Sí")</f>
        <v>1</v>
      </c>
      <c r="E9" s="38" t="n">
        <f aca="false">IFERROR(D9/B9,"—")</f>
        <v>1</v>
      </c>
    </row>
    <row r="10" customFormat="false" ht="15" hidden="false" customHeight="false" outlineLevel="0" collapsed="false">
      <c r="A10" s="13" t="s">
        <v>267</v>
      </c>
      <c r="B10" s="45" t="n">
        <f aca="false">COUNTIFS(Datos!$AA$2:$AA$112,"*2,799*")</f>
        <v>77</v>
      </c>
      <c r="C10" s="36" t="n">
        <f aca="false">IFERROR(B10/COUNT(Datos!$B$2:$B$112),"—")</f>
        <v>0.693693693693694</v>
      </c>
      <c r="D10" s="44" t="n">
        <f aca="false">COUNTIFS(Datos!$AA$2:$AA$112,"*2,799*",Datos!$AQ$2:$AQ$112,"Sí")</f>
        <v>3</v>
      </c>
      <c r="E10" s="36" t="n">
        <f aca="false">IFERROR(D10/B10,"—")</f>
        <v>0.038961038961039</v>
      </c>
    </row>
    <row r="11" customFormat="false" ht="15" hidden="false" customHeight="false" outlineLevel="0" collapsed="false">
      <c r="A11" s="10" t="s">
        <v>268</v>
      </c>
      <c r="B11" s="35" t="n">
        <f aca="false">COUNTIFS(Datos!$AA$2:$AA$112,"*1,950*")</f>
        <v>1</v>
      </c>
      <c r="C11" s="38" t="n">
        <f aca="false">IFERROR(B11/COUNT(Datos!$B$2:$B$112),"—")</f>
        <v>0.00900900900900901</v>
      </c>
      <c r="D11" s="34" t="n">
        <f aca="false">COUNTIFS(Datos!$AA$2:$AA$112,"*1,950*",Datos!$AQ$2:$AQ$112,"Sí")</f>
        <v>0</v>
      </c>
      <c r="E11" s="38" t="n">
        <f aca="false">IFERROR(D11/B11,"—")</f>
        <v>0</v>
      </c>
    </row>
    <row r="12" customFormat="false" ht="15" hidden="false" customHeight="false" outlineLevel="0" collapsed="false">
      <c r="A12" s="13" t="s">
        <v>269</v>
      </c>
      <c r="B12" s="45" t="n">
        <f aca="false">COUNTIFS(Datos!$Z$2:$Z$112,"No")</f>
        <v>16</v>
      </c>
      <c r="C12" s="36" t="n">
        <f aca="false">IFERROR(B12/COUNT(Datos!$B$2:$B$112),"—")</f>
        <v>0.144144144144144</v>
      </c>
      <c r="D12" s="44" t="n">
        <f aca="false">COUNTIFS(Datos!$Z$2:$Z$112,"No",Datos!$AQ$2:$AQ$112,"Sí")</f>
        <v>3</v>
      </c>
      <c r="E12" s="36" t="n">
        <f aca="false">IFERROR(D12/B12,"—")</f>
        <v>0.1875</v>
      </c>
    </row>
    <row r="13" customFormat="false" ht="15" hidden="false" customHeight="false" outlineLevel="0" collapsed="false">
      <c r="A13" s="30" t="s">
        <v>270</v>
      </c>
    </row>
    <row r="15" customFormat="false" ht="21.75" hidden="false" customHeight="true" outlineLevel="0" collapsed="false">
      <c r="A15" s="7" t="s">
        <v>271</v>
      </c>
    </row>
    <row r="16" customFormat="false" ht="30" hidden="false" customHeight="true" outlineLevel="0" collapsed="false">
      <c r="A16" s="8" t="s">
        <v>272</v>
      </c>
      <c r="B16" s="9" t="s">
        <v>79</v>
      </c>
      <c r="C16" s="9" t="s">
        <v>273</v>
      </c>
      <c r="D16" s="9" t="s">
        <v>274</v>
      </c>
    </row>
    <row r="17" customFormat="false" ht="15" hidden="false" customHeight="false" outlineLevel="0" collapsed="false">
      <c r="A17" s="10" t="s">
        <v>275</v>
      </c>
      <c r="B17" s="35" t="n">
        <f aca="false">COUNTIFS(Datos!$AB$2:$AB$112,"Bot")</f>
        <v>79</v>
      </c>
      <c r="C17" s="38" t="n">
        <f aca="false">IFERROR(B17/COUNTIFS(Datos!$Z$2:$Z$112,"Sí"),"—")</f>
        <v>0.831578947368421</v>
      </c>
      <c r="D17" s="40" t="n">
        <f aca="false" t="array" ref="D17:D17">IFERROR(MEDIAN(IF((Datos!$AB$2:$AB$112="Bot")*(Datos!$AC$2:$AC$112&lt;&gt;""),Datos!$AC$2:$AC$112)),"—")</f>
        <v>32.2</v>
      </c>
    </row>
    <row r="18" customFormat="false" ht="15" hidden="false" customHeight="false" outlineLevel="0" collapsed="false">
      <c r="A18" s="13" t="s">
        <v>276</v>
      </c>
      <c r="B18" s="45" t="n">
        <f aca="false">COUNTIFS(Datos!$AB$2:$AB$112,"Joceline")</f>
        <v>7</v>
      </c>
      <c r="C18" s="36" t="n">
        <f aca="false">IFERROR(B18/COUNTIFS(Datos!$Z$2:$Z$112,"Sí"),"—")</f>
        <v>0.0736842105263158</v>
      </c>
      <c r="D18" s="42" t="n">
        <f aca="false" t="array" ref="D18:D18">IFERROR(MEDIAN(IF((Datos!$AB$2:$AB$112="Joceline")*(Datos!$AC$2:$AC$112&lt;&gt;""),Datos!$AC$2:$AC$112)),"—")</f>
        <v>23.4</v>
      </c>
    </row>
    <row r="19" customFormat="false" ht="15" hidden="false" customHeight="false" outlineLevel="0" collapsed="false">
      <c r="A19" s="10" t="s">
        <v>277</v>
      </c>
      <c r="B19" s="35" t="n">
        <f aca="false">COUNTIFS(Datos!$AB$2:$AB$112,"Salma")</f>
        <v>4</v>
      </c>
      <c r="C19" s="38" t="n">
        <f aca="false">IFERROR(B19/COUNTIFS(Datos!$Z$2:$Z$112,"Sí"),"—")</f>
        <v>0.0421052631578947</v>
      </c>
      <c r="D19" s="40" t="n">
        <f aca="false" t="array" ref="D19:D19">IFERROR(MEDIAN(IF((Datos!$AB$2:$AB$112="Salma")*(Datos!$AC$2:$AC$112&lt;&gt;""),Datos!$AC$2:$AC$112)),"—")</f>
        <v>39.95</v>
      </c>
    </row>
    <row r="20" customFormat="false" ht="15" hidden="false" customHeight="false" outlineLevel="0" collapsed="false">
      <c r="A20" s="13" t="s">
        <v>278</v>
      </c>
      <c r="B20" s="45" t="n">
        <f aca="false">COUNTIFS(Datos!$AB$2:$AB$112,"Alexander")</f>
        <v>3</v>
      </c>
      <c r="C20" s="36" t="n">
        <f aca="false">IFERROR(B20/COUNTIFS(Datos!$Z$2:$Z$112,"Sí"),"—")</f>
        <v>0.0315789473684211</v>
      </c>
      <c r="D20" s="42" t="n">
        <f aca="false" t="array" ref="D20:D20">IFERROR(MEDIAN(IF((Datos!$AB$2:$AB$112="Alexander")*(Datos!$AC$2:$AC$112&lt;&gt;""),Datos!$AC$2:$AC$112)),"—")</f>
        <v>22.6</v>
      </c>
    </row>
    <row r="21" customFormat="false" ht="15" hidden="false" customHeight="false" outlineLevel="0" collapsed="false">
      <c r="A21" s="10" t="s">
        <v>279</v>
      </c>
      <c r="B21" s="35" t="n">
        <f aca="false">COUNTIFS(Datos!$AB$2:$AB$112,"Victoria")</f>
        <v>2</v>
      </c>
      <c r="C21" s="38" t="n">
        <f aca="false">IFERROR(B21/COUNTIFS(Datos!$Z$2:$Z$112,"Sí"),"—")</f>
        <v>0.0210526315789474</v>
      </c>
      <c r="D21" s="40" t="n">
        <f aca="false" t="array" ref="D21:D21">IFERROR(MEDIAN(IF((Datos!$AB$2:$AB$112="Victoria")*(Datos!$AC$2:$AC$112&lt;&gt;""),Datos!$AC$2:$AC$112)),"—")</f>
        <v>22.85</v>
      </c>
    </row>
    <row r="22" customFormat="false" ht="15" hidden="false" customHeight="false" outlineLevel="0" collapsed="false">
      <c r="A22" s="30" t="s">
        <v>280</v>
      </c>
    </row>
    <row r="24" customFormat="false" ht="21.75" hidden="false" customHeight="true" outlineLevel="0" collapsed="false">
      <c r="A24" s="7" t="s">
        <v>281</v>
      </c>
    </row>
    <row r="25" customFormat="false" ht="30" hidden="false" customHeight="true" outlineLevel="0" collapsed="false">
      <c r="A25" s="8" t="s">
        <v>282</v>
      </c>
      <c r="B25" s="9" t="s">
        <v>27</v>
      </c>
      <c r="C25" s="9" t="s">
        <v>283</v>
      </c>
      <c r="D25" s="9" t="s">
        <v>284</v>
      </c>
    </row>
    <row r="26" customFormat="false" ht="15" hidden="false" customHeight="false" outlineLevel="0" collapsed="false">
      <c r="A26" s="10" t="s">
        <v>285</v>
      </c>
      <c r="B26" s="35" t="n">
        <f aca="false">COUNTIFS(Datos!$AQ$2:$AQ$112,"Sí",Datos!$AR$2:$AR$112,"&gt;=3999")</f>
        <v>2</v>
      </c>
      <c r="C26" s="38" t="n">
        <f aca="false">IFERROR(B26/COUNTIFS(Datos!$AQ$2:$AQ$112,"Sí"),"—")</f>
        <v>0.285714285714286</v>
      </c>
      <c r="D26" s="46" t="n">
        <f aca="false">SUMIFS(Datos!$AR$2:$AR$112,Datos!$AQ$2:$AQ$112,"Sí",Datos!$AR$2:$AR$112,"&gt;=3999")</f>
        <v>12537</v>
      </c>
    </row>
    <row r="27" customFormat="false" ht="15" hidden="false" customHeight="false" outlineLevel="0" collapsed="false">
      <c r="A27" s="13" t="s">
        <v>265</v>
      </c>
      <c r="B27" s="45" t="n">
        <f aca="false">COUNTIFS(Datos!$AQ$2:$AQ$112,"Sí",Datos!$AR$2:$AR$112,3799)</f>
        <v>0</v>
      </c>
      <c r="C27" s="36" t="n">
        <f aca="false">IFERROR(B27/COUNTIFS(Datos!$AQ$2:$AQ$112,"Sí"),"—")</f>
        <v>0</v>
      </c>
      <c r="D27" s="48" t="n">
        <f aca="false">SUMIFS(Datos!$AR$2:$AR$112,Datos!$AQ$2:$AQ$112,"Sí",Datos!$AR$2:$AR$112,3799)</f>
        <v>0</v>
      </c>
    </row>
    <row r="28" customFormat="false" ht="15" hidden="false" customHeight="false" outlineLevel="0" collapsed="false">
      <c r="A28" s="10" t="s">
        <v>266</v>
      </c>
      <c r="B28" s="35" t="n">
        <f aca="false">COUNTIFS(Datos!$AQ$2:$AQ$112,"Sí",Datos!$AR$2:$AR$112,3400)</f>
        <v>1</v>
      </c>
      <c r="C28" s="38" t="n">
        <f aca="false">IFERROR(B28/COUNTIFS(Datos!$AQ$2:$AQ$112,"Sí"),"—")</f>
        <v>0.142857142857143</v>
      </c>
      <c r="D28" s="46" t="n">
        <f aca="false">SUMIFS(Datos!$AR$2:$AR$112,Datos!$AQ$2:$AQ$112,"Sí",Datos!$AR$2:$AR$112,3400)</f>
        <v>3400</v>
      </c>
    </row>
    <row r="29" customFormat="false" ht="15" hidden="false" customHeight="false" outlineLevel="0" collapsed="false">
      <c r="A29" s="13" t="s">
        <v>267</v>
      </c>
      <c r="B29" s="45" t="n">
        <f aca="false">COUNTIFS(Datos!$AQ$2:$AQ$112,"Sí",Datos!$AR$2:$AR$112,2799)</f>
        <v>3</v>
      </c>
      <c r="C29" s="36" t="n">
        <f aca="false">IFERROR(B29/COUNTIFS(Datos!$AQ$2:$AQ$112,"Sí"),"—")</f>
        <v>0.428571428571429</v>
      </c>
      <c r="D29" s="48" t="n">
        <f aca="false">SUMIFS(Datos!$AR$2:$AR$112,Datos!$AQ$2:$AQ$112,"Sí",Datos!$AR$2:$AR$112,2799)</f>
        <v>8397</v>
      </c>
    </row>
    <row r="30" customFormat="false" ht="15" hidden="false" customHeight="false" outlineLevel="0" collapsed="false">
      <c r="A30" s="10" t="s">
        <v>286</v>
      </c>
      <c r="B30" s="35" t="n">
        <f aca="false">COUNTIFS(Datos!$AQ$2:$AQ$112,"Sí",Datos!$AR$2:$AR$112,2000)</f>
        <v>1</v>
      </c>
      <c r="C30" s="38" t="n">
        <f aca="false">IFERROR(B30/COUNTIFS(Datos!$AQ$2:$AQ$112,"Sí"),"—")</f>
        <v>0.142857142857143</v>
      </c>
      <c r="D30" s="46" t="n">
        <f aca="false">SUMIFS(Datos!$AR$2:$AR$112,Datos!$AQ$2:$AQ$112,"Sí",Datos!$AR$2:$AR$112,2000)</f>
        <v>2000</v>
      </c>
    </row>
    <row r="31" customFormat="false" ht="15" hidden="false" customHeight="false" outlineLevel="0" collapsed="false">
      <c r="A31" s="13" t="s">
        <v>268</v>
      </c>
      <c r="B31" s="45" t="n">
        <f aca="false">COUNTIFS(Datos!$AQ$2:$AQ$112,"Sí",Datos!$AR$2:$AR$112,1950)</f>
        <v>0</v>
      </c>
      <c r="C31" s="36" t="n">
        <f aca="false">IFERROR(B31/COUNTIFS(Datos!$AQ$2:$AQ$112,"Sí"),"—")</f>
        <v>0</v>
      </c>
      <c r="D31" s="48" t="n">
        <f aca="false">SUMIFS(Datos!$AR$2:$AR$112,Datos!$AQ$2:$AQ$112,"Sí",Datos!$AR$2:$AR$112,1950)</f>
        <v>0</v>
      </c>
    </row>
    <row r="32" customFormat="false" ht="15" hidden="false" customHeight="false" outlineLevel="0" collapsed="false">
      <c r="A32" s="51" t="s">
        <v>74</v>
      </c>
      <c r="B32" s="35" t="n">
        <f aca="false">COUNTIFS(Datos!$AQ$2:$AQ$112,"Sí")</f>
        <v>7</v>
      </c>
      <c r="D32" s="47" t="n">
        <f aca="false">SUMIFS(Datos!$AR$2:$AR$112,Datos!$AQ$2:$AQ$112,"Sí")</f>
        <v>26334</v>
      </c>
    </row>
    <row r="33" customFormat="false" ht="15" hidden="false" customHeight="false" outlineLevel="0" collapsed="false">
      <c r="A33" s="50" t="s">
        <v>287</v>
      </c>
      <c r="D33" s="54" t="n">
        <f aca="false">B32*3999</f>
        <v>27993</v>
      </c>
    </row>
    <row r="34" customFormat="false" ht="15" hidden="false" customHeight="false" outlineLevel="0" collapsed="false">
      <c r="A34" s="30" t="s">
        <v>288</v>
      </c>
    </row>
    <row r="36" customFormat="false" ht="21.75" hidden="false" customHeight="true" outlineLevel="0" collapsed="false">
      <c r="A36" s="7" t="s">
        <v>289</v>
      </c>
    </row>
    <row r="37" customFormat="false" ht="30" hidden="false" customHeight="true" outlineLevel="0" collapsed="false">
      <c r="A37" s="8" t="s">
        <v>290</v>
      </c>
      <c r="B37" s="9" t="s">
        <v>291</v>
      </c>
      <c r="C37" s="9" t="s">
        <v>292</v>
      </c>
      <c r="D37" s="9" t="s">
        <v>293</v>
      </c>
      <c r="E37" s="9" t="s">
        <v>272</v>
      </c>
      <c r="F37" s="9" t="s">
        <v>282</v>
      </c>
      <c r="G37" s="9" t="s">
        <v>294</v>
      </c>
      <c r="H37" s="9" t="s">
        <v>295</v>
      </c>
    </row>
    <row r="38" customFormat="false" ht="15" hidden="false" customHeight="false" outlineLevel="0" collapsed="false">
      <c r="A38" s="55" t="n">
        <f aca="false">IF(Datos!B8="","—",Datos!B8)</f>
        <v>327</v>
      </c>
      <c r="B38" s="56" t="n">
        <f aca="false">IF(Datos!C8="","—",Datos!C8)</f>
        <v>46300.8655708449</v>
      </c>
      <c r="C38" s="57" t="str">
        <f aca="false">IF(Datos!R8="","—",Datos!R8)</f>
        <v>Victoria</v>
      </c>
      <c r="D38" s="57" t="str">
        <f aca="false">IF(Datos!AA8="","—",Datos!AA8)</f>
        <v>—</v>
      </c>
      <c r="E38" s="57" t="str">
        <f aca="false">IF(Datos!AB8="","—",Datos!AB8)</f>
        <v>—</v>
      </c>
      <c r="F38" s="46" t="n">
        <f aca="false">IF(Datos!AR8="","—",Datos!AR8)</f>
        <v>3999</v>
      </c>
      <c r="G38" s="57" t="str">
        <f aca="false">IF(Datos!AS8="","—",Datos!AS8)</f>
        <v>Pagada completa</v>
      </c>
      <c r="H38" s="40" t="n">
        <f aca="false">IF(Datos!AT8="","—",Datos!AT8)</f>
        <v>10.3</v>
      </c>
    </row>
    <row r="39" customFormat="false" ht="15" hidden="false" customHeight="false" outlineLevel="0" collapsed="false">
      <c r="A39" s="58" t="n">
        <f aca="false">IF(Datos!B18="","—",Datos!B18)</f>
        <v>452</v>
      </c>
      <c r="B39" s="59" t="n">
        <f aca="false">IF(Datos!C18="","—",Datos!C18)</f>
        <v>46301.7565885764</v>
      </c>
      <c r="C39" s="60" t="str">
        <f aca="false">IF(Datos!R18="","—",Datos!R18)</f>
        <v>Victoria</v>
      </c>
      <c r="D39" s="60" t="str">
        <f aca="false">IF(Datos!AA18="","—",Datos!AA18)</f>
        <v>$2,799</v>
      </c>
      <c r="E39" s="60" t="str">
        <f aca="false">IF(Datos!AB18="","—",Datos!AB18)</f>
        <v>Victoria</v>
      </c>
      <c r="F39" s="48" t="n">
        <f aca="false">IF(Datos!AR18="","—",Datos!AR18)</f>
        <v>2799</v>
      </c>
      <c r="G39" s="60" t="str">
        <f aca="false">IF(Datos!AS18="","—",Datos!AS18)</f>
        <v>Pagada completa</v>
      </c>
      <c r="H39" s="42" t="n">
        <f aca="false">IF(Datos!AT18="","—",Datos!AT18)</f>
        <v>0.1</v>
      </c>
    </row>
    <row r="40" customFormat="false" ht="15" hidden="false" customHeight="false" outlineLevel="0" collapsed="false">
      <c r="A40" s="55" t="n">
        <f aca="false">IF(Datos!B26="","—",Datos!B26)</f>
        <v>545</v>
      </c>
      <c r="B40" s="56" t="n">
        <f aca="false">IF(Datos!C26="","—",Datos!C26)</f>
        <v>46302.3708926505</v>
      </c>
      <c r="C40" s="57" t="str">
        <f aca="false">IF(Datos!R26="","—",Datos!R26)</f>
        <v>Salma</v>
      </c>
      <c r="D40" s="57" t="str">
        <f aca="false">IF(Datos!AA26="","—",Datos!AA26)</f>
        <v>$3,799, $2,799</v>
      </c>
      <c r="E40" s="57" t="str">
        <f aca="false">IF(Datos!AB26="","—",Datos!AB26)</f>
        <v>Salma</v>
      </c>
      <c r="F40" s="46" t="n">
        <f aca="false">IF(Datos!AR26="","—",Datos!AR26)</f>
        <v>2799</v>
      </c>
      <c r="G40" s="57" t="str">
        <f aca="false">IF(Datos!AS26="","—",Datos!AS26)</f>
        <v>Pagada completa</v>
      </c>
      <c r="H40" s="40" t="n">
        <f aca="false">IF(Datos!AT26="","—",Datos!AT26)</f>
        <v>125.6</v>
      </c>
    </row>
    <row r="41" customFormat="false" ht="15" hidden="false" customHeight="false" outlineLevel="0" collapsed="false">
      <c r="A41" s="58" t="n">
        <f aca="false">IF(Datos!B43="","—",Datos!B43)</f>
        <v>868</v>
      </c>
      <c r="B41" s="59" t="n">
        <f aca="false">IF(Datos!C43="","—",Datos!C43)</f>
        <v>46303.5769794213</v>
      </c>
      <c r="C41" s="60" t="str">
        <f aca="false">IF(Datos!R43="","—",Datos!R43)</f>
        <v>Alexander</v>
      </c>
      <c r="D41" s="60" t="str">
        <f aca="false">IF(Datos!AA43="","—",Datos!AA43)</f>
        <v>$3,400</v>
      </c>
      <c r="E41" s="60" t="str">
        <f aca="false">IF(Datos!AB43="","—",Datos!AB43)</f>
        <v>Alexander</v>
      </c>
      <c r="F41" s="48" t="n">
        <f aca="false">IF(Datos!AR43="","—",Datos!AR43)</f>
        <v>3400</v>
      </c>
      <c r="G41" s="60" t="str">
        <f aca="false">IF(Datos!AS43="","—",Datos!AS43)</f>
        <v>Pagada completa</v>
      </c>
      <c r="H41" s="42" t="n">
        <f aca="false">IF(Datos!AT43="","—",Datos!AT43)</f>
        <v>2.4</v>
      </c>
    </row>
    <row r="42" customFormat="false" ht="15" hidden="false" customHeight="false" outlineLevel="0" collapsed="false">
      <c r="A42" s="55" t="n">
        <f aca="false">IF(Datos!B55="","—",Datos!B55)</f>
        <v>1113</v>
      </c>
      <c r="B42" s="56" t="n">
        <f aca="false">IF(Datos!C55="","—",Datos!C55)</f>
        <v>46304.8767624421</v>
      </c>
      <c r="C42" s="57" t="str">
        <f aca="false">IF(Datos!R55="","—",Datos!R55)</f>
        <v>Alexander</v>
      </c>
      <c r="D42" s="57" t="str">
        <f aca="false">IF(Datos!AA55="","—",Datos!AA55)</f>
        <v>$3,799, $2,799</v>
      </c>
      <c r="E42" s="57" t="str">
        <f aca="false">IF(Datos!AB55="","—",Datos!AB55)</f>
        <v>Bot</v>
      </c>
      <c r="F42" s="46" t="n">
        <f aca="false">IF(Datos!AR55="","—",Datos!AR55)</f>
        <v>2799</v>
      </c>
      <c r="G42" s="57" t="str">
        <f aca="false">IF(Datos!AS55="","—",Datos!AS55)</f>
        <v>Sin registro de cobro</v>
      </c>
      <c r="H42" s="40" t="n">
        <f aca="false">IF(Datos!AT55="","—",Datos!AT55)</f>
        <v>89.4</v>
      </c>
    </row>
    <row r="43" customFormat="false" ht="15" hidden="false" customHeight="false" outlineLevel="0" collapsed="false">
      <c r="A43" s="58" t="n">
        <f aca="false">IF(Datos!B59="","—",Datos!B59)</f>
        <v>1190</v>
      </c>
      <c r="B43" s="59" t="n">
        <f aca="false">IF(Datos!C59="","—",Datos!C59)</f>
        <v>46305.5542280671</v>
      </c>
      <c r="C43" s="60" t="str">
        <f aca="false">IF(Datos!R59="","—",Datos!R59)</f>
        <v>Salma</v>
      </c>
      <c r="D43" s="60" t="str">
        <f aca="false">IF(Datos!AA59="","—",Datos!AA59)</f>
        <v>—</v>
      </c>
      <c r="E43" s="60" t="str">
        <f aca="false">IF(Datos!AB59="","—",Datos!AB59)</f>
        <v>—</v>
      </c>
      <c r="F43" s="48" t="n">
        <f aca="false">IF(Datos!AR59="","—",Datos!AR59)</f>
        <v>8538</v>
      </c>
      <c r="G43" s="60" t="str">
        <f aca="false">IF(Datos!AS59="","—",Datos!AS59)</f>
        <v>Sin registro de cobro</v>
      </c>
      <c r="H43" s="42" t="n">
        <f aca="false">IF(Datos!AT59="","—",Datos!AT59)</f>
        <v>0.1</v>
      </c>
    </row>
    <row r="44" customFormat="false" ht="15" hidden="false" customHeight="false" outlineLevel="0" collapsed="false">
      <c r="A44" s="55" t="n">
        <f aca="false">IF(Datos!B68="","—",Datos!B68)</f>
        <v>1335</v>
      </c>
      <c r="B44" s="56" t="n">
        <f aca="false">IF(Datos!C68="","—",Datos!C68)</f>
        <v>46306.7344075579</v>
      </c>
      <c r="C44" s="57" t="str">
        <f aca="false">IF(Datos!R68="","—",Datos!R68)</f>
        <v>Victoria</v>
      </c>
      <c r="D44" s="57" t="str">
        <f aca="false">IF(Datos!AA68="","—",Datos!AA68)</f>
        <v>—</v>
      </c>
      <c r="E44" s="57" t="str">
        <f aca="false">IF(Datos!AB68="","—",Datos!AB68)</f>
        <v>—</v>
      </c>
      <c r="F44" s="46" t="n">
        <f aca="false">IF(Datos!AR68="","—",Datos!AR68)</f>
        <v>2000</v>
      </c>
      <c r="G44" s="57" t="str">
        <f aca="false">IF(Datos!AS68="","—",Datos!AS68)</f>
        <v>Pagada completa</v>
      </c>
      <c r="H44" s="40" t="n">
        <f aca="false">IF(Datos!AT68="","—",Datos!AT68)</f>
        <v>39.3</v>
      </c>
    </row>
    <row r="45" customFormat="false" ht="15" hidden="false" customHeight="false" outlineLevel="0" collapsed="false">
      <c r="A45" s="30" t="s">
        <v>296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4F9B"/>
    <pageSetUpPr fitToPage="true"/>
  </sheetPr>
  <dimension ref="A1:I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8" min="3" style="0" width="13"/>
    <col collapsed="false" customWidth="true" hidden="false" outlineLevel="0" max="9" min="9" style="0" width="14"/>
  </cols>
  <sheetData>
    <row r="1" customFormat="false" ht="25.5" hidden="false" customHeight="true" outlineLevel="0" collapsed="false">
      <c r="A1" s="2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4" t="s">
        <v>297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A3" s="6" t="s">
        <v>298</v>
      </c>
      <c r="B3" s="5"/>
      <c r="C3" s="5"/>
      <c r="D3" s="5"/>
      <c r="E3" s="5"/>
      <c r="F3" s="5"/>
      <c r="G3" s="5"/>
      <c r="H3" s="5"/>
    </row>
    <row r="5" customFormat="false" ht="21.75" hidden="false" customHeight="true" outlineLevel="0" collapsed="false">
      <c r="A5" s="7" t="s">
        <v>299</v>
      </c>
    </row>
    <row r="6" customFormat="false" ht="30" hidden="false" customHeight="true" outlineLevel="0" collapsed="false">
      <c r="A6" s="8" t="s">
        <v>300</v>
      </c>
      <c r="B6" s="9" t="s">
        <v>79</v>
      </c>
      <c r="C6" s="9" t="s">
        <v>301</v>
      </c>
      <c r="D6" s="9" t="s">
        <v>302</v>
      </c>
      <c r="E6" s="9" t="s">
        <v>27</v>
      </c>
      <c r="F6" s="9" t="s">
        <v>175</v>
      </c>
    </row>
    <row r="7" customFormat="false" ht="15" hidden="false" customHeight="false" outlineLevel="0" collapsed="false">
      <c r="A7" s="10" t="s">
        <v>303</v>
      </c>
      <c r="B7" s="35" t="n">
        <f aca="false">COUNTIFS(Datos!$N$2:$N$112,"Calidad")</f>
        <v>9</v>
      </c>
      <c r="C7" s="38" t="n">
        <f aca="false">IFERROR(B7/COUNTIFS(Datos!$M$2:$M$112,"Sí"),"—")</f>
        <v>0.243243243243243</v>
      </c>
      <c r="D7" s="34" t="n">
        <f aca="false">COUNTIFS(Datos!$N$2:$N$112,"Calidad",Datos!$P$2:$P$112,"Sí")</f>
        <v>7</v>
      </c>
      <c r="E7" s="34" t="n">
        <f aca="false">COUNTIFS(Datos!$N$2:$N$112,"Calidad",Datos!$AQ$2:$AQ$112,"Sí")</f>
        <v>1</v>
      </c>
      <c r="F7" s="38" t="n">
        <f aca="false">IFERROR(E7/B7,"—")</f>
        <v>0.111111111111111</v>
      </c>
    </row>
    <row r="8" customFormat="false" ht="15" hidden="false" customHeight="false" outlineLevel="0" collapsed="false">
      <c r="A8" s="13" t="s">
        <v>304</v>
      </c>
      <c r="B8" s="45" t="n">
        <f aca="false">COUNTIFS(Datos!$N$2:$N$112,"Producción u operaciones")</f>
        <v>12</v>
      </c>
      <c r="C8" s="36" t="n">
        <f aca="false">IFERROR(B8/COUNTIFS(Datos!$M$2:$M$112,"Sí"),"—")</f>
        <v>0.324324324324324</v>
      </c>
      <c r="D8" s="44" t="n">
        <f aca="false">COUNTIFS(Datos!$N$2:$N$112,"Producción u operaciones",Datos!$P$2:$P$112,"Sí")</f>
        <v>11</v>
      </c>
      <c r="E8" s="44" t="n">
        <f aca="false">COUNTIFS(Datos!$N$2:$N$112,"Producción u operaciones",Datos!$AQ$2:$AQ$112,"Sí")</f>
        <v>1</v>
      </c>
      <c r="F8" s="36" t="n">
        <f aca="false">IFERROR(E8/B8,"—")</f>
        <v>0.0833333333333333</v>
      </c>
    </row>
    <row r="9" customFormat="false" ht="15" hidden="false" customHeight="false" outlineLevel="0" collapsed="false">
      <c r="A9" s="10" t="s">
        <v>305</v>
      </c>
      <c r="B9" s="35" t="n">
        <f aca="false">COUNTIFS(Datos!$N$2:$N$112,"Supervisión o jefatura")</f>
        <v>5</v>
      </c>
      <c r="C9" s="38" t="n">
        <f aca="false">IFERROR(B9/COUNTIFS(Datos!$M$2:$M$112,"Sí"),"—")</f>
        <v>0.135135135135135</v>
      </c>
      <c r="D9" s="34" t="n">
        <f aca="false">COUNTIFS(Datos!$N$2:$N$112,"Supervisión o jefatura",Datos!$P$2:$P$112,"Sí")</f>
        <v>5</v>
      </c>
      <c r="E9" s="34" t="n">
        <f aca="false">COUNTIFS(Datos!$N$2:$N$112,"Supervisión o jefatura",Datos!$AQ$2:$AQ$112,"Sí")</f>
        <v>1</v>
      </c>
      <c r="F9" s="38" t="n">
        <f aca="false">IFERROR(E9/B9,"—")</f>
        <v>0.2</v>
      </c>
    </row>
    <row r="10" customFormat="false" ht="15" hidden="false" customHeight="false" outlineLevel="0" collapsed="false">
      <c r="A10" s="13" t="s">
        <v>306</v>
      </c>
      <c r="B10" s="45" t="n">
        <f aca="false">COUNTIFS(Datos!$N$2:$N$112,"Ingeniería")</f>
        <v>2</v>
      </c>
      <c r="C10" s="36" t="n">
        <f aca="false">IFERROR(B10/COUNTIFS(Datos!$M$2:$M$112,"Sí"),"—")</f>
        <v>0.0540540540540541</v>
      </c>
      <c r="D10" s="44" t="n">
        <f aca="false">COUNTIFS(Datos!$N$2:$N$112,"Ingeniería",Datos!$P$2:$P$112,"Sí")</f>
        <v>0</v>
      </c>
      <c r="E10" s="44" t="n">
        <f aca="false">COUNTIFS(Datos!$N$2:$N$112,"Ingeniería",Datos!$AQ$2:$AQ$112,"Sí")</f>
        <v>0</v>
      </c>
      <c r="F10" s="36" t="n">
        <f aca="false">IFERROR(E10/B10,"—")</f>
        <v>0</v>
      </c>
    </row>
    <row r="11" customFormat="false" ht="15" hidden="false" customHeight="false" outlineLevel="0" collapsed="false">
      <c r="A11" s="10" t="s">
        <v>307</v>
      </c>
      <c r="B11" s="35" t="n">
        <f aca="false">COUNTIFS(Datos!$N$2:$N$112,"Estudiante o recién egresado")</f>
        <v>7</v>
      </c>
      <c r="C11" s="38" t="n">
        <f aca="false">IFERROR(B11/COUNTIFS(Datos!$M$2:$M$112,"Sí"),"—")</f>
        <v>0.189189189189189</v>
      </c>
      <c r="D11" s="34" t="n">
        <f aca="false">COUNTIFS(Datos!$N$2:$N$112,"Estudiante o recién egresado",Datos!$P$2:$P$112,"Sí")</f>
        <v>5</v>
      </c>
      <c r="E11" s="34" t="n">
        <f aca="false">COUNTIFS(Datos!$N$2:$N$112,"Estudiante o recién egresado",Datos!$AQ$2:$AQ$112,"Sí")</f>
        <v>0</v>
      </c>
      <c r="F11" s="38" t="n">
        <f aca="false">IFERROR(E11/B11,"—")</f>
        <v>0</v>
      </c>
    </row>
    <row r="12" customFormat="false" ht="15" hidden="false" customHeight="false" outlineLevel="0" collapsed="false">
      <c r="A12" s="13" t="s">
        <v>308</v>
      </c>
      <c r="B12" s="45" t="n">
        <f aca="false">COUNTIFS(Datos!$N$2:$N$112,"Sin empleo o buscando")</f>
        <v>2</v>
      </c>
      <c r="C12" s="36" t="n">
        <f aca="false">IFERROR(B12/COUNTIFS(Datos!$M$2:$M$112,"Sí"),"—")</f>
        <v>0.0540540540540541</v>
      </c>
      <c r="D12" s="44" t="n">
        <f aca="false">COUNTIFS(Datos!$N$2:$N$112,"Sin empleo o buscando",Datos!$P$2:$P$112,"Sí")</f>
        <v>2</v>
      </c>
      <c r="E12" s="44" t="n">
        <f aca="false">COUNTIFS(Datos!$N$2:$N$112,"Sin empleo o buscando",Datos!$AQ$2:$AQ$112,"Sí")</f>
        <v>0</v>
      </c>
      <c r="F12" s="36" t="n">
        <f aca="false">IFERROR(E12/B12,"—")</f>
        <v>0</v>
      </c>
    </row>
    <row r="13" customFormat="false" ht="15" hidden="false" customHeight="false" outlineLevel="0" collapsed="false">
      <c r="A13" s="10" t="s">
        <v>309</v>
      </c>
      <c r="B13" s="35" t="n">
        <f aca="false">COUNTIFS(Datos!$N$2:$N$112,"Otra área")</f>
        <v>0</v>
      </c>
      <c r="C13" s="38" t="n">
        <f aca="false">IFERROR(B13/COUNTIFS(Datos!$M$2:$M$112,"Sí"),"—")</f>
        <v>0</v>
      </c>
      <c r="D13" s="34" t="n">
        <f aca="false">COUNTIFS(Datos!$N$2:$N$112,"Otra área",Datos!$P$2:$P$112,"Sí")</f>
        <v>0</v>
      </c>
      <c r="E13" s="34" t="n">
        <f aca="false">COUNTIFS(Datos!$N$2:$N$112,"Otra área",Datos!$AQ$2:$AQ$112,"Sí")</f>
        <v>0</v>
      </c>
      <c r="F13" s="38" t="str">
        <f aca="false">IFERROR(E13/B13,"—")</f>
        <v>—</v>
      </c>
    </row>
    <row r="14" customFormat="false" ht="15" hidden="false" customHeight="false" outlineLevel="0" collapsed="false">
      <c r="A14" s="30" t="s">
        <v>310</v>
      </c>
    </row>
    <row r="16" customFormat="false" ht="21.75" hidden="false" customHeight="true" outlineLevel="0" collapsed="false">
      <c r="A16" s="7" t="s">
        <v>311</v>
      </c>
    </row>
    <row r="17" customFormat="false" ht="30" hidden="false" customHeight="true" outlineLevel="0" collapsed="false">
      <c r="A17" s="8" t="s">
        <v>312</v>
      </c>
      <c r="B17" s="9" t="s">
        <v>313</v>
      </c>
      <c r="C17" s="9" t="s">
        <v>314</v>
      </c>
      <c r="D17" s="9" t="s">
        <v>315</v>
      </c>
      <c r="E17" s="9" t="s">
        <v>316</v>
      </c>
      <c r="F17" s="9" t="s">
        <v>317</v>
      </c>
      <c r="G17" s="9" t="s">
        <v>318</v>
      </c>
    </row>
    <row r="18" customFormat="false" ht="15" hidden="false" customHeight="false" outlineLevel="0" collapsed="false">
      <c r="A18" s="10" t="s">
        <v>319</v>
      </c>
      <c r="B18" s="34" t="n">
        <f aca="false">COUNTIFS(Datos!$G$2:$G$112,"Sí")</f>
        <v>71</v>
      </c>
      <c r="C18" s="34" t="n">
        <f aca="false">COUNTIFS(Datos!$G$2:$G$112,"Sí",Datos!$AQ$2:$AQ$112,"Sí")</f>
        <v>4</v>
      </c>
      <c r="D18" s="52" t="n">
        <f aca="false">IFERROR(C18/B18,"—")</f>
        <v>0.0563380281690141</v>
      </c>
      <c r="E18" s="34" t="n">
        <f aca="false">COUNTIFS(Datos!$G$2:$G$112,"No")</f>
        <v>40</v>
      </c>
      <c r="F18" s="34" t="n">
        <f aca="false">COUNTIFS(Datos!$G$2:$G$112,"No",Datos!$AQ$2:$AQ$112,"Sí")</f>
        <v>3</v>
      </c>
      <c r="G18" s="39" t="n">
        <f aca="false">IFERROR(F18/E18,"—")</f>
        <v>0.075</v>
      </c>
    </row>
    <row r="19" customFormat="false" ht="15" hidden="false" customHeight="false" outlineLevel="0" collapsed="false">
      <c r="A19" s="13" t="s">
        <v>320</v>
      </c>
      <c r="B19" s="44" t="n">
        <f aca="false">COUNTIFS(Datos!$M$2:$M$112,"Sí")</f>
        <v>37</v>
      </c>
      <c r="C19" s="44" t="n">
        <f aca="false">COUNTIFS(Datos!$M$2:$M$112,"Sí",Datos!$AQ$2:$AQ$112,"Sí")</f>
        <v>3</v>
      </c>
      <c r="D19" s="53" t="n">
        <f aca="false">IFERROR(C19/B19,"—")</f>
        <v>0.0810810810810811</v>
      </c>
      <c r="E19" s="44" t="n">
        <f aca="false">COUNTIFS(Datos!$M$2:$M$112,"No")</f>
        <v>74</v>
      </c>
      <c r="F19" s="44" t="n">
        <f aca="false">COUNTIFS(Datos!$M$2:$M$112,"No",Datos!$AQ$2:$AQ$112,"Sí")</f>
        <v>4</v>
      </c>
      <c r="G19" s="37" t="n">
        <f aca="false">IFERROR(F19/E19,"—")</f>
        <v>0.0540540540540541</v>
      </c>
    </row>
    <row r="20" customFormat="false" ht="15" hidden="false" customHeight="false" outlineLevel="0" collapsed="false">
      <c r="A20" s="10" t="s">
        <v>321</v>
      </c>
      <c r="B20" s="34" t="n">
        <f aca="false">COUNTIFS(Datos!$AG$2:$AG$112,"Sí")</f>
        <v>32</v>
      </c>
      <c r="C20" s="34" t="n">
        <f aca="false">COUNTIFS(Datos!$AG$2:$AG$112,"Sí",Datos!$AQ$2:$AQ$112,"Sí")</f>
        <v>4</v>
      </c>
      <c r="D20" s="52" t="n">
        <f aca="false">IFERROR(C20/B20,"—")</f>
        <v>0.125</v>
      </c>
      <c r="E20" s="34" t="n">
        <f aca="false">COUNTIFS(Datos!$AG$2:$AG$112,"No")</f>
        <v>79</v>
      </c>
      <c r="F20" s="34" t="n">
        <f aca="false">COUNTIFS(Datos!$AG$2:$AG$112,"No",Datos!$AQ$2:$AQ$112,"Sí")</f>
        <v>3</v>
      </c>
      <c r="G20" s="39" t="n">
        <f aca="false">IFERROR(F20/E20,"—")</f>
        <v>0.0379746835443038</v>
      </c>
    </row>
    <row r="21" customFormat="false" ht="15" hidden="false" customHeight="false" outlineLevel="0" collapsed="false">
      <c r="A21" s="13" t="s">
        <v>322</v>
      </c>
      <c r="B21" s="44" t="n">
        <f aca="false">COUNTIFS(Datos!$Y$2:$Y$112,"Sí")</f>
        <v>37</v>
      </c>
      <c r="C21" s="44" t="n">
        <f aca="false">COUNTIFS(Datos!$Y$2:$Y$112,"Sí",Datos!$AQ$2:$AQ$112,"Sí")</f>
        <v>3</v>
      </c>
      <c r="D21" s="53" t="n">
        <f aca="false">IFERROR(C21/B21,"—")</f>
        <v>0.0810810810810811</v>
      </c>
      <c r="E21" s="44" t="n">
        <f aca="false">COUNTIFS(Datos!$Y$2:$Y$112,"No")</f>
        <v>74</v>
      </c>
      <c r="F21" s="44" t="n">
        <f aca="false">COUNTIFS(Datos!$Y$2:$Y$112,"No",Datos!$AQ$2:$AQ$112,"Sí")</f>
        <v>4</v>
      </c>
      <c r="G21" s="37" t="n">
        <f aca="false">IFERROR(F21/E21,"—")</f>
        <v>0.0540540540540541</v>
      </c>
    </row>
    <row r="22" customFormat="false" ht="15" hidden="false" customHeight="false" outlineLevel="0" collapsed="false">
      <c r="A22" s="10" t="s">
        <v>323</v>
      </c>
      <c r="B22" s="34" t="n">
        <f aca="false">COUNTIFS(Datos!$S$2:$S$112,"Sí")</f>
        <v>37</v>
      </c>
      <c r="C22" s="34" t="n">
        <f aca="false">COUNTIFS(Datos!$S$2:$S$112,"Sí",Datos!$AQ$2:$AQ$112,"Sí")</f>
        <v>2</v>
      </c>
      <c r="D22" s="52" t="n">
        <f aca="false">IFERROR(C22/B22,"—")</f>
        <v>0.0540540540540541</v>
      </c>
      <c r="E22" s="34" t="n">
        <f aca="false">COUNTIFS(Datos!$S$2:$S$112,"No")</f>
        <v>74</v>
      </c>
      <c r="F22" s="34" t="n">
        <f aca="false">COUNTIFS(Datos!$S$2:$S$112,"No",Datos!$AQ$2:$AQ$112,"Sí")</f>
        <v>5</v>
      </c>
      <c r="G22" s="39" t="n">
        <f aca="false">IFERROR(F22/E22,"—")</f>
        <v>0.0675675675675676</v>
      </c>
    </row>
    <row r="23" customFormat="false" ht="15" hidden="false" customHeight="false" outlineLevel="0" collapsed="false">
      <c r="A23" s="13" t="s">
        <v>324</v>
      </c>
      <c r="B23" s="44" t="n">
        <f aca="false">COUNTIFS(Datos!$F$2:$F$112,"Sí")</f>
        <v>79</v>
      </c>
      <c r="C23" s="44" t="n">
        <f aca="false">COUNTIFS(Datos!$F$2:$F$112,"Sí",Datos!$AQ$2:$AQ$112,"Sí")</f>
        <v>5</v>
      </c>
      <c r="D23" s="53" t="n">
        <f aca="false">IFERROR(C23/B23,"—")</f>
        <v>0.0632911392405063</v>
      </c>
      <c r="E23" s="44" t="n">
        <f aca="false">COUNTIFS(Datos!$F$2:$F$112,"No")</f>
        <v>32</v>
      </c>
      <c r="F23" s="44" t="n">
        <f aca="false">COUNTIFS(Datos!$F$2:$F$112,"No",Datos!$AQ$2:$AQ$112,"Sí")</f>
        <v>2</v>
      </c>
      <c r="G23" s="37" t="n">
        <f aca="false">IFERROR(F23/E23,"—")</f>
        <v>0.0625</v>
      </c>
    </row>
    <row r="24" customFormat="false" ht="15" hidden="false" customHeight="false" outlineLevel="0" collapsed="false">
      <c r="A24" s="10" t="s">
        <v>325</v>
      </c>
      <c r="B24" s="34" t="n">
        <f aca="false">COUNTIFS(Datos!$Z$2:$Z$112,"Sí")</f>
        <v>95</v>
      </c>
      <c r="C24" s="34" t="n">
        <f aca="false">COUNTIFS(Datos!$Z$2:$Z$112,"Sí",Datos!$AQ$2:$AQ$112,"Sí")</f>
        <v>4</v>
      </c>
      <c r="D24" s="52" t="n">
        <f aca="false">IFERROR(C24/B24,"—")</f>
        <v>0.0421052631578947</v>
      </c>
      <c r="E24" s="34" t="n">
        <f aca="false">COUNTIFS(Datos!$Z$2:$Z$112,"No")</f>
        <v>16</v>
      </c>
      <c r="F24" s="34" t="n">
        <f aca="false">COUNTIFS(Datos!$Z$2:$Z$112,"No",Datos!$AQ$2:$AQ$112,"Sí")</f>
        <v>3</v>
      </c>
      <c r="G24" s="39" t="n">
        <f aca="false">IFERROR(F24/E24,"—")</f>
        <v>0.1875</v>
      </c>
    </row>
    <row r="25" customFormat="false" ht="15" hidden="false" customHeight="false" outlineLevel="0" collapsed="false">
      <c r="A25" s="30" t="s">
        <v>326</v>
      </c>
    </row>
    <row r="27" customFormat="false" ht="21.75" hidden="false" customHeight="true" outlineLevel="0" collapsed="false">
      <c r="A27" s="7" t="s">
        <v>327</v>
      </c>
    </row>
    <row r="28" customFormat="false" ht="30" hidden="false" customHeight="true" outlineLevel="0" collapsed="false">
      <c r="A28" s="8" t="s">
        <v>328</v>
      </c>
      <c r="B28" s="9" t="s">
        <v>79</v>
      </c>
      <c r="C28" s="9" t="s">
        <v>198</v>
      </c>
      <c r="D28" s="9" t="s">
        <v>27</v>
      </c>
      <c r="E28" s="9" t="s">
        <v>175</v>
      </c>
    </row>
    <row r="29" customFormat="false" ht="15" hidden="false" customHeight="false" outlineLevel="0" collapsed="false">
      <c r="A29" s="10" t="s">
        <v>329</v>
      </c>
      <c r="B29" s="35" t="n">
        <f aca="false">COUNTIFS(Datos!$AH$2:$AH$112,"*Ruta*")</f>
        <v>27</v>
      </c>
      <c r="C29" s="38" t="n">
        <f aca="false">IFERROR(B29/COUNT(Datos!$B$2:$B$112),"—")</f>
        <v>0.243243243243243</v>
      </c>
      <c r="D29" s="34" t="n">
        <f aca="false">COUNTIFS(Datos!$AH$2:$AH$112,"*Ruta*",Datos!$AQ$2:$AQ$112,"Sí")</f>
        <v>3</v>
      </c>
      <c r="E29" s="38" t="n">
        <f aca="false">IFERROR(D29/B29,"—")</f>
        <v>0.111111111111111</v>
      </c>
    </row>
    <row r="30" customFormat="false" ht="15" hidden="false" customHeight="false" outlineLevel="0" collapsed="false">
      <c r="A30" s="13" t="s">
        <v>330</v>
      </c>
      <c r="B30" s="45" t="n">
        <f aca="false">COUNTIFS(Datos!$AH$2:$AH$112,"*Clase demo*")</f>
        <v>13</v>
      </c>
      <c r="C30" s="36" t="n">
        <f aca="false">IFERROR(B30/COUNT(Datos!$B$2:$B$112),"—")</f>
        <v>0.117117117117117</v>
      </c>
      <c r="D30" s="44" t="n">
        <f aca="false">COUNTIFS(Datos!$AH$2:$AH$112,"*Clase demo*",Datos!$AQ$2:$AQ$112,"Sí")</f>
        <v>1</v>
      </c>
      <c r="E30" s="36" t="n">
        <f aca="false">IFERROR(D30/B30,"—")</f>
        <v>0.0769230769230769</v>
      </c>
    </row>
    <row r="31" customFormat="false" ht="15" hidden="false" customHeight="false" outlineLevel="0" collapsed="false">
      <c r="A31" s="10" t="s">
        <v>331</v>
      </c>
      <c r="B31" s="35" t="n">
        <f aca="false">COUNTIFS(Datos!$AH$2:$AH$112,"*Mapa 64*")</f>
        <v>10</v>
      </c>
      <c r="C31" s="38" t="n">
        <f aca="false">IFERROR(B31/COUNT(Datos!$B$2:$B$112),"—")</f>
        <v>0.0900900900900901</v>
      </c>
      <c r="D31" s="34" t="n">
        <f aca="false">COUNTIFS(Datos!$AH$2:$AH$112,"*Mapa 64*",Datos!$AQ$2:$AQ$112,"Sí")</f>
        <v>2</v>
      </c>
      <c r="E31" s="38" t="n">
        <f aca="false">IFERROR(D31/B31,"—")</f>
        <v>0.2</v>
      </c>
    </row>
    <row r="32" customFormat="false" ht="15" hidden="false" customHeight="false" outlineLevel="0" collapsed="false">
      <c r="A32" s="13" t="s">
        <v>332</v>
      </c>
      <c r="B32" s="45" t="n">
        <f aca="false">COUNTIFS(Datos!$AH$2:$AH$112,"*Perfil ejemplo*")</f>
        <v>1</v>
      </c>
      <c r="C32" s="36" t="n">
        <f aca="false">IFERROR(B32/COUNT(Datos!$B$2:$B$112),"—")</f>
        <v>0.00900900900900901</v>
      </c>
      <c r="D32" s="44" t="n">
        <f aca="false">COUNTIFS(Datos!$AH$2:$AH$112,"*Perfil ejemplo*",Datos!$AQ$2:$AQ$112,"Sí")</f>
        <v>0</v>
      </c>
      <c r="E32" s="36" t="n">
        <f aca="false">IFERROR(D32/B32,"—")</f>
        <v>0</v>
      </c>
    </row>
    <row r="34" customFormat="false" ht="21.75" hidden="false" customHeight="true" outlineLevel="0" collapsed="false">
      <c r="A34" s="7" t="s">
        <v>333</v>
      </c>
    </row>
    <row r="35" customFormat="false" ht="30" hidden="false" customHeight="true" outlineLevel="0" collapsed="false">
      <c r="A35" s="8" t="s">
        <v>334</v>
      </c>
      <c r="B35" s="9" t="s">
        <v>79</v>
      </c>
      <c r="C35" s="9" t="s">
        <v>198</v>
      </c>
      <c r="D35" s="9" t="s">
        <v>211</v>
      </c>
      <c r="E35" s="9" t="s">
        <v>335</v>
      </c>
      <c r="F35" s="9" t="s">
        <v>336</v>
      </c>
      <c r="G35" s="9" t="s">
        <v>27</v>
      </c>
      <c r="H35" s="9" t="s">
        <v>175</v>
      </c>
      <c r="I35" s="9" t="s">
        <v>337</v>
      </c>
    </row>
    <row r="36" customFormat="false" ht="15" hidden="false" customHeight="false" outlineLevel="0" collapsed="false">
      <c r="A36" s="10" t="s">
        <v>277</v>
      </c>
      <c r="B36" s="35" t="n">
        <f aca="false">COUNTIFS(Datos!$R$2:$R$112,"Salma")</f>
        <v>70</v>
      </c>
      <c r="C36" s="38" t="n">
        <f aca="false">IFERROR(B36/COUNT(Datos!$B$2:$B$112),"—")</f>
        <v>0.630630630630631</v>
      </c>
      <c r="D36" s="38" t="n">
        <f aca="false">IFERROR(COUNTIFS(Datos!$R$2:$R$112,"Salma",Datos!$G$2:$G$112,"Sí")/B36,"—")</f>
        <v>0.528571428571429</v>
      </c>
      <c r="E36" s="40" t="n">
        <f aca="false" t="array" ref="E36:E36">IFERROR(MEDIAN(IF((Datos!$R$2:$R$112="Salma")*(Datos!$V$2:$V$112&lt;&gt;""),Datos!$V$2:$V$112)),"—")</f>
        <v>338.65</v>
      </c>
      <c r="F36" s="40" t="n">
        <f aca="false" t="array" ref="F36:F36">IFERROR(MEDIAN(IF((Datos!$R$2:$R$112="Salma")*(Datos!$T$2:$T$112&lt;&gt;""),Datos!$T$2:$T$112))/60,"—")</f>
        <v>54.5858333333333</v>
      </c>
      <c r="G36" s="34" t="n">
        <f aca="false">COUNTIFS(Datos!$R$2:$R$112,"Salma",Datos!$AQ$2:$AQ$112,"Sí")</f>
        <v>2</v>
      </c>
      <c r="H36" s="38" t="n">
        <f aca="false">IFERROR(G36/B36,"—")</f>
        <v>0.0285714285714286</v>
      </c>
      <c r="I36" s="38" t="n">
        <f aca="false">IFERROR(COUNTIFS(Datos!$R$2:$R$112,"Salma",Datos!$F$2:$F$112,"No")/COUNTIFS(Datos!$F$2:$F$112,"No"),"—")</f>
        <v>0.75</v>
      </c>
    </row>
    <row r="37" customFormat="false" ht="15" hidden="false" customHeight="false" outlineLevel="0" collapsed="false">
      <c r="A37" s="13" t="s">
        <v>278</v>
      </c>
      <c r="B37" s="45" t="n">
        <f aca="false">COUNTIFS(Datos!$R$2:$R$112,"Alexander")</f>
        <v>23</v>
      </c>
      <c r="C37" s="36" t="n">
        <f aca="false">IFERROR(B37/COUNT(Datos!$B$2:$B$112),"—")</f>
        <v>0.207207207207207</v>
      </c>
      <c r="D37" s="36" t="n">
        <f aca="false">IFERROR(COUNTIFS(Datos!$R$2:$R$112,"Alexander",Datos!$G$2:$G$112,"Sí")/B37,"—")</f>
        <v>0.826086956521739</v>
      </c>
      <c r="E37" s="42" t="n">
        <f aca="false" t="array" ref="E37:E37">IFERROR(MEDIAN(IF((Datos!$R$2:$R$112="Alexander")*(Datos!$V$2:$V$112&lt;&gt;""),Datos!$V$2:$V$112)),"—")</f>
        <v>3.5</v>
      </c>
      <c r="F37" s="42" t="n">
        <f aca="false" t="array" ref="F37:F37">IFERROR(MEDIAN(IF((Datos!$R$2:$R$112="Alexander")*(Datos!$T$2:$T$112&lt;&gt;""),Datos!$T$2:$T$112))/60,"—")</f>
        <v>0.858333333333333</v>
      </c>
      <c r="G37" s="44" t="n">
        <f aca="false">COUNTIFS(Datos!$R$2:$R$112,"Alexander",Datos!$AQ$2:$AQ$112,"Sí")</f>
        <v>2</v>
      </c>
      <c r="H37" s="36" t="n">
        <f aca="false">IFERROR(G37/B37,"—")</f>
        <v>0.0869565217391304</v>
      </c>
      <c r="I37" s="36" t="n">
        <f aca="false">IFERROR(COUNTIFS(Datos!$R$2:$R$112,"Alexander",Datos!$F$2:$F$112,"No")/COUNTIFS(Datos!$F$2:$F$112,"No"),"—")</f>
        <v>0.21875</v>
      </c>
    </row>
    <row r="38" customFormat="false" ht="15" hidden="false" customHeight="false" outlineLevel="0" collapsed="false">
      <c r="A38" s="10" t="s">
        <v>279</v>
      </c>
      <c r="B38" s="35" t="n">
        <f aca="false">COUNTIFS(Datos!$R$2:$R$112,"Victoria")</f>
        <v>15</v>
      </c>
      <c r="C38" s="38" t="n">
        <f aca="false">IFERROR(B38/COUNT(Datos!$B$2:$B$112),"—")</f>
        <v>0.135135135135135</v>
      </c>
      <c r="D38" s="38" t="n">
        <f aca="false">IFERROR(COUNTIFS(Datos!$R$2:$R$112,"Victoria",Datos!$G$2:$G$112,"Sí")/B38,"—")</f>
        <v>0.866666666666667</v>
      </c>
      <c r="E38" s="40" t="n">
        <f aca="false" t="array" ref="E38:E38">IFERROR(MEDIAN(IF((Datos!$R$2:$R$112="Victoria")*(Datos!$V$2:$V$112&lt;&gt;""),Datos!$V$2:$V$112)),"—")</f>
        <v>1</v>
      </c>
      <c r="F38" s="40" t="n">
        <f aca="false" t="array" ref="F38:F38">IFERROR(MEDIAN(IF((Datos!$R$2:$R$112="Victoria")*(Datos!$T$2:$T$112&lt;&gt;""),Datos!$T$2:$T$112))/60,"—")</f>
        <v>0.0983333333333333</v>
      </c>
      <c r="G38" s="34" t="n">
        <f aca="false">COUNTIFS(Datos!$R$2:$R$112,"Victoria",Datos!$AQ$2:$AQ$112,"Sí")</f>
        <v>3</v>
      </c>
      <c r="H38" s="38" t="n">
        <f aca="false">IFERROR(G38/B38,"—")</f>
        <v>0.2</v>
      </c>
      <c r="I38" s="38" t="n">
        <f aca="false">IFERROR(COUNTIFS(Datos!$R$2:$R$112,"Victoria",Datos!$F$2:$F$112,"No")/COUNTIFS(Datos!$F$2:$F$112,"No"),"—")</f>
        <v>0.03125</v>
      </c>
    </row>
    <row r="39" customFormat="false" ht="15" hidden="false" customHeight="false" outlineLevel="0" collapsed="false">
      <c r="A39" s="13" t="s">
        <v>338</v>
      </c>
      <c r="B39" s="45" t="n">
        <f aca="false">COUNTIFS(Datos!$R$2:$R$112,"Sin asignar")</f>
        <v>3</v>
      </c>
      <c r="C39" s="36" t="n">
        <f aca="false">IFERROR(B39/COUNT(Datos!$B$2:$B$112),"—")</f>
        <v>0.027027027027027</v>
      </c>
      <c r="D39" s="36" t="n">
        <f aca="false">IFERROR(COUNTIFS(Datos!$R$2:$R$112,"Sin asignar",Datos!$G$2:$G$112,"Sí")/B39,"—")</f>
        <v>0.666666666666667</v>
      </c>
      <c r="E39" s="42" t="n">
        <f aca="false" t="array" ref="E39:E39">IFERROR(MEDIAN(IF((Datos!$R$2:$R$112="Sin asignar")*(Datos!$V$2:$V$112&lt;&gt;""),Datos!$V$2:$V$112)),"—")</f>
        <v>7.95</v>
      </c>
      <c r="F39" s="42" t="n">
        <f aca="false" t="array" ref="F39:F39">IFERROR(MEDIAN(IF((Datos!$R$2:$R$112="Sin asignar")*(Datos!$T$2:$T$112&lt;&gt;""),Datos!$T$2:$T$112))/60,"—")</f>
        <v>26.4958333333333</v>
      </c>
      <c r="G39" s="44" t="n">
        <f aca="false">COUNTIFS(Datos!$R$2:$R$112,"Sin asignar",Datos!$AQ$2:$AQ$112,"Sí")</f>
        <v>0</v>
      </c>
      <c r="H39" s="36" t="n">
        <f aca="false">IFERROR(G39/B39,"—")</f>
        <v>0</v>
      </c>
      <c r="I39" s="36" t="n">
        <f aca="false">IFERROR(COUNTIFS(Datos!$R$2:$R$112,"Sin asignar",Datos!$F$2:$F$112,"No")/COUNTIFS(Datos!$F$2:$F$112,"No"),"—")</f>
        <v>0</v>
      </c>
    </row>
    <row r="40" customFormat="false" ht="15" hidden="false" customHeight="false" outlineLevel="0" collapsed="false">
      <c r="A40" s="30" t="s">
        <v>339</v>
      </c>
    </row>
    <row r="41" customFormat="false" ht="15" hidden="false" customHeight="false" outlineLevel="0" collapsed="false">
      <c r="A41" s="30" t="s">
        <v>340</v>
      </c>
    </row>
    <row r="43" customFormat="false" ht="21.75" hidden="false" customHeight="true" outlineLevel="0" collapsed="false">
      <c r="A43" s="7" t="s">
        <v>341</v>
      </c>
    </row>
    <row r="44" customFormat="false" ht="30" hidden="false" customHeight="true" outlineLevel="0" collapsed="false">
      <c r="A44" s="8" t="s">
        <v>342</v>
      </c>
      <c r="B44" s="9" t="s">
        <v>79</v>
      </c>
      <c r="C44" s="9" t="s">
        <v>343</v>
      </c>
      <c r="D44" s="9" t="s">
        <v>344</v>
      </c>
    </row>
    <row r="45" customFormat="false" ht="15" hidden="false" customHeight="false" outlineLevel="0" collapsed="false">
      <c r="A45" s="10" t="s">
        <v>345</v>
      </c>
      <c r="B45" s="35" t="n">
        <f aca="false">COUNTIFS(Datos!$AL$2:$AL$112,"Persona")</f>
        <v>58</v>
      </c>
      <c r="C45" s="38" t="n">
        <f aca="false">IFERROR(B45/COUNTIFS(Datos!$AK$2:$AK$112,"Perdido"),"—")</f>
        <v>0.935483870967742</v>
      </c>
      <c r="D45" s="40" t="n">
        <f aca="false" t="array" ref="D45:D45">IFERROR(MEDIAN(IF((Datos!$AL$2:$AL$112="Persona")*(Datos!$AN$2:$AN$112&lt;&gt;""),Datos!$AN$2:$AN$112)),"—")</f>
        <v>88.15</v>
      </c>
    </row>
    <row r="46" customFormat="false" ht="15" hidden="false" customHeight="false" outlineLevel="0" collapsed="false">
      <c r="A46" s="13" t="s">
        <v>346</v>
      </c>
      <c r="B46" s="45" t="n">
        <f aca="false">COUNTIFS(Datos!$AL$2:$AL$112,"Bot")</f>
        <v>4</v>
      </c>
      <c r="C46" s="36" t="n">
        <f aca="false">IFERROR(B46/COUNTIFS(Datos!$AK$2:$AK$112,"Perdido"),"—")</f>
        <v>0.0645161290322581</v>
      </c>
      <c r="D46" s="42" t="n">
        <f aca="false" t="array" ref="D46:D46">IFERROR(MEDIAN(IF((Datos!$AL$2:$AL$112="Bot")*(Datos!$AN$2:$AN$112&lt;&gt;""),Datos!$AN$2:$AN$112)),"—")</f>
        <v>127.8</v>
      </c>
    </row>
    <row r="47" customFormat="false" ht="15" hidden="false" customHeight="false" outlineLevel="0" collapsed="false">
      <c r="A47" s="10" t="s">
        <v>347</v>
      </c>
      <c r="B47" s="35" t="n">
        <f aca="false">COUNTIFS(Datos!$AM$2:$AM$112,"No contestaron")</f>
        <v>55</v>
      </c>
      <c r="C47" s="38" t="n">
        <f aca="false">IFERROR(B47/COUNTIFS(Datos!$AK$2:$AK$112,"Perdido"),"—")</f>
        <v>0.887096774193548</v>
      </c>
      <c r="D47" s="40" t="n">
        <f aca="false" t="array" ref="D47:D47">IFERROR(MEDIAN(IF((Datos!$AM$2:$AM$112="No contestaron")*(Datos!$AN$2:$AN$112&lt;&gt;""),Datos!$AN$2:$AN$112)),"—")</f>
        <v>88</v>
      </c>
    </row>
    <row r="48" customFormat="false" ht="15" hidden="false" customHeight="false" outlineLevel="0" collapsed="false">
      <c r="A48" s="13" t="s">
        <v>348</v>
      </c>
      <c r="B48" s="45" t="n">
        <f aca="false">COUNTIFS(Datos!$AM$2:$AM$112,"Por el momento no")</f>
        <v>3</v>
      </c>
      <c r="C48" s="36" t="n">
        <f aca="false">IFERROR(B48/COUNTIFS(Datos!$AK$2:$AK$112,"Perdido"),"—")</f>
        <v>0.0483870967741936</v>
      </c>
      <c r="D48" s="42" t="n">
        <f aca="false" t="array" ref="D48:D48">IFERROR(MEDIAN(IF((Datos!$AM$2:$AM$112="Por el momento no")*(Datos!$AN$2:$AN$112&lt;&gt;""),Datos!$AN$2:$AN$112)),"—")</f>
        <v>91.8</v>
      </c>
    </row>
    <row r="49" customFormat="false" ht="15" hidden="false" customHeight="false" outlineLevel="0" collapsed="false">
      <c r="A49" s="10" t="s">
        <v>349</v>
      </c>
      <c r="B49" s="35" t="n">
        <f aca="false">COUNTIFS(Datos!$AM$2:$AM$112,"No le interesa")</f>
        <v>0</v>
      </c>
      <c r="C49" s="38" t="n">
        <f aca="false">IFERROR(B49/COUNTIFS(Datos!$AK$2:$AK$112,"Perdido"),"—")</f>
        <v>0</v>
      </c>
      <c r="D49" s="40" t="str">
        <f aca="false" t="array" ref="D49:D49">IFERROR(MEDIAN(IF((Datos!$AM$2:$AM$112="No le interesa")*(Datos!$AN$2:$AN$112&lt;&gt;""),Datos!$AN$2:$AN$112)),"—")</f>
        <v>—</v>
      </c>
    </row>
    <row r="50" customFormat="false" ht="15" hidden="false" customHeight="false" outlineLevel="0" collapsed="false">
      <c r="A50" s="13" t="s">
        <v>350</v>
      </c>
      <c r="B50" s="45" t="n">
        <f aca="false">COUNTIFS(Datos!$AM$2:$AM$112,"Sin razón")</f>
        <v>4</v>
      </c>
      <c r="C50" s="36" t="n">
        <f aca="false">IFERROR(B50/COUNTIFS(Datos!$AK$2:$AK$112,"Perdido"),"—")</f>
        <v>0.0645161290322581</v>
      </c>
      <c r="D50" s="42" t="n">
        <f aca="false" t="array" ref="D50:D50">IFERROR(MEDIAN(IF((Datos!$AM$2:$AM$112="Sin razón")*(Datos!$AN$2:$AN$112&lt;&gt;""),Datos!$AN$2:$AN$112)),"—")</f>
        <v>127.8</v>
      </c>
    </row>
    <row r="51" customFormat="false" ht="15" hidden="false" customHeight="false" outlineLevel="0" collapsed="false">
      <c r="A51" s="10" t="s">
        <v>351</v>
      </c>
      <c r="B51" s="35" t="n">
        <f aca="false">COUNTIFS(Datos!$AK$2:$AK$112,"Perdido")-SUM(B47:B50)</f>
        <v>0</v>
      </c>
      <c r="C51" s="38" t="n">
        <f aca="false">IFERROR(B51/COUNTIFS(Datos!$AK$2:$AK$112,"Perdido"),"—")</f>
        <v>0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false"/>
  </sheetPr>
  <dimension ref="A1:AU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9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9"/>
    <col collapsed="false" customWidth="true" hidden="false" outlineLevel="0" max="13" min="13" style="0" width="11"/>
    <col collapsed="false" customWidth="true" hidden="false" outlineLevel="0" max="14" min="14" style="0" width="24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2"/>
    <col collapsed="false" customWidth="true" hidden="false" outlineLevel="0" max="19" min="19" style="0" width="11"/>
    <col collapsed="false" customWidth="true" hidden="false" outlineLevel="0" max="20" min="20" style="0" width="14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3" min="23" style="0" width="14"/>
    <col collapsed="false" customWidth="true" hidden="false" outlineLevel="0" max="24" min="24" style="0" width="13"/>
    <col collapsed="false" customWidth="true" hidden="false" outlineLevel="0" max="26" min="25" style="0" width="10"/>
    <col collapsed="false" customWidth="true" hidden="false" outlineLevel="0" max="27" min="27" style="0" width="16"/>
    <col collapsed="false" customWidth="true" hidden="false" outlineLevel="0" max="28" min="28" style="0" width="12"/>
    <col collapsed="false" customWidth="true" hidden="false" outlineLevel="0" max="29" min="29" style="0" width="11"/>
    <col collapsed="false" customWidth="true" hidden="false" outlineLevel="0" max="33" min="30" style="0" width="10"/>
    <col collapsed="false" customWidth="true" hidden="false" outlineLevel="0" max="34" min="34" style="0" width="18"/>
    <col collapsed="false" customWidth="true" hidden="false" outlineLevel="0" max="35" min="35" style="0" width="12"/>
    <col collapsed="false" customWidth="true" hidden="false" outlineLevel="0" max="36" min="36" style="0" width="26"/>
    <col collapsed="false" customWidth="true" hidden="false" outlineLevel="0" max="37" min="37" style="0" width="10"/>
    <col collapsed="false" customWidth="true" hidden="false" outlineLevel="0" max="38" min="38" style="0" width="11"/>
    <col collapsed="false" customWidth="true" hidden="false" outlineLevel="0" max="39" min="39" style="0" width="22"/>
    <col collapsed="false" customWidth="true" hidden="false" outlineLevel="0" max="40" min="40" style="0" width="10"/>
    <col collapsed="false" customWidth="true" hidden="false" outlineLevel="0" max="41" min="41" style="0" width="11"/>
    <col collapsed="false" customWidth="true" hidden="false" outlineLevel="0" max="42" min="42" style="0" width="12"/>
    <col collapsed="false" customWidth="true" hidden="false" outlineLevel="0" max="43" min="43" style="0" width="9"/>
    <col collapsed="false" customWidth="true" hidden="false" outlineLevel="0" max="44" min="44" style="0" width="11"/>
    <col collapsed="false" customWidth="true" hidden="false" outlineLevel="0" max="45" min="45" style="0" width="18"/>
    <col collapsed="false" customWidth="true" hidden="false" outlineLevel="0" max="46" min="46" style="0" width="10"/>
    <col collapsed="false" customWidth="true" hidden="false" outlineLevel="0" max="47" min="47" style="0" width="18"/>
  </cols>
  <sheetData>
    <row r="1" customFormat="false" ht="48" hidden="false" customHeight="true" outlineLevel="0" collapsed="false">
      <c r="A1" s="61" t="s">
        <v>176</v>
      </c>
      <c r="B1" s="61" t="s">
        <v>290</v>
      </c>
      <c r="C1" s="61" t="s">
        <v>291</v>
      </c>
      <c r="D1" s="61" t="s">
        <v>352</v>
      </c>
      <c r="E1" s="61" t="s">
        <v>234</v>
      </c>
      <c r="F1" s="61" t="s">
        <v>353</v>
      </c>
      <c r="G1" s="61" t="s">
        <v>354</v>
      </c>
      <c r="H1" s="61" t="s">
        <v>355</v>
      </c>
      <c r="I1" s="61" t="s">
        <v>356</v>
      </c>
      <c r="J1" s="61" t="s">
        <v>357</v>
      </c>
      <c r="K1" s="61" t="s">
        <v>358</v>
      </c>
      <c r="L1" s="61" t="s">
        <v>359</v>
      </c>
      <c r="M1" s="61" t="s">
        <v>360</v>
      </c>
      <c r="N1" s="61" t="s">
        <v>300</v>
      </c>
      <c r="O1" s="61" t="s">
        <v>361</v>
      </c>
      <c r="P1" s="61" t="s">
        <v>362</v>
      </c>
      <c r="Q1" s="61" t="s">
        <v>363</v>
      </c>
      <c r="R1" s="61" t="s">
        <v>292</v>
      </c>
      <c r="S1" s="61" t="s">
        <v>364</v>
      </c>
      <c r="T1" s="61" t="s">
        <v>365</v>
      </c>
      <c r="U1" s="61" t="s">
        <v>366</v>
      </c>
      <c r="V1" s="61" t="s">
        <v>367</v>
      </c>
      <c r="W1" s="61" t="s">
        <v>368</v>
      </c>
      <c r="X1" s="61" t="s">
        <v>369</v>
      </c>
      <c r="Y1" s="61" t="s">
        <v>370</v>
      </c>
      <c r="Z1" s="61" t="s">
        <v>371</v>
      </c>
      <c r="AA1" s="61" t="s">
        <v>293</v>
      </c>
      <c r="AB1" s="61" t="s">
        <v>272</v>
      </c>
      <c r="AC1" s="61" t="s">
        <v>372</v>
      </c>
      <c r="AD1" s="61" t="s">
        <v>373</v>
      </c>
      <c r="AE1" s="61" t="s">
        <v>374</v>
      </c>
      <c r="AF1" s="61" t="s">
        <v>375</v>
      </c>
      <c r="AG1" s="61" t="s">
        <v>376</v>
      </c>
      <c r="AH1" s="61" t="s">
        <v>377</v>
      </c>
      <c r="AI1" s="61" t="s">
        <v>378</v>
      </c>
      <c r="AJ1" s="61" t="s">
        <v>379</v>
      </c>
      <c r="AK1" s="61" t="s">
        <v>380</v>
      </c>
      <c r="AL1" s="61" t="s">
        <v>381</v>
      </c>
      <c r="AM1" s="61" t="s">
        <v>382</v>
      </c>
      <c r="AN1" s="61" t="s">
        <v>383</v>
      </c>
      <c r="AO1" s="61" t="s">
        <v>384</v>
      </c>
      <c r="AP1" s="61" t="s">
        <v>385</v>
      </c>
      <c r="AQ1" s="61" t="s">
        <v>386</v>
      </c>
      <c r="AR1" s="61" t="s">
        <v>282</v>
      </c>
      <c r="AS1" s="61" t="s">
        <v>294</v>
      </c>
      <c r="AT1" s="61" t="s">
        <v>295</v>
      </c>
      <c r="AU1" s="61" t="s">
        <v>387</v>
      </c>
    </row>
    <row r="2" customFormat="false" ht="15" hidden="false" customHeight="false" outlineLevel="0" collapsed="false">
      <c r="A2" s="62" t="s">
        <v>388</v>
      </c>
      <c r="B2" s="63" t="n">
        <v>268</v>
      </c>
      <c r="C2" s="64" t="n">
        <v>46300.485834375</v>
      </c>
      <c r="D2" s="62" t="s">
        <v>72</v>
      </c>
      <c r="E2" s="63" t="n">
        <v>11</v>
      </c>
      <c r="F2" s="62" t="s">
        <v>389</v>
      </c>
      <c r="G2" s="62" t="s">
        <v>389</v>
      </c>
      <c r="H2" s="62" t="s">
        <v>389</v>
      </c>
      <c r="I2" s="62" t="s">
        <v>389</v>
      </c>
      <c r="J2" s="65" t="n">
        <v>1.3</v>
      </c>
      <c r="K2" s="62" t="s">
        <v>277</v>
      </c>
      <c r="L2" s="62" t="s">
        <v>389</v>
      </c>
      <c r="M2" s="62" t="s">
        <v>390</v>
      </c>
      <c r="N2" s="62"/>
      <c r="O2" s="62" t="s">
        <v>389</v>
      </c>
      <c r="P2" s="62" t="s">
        <v>390</v>
      </c>
      <c r="Q2" s="62" t="s">
        <v>390</v>
      </c>
      <c r="R2" s="62" t="s">
        <v>277</v>
      </c>
      <c r="S2" s="62" t="s">
        <v>389</v>
      </c>
      <c r="T2" s="65" t="n">
        <v>1382.4</v>
      </c>
      <c r="U2" s="62" t="s">
        <v>276</v>
      </c>
      <c r="V2" s="65" t="n">
        <v>1.8</v>
      </c>
      <c r="W2" s="65" t="n">
        <v>696.3</v>
      </c>
      <c r="X2" s="63" t="n">
        <v>0</v>
      </c>
      <c r="Y2" s="62" t="s">
        <v>389</v>
      </c>
      <c r="Z2" s="62" t="s">
        <v>389</v>
      </c>
      <c r="AA2" s="62" t="s">
        <v>391</v>
      </c>
      <c r="AB2" s="62" t="s">
        <v>275</v>
      </c>
      <c r="AC2" s="65" t="n">
        <v>26.1</v>
      </c>
      <c r="AD2" s="63" t="n">
        <v>4</v>
      </c>
      <c r="AE2" s="63" t="n">
        <v>21</v>
      </c>
      <c r="AF2" s="63" t="n">
        <v>4</v>
      </c>
      <c r="AG2" s="62" t="s">
        <v>389</v>
      </c>
      <c r="AH2" s="62" t="s">
        <v>330</v>
      </c>
      <c r="AI2" s="63" t="n">
        <v>0</v>
      </c>
      <c r="AJ2" s="62" t="s">
        <v>150</v>
      </c>
      <c r="AK2" s="62" t="s">
        <v>392</v>
      </c>
      <c r="AL2" s="62" t="s">
        <v>393</v>
      </c>
      <c r="AM2" s="62" t="s">
        <v>394</v>
      </c>
      <c r="AN2" s="65" t="n">
        <v>77.3</v>
      </c>
      <c r="AO2" s="62" t="s">
        <v>389</v>
      </c>
      <c r="AP2" s="62" t="s">
        <v>390</v>
      </c>
      <c r="AQ2" s="62" t="s">
        <v>390</v>
      </c>
      <c r="AR2" s="66"/>
      <c r="AS2" s="62"/>
      <c r="AT2" s="65"/>
      <c r="AU2" s="62" t="s">
        <v>395</v>
      </c>
    </row>
    <row r="3" customFormat="false" ht="15" hidden="false" customHeight="false" outlineLevel="0" collapsed="false">
      <c r="A3" s="62" t="s">
        <v>388</v>
      </c>
      <c r="B3" s="63" t="n">
        <v>286</v>
      </c>
      <c r="C3" s="64" t="n">
        <v>46300.5523744907</v>
      </c>
      <c r="D3" s="62" t="s">
        <v>72</v>
      </c>
      <c r="E3" s="63" t="n">
        <v>13</v>
      </c>
      <c r="F3" s="62" t="s">
        <v>389</v>
      </c>
      <c r="G3" s="62" t="s">
        <v>389</v>
      </c>
      <c r="H3" s="62" t="s">
        <v>389</v>
      </c>
      <c r="I3" s="62" t="s">
        <v>389</v>
      </c>
      <c r="J3" s="65" t="n">
        <v>0.3</v>
      </c>
      <c r="K3" s="62" t="s">
        <v>279</v>
      </c>
      <c r="L3" s="62" t="s">
        <v>389</v>
      </c>
      <c r="M3" s="62" t="s">
        <v>389</v>
      </c>
      <c r="N3" s="62" t="s">
        <v>304</v>
      </c>
      <c r="O3" s="62" t="s">
        <v>389</v>
      </c>
      <c r="P3" s="62" t="s">
        <v>389</v>
      </c>
      <c r="Q3" s="62" t="s">
        <v>389</v>
      </c>
      <c r="R3" s="62" t="s">
        <v>279</v>
      </c>
      <c r="S3" s="62" t="s">
        <v>389</v>
      </c>
      <c r="T3" s="65" t="n">
        <v>30.3</v>
      </c>
      <c r="U3" s="62" t="s">
        <v>279</v>
      </c>
      <c r="V3" s="65" t="n">
        <v>26.6</v>
      </c>
      <c r="W3" s="65" t="n">
        <v>2.2</v>
      </c>
      <c r="X3" s="63" t="n">
        <v>0</v>
      </c>
      <c r="Y3" s="62" t="s">
        <v>389</v>
      </c>
      <c r="Z3" s="62" t="s">
        <v>389</v>
      </c>
      <c r="AA3" s="62" t="s">
        <v>391</v>
      </c>
      <c r="AB3" s="62" t="s">
        <v>275</v>
      </c>
      <c r="AC3" s="65" t="n">
        <v>29.4</v>
      </c>
      <c r="AD3" s="63" t="n">
        <v>10</v>
      </c>
      <c r="AE3" s="63" t="n">
        <v>28</v>
      </c>
      <c r="AF3" s="63" t="n">
        <v>11</v>
      </c>
      <c r="AG3" s="62" t="s">
        <v>389</v>
      </c>
      <c r="AH3" s="62" t="s">
        <v>396</v>
      </c>
      <c r="AI3" s="63" t="n">
        <v>0</v>
      </c>
      <c r="AJ3" s="62" t="s">
        <v>150</v>
      </c>
      <c r="AK3" s="62" t="s">
        <v>392</v>
      </c>
      <c r="AL3" s="62" t="s">
        <v>275</v>
      </c>
      <c r="AM3" s="62" t="s">
        <v>350</v>
      </c>
      <c r="AN3" s="65" t="n">
        <v>119.8</v>
      </c>
      <c r="AO3" s="62" t="s">
        <v>389</v>
      </c>
      <c r="AP3" s="62" t="s">
        <v>390</v>
      </c>
      <c r="AQ3" s="62" t="s">
        <v>390</v>
      </c>
      <c r="AR3" s="66"/>
      <c r="AS3" s="62"/>
      <c r="AT3" s="65"/>
      <c r="AU3" s="62" t="s">
        <v>397</v>
      </c>
    </row>
    <row r="4" customFormat="false" ht="15" hidden="false" customHeight="false" outlineLevel="0" collapsed="false">
      <c r="A4" s="62" t="s">
        <v>388</v>
      </c>
      <c r="B4" s="63" t="n">
        <v>294</v>
      </c>
      <c r="C4" s="64" t="n">
        <v>46300.5967429977</v>
      </c>
      <c r="D4" s="62" t="s">
        <v>72</v>
      </c>
      <c r="E4" s="63" t="n">
        <v>14</v>
      </c>
      <c r="F4" s="62" t="s">
        <v>389</v>
      </c>
      <c r="G4" s="62" t="s">
        <v>390</v>
      </c>
      <c r="H4" s="62" t="s">
        <v>390</v>
      </c>
      <c r="I4" s="62" t="s">
        <v>389</v>
      </c>
      <c r="J4" s="65"/>
      <c r="K4" s="62" t="s">
        <v>275</v>
      </c>
      <c r="L4" s="62" t="s">
        <v>389</v>
      </c>
      <c r="M4" s="62" t="s">
        <v>390</v>
      </c>
      <c r="N4" s="62"/>
      <c r="O4" s="62" t="s">
        <v>389</v>
      </c>
      <c r="P4" s="62" t="s">
        <v>390</v>
      </c>
      <c r="Q4" s="62" t="s">
        <v>390</v>
      </c>
      <c r="R4" s="62" t="s">
        <v>278</v>
      </c>
      <c r="S4" s="62" t="s">
        <v>390</v>
      </c>
      <c r="T4" s="65" t="n">
        <v>6086.1</v>
      </c>
      <c r="U4" s="62" t="s">
        <v>278</v>
      </c>
      <c r="V4" s="65" t="n">
        <v>6086.1</v>
      </c>
      <c r="W4" s="65"/>
      <c r="X4" s="63" t="n">
        <v>0</v>
      </c>
      <c r="Y4" s="62" t="s">
        <v>390</v>
      </c>
      <c r="Z4" s="62" t="s">
        <v>389</v>
      </c>
      <c r="AA4" s="62" t="s">
        <v>391</v>
      </c>
      <c r="AB4" s="62" t="s">
        <v>275</v>
      </c>
      <c r="AC4" s="65" t="n">
        <v>26.6</v>
      </c>
      <c r="AD4" s="63" t="n">
        <v>1</v>
      </c>
      <c r="AE4" s="63" t="n">
        <v>23</v>
      </c>
      <c r="AF4" s="63" t="n">
        <v>1</v>
      </c>
      <c r="AG4" s="62" t="s">
        <v>389</v>
      </c>
      <c r="AH4" s="62" t="s">
        <v>330</v>
      </c>
      <c r="AI4" s="63" t="n">
        <v>0</v>
      </c>
      <c r="AJ4" s="62" t="s">
        <v>147</v>
      </c>
      <c r="AK4" s="62" t="s">
        <v>392</v>
      </c>
      <c r="AL4" s="62" t="s">
        <v>393</v>
      </c>
      <c r="AM4" s="62" t="s">
        <v>394</v>
      </c>
      <c r="AN4" s="65" t="n">
        <v>101.4</v>
      </c>
      <c r="AO4" s="62" t="s">
        <v>389</v>
      </c>
      <c r="AP4" s="62" t="s">
        <v>390</v>
      </c>
      <c r="AQ4" s="62" t="s">
        <v>390</v>
      </c>
      <c r="AR4" s="66"/>
      <c r="AS4" s="62"/>
      <c r="AT4" s="65"/>
      <c r="AU4" s="62" t="s">
        <v>397</v>
      </c>
    </row>
    <row r="5" customFormat="false" ht="15" hidden="false" customHeight="false" outlineLevel="0" collapsed="false">
      <c r="A5" s="62" t="s">
        <v>388</v>
      </c>
      <c r="B5" s="63" t="n">
        <v>300</v>
      </c>
      <c r="C5" s="64" t="n">
        <v>46300.6344025</v>
      </c>
      <c r="D5" s="62" t="s">
        <v>72</v>
      </c>
      <c r="E5" s="63" t="n">
        <v>15</v>
      </c>
      <c r="F5" s="62" t="s">
        <v>389</v>
      </c>
      <c r="G5" s="62" t="s">
        <v>390</v>
      </c>
      <c r="H5" s="62" t="s">
        <v>390</v>
      </c>
      <c r="I5" s="62" t="s">
        <v>389</v>
      </c>
      <c r="J5" s="65"/>
      <c r="K5" s="62" t="s">
        <v>275</v>
      </c>
      <c r="L5" s="62" t="s">
        <v>389</v>
      </c>
      <c r="M5" s="62" t="s">
        <v>390</v>
      </c>
      <c r="N5" s="62"/>
      <c r="O5" s="62" t="s">
        <v>389</v>
      </c>
      <c r="P5" s="62" t="s">
        <v>390</v>
      </c>
      <c r="Q5" s="62" t="s">
        <v>390</v>
      </c>
      <c r="R5" s="62" t="s">
        <v>277</v>
      </c>
      <c r="S5" s="62" t="s">
        <v>390</v>
      </c>
      <c r="T5" s="65" t="n">
        <v>4436.7</v>
      </c>
      <c r="U5" s="62" t="s">
        <v>277</v>
      </c>
      <c r="V5" s="65" t="n">
        <v>4436.7</v>
      </c>
      <c r="W5" s="65"/>
      <c r="X5" s="63" t="n">
        <v>0</v>
      </c>
      <c r="Y5" s="62" t="s">
        <v>390</v>
      </c>
      <c r="Z5" s="62" t="s">
        <v>389</v>
      </c>
      <c r="AA5" s="62" t="s">
        <v>391</v>
      </c>
      <c r="AB5" s="62" t="s">
        <v>275</v>
      </c>
      <c r="AC5" s="65" t="n">
        <v>26.6</v>
      </c>
      <c r="AD5" s="63" t="n">
        <v>1</v>
      </c>
      <c r="AE5" s="63" t="n">
        <v>22</v>
      </c>
      <c r="AF5" s="63" t="n">
        <v>1</v>
      </c>
      <c r="AG5" s="62" t="s">
        <v>390</v>
      </c>
      <c r="AH5" s="62"/>
      <c r="AI5" s="63" t="n">
        <v>0</v>
      </c>
      <c r="AJ5" s="62" t="s">
        <v>147</v>
      </c>
      <c r="AK5" s="62" t="s">
        <v>392</v>
      </c>
      <c r="AL5" s="62" t="s">
        <v>393</v>
      </c>
      <c r="AM5" s="62" t="s">
        <v>394</v>
      </c>
      <c r="AN5" s="65" t="n">
        <v>73.9</v>
      </c>
      <c r="AO5" s="62" t="s">
        <v>389</v>
      </c>
      <c r="AP5" s="62" t="s">
        <v>390</v>
      </c>
      <c r="AQ5" s="62" t="s">
        <v>390</v>
      </c>
      <c r="AR5" s="66"/>
      <c r="AS5" s="62"/>
      <c r="AT5" s="65"/>
      <c r="AU5" s="62" t="s">
        <v>397</v>
      </c>
    </row>
    <row r="6" customFormat="false" ht="15" hidden="false" customHeight="false" outlineLevel="0" collapsed="false">
      <c r="A6" s="62" t="s">
        <v>388</v>
      </c>
      <c r="B6" s="63" t="n">
        <v>301</v>
      </c>
      <c r="C6" s="64" t="n">
        <v>46300.6395027431</v>
      </c>
      <c r="D6" s="62" t="s">
        <v>72</v>
      </c>
      <c r="E6" s="63" t="n">
        <v>15</v>
      </c>
      <c r="F6" s="62" t="s">
        <v>389</v>
      </c>
      <c r="G6" s="62" t="s">
        <v>389</v>
      </c>
      <c r="H6" s="62" t="s">
        <v>389</v>
      </c>
      <c r="I6" s="62" t="s">
        <v>389</v>
      </c>
      <c r="J6" s="65" t="n">
        <v>0.9</v>
      </c>
      <c r="K6" s="62" t="s">
        <v>277</v>
      </c>
      <c r="L6" s="62" t="s">
        <v>389</v>
      </c>
      <c r="M6" s="62" t="s">
        <v>390</v>
      </c>
      <c r="N6" s="62"/>
      <c r="O6" s="62" t="s">
        <v>389</v>
      </c>
      <c r="P6" s="62" t="s">
        <v>390</v>
      </c>
      <c r="Q6" s="62" t="s">
        <v>390</v>
      </c>
      <c r="R6" s="62" t="s">
        <v>277</v>
      </c>
      <c r="S6" s="62" t="s">
        <v>390</v>
      </c>
      <c r="T6" s="65" t="n">
        <v>4430.4</v>
      </c>
      <c r="U6" s="62" t="s">
        <v>277</v>
      </c>
      <c r="V6" s="65" t="n">
        <v>1.4</v>
      </c>
      <c r="W6" s="65" t="n">
        <v>4429.9</v>
      </c>
      <c r="X6" s="63" t="n">
        <v>0</v>
      </c>
      <c r="Y6" s="62" t="s">
        <v>390</v>
      </c>
      <c r="Z6" s="62" t="s">
        <v>389</v>
      </c>
      <c r="AA6" s="62" t="s">
        <v>391</v>
      </c>
      <c r="AB6" s="62" t="s">
        <v>275</v>
      </c>
      <c r="AC6" s="65" t="n">
        <v>26.1</v>
      </c>
      <c r="AD6" s="63" t="n">
        <v>2</v>
      </c>
      <c r="AE6" s="63" t="n">
        <v>21</v>
      </c>
      <c r="AF6" s="63" t="n">
        <v>1</v>
      </c>
      <c r="AG6" s="62" t="s">
        <v>390</v>
      </c>
      <c r="AH6" s="62"/>
      <c r="AI6" s="63" t="n">
        <v>0</v>
      </c>
      <c r="AJ6" s="62" t="s">
        <v>148</v>
      </c>
      <c r="AK6" s="62" t="s">
        <v>392</v>
      </c>
      <c r="AL6" s="62" t="s">
        <v>393</v>
      </c>
      <c r="AM6" s="62" t="s">
        <v>394</v>
      </c>
      <c r="AN6" s="65" t="n">
        <v>73.8</v>
      </c>
      <c r="AO6" s="62" t="s">
        <v>389</v>
      </c>
      <c r="AP6" s="62" t="s">
        <v>390</v>
      </c>
      <c r="AQ6" s="62" t="s">
        <v>390</v>
      </c>
      <c r="AR6" s="66"/>
      <c r="AS6" s="62"/>
      <c r="AT6" s="65"/>
      <c r="AU6" s="62" t="s">
        <v>397</v>
      </c>
    </row>
    <row r="7" customFormat="false" ht="15" hidden="false" customHeight="false" outlineLevel="0" collapsed="false">
      <c r="A7" s="62" t="s">
        <v>388</v>
      </c>
      <c r="B7" s="63" t="n">
        <v>310</v>
      </c>
      <c r="C7" s="64" t="n">
        <v>46300.6762393866</v>
      </c>
      <c r="D7" s="62" t="s">
        <v>72</v>
      </c>
      <c r="E7" s="63" t="n">
        <v>16</v>
      </c>
      <c r="F7" s="62" t="s">
        <v>389</v>
      </c>
      <c r="G7" s="62" t="s">
        <v>389</v>
      </c>
      <c r="H7" s="62" t="s">
        <v>389</v>
      </c>
      <c r="I7" s="62" t="s">
        <v>389</v>
      </c>
      <c r="J7" s="65" t="n">
        <v>0.3</v>
      </c>
      <c r="K7" s="62" t="s">
        <v>279</v>
      </c>
      <c r="L7" s="62" t="s">
        <v>389</v>
      </c>
      <c r="M7" s="62" t="s">
        <v>390</v>
      </c>
      <c r="N7" s="62"/>
      <c r="O7" s="62" t="s">
        <v>389</v>
      </c>
      <c r="P7" s="62" t="s">
        <v>390</v>
      </c>
      <c r="Q7" s="62" t="s">
        <v>390</v>
      </c>
      <c r="R7" s="62" t="s">
        <v>279</v>
      </c>
      <c r="S7" s="62" t="s">
        <v>390</v>
      </c>
      <c r="T7" s="65"/>
      <c r="U7" s="62"/>
      <c r="V7" s="65" t="n">
        <v>0.5</v>
      </c>
      <c r="W7" s="65"/>
      <c r="X7" s="63" t="n">
        <v>1</v>
      </c>
      <c r="Y7" s="62" t="s">
        <v>390</v>
      </c>
      <c r="Z7" s="62" t="s">
        <v>389</v>
      </c>
      <c r="AA7" s="62" t="s">
        <v>391</v>
      </c>
      <c r="AB7" s="62" t="s">
        <v>275</v>
      </c>
      <c r="AC7" s="65" t="n">
        <v>26.1</v>
      </c>
      <c r="AD7" s="63" t="n">
        <v>2</v>
      </c>
      <c r="AE7" s="63" t="n">
        <v>22</v>
      </c>
      <c r="AF7" s="63" t="n">
        <v>0</v>
      </c>
      <c r="AG7" s="62" t="s">
        <v>389</v>
      </c>
      <c r="AH7" s="62" t="s">
        <v>398</v>
      </c>
      <c r="AI7" s="63" t="n">
        <v>0</v>
      </c>
      <c r="AJ7" s="62" t="s">
        <v>148</v>
      </c>
      <c r="AK7" s="62" t="s">
        <v>392</v>
      </c>
      <c r="AL7" s="62" t="s">
        <v>275</v>
      </c>
      <c r="AM7" s="62" t="s">
        <v>350</v>
      </c>
      <c r="AN7" s="65" t="n">
        <v>116.8</v>
      </c>
      <c r="AO7" s="62" t="s">
        <v>389</v>
      </c>
      <c r="AP7" s="62" t="s">
        <v>390</v>
      </c>
      <c r="AQ7" s="62" t="s">
        <v>390</v>
      </c>
      <c r="AR7" s="66"/>
      <c r="AS7" s="62"/>
      <c r="AT7" s="65"/>
      <c r="AU7" s="62" t="s">
        <v>397</v>
      </c>
    </row>
    <row r="8" customFormat="false" ht="15" hidden="false" customHeight="false" outlineLevel="0" collapsed="false">
      <c r="A8" s="62" t="s">
        <v>388</v>
      </c>
      <c r="B8" s="63" t="n">
        <v>327</v>
      </c>
      <c r="C8" s="64" t="n">
        <v>46300.8655708449</v>
      </c>
      <c r="D8" s="62" t="s">
        <v>72</v>
      </c>
      <c r="E8" s="63" t="n">
        <v>20</v>
      </c>
      <c r="F8" s="62" t="s">
        <v>389</v>
      </c>
      <c r="G8" s="62" t="s">
        <v>389</v>
      </c>
      <c r="H8" s="62" t="s">
        <v>389</v>
      </c>
      <c r="I8" s="62" t="s">
        <v>389</v>
      </c>
      <c r="J8" s="65" t="n">
        <v>0.2</v>
      </c>
      <c r="K8" s="62" t="s">
        <v>279</v>
      </c>
      <c r="L8" s="62" t="s">
        <v>389</v>
      </c>
      <c r="M8" s="62" t="s">
        <v>389</v>
      </c>
      <c r="N8" s="62" t="s">
        <v>305</v>
      </c>
      <c r="O8" s="62" t="s">
        <v>389</v>
      </c>
      <c r="P8" s="62" t="s">
        <v>389</v>
      </c>
      <c r="Q8" s="62" t="s">
        <v>389</v>
      </c>
      <c r="R8" s="62" t="s">
        <v>279</v>
      </c>
      <c r="S8" s="62" t="s">
        <v>390</v>
      </c>
      <c r="T8" s="65" t="n">
        <v>2.7</v>
      </c>
      <c r="U8" s="62" t="s">
        <v>279</v>
      </c>
      <c r="V8" s="65" t="n">
        <v>0.5</v>
      </c>
      <c r="W8" s="65" t="n">
        <v>2.1</v>
      </c>
      <c r="X8" s="63" t="n">
        <v>0</v>
      </c>
      <c r="Y8" s="62" t="s">
        <v>390</v>
      </c>
      <c r="Z8" s="62" t="s">
        <v>390</v>
      </c>
      <c r="AA8" s="62"/>
      <c r="AB8" s="62"/>
      <c r="AC8" s="65"/>
      <c r="AD8" s="63" t="n">
        <v>20</v>
      </c>
      <c r="AE8" s="63" t="n">
        <v>17</v>
      </c>
      <c r="AF8" s="63" t="n">
        <v>19</v>
      </c>
      <c r="AG8" s="62" t="s">
        <v>389</v>
      </c>
      <c r="AH8" s="62" t="s">
        <v>398</v>
      </c>
      <c r="AI8" s="63" t="n">
        <v>0</v>
      </c>
      <c r="AJ8" s="62" t="s">
        <v>154</v>
      </c>
      <c r="AK8" s="62" t="s">
        <v>399</v>
      </c>
      <c r="AL8" s="62"/>
      <c r="AM8" s="62"/>
      <c r="AN8" s="65"/>
      <c r="AO8" s="62" t="s">
        <v>390</v>
      </c>
      <c r="AP8" s="62"/>
      <c r="AQ8" s="62" t="s">
        <v>389</v>
      </c>
      <c r="AR8" s="66" t="n">
        <v>3999</v>
      </c>
      <c r="AS8" s="62" t="s">
        <v>400</v>
      </c>
      <c r="AT8" s="65" t="n">
        <v>10.3</v>
      </c>
      <c r="AU8" s="62" t="s">
        <v>397</v>
      </c>
    </row>
    <row r="9" customFormat="false" ht="15" hidden="false" customHeight="false" outlineLevel="0" collapsed="false">
      <c r="A9" s="62" t="s">
        <v>388</v>
      </c>
      <c r="B9" s="63" t="n">
        <v>337</v>
      </c>
      <c r="C9" s="64" t="n">
        <v>46300.9023238426</v>
      </c>
      <c r="D9" s="62" t="s">
        <v>72</v>
      </c>
      <c r="E9" s="63" t="n">
        <v>21</v>
      </c>
      <c r="F9" s="62" t="s">
        <v>390</v>
      </c>
      <c r="G9" s="62" t="s">
        <v>389</v>
      </c>
      <c r="H9" s="62" t="s">
        <v>389</v>
      </c>
      <c r="I9" s="62" t="s">
        <v>389</v>
      </c>
      <c r="J9" s="65" t="n">
        <v>0.3</v>
      </c>
      <c r="K9" s="62" t="s">
        <v>278</v>
      </c>
      <c r="L9" s="62" t="s">
        <v>389</v>
      </c>
      <c r="M9" s="62" t="s">
        <v>390</v>
      </c>
      <c r="N9" s="62"/>
      <c r="O9" s="62" t="s">
        <v>389</v>
      </c>
      <c r="P9" s="62" t="s">
        <v>390</v>
      </c>
      <c r="Q9" s="62" t="s">
        <v>390</v>
      </c>
      <c r="R9" s="62" t="s">
        <v>278</v>
      </c>
      <c r="S9" s="62" t="s">
        <v>390</v>
      </c>
      <c r="T9" s="65" t="n">
        <v>5644</v>
      </c>
      <c r="U9" s="62" t="s">
        <v>278</v>
      </c>
      <c r="V9" s="65" t="n">
        <v>0.7</v>
      </c>
      <c r="W9" s="65" t="n">
        <v>5643.5</v>
      </c>
      <c r="X9" s="63" t="n">
        <v>0</v>
      </c>
      <c r="Y9" s="62" t="s">
        <v>390</v>
      </c>
      <c r="Z9" s="62" t="s">
        <v>389</v>
      </c>
      <c r="AA9" s="62" t="s">
        <v>391</v>
      </c>
      <c r="AB9" s="62" t="s">
        <v>275</v>
      </c>
      <c r="AC9" s="65" t="n">
        <v>39.4</v>
      </c>
      <c r="AD9" s="63" t="n">
        <v>2</v>
      </c>
      <c r="AE9" s="63" t="n">
        <v>21</v>
      </c>
      <c r="AF9" s="63" t="n">
        <v>1</v>
      </c>
      <c r="AG9" s="62" t="s">
        <v>390</v>
      </c>
      <c r="AH9" s="62"/>
      <c r="AI9" s="63" t="n">
        <v>0</v>
      </c>
      <c r="AJ9" s="62" t="s">
        <v>148</v>
      </c>
      <c r="AK9" s="62" t="s">
        <v>392</v>
      </c>
      <c r="AL9" s="62" t="s">
        <v>393</v>
      </c>
      <c r="AM9" s="62" t="s">
        <v>394</v>
      </c>
      <c r="AN9" s="65" t="n">
        <v>94.1</v>
      </c>
      <c r="AO9" s="62" t="s">
        <v>389</v>
      </c>
      <c r="AP9" s="62" t="s">
        <v>390</v>
      </c>
      <c r="AQ9" s="62" t="s">
        <v>390</v>
      </c>
      <c r="AR9" s="66"/>
      <c r="AS9" s="62"/>
      <c r="AT9" s="65"/>
      <c r="AU9" s="62" t="s">
        <v>397</v>
      </c>
    </row>
    <row r="10" customFormat="false" ht="15" hidden="false" customHeight="false" outlineLevel="0" collapsed="false">
      <c r="A10" s="62" t="s">
        <v>388</v>
      </c>
      <c r="B10" s="63" t="n">
        <v>341</v>
      </c>
      <c r="C10" s="64" t="n">
        <v>46300.9459870255</v>
      </c>
      <c r="D10" s="62" t="s">
        <v>72</v>
      </c>
      <c r="E10" s="63" t="n">
        <v>22</v>
      </c>
      <c r="F10" s="62" t="s">
        <v>390</v>
      </c>
      <c r="G10" s="62" t="s">
        <v>390</v>
      </c>
      <c r="H10" s="62" t="s">
        <v>390</v>
      </c>
      <c r="I10" s="62" t="s">
        <v>389</v>
      </c>
      <c r="J10" s="65"/>
      <c r="K10" s="62" t="s">
        <v>275</v>
      </c>
      <c r="L10" s="62" t="s">
        <v>389</v>
      </c>
      <c r="M10" s="62" t="s">
        <v>390</v>
      </c>
      <c r="N10" s="62"/>
      <c r="O10" s="62" t="s">
        <v>389</v>
      </c>
      <c r="P10" s="62" t="s">
        <v>390</v>
      </c>
      <c r="Q10" s="62" t="s">
        <v>390</v>
      </c>
      <c r="R10" s="62" t="s">
        <v>277</v>
      </c>
      <c r="S10" s="62" t="s">
        <v>389</v>
      </c>
      <c r="T10" s="65" t="n">
        <v>4005.5</v>
      </c>
      <c r="U10" s="62" t="s">
        <v>277</v>
      </c>
      <c r="V10" s="65" t="n">
        <v>4005.5</v>
      </c>
      <c r="W10" s="65"/>
      <c r="X10" s="63" t="n">
        <v>0</v>
      </c>
      <c r="Y10" s="62" t="s">
        <v>390</v>
      </c>
      <c r="Z10" s="62" t="s">
        <v>389</v>
      </c>
      <c r="AA10" s="62" t="s">
        <v>391</v>
      </c>
      <c r="AB10" s="62" t="s">
        <v>275</v>
      </c>
      <c r="AC10" s="65" t="n">
        <v>38.3</v>
      </c>
      <c r="AD10" s="63" t="n">
        <v>1</v>
      </c>
      <c r="AE10" s="63" t="n">
        <v>19</v>
      </c>
      <c r="AF10" s="63" t="n">
        <v>2</v>
      </c>
      <c r="AG10" s="62" t="s">
        <v>390</v>
      </c>
      <c r="AH10" s="62"/>
      <c r="AI10" s="63" t="n">
        <v>0</v>
      </c>
      <c r="AJ10" s="62" t="s">
        <v>147</v>
      </c>
      <c r="AK10" s="62" t="s">
        <v>392</v>
      </c>
      <c r="AL10" s="62" t="s">
        <v>393</v>
      </c>
      <c r="AM10" s="62" t="s">
        <v>394</v>
      </c>
      <c r="AN10" s="65" t="n">
        <v>159.5</v>
      </c>
      <c r="AO10" s="62" t="s">
        <v>389</v>
      </c>
      <c r="AP10" s="62" t="s">
        <v>390</v>
      </c>
      <c r="AQ10" s="62" t="s">
        <v>390</v>
      </c>
      <c r="AR10" s="66"/>
      <c r="AS10" s="62"/>
      <c r="AT10" s="65"/>
      <c r="AU10" s="62" t="s">
        <v>397</v>
      </c>
    </row>
    <row r="11" customFormat="false" ht="15" hidden="false" customHeight="false" outlineLevel="0" collapsed="false">
      <c r="A11" s="62" t="s">
        <v>388</v>
      </c>
      <c r="B11" s="63" t="n">
        <v>343</v>
      </c>
      <c r="C11" s="64" t="n">
        <v>46300.9814963426</v>
      </c>
      <c r="D11" s="62" t="s">
        <v>72</v>
      </c>
      <c r="E11" s="63" t="n">
        <v>23</v>
      </c>
      <c r="F11" s="62" t="s">
        <v>390</v>
      </c>
      <c r="G11" s="62" t="s">
        <v>389</v>
      </c>
      <c r="H11" s="62" t="s">
        <v>389</v>
      </c>
      <c r="I11" s="62" t="s">
        <v>389</v>
      </c>
      <c r="J11" s="65" t="n">
        <v>451.4</v>
      </c>
      <c r="K11" s="62" t="s">
        <v>277</v>
      </c>
      <c r="L11" s="62" t="s">
        <v>389</v>
      </c>
      <c r="M11" s="62" t="s">
        <v>389</v>
      </c>
      <c r="N11" s="62" t="s">
        <v>304</v>
      </c>
      <c r="O11" s="62" t="s">
        <v>389</v>
      </c>
      <c r="P11" s="62" t="s">
        <v>389</v>
      </c>
      <c r="Q11" s="62" t="s">
        <v>390</v>
      </c>
      <c r="R11" s="62" t="s">
        <v>277</v>
      </c>
      <c r="S11" s="62" t="s">
        <v>389</v>
      </c>
      <c r="T11" s="65" t="n">
        <v>455.1</v>
      </c>
      <c r="U11" s="62" t="s">
        <v>277</v>
      </c>
      <c r="V11" s="65" t="n">
        <v>451.6</v>
      </c>
      <c r="W11" s="65" t="n">
        <v>7.3</v>
      </c>
      <c r="X11" s="63" t="n">
        <v>0</v>
      </c>
      <c r="Y11" s="62" t="s">
        <v>389</v>
      </c>
      <c r="Z11" s="62" t="s">
        <v>389</v>
      </c>
      <c r="AA11" s="62" t="s">
        <v>391</v>
      </c>
      <c r="AB11" s="62" t="s">
        <v>275</v>
      </c>
      <c r="AC11" s="65" t="n">
        <v>37.5</v>
      </c>
      <c r="AD11" s="63" t="n">
        <v>4</v>
      </c>
      <c r="AE11" s="63" t="n">
        <v>20</v>
      </c>
      <c r="AF11" s="63" t="n">
        <v>7</v>
      </c>
      <c r="AG11" s="62" t="s">
        <v>390</v>
      </c>
      <c r="AH11" s="62"/>
      <c r="AI11" s="63" t="n">
        <v>0</v>
      </c>
      <c r="AJ11" s="62" t="s">
        <v>151</v>
      </c>
      <c r="AK11" s="62" t="s">
        <v>392</v>
      </c>
      <c r="AL11" s="62" t="s">
        <v>393</v>
      </c>
      <c r="AM11" s="62" t="s">
        <v>394</v>
      </c>
      <c r="AN11" s="65" t="n">
        <v>82.8</v>
      </c>
      <c r="AO11" s="62" t="s">
        <v>389</v>
      </c>
      <c r="AP11" s="62" t="s">
        <v>390</v>
      </c>
      <c r="AQ11" s="62" t="s">
        <v>390</v>
      </c>
      <c r="AR11" s="66"/>
      <c r="AS11" s="62"/>
      <c r="AT11" s="65"/>
      <c r="AU11" s="62" t="s">
        <v>397</v>
      </c>
    </row>
    <row r="12" customFormat="false" ht="15" hidden="false" customHeight="false" outlineLevel="0" collapsed="false">
      <c r="A12" s="62" t="s">
        <v>388</v>
      </c>
      <c r="B12" s="63" t="n">
        <v>355</v>
      </c>
      <c r="C12" s="64" t="n">
        <v>46301.3469736806</v>
      </c>
      <c r="D12" s="62" t="s">
        <v>72</v>
      </c>
      <c r="E12" s="63" t="n">
        <v>8</v>
      </c>
      <c r="F12" s="62" t="s">
        <v>390</v>
      </c>
      <c r="G12" s="62" t="s">
        <v>389</v>
      </c>
      <c r="H12" s="62" t="s">
        <v>389</v>
      </c>
      <c r="I12" s="62" t="s">
        <v>389</v>
      </c>
      <c r="J12" s="65" t="n">
        <v>0.4</v>
      </c>
      <c r="K12" s="62" t="s">
        <v>276</v>
      </c>
      <c r="L12" s="62" t="s">
        <v>389</v>
      </c>
      <c r="M12" s="62" t="s">
        <v>390</v>
      </c>
      <c r="N12" s="62"/>
      <c r="O12" s="62" t="s">
        <v>389</v>
      </c>
      <c r="P12" s="62" t="s">
        <v>390</v>
      </c>
      <c r="Q12" s="62" t="s">
        <v>390</v>
      </c>
      <c r="R12" s="62" t="s">
        <v>277</v>
      </c>
      <c r="S12" s="62" t="s">
        <v>389</v>
      </c>
      <c r="T12" s="65" t="n">
        <v>1572.8</v>
      </c>
      <c r="U12" s="62" t="s">
        <v>276</v>
      </c>
      <c r="V12" s="65" t="n">
        <v>8</v>
      </c>
      <c r="W12" s="65" t="n">
        <v>4.2</v>
      </c>
      <c r="X12" s="63" t="n">
        <v>0</v>
      </c>
      <c r="Y12" s="62" t="s">
        <v>390</v>
      </c>
      <c r="Z12" s="62" t="s">
        <v>389</v>
      </c>
      <c r="AA12" s="62" t="s">
        <v>391</v>
      </c>
      <c r="AB12" s="62" t="s">
        <v>275</v>
      </c>
      <c r="AC12" s="65" t="n">
        <v>28.7</v>
      </c>
      <c r="AD12" s="63" t="n">
        <v>4</v>
      </c>
      <c r="AE12" s="63" t="n">
        <v>18</v>
      </c>
      <c r="AF12" s="63" t="n">
        <v>10</v>
      </c>
      <c r="AG12" s="62" t="s">
        <v>389</v>
      </c>
      <c r="AH12" s="62" t="s">
        <v>401</v>
      </c>
      <c r="AI12" s="63" t="n">
        <v>0</v>
      </c>
      <c r="AJ12" s="62" t="s">
        <v>150</v>
      </c>
      <c r="AK12" s="62" t="s">
        <v>392</v>
      </c>
      <c r="AL12" s="62" t="s">
        <v>393</v>
      </c>
      <c r="AM12" s="62" t="s">
        <v>394</v>
      </c>
      <c r="AN12" s="65" t="n">
        <v>76.2</v>
      </c>
      <c r="AO12" s="62" t="s">
        <v>389</v>
      </c>
      <c r="AP12" s="62" t="s">
        <v>390</v>
      </c>
      <c r="AQ12" s="62" t="s">
        <v>390</v>
      </c>
      <c r="AR12" s="66"/>
      <c r="AS12" s="62"/>
      <c r="AT12" s="65"/>
      <c r="AU12" s="62" t="s">
        <v>397</v>
      </c>
    </row>
    <row r="13" customFormat="false" ht="15" hidden="false" customHeight="false" outlineLevel="0" collapsed="false">
      <c r="A13" s="62" t="s">
        <v>388</v>
      </c>
      <c r="B13" s="63" t="n">
        <v>371</v>
      </c>
      <c r="C13" s="64" t="n">
        <v>46301.4628254745</v>
      </c>
      <c r="D13" s="62" t="s">
        <v>72</v>
      </c>
      <c r="E13" s="63" t="n">
        <v>11</v>
      </c>
      <c r="F13" s="62" t="s">
        <v>389</v>
      </c>
      <c r="G13" s="62" t="s">
        <v>389</v>
      </c>
      <c r="H13" s="62" t="s">
        <v>389</v>
      </c>
      <c r="I13" s="62" t="s">
        <v>389</v>
      </c>
      <c r="J13" s="65" t="n">
        <v>0.5</v>
      </c>
      <c r="K13" s="62" t="s">
        <v>276</v>
      </c>
      <c r="L13" s="62" t="s">
        <v>389</v>
      </c>
      <c r="M13" s="62" t="s">
        <v>390</v>
      </c>
      <c r="N13" s="62"/>
      <c r="O13" s="62" t="s">
        <v>389</v>
      </c>
      <c r="P13" s="62" t="s">
        <v>390</v>
      </c>
      <c r="Q13" s="62" t="s">
        <v>390</v>
      </c>
      <c r="R13" s="62" t="s">
        <v>277</v>
      </c>
      <c r="S13" s="62" t="s">
        <v>389</v>
      </c>
      <c r="T13" s="65" t="n">
        <v>3286.3</v>
      </c>
      <c r="U13" s="62" t="s">
        <v>277</v>
      </c>
      <c r="V13" s="65" t="n">
        <v>2.6</v>
      </c>
      <c r="W13" s="65" t="n">
        <v>1643.7</v>
      </c>
      <c r="X13" s="63" t="n">
        <v>0</v>
      </c>
      <c r="Y13" s="62" t="s">
        <v>390</v>
      </c>
      <c r="Z13" s="62" t="s">
        <v>389</v>
      </c>
      <c r="AA13" s="62" t="s">
        <v>391</v>
      </c>
      <c r="AB13" s="62" t="s">
        <v>275</v>
      </c>
      <c r="AC13" s="65" t="n">
        <v>26.1</v>
      </c>
      <c r="AD13" s="63" t="n">
        <v>4</v>
      </c>
      <c r="AE13" s="63" t="n">
        <v>18</v>
      </c>
      <c r="AF13" s="63" t="n">
        <v>4</v>
      </c>
      <c r="AG13" s="62" t="s">
        <v>390</v>
      </c>
      <c r="AH13" s="62"/>
      <c r="AI13" s="63" t="n">
        <v>0</v>
      </c>
      <c r="AJ13" s="62" t="s">
        <v>153</v>
      </c>
      <c r="AK13" s="62" t="s">
        <v>392</v>
      </c>
      <c r="AL13" s="62" t="s">
        <v>393</v>
      </c>
      <c r="AM13" s="62" t="s">
        <v>394</v>
      </c>
      <c r="AN13" s="65" t="n">
        <v>75.2</v>
      </c>
      <c r="AO13" s="62" t="s">
        <v>389</v>
      </c>
      <c r="AP13" s="62" t="s">
        <v>389</v>
      </c>
      <c r="AQ13" s="62" t="s">
        <v>390</v>
      </c>
      <c r="AR13" s="66"/>
      <c r="AS13" s="62"/>
      <c r="AT13" s="65"/>
      <c r="AU13" s="62" t="s">
        <v>397</v>
      </c>
    </row>
    <row r="14" customFormat="false" ht="15" hidden="false" customHeight="false" outlineLevel="0" collapsed="false">
      <c r="A14" s="62" t="s">
        <v>388</v>
      </c>
      <c r="B14" s="63" t="n">
        <v>373</v>
      </c>
      <c r="C14" s="64" t="n">
        <v>46301.4804990857</v>
      </c>
      <c r="D14" s="62" t="s">
        <v>72</v>
      </c>
      <c r="E14" s="63" t="n">
        <v>11</v>
      </c>
      <c r="F14" s="62" t="s">
        <v>389</v>
      </c>
      <c r="G14" s="62" t="s">
        <v>390</v>
      </c>
      <c r="H14" s="62" t="s">
        <v>390</v>
      </c>
      <c r="I14" s="62" t="s">
        <v>389</v>
      </c>
      <c r="J14" s="65"/>
      <c r="K14" s="62" t="s">
        <v>275</v>
      </c>
      <c r="L14" s="62" t="s">
        <v>389</v>
      </c>
      <c r="M14" s="62" t="s">
        <v>390</v>
      </c>
      <c r="N14" s="62"/>
      <c r="O14" s="62" t="s">
        <v>389</v>
      </c>
      <c r="P14" s="62" t="s">
        <v>390</v>
      </c>
      <c r="Q14" s="62" t="s">
        <v>390</v>
      </c>
      <c r="R14" s="62" t="s">
        <v>277</v>
      </c>
      <c r="S14" s="62" t="s">
        <v>390</v>
      </c>
      <c r="T14" s="65" t="n">
        <v>3264</v>
      </c>
      <c r="U14" s="62" t="s">
        <v>277</v>
      </c>
      <c r="V14" s="65" t="n">
        <v>3264</v>
      </c>
      <c r="W14" s="65"/>
      <c r="X14" s="63" t="n">
        <v>0</v>
      </c>
      <c r="Y14" s="62" t="s">
        <v>390</v>
      </c>
      <c r="Z14" s="62" t="s">
        <v>389</v>
      </c>
      <c r="AA14" s="62" t="s">
        <v>391</v>
      </c>
      <c r="AB14" s="62" t="s">
        <v>275</v>
      </c>
      <c r="AC14" s="65" t="n">
        <v>26.6</v>
      </c>
      <c r="AD14" s="63" t="n">
        <v>1</v>
      </c>
      <c r="AE14" s="63" t="n">
        <v>19</v>
      </c>
      <c r="AF14" s="63" t="n">
        <v>2</v>
      </c>
      <c r="AG14" s="62" t="s">
        <v>390</v>
      </c>
      <c r="AH14" s="62"/>
      <c r="AI14" s="63" t="n">
        <v>0</v>
      </c>
      <c r="AJ14" s="62" t="s">
        <v>147</v>
      </c>
      <c r="AK14" s="62" t="s">
        <v>392</v>
      </c>
      <c r="AL14" s="62" t="s">
        <v>393</v>
      </c>
      <c r="AM14" s="62" t="s">
        <v>394</v>
      </c>
      <c r="AN14" s="65" t="n">
        <v>74.8</v>
      </c>
      <c r="AO14" s="62" t="s">
        <v>389</v>
      </c>
      <c r="AP14" s="62" t="s">
        <v>390</v>
      </c>
      <c r="AQ14" s="62" t="s">
        <v>390</v>
      </c>
      <c r="AR14" s="66"/>
      <c r="AS14" s="62"/>
      <c r="AT14" s="65"/>
      <c r="AU14" s="62" t="s">
        <v>397</v>
      </c>
    </row>
    <row r="15" customFormat="false" ht="15" hidden="false" customHeight="false" outlineLevel="0" collapsed="false">
      <c r="A15" s="62" t="s">
        <v>388</v>
      </c>
      <c r="B15" s="63" t="n">
        <v>445</v>
      </c>
      <c r="C15" s="64" t="n">
        <v>46301.7278548727</v>
      </c>
      <c r="D15" s="62" t="s">
        <v>72</v>
      </c>
      <c r="E15" s="63" t="n">
        <v>17</v>
      </c>
      <c r="F15" s="62" t="s">
        <v>389</v>
      </c>
      <c r="G15" s="62" t="s">
        <v>389</v>
      </c>
      <c r="H15" s="62" t="s">
        <v>389</v>
      </c>
      <c r="I15" s="62" t="s">
        <v>389</v>
      </c>
      <c r="J15" s="65" t="n">
        <v>0.4</v>
      </c>
      <c r="K15" s="62" t="s">
        <v>279</v>
      </c>
      <c r="L15" s="62" t="s">
        <v>389</v>
      </c>
      <c r="M15" s="62" t="s">
        <v>390</v>
      </c>
      <c r="N15" s="62"/>
      <c r="O15" s="62" t="s">
        <v>389</v>
      </c>
      <c r="P15" s="62" t="s">
        <v>390</v>
      </c>
      <c r="Q15" s="62" t="s">
        <v>390</v>
      </c>
      <c r="R15" s="62" t="s">
        <v>279</v>
      </c>
      <c r="S15" s="62" t="s">
        <v>390</v>
      </c>
      <c r="T15" s="65" t="n">
        <v>6670</v>
      </c>
      <c r="U15" s="62" t="s">
        <v>277</v>
      </c>
      <c r="V15" s="65" t="n">
        <v>1</v>
      </c>
      <c r="W15" s="65" t="n">
        <v>6669.4</v>
      </c>
      <c r="X15" s="63" t="n">
        <v>0</v>
      </c>
      <c r="Y15" s="62" t="s">
        <v>390</v>
      </c>
      <c r="Z15" s="62" t="s">
        <v>389</v>
      </c>
      <c r="AA15" s="62" t="s">
        <v>391</v>
      </c>
      <c r="AB15" s="62" t="s">
        <v>275</v>
      </c>
      <c r="AC15" s="65" t="n">
        <v>43.6</v>
      </c>
      <c r="AD15" s="63" t="n">
        <v>2</v>
      </c>
      <c r="AE15" s="63" t="n">
        <v>21</v>
      </c>
      <c r="AF15" s="63" t="n">
        <v>1</v>
      </c>
      <c r="AG15" s="62" t="s">
        <v>389</v>
      </c>
      <c r="AH15" s="62" t="s">
        <v>398</v>
      </c>
      <c r="AI15" s="63" t="n">
        <v>0</v>
      </c>
      <c r="AJ15" s="62" t="s">
        <v>148</v>
      </c>
      <c r="AK15" s="62" t="s">
        <v>392</v>
      </c>
      <c r="AL15" s="62" t="s">
        <v>393</v>
      </c>
      <c r="AM15" s="62" t="s">
        <v>394</v>
      </c>
      <c r="AN15" s="65" t="n">
        <v>111.2</v>
      </c>
      <c r="AO15" s="62" t="s">
        <v>389</v>
      </c>
      <c r="AP15" s="62" t="s">
        <v>390</v>
      </c>
      <c r="AQ15" s="62" t="s">
        <v>390</v>
      </c>
      <c r="AR15" s="66"/>
      <c r="AS15" s="62"/>
      <c r="AT15" s="65"/>
      <c r="AU15" s="62" t="s">
        <v>397</v>
      </c>
    </row>
    <row r="16" customFormat="false" ht="15" hidden="false" customHeight="false" outlineLevel="0" collapsed="false">
      <c r="A16" s="62" t="s">
        <v>388</v>
      </c>
      <c r="B16" s="63" t="n">
        <v>446</v>
      </c>
      <c r="C16" s="64" t="n">
        <v>46301.729679375</v>
      </c>
      <c r="D16" s="62" t="s">
        <v>72</v>
      </c>
      <c r="E16" s="63" t="n">
        <v>17</v>
      </c>
      <c r="F16" s="62" t="s">
        <v>389</v>
      </c>
      <c r="G16" s="62" t="s">
        <v>389</v>
      </c>
      <c r="H16" s="62" t="s">
        <v>389</v>
      </c>
      <c r="I16" s="62" t="s">
        <v>389</v>
      </c>
      <c r="J16" s="65" t="n">
        <v>0.3</v>
      </c>
      <c r="K16" s="62" t="s">
        <v>279</v>
      </c>
      <c r="L16" s="62" t="s">
        <v>389</v>
      </c>
      <c r="M16" s="62" t="s">
        <v>389</v>
      </c>
      <c r="N16" s="62" t="s">
        <v>303</v>
      </c>
      <c r="O16" s="62" t="s">
        <v>389</v>
      </c>
      <c r="P16" s="62" t="s">
        <v>389</v>
      </c>
      <c r="Q16" s="62" t="s">
        <v>389</v>
      </c>
      <c r="R16" s="62" t="s">
        <v>278</v>
      </c>
      <c r="S16" s="62" t="s">
        <v>389</v>
      </c>
      <c r="T16" s="65" t="n">
        <v>52</v>
      </c>
      <c r="U16" s="62" t="s">
        <v>278</v>
      </c>
      <c r="V16" s="65" t="n">
        <v>0.9</v>
      </c>
      <c r="W16" s="65" t="n">
        <v>7.5</v>
      </c>
      <c r="X16" s="63" t="n">
        <v>0</v>
      </c>
      <c r="Y16" s="62" t="s">
        <v>389</v>
      </c>
      <c r="Z16" s="62" t="s">
        <v>389</v>
      </c>
      <c r="AA16" s="62" t="s">
        <v>391</v>
      </c>
      <c r="AB16" s="62" t="s">
        <v>275</v>
      </c>
      <c r="AC16" s="65" t="n">
        <v>43.5</v>
      </c>
      <c r="AD16" s="63" t="n">
        <v>8</v>
      </c>
      <c r="AE16" s="63" t="n">
        <v>26</v>
      </c>
      <c r="AF16" s="63" t="n">
        <v>17</v>
      </c>
      <c r="AG16" s="62" t="s">
        <v>389</v>
      </c>
      <c r="AH16" s="62" t="s">
        <v>402</v>
      </c>
      <c r="AI16" s="63" t="n">
        <v>0</v>
      </c>
      <c r="AJ16" s="62" t="s">
        <v>152</v>
      </c>
      <c r="AK16" s="62" t="s">
        <v>392</v>
      </c>
      <c r="AL16" s="62" t="s">
        <v>393</v>
      </c>
      <c r="AM16" s="62" t="s">
        <v>394</v>
      </c>
      <c r="AN16" s="65" t="n">
        <v>143.9</v>
      </c>
      <c r="AO16" s="62" t="s">
        <v>389</v>
      </c>
      <c r="AP16" s="62" t="s">
        <v>389</v>
      </c>
      <c r="AQ16" s="62" t="s">
        <v>390</v>
      </c>
      <c r="AR16" s="66"/>
      <c r="AS16" s="62"/>
      <c r="AT16" s="65"/>
      <c r="AU16" s="62" t="s">
        <v>397</v>
      </c>
    </row>
    <row r="17" customFormat="false" ht="15" hidden="false" customHeight="false" outlineLevel="0" collapsed="false">
      <c r="A17" s="62" t="s">
        <v>388</v>
      </c>
      <c r="B17" s="63" t="n">
        <v>449</v>
      </c>
      <c r="C17" s="64" t="n">
        <v>46301.7315868287</v>
      </c>
      <c r="D17" s="62" t="s">
        <v>72</v>
      </c>
      <c r="E17" s="63" t="n">
        <v>17</v>
      </c>
      <c r="F17" s="62" t="s">
        <v>389</v>
      </c>
      <c r="G17" s="62" t="s">
        <v>389</v>
      </c>
      <c r="H17" s="62" t="s">
        <v>389</v>
      </c>
      <c r="I17" s="62" t="s">
        <v>389</v>
      </c>
      <c r="J17" s="65" t="n">
        <v>0.3</v>
      </c>
      <c r="K17" s="62" t="s">
        <v>278</v>
      </c>
      <c r="L17" s="62" t="s">
        <v>389</v>
      </c>
      <c r="M17" s="62" t="s">
        <v>389</v>
      </c>
      <c r="N17" s="62" t="s">
        <v>303</v>
      </c>
      <c r="O17" s="62" t="s">
        <v>389</v>
      </c>
      <c r="P17" s="62" t="s">
        <v>389</v>
      </c>
      <c r="Q17" s="62" t="s">
        <v>390</v>
      </c>
      <c r="R17" s="62" t="s">
        <v>278</v>
      </c>
      <c r="S17" s="62" t="s">
        <v>390</v>
      </c>
      <c r="T17" s="65" t="n">
        <v>10.6</v>
      </c>
      <c r="U17" s="62" t="s">
        <v>278</v>
      </c>
      <c r="V17" s="65" t="n">
        <v>2</v>
      </c>
      <c r="W17" s="65" t="n">
        <v>7.3</v>
      </c>
      <c r="X17" s="63" t="n">
        <v>0</v>
      </c>
      <c r="Y17" s="62" t="s">
        <v>389</v>
      </c>
      <c r="Z17" s="62" t="s">
        <v>389</v>
      </c>
      <c r="AA17" s="62" t="s">
        <v>391</v>
      </c>
      <c r="AB17" s="62" t="s">
        <v>275</v>
      </c>
      <c r="AC17" s="65" t="n">
        <v>43.5</v>
      </c>
      <c r="AD17" s="63" t="n">
        <v>3</v>
      </c>
      <c r="AE17" s="63" t="n">
        <v>20</v>
      </c>
      <c r="AF17" s="63" t="n">
        <v>5</v>
      </c>
      <c r="AG17" s="62" t="s">
        <v>389</v>
      </c>
      <c r="AH17" s="62" t="s">
        <v>330</v>
      </c>
      <c r="AI17" s="63" t="n">
        <v>0</v>
      </c>
      <c r="AJ17" s="62" t="s">
        <v>149</v>
      </c>
      <c r="AK17" s="62" t="s">
        <v>392</v>
      </c>
      <c r="AL17" s="62" t="s">
        <v>393</v>
      </c>
      <c r="AM17" s="62" t="s">
        <v>394</v>
      </c>
      <c r="AN17" s="65" t="n">
        <v>74.2</v>
      </c>
      <c r="AO17" s="62" t="s">
        <v>389</v>
      </c>
      <c r="AP17" s="62" t="s">
        <v>390</v>
      </c>
      <c r="AQ17" s="62" t="s">
        <v>390</v>
      </c>
      <c r="AR17" s="66"/>
      <c r="AS17" s="62"/>
      <c r="AT17" s="65"/>
      <c r="AU17" s="62" t="s">
        <v>397</v>
      </c>
    </row>
    <row r="18" customFormat="false" ht="15" hidden="false" customHeight="false" outlineLevel="0" collapsed="false">
      <c r="A18" s="62" t="s">
        <v>388</v>
      </c>
      <c r="B18" s="63" t="n">
        <v>452</v>
      </c>
      <c r="C18" s="64" t="n">
        <v>46301.7565885764</v>
      </c>
      <c r="D18" s="62" t="s">
        <v>72</v>
      </c>
      <c r="E18" s="63" t="n">
        <v>18</v>
      </c>
      <c r="F18" s="62" t="s">
        <v>389</v>
      </c>
      <c r="G18" s="62" t="s">
        <v>390</v>
      </c>
      <c r="H18" s="62" t="s">
        <v>390</v>
      </c>
      <c r="I18" s="62" t="s">
        <v>389</v>
      </c>
      <c r="J18" s="65"/>
      <c r="K18" s="62" t="s">
        <v>279</v>
      </c>
      <c r="L18" s="62" t="s">
        <v>389</v>
      </c>
      <c r="M18" s="62" t="s">
        <v>390</v>
      </c>
      <c r="N18" s="62"/>
      <c r="O18" s="62" t="s">
        <v>390</v>
      </c>
      <c r="P18" s="62" t="s">
        <v>389</v>
      </c>
      <c r="Q18" s="62" t="s">
        <v>389</v>
      </c>
      <c r="R18" s="62" t="s">
        <v>279</v>
      </c>
      <c r="S18" s="62" t="s">
        <v>390</v>
      </c>
      <c r="T18" s="65" t="n">
        <v>1.4</v>
      </c>
      <c r="U18" s="62" t="s">
        <v>279</v>
      </c>
      <c r="V18" s="65" t="n">
        <v>1.4</v>
      </c>
      <c r="W18" s="65" t="n">
        <v>1.7</v>
      </c>
      <c r="X18" s="63" t="n">
        <v>0</v>
      </c>
      <c r="Y18" s="62" t="s">
        <v>390</v>
      </c>
      <c r="Z18" s="62" t="s">
        <v>389</v>
      </c>
      <c r="AA18" s="62" t="s">
        <v>267</v>
      </c>
      <c r="AB18" s="62" t="s">
        <v>279</v>
      </c>
      <c r="AC18" s="65" t="n">
        <v>0.1</v>
      </c>
      <c r="AD18" s="63" t="n">
        <v>4</v>
      </c>
      <c r="AE18" s="63" t="n">
        <v>2</v>
      </c>
      <c r="AF18" s="63" t="n">
        <v>3</v>
      </c>
      <c r="AG18" s="62" t="s">
        <v>390</v>
      </c>
      <c r="AH18" s="62"/>
      <c r="AI18" s="63" t="n">
        <v>0</v>
      </c>
      <c r="AJ18" s="62" t="s">
        <v>154</v>
      </c>
      <c r="AK18" s="62" t="s">
        <v>399</v>
      </c>
      <c r="AL18" s="62"/>
      <c r="AM18" s="62"/>
      <c r="AN18" s="65"/>
      <c r="AO18" s="62" t="s">
        <v>390</v>
      </c>
      <c r="AP18" s="62"/>
      <c r="AQ18" s="62" t="s">
        <v>389</v>
      </c>
      <c r="AR18" s="66" t="n">
        <v>2799</v>
      </c>
      <c r="AS18" s="62" t="s">
        <v>400</v>
      </c>
      <c r="AT18" s="65" t="n">
        <v>0.1</v>
      </c>
      <c r="AU18" s="62"/>
    </row>
    <row r="19" customFormat="false" ht="15" hidden="false" customHeight="false" outlineLevel="0" collapsed="false">
      <c r="A19" s="62" t="s">
        <v>388</v>
      </c>
      <c r="B19" s="63" t="n">
        <v>470</v>
      </c>
      <c r="C19" s="64" t="n">
        <v>46301.8457333102</v>
      </c>
      <c r="D19" s="62" t="s">
        <v>72</v>
      </c>
      <c r="E19" s="63" t="n">
        <v>20</v>
      </c>
      <c r="F19" s="62" t="s">
        <v>389</v>
      </c>
      <c r="G19" s="62" t="s">
        <v>389</v>
      </c>
      <c r="H19" s="62" t="s">
        <v>389</v>
      </c>
      <c r="I19" s="62" t="s">
        <v>389</v>
      </c>
      <c r="J19" s="65" t="n">
        <v>0.3</v>
      </c>
      <c r="K19" s="62" t="s">
        <v>279</v>
      </c>
      <c r="L19" s="62" t="s">
        <v>389</v>
      </c>
      <c r="M19" s="62" t="s">
        <v>389</v>
      </c>
      <c r="N19" s="62" t="s">
        <v>305</v>
      </c>
      <c r="O19" s="62" t="s">
        <v>389</v>
      </c>
      <c r="P19" s="62" t="s">
        <v>389</v>
      </c>
      <c r="Q19" s="62" t="s">
        <v>390</v>
      </c>
      <c r="R19" s="62" t="s">
        <v>279</v>
      </c>
      <c r="S19" s="62" t="s">
        <v>390</v>
      </c>
      <c r="T19" s="65" t="n">
        <v>5.9</v>
      </c>
      <c r="U19" s="62" t="s">
        <v>279</v>
      </c>
      <c r="V19" s="65" t="n">
        <v>0.6</v>
      </c>
      <c r="W19" s="65" t="n">
        <v>2.3</v>
      </c>
      <c r="X19" s="63" t="n">
        <v>0</v>
      </c>
      <c r="Y19" s="62" t="s">
        <v>389</v>
      </c>
      <c r="Z19" s="62" t="s">
        <v>389</v>
      </c>
      <c r="AA19" s="62" t="s">
        <v>391</v>
      </c>
      <c r="AB19" s="62" t="s">
        <v>275</v>
      </c>
      <c r="AC19" s="65" t="n">
        <v>40.7</v>
      </c>
      <c r="AD19" s="63" t="n">
        <v>4</v>
      </c>
      <c r="AE19" s="63" t="n">
        <v>23</v>
      </c>
      <c r="AF19" s="63" t="n">
        <v>10</v>
      </c>
      <c r="AG19" s="62" t="s">
        <v>390</v>
      </c>
      <c r="AH19" s="62"/>
      <c r="AI19" s="63" t="n">
        <v>0</v>
      </c>
      <c r="AJ19" s="62" t="s">
        <v>151</v>
      </c>
      <c r="AK19" s="62" t="s">
        <v>392</v>
      </c>
      <c r="AL19" s="62" t="s">
        <v>393</v>
      </c>
      <c r="AM19" s="62" t="s">
        <v>394</v>
      </c>
      <c r="AN19" s="65" t="n">
        <v>108.3</v>
      </c>
      <c r="AO19" s="62" t="s">
        <v>389</v>
      </c>
      <c r="AP19" s="62" t="s">
        <v>390</v>
      </c>
      <c r="AQ19" s="62" t="s">
        <v>390</v>
      </c>
      <c r="AR19" s="66"/>
      <c r="AS19" s="62"/>
      <c r="AT19" s="65"/>
      <c r="AU19" s="62" t="s">
        <v>397</v>
      </c>
    </row>
    <row r="20" customFormat="false" ht="15" hidden="false" customHeight="false" outlineLevel="0" collapsed="false">
      <c r="A20" s="62" t="s">
        <v>388</v>
      </c>
      <c r="B20" s="63" t="n">
        <v>481</v>
      </c>
      <c r="C20" s="64" t="n">
        <v>46301.8806795255</v>
      </c>
      <c r="D20" s="62" t="s">
        <v>72</v>
      </c>
      <c r="E20" s="63" t="n">
        <v>21</v>
      </c>
      <c r="F20" s="62" t="s">
        <v>390</v>
      </c>
      <c r="G20" s="62" t="s">
        <v>390</v>
      </c>
      <c r="H20" s="62" t="s">
        <v>390</v>
      </c>
      <c r="I20" s="62" t="s">
        <v>389</v>
      </c>
      <c r="J20" s="65"/>
      <c r="K20" s="62" t="s">
        <v>275</v>
      </c>
      <c r="L20" s="62" t="s">
        <v>389</v>
      </c>
      <c r="M20" s="62" t="s">
        <v>390</v>
      </c>
      <c r="N20" s="62"/>
      <c r="O20" s="62" t="s">
        <v>389</v>
      </c>
      <c r="P20" s="62" t="s">
        <v>390</v>
      </c>
      <c r="Q20" s="62" t="s">
        <v>390</v>
      </c>
      <c r="R20" s="62" t="s">
        <v>277</v>
      </c>
      <c r="S20" s="62" t="s">
        <v>390</v>
      </c>
      <c r="T20" s="65" t="n">
        <v>6448.6</v>
      </c>
      <c r="U20" s="62" t="s">
        <v>277</v>
      </c>
      <c r="V20" s="65" t="n">
        <v>6448.6</v>
      </c>
      <c r="W20" s="65"/>
      <c r="X20" s="63" t="n">
        <v>0</v>
      </c>
      <c r="Y20" s="62" t="s">
        <v>390</v>
      </c>
      <c r="Z20" s="62" t="s">
        <v>389</v>
      </c>
      <c r="AA20" s="62" t="s">
        <v>391</v>
      </c>
      <c r="AB20" s="62" t="s">
        <v>275</v>
      </c>
      <c r="AC20" s="65" t="n">
        <v>39.9</v>
      </c>
      <c r="AD20" s="63" t="n">
        <v>1</v>
      </c>
      <c r="AE20" s="63" t="n">
        <v>22</v>
      </c>
      <c r="AF20" s="63" t="n">
        <v>1</v>
      </c>
      <c r="AG20" s="62" t="s">
        <v>390</v>
      </c>
      <c r="AH20" s="62"/>
      <c r="AI20" s="63" t="n">
        <v>0</v>
      </c>
      <c r="AJ20" s="62" t="s">
        <v>147</v>
      </c>
      <c r="AK20" s="62" t="s">
        <v>392</v>
      </c>
      <c r="AL20" s="62" t="s">
        <v>393</v>
      </c>
      <c r="AM20" s="62" t="s">
        <v>394</v>
      </c>
      <c r="AN20" s="65" t="n">
        <v>107.5</v>
      </c>
      <c r="AO20" s="62" t="s">
        <v>389</v>
      </c>
      <c r="AP20" s="62" t="s">
        <v>390</v>
      </c>
      <c r="AQ20" s="62" t="s">
        <v>390</v>
      </c>
      <c r="AR20" s="66"/>
      <c r="AS20" s="62"/>
      <c r="AT20" s="65"/>
      <c r="AU20" s="62" t="s">
        <v>397</v>
      </c>
    </row>
    <row r="21" customFormat="false" ht="15" hidden="false" customHeight="false" outlineLevel="0" collapsed="false">
      <c r="A21" s="62" t="s">
        <v>388</v>
      </c>
      <c r="B21" s="63" t="n">
        <v>488</v>
      </c>
      <c r="C21" s="64" t="n">
        <v>46301.9124405324</v>
      </c>
      <c r="D21" s="62" t="s">
        <v>72</v>
      </c>
      <c r="E21" s="63" t="n">
        <v>21</v>
      </c>
      <c r="F21" s="62" t="s">
        <v>390</v>
      </c>
      <c r="G21" s="62" t="s">
        <v>389</v>
      </c>
      <c r="H21" s="62" t="s">
        <v>389</v>
      </c>
      <c r="I21" s="62" t="s">
        <v>389</v>
      </c>
      <c r="J21" s="65" t="n">
        <v>0.5</v>
      </c>
      <c r="K21" s="62" t="s">
        <v>278</v>
      </c>
      <c r="L21" s="62" t="s">
        <v>389</v>
      </c>
      <c r="M21" s="62" t="s">
        <v>389</v>
      </c>
      <c r="N21" s="62" t="s">
        <v>307</v>
      </c>
      <c r="O21" s="62" t="s">
        <v>389</v>
      </c>
      <c r="P21" s="62" t="s">
        <v>389</v>
      </c>
      <c r="Q21" s="62" t="s">
        <v>390</v>
      </c>
      <c r="R21" s="62" t="s">
        <v>279</v>
      </c>
      <c r="S21" s="62" t="s">
        <v>389</v>
      </c>
      <c r="T21" s="65" t="n">
        <v>5</v>
      </c>
      <c r="U21" s="62" t="s">
        <v>278</v>
      </c>
      <c r="V21" s="65" t="n">
        <v>0.7</v>
      </c>
      <c r="W21" s="65" t="n">
        <v>2.4</v>
      </c>
      <c r="X21" s="63" t="n">
        <v>0</v>
      </c>
      <c r="Y21" s="62" t="s">
        <v>389</v>
      </c>
      <c r="Z21" s="62" t="s">
        <v>389</v>
      </c>
      <c r="AA21" s="62" t="s">
        <v>391</v>
      </c>
      <c r="AB21" s="62" t="s">
        <v>275</v>
      </c>
      <c r="AC21" s="65" t="n">
        <v>39.1</v>
      </c>
      <c r="AD21" s="63" t="n">
        <v>9</v>
      </c>
      <c r="AE21" s="63" t="n">
        <v>23</v>
      </c>
      <c r="AF21" s="63" t="n">
        <v>11</v>
      </c>
      <c r="AG21" s="62" t="s">
        <v>390</v>
      </c>
      <c r="AH21" s="62"/>
      <c r="AI21" s="63" t="n">
        <v>0</v>
      </c>
      <c r="AJ21" s="62" t="s">
        <v>150</v>
      </c>
      <c r="AK21" s="62" t="s">
        <v>392</v>
      </c>
      <c r="AL21" s="62" t="s">
        <v>393</v>
      </c>
      <c r="AM21" s="62" t="s">
        <v>403</v>
      </c>
      <c r="AN21" s="65" t="n">
        <v>106.7</v>
      </c>
      <c r="AO21" s="62" t="s">
        <v>389</v>
      </c>
      <c r="AP21" s="62" t="s">
        <v>390</v>
      </c>
      <c r="AQ21" s="62" t="s">
        <v>390</v>
      </c>
      <c r="AR21" s="66"/>
      <c r="AS21" s="62"/>
      <c r="AT21" s="65"/>
      <c r="AU21" s="62" t="s">
        <v>397</v>
      </c>
    </row>
    <row r="22" customFormat="false" ht="15" hidden="false" customHeight="false" outlineLevel="0" collapsed="false">
      <c r="A22" s="62" t="s">
        <v>388</v>
      </c>
      <c r="B22" s="63" t="n">
        <v>493</v>
      </c>
      <c r="C22" s="64" t="n">
        <v>46301.9361225579</v>
      </c>
      <c r="D22" s="62" t="s">
        <v>72</v>
      </c>
      <c r="E22" s="63" t="n">
        <v>22</v>
      </c>
      <c r="F22" s="62" t="s">
        <v>390</v>
      </c>
      <c r="G22" s="62" t="s">
        <v>389</v>
      </c>
      <c r="H22" s="62" t="s">
        <v>389</v>
      </c>
      <c r="I22" s="62" t="s">
        <v>389</v>
      </c>
      <c r="J22" s="65" t="n">
        <v>1</v>
      </c>
      <c r="K22" s="62" t="s">
        <v>279</v>
      </c>
      <c r="L22" s="62" t="s">
        <v>389</v>
      </c>
      <c r="M22" s="62" t="s">
        <v>390</v>
      </c>
      <c r="N22" s="62"/>
      <c r="O22" s="62" t="s">
        <v>389</v>
      </c>
      <c r="P22" s="62" t="s">
        <v>390</v>
      </c>
      <c r="Q22" s="62" t="s">
        <v>390</v>
      </c>
      <c r="R22" s="62" t="s">
        <v>277</v>
      </c>
      <c r="S22" s="62" t="s">
        <v>390</v>
      </c>
      <c r="T22" s="65" t="n">
        <v>3900.2</v>
      </c>
      <c r="U22" s="62" t="s">
        <v>277</v>
      </c>
      <c r="V22" s="65" t="n">
        <v>1.5</v>
      </c>
      <c r="W22" s="65" t="n">
        <v>3899.7</v>
      </c>
      <c r="X22" s="63" t="n">
        <v>0</v>
      </c>
      <c r="Y22" s="62" t="s">
        <v>390</v>
      </c>
      <c r="Z22" s="62" t="s">
        <v>389</v>
      </c>
      <c r="AA22" s="62" t="s">
        <v>391</v>
      </c>
      <c r="AB22" s="62" t="s">
        <v>275</v>
      </c>
      <c r="AC22" s="65" t="n">
        <v>38.6</v>
      </c>
      <c r="AD22" s="63" t="n">
        <v>2</v>
      </c>
      <c r="AE22" s="63" t="n">
        <v>18</v>
      </c>
      <c r="AF22" s="63" t="n">
        <v>2</v>
      </c>
      <c r="AG22" s="62" t="s">
        <v>390</v>
      </c>
      <c r="AH22" s="62"/>
      <c r="AI22" s="63" t="n">
        <v>0</v>
      </c>
      <c r="AJ22" s="62" t="s">
        <v>148</v>
      </c>
      <c r="AK22" s="62" t="s">
        <v>392</v>
      </c>
      <c r="AL22" s="62" t="s">
        <v>393</v>
      </c>
      <c r="AM22" s="62" t="s">
        <v>394</v>
      </c>
      <c r="AN22" s="65" t="n">
        <v>106.2</v>
      </c>
      <c r="AO22" s="62" t="s">
        <v>389</v>
      </c>
      <c r="AP22" s="62" t="s">
        <v>390</v>
      </c>
      <c r="AQ22" s="62" t="s">
        <v>390</v>
      </c>
      <c r="AR22" s="66"/>
      <c r="AS22" s="62"/>
      <c r="AT22" s="65"/>
      <c r="AU22" s="62" t="s">
        <v>397</v>
      </c>
    </row>
    <row r="23" customFormat="false" ht="15" hidden="false" customHeight="false" outlineLevel="0" collapsed="false">
      <c r="A23" s="62" t="s">
        <v>388</v>
      </c>
      <c r="B23" s="63" t="n">
        <v>497</v>
      </c>
      <c r="C23" s="64" t="n">
        <v>46301.9674119329</v>
      </c>
      <c r="D23" s="62" t="s">
        <v>72</v>
      </c>
      <c r="E23" s="63" t="n">
        <v>23</v>
      </c>
      <c r="F23" s="62" t="s">
        <v>390</v>
      </c>
      <c r="G23" s="62" t="s">
        <v>389</v>
      </c>
      <c r="H23" s="62" t="s">
        <v>389</v>
      </c>
      <c r="I23" s="62" t="s">
        <v>389</v>
      </c>
      <c r="J23" s="65" t="n">
        <v>462.8</v>
      </c>
      <c r="K23" s="62" t="s">
        <v>277</v>
      </c>
      <c r="L23" s="62" t="s">
        <v>389</v>
      </c>
      <c r="M23" s="62" t="s">
        <v>390</v>
      </c>
      <c r="N23" s="62"/>
      <c r="O23" s="62" t="s">
        <v>389</v>
      </c>
      <c r="P23" s="62" t="s">
        <v>390</v>
      </c>
      <c r="Q23" s="62" t="s">
        <v>390</v>
      </c>
      <c r="R23" s="62" t="s">
        <v>277</v>
      </c>
      <c r="S23" s="62" t="s">
        <v>390</v>
      </c>
      <c r="T23" s="65" t="n">
        <v>6324.8</v>
      </c>
      <c r="U23" s="62" t="s">
        <v>277</v>
      </c>
      <c r="V23" s="65" t="n">
        <v>469.5</v>
      </c>
      <c r="W23" s="65" t="n">
        <v>6318.1</v>
      </c>
      <c r="X23" s="63" t="n">
        <v>0</v>
      </c>
      <c r="Y23" s="62" t="s">
        <v>390</v>
      </c>
      <c r="Z23" s="62" t="s">
        <v>389</v>
      </c>
      <c r="AA23" s="62" t="s">
        <v>391</v>
      </c>
      <c r="AB23" s="62" t="s">
        <v>275</v>
      </c>
      <c r="AC23" s="65" t="n">
        <v>37.8</v>
      </c>
      <c r="AD23" s="63" t="n">
        <v>2</v>
      </c>
      <c r="AE23" s="63" t="n">
        <v>21</v>
      </c>
      <c r="AF23" s="63" t="n">
        <v>1</v>
      </c>
      <c r="AG23" s="62" t="s">
        <v>390</v>
      </c>
      <c r="AH23" s="62"/>
      <c r="AI23" s="63" t="n">
        <v>0</v>
      </c>
      <c r="AJ23" s="62" t="s">
        <v>148</v>
      </c>
      <c r="AK23" s="62" t="s">
        <v>392</v>
      </c>
      <c r="AL23" s="62" t="s">
        <v>393</v>
      </c>
      <c r="AM23" s="62" t="s">
        <v>394</v>
      </c>
      <c r="AN23" s="65" t="n">
        <v>105.4</v>
      </c>
      <c r="AO23" s="62" t="s">
        <v>389</v>
      </c>
      <c r="AP23" s="62" t="s">
        <v>390</v>
      </c>
      <c r="AQ23" s="62" t="s">
        <v>390</v>
      </c>
      <c r="AR23" s="66"/>
      <c r="AS23" s="62"/>
      <c r="AT23" s="65"/>
      <c r="AU23" s="62" t="s">
        <v>397</v>
      </c>
    </row>
    <row r="24" customFormat="false" ht="15" hidden="false" customHeight="false" outlineLevel="0" collapsed="false">
      <c r="A24" s="62" t="s">
        <v>388</v>
      </c>
      <c r="B24" s="63" t="n">
        <v>508</v>
      </c>
      <c r="C24" s="64" t="n">
        <v>46301.9934823495</v>
      </c>
      <c r="D24" s="62" t="s">
        <v>72</v>
      </c>
      <c r="E24" s="63" t="n">
        <v>23</v>
      </c>
      <c r="F24" s="62" t="s">
        <v>390</v>
      </c>
      <c r="G24" s="62" t="s">
        <v>389</v>
      </c>
      <c r="H24" s="62" t="s">
        <v>389</v>
      </c>
      <c r="I24" s="62" t="s">
        <v>389</v>
      </c>
      <c r="J24" s="65" t="n">
        <v>433.1</v>
      </c>
      <c r="K24" s="62" t="s">
        <v>277</v>
      </c>
      <c r="L24" s="62" t="s">
        <v>389</v>
      </c>
      <c r="M24" s="62" t="s">
        <v>390</v>
      </c>
      <c r="N24" s="62"/>
      <c r="O24" s="62" t="s">
        <v>389</v>
      </c>
      <c r="P24" s="62" t="s">
        <v>390</v>
      </c>
      <c r="Q24" s="62" t="s">
        <v>390</v>
      </c>
      <c r="R24" s="62" t="s">
        <v>277</v>
      </c>
      <c r="S24" s="62" t="s">
        <v>390</v>
      </c>
      <c r="T24" s="65" t="n">
        <v>3809.5</v>
      </c>
      <c r="U24" s="62" t="s">
        <v>277</v>
      </c>
      <c r="V24" s="65" t="n">
        <v>433.3</v>
      </c>
      <c r="W24" s="65" t="n">
        <v>3809.3</v>
      </c>
      <c r="X24" s="63" t="n">
        <v>0</v>
      </c>
      <c r="Y24" s="62" t="s">
        <v>390</v>
      </c>
      <c r="Z24" s="62" t="s">
        <v>389</v>
      </c>
      <c r="AA24" s="62" t="s">
        <v>391</v>
      </c>
      <c r="AB24" s="62" t="s">
        <v>275</v>
      </c>
      <c r="AC24" s="65" t="n">
        <v>37.2</v>
      </c>
      <c r="AD24" s="63" t="n">
        <v>2</v>
      </c>
      <c r="AE24" s="63" t="n">
        <v>18</v>
      </c>
      <c r="AF24" s="63" t="n">
        <v>2</v>
      </c>
      <c r="AG24" s="62" t="s">
        <v>390</v>
      </c>
      <c r="AH24" s="62"/>
      <c r="AI24" s="63" t="n">
        <v>0</v>
      </c>
      <c r="AJ24" s="62" t="s">
        <v>148</v>
      </c>
      <c r="AK24" s="62" t="s">
        <v>392</v>
      </c>
      <c r="AL24" s="62" t="s">
        <v>393</v>
      </c>
      <c r="AM24" s="62" t="s">
        <v>394</v>
      </c>
      <c r="AN24" s="65" t="n">
        <v>104.8</v>
      </c>
      <c r="AO24" s="62" t="s">
        <v>389</v>
      </c>
      <c r="AP24" s="62" t="s">
        <v>390</v>
      </c>
      <c r="AQ24" s="62" t="s">
        <v>390</v>
      </c>
      <c r="AR24" s="66"/>
      <c r="AS24" s="62"/>
      <c r="AT24" s="65"/>
      <c r="AU24" s="62" t="s">
        <v>397</v>
      </c>
    </row>
    <row r="25" customFormat="false" ht="15" hidden="false" customHeight="false" outlineLevel="0" collapsed="false">
      <c r="A25" s="62" t="s">
        <v>388</v>
      </c>
      <c r="B25" s="63" t="n">
        <v>517</v>
      </c>
      <c r="C25" s="64" t="n">
        <v>46302.2017808681</v>
      </c>
      <c r="D25" s="62" t="s">
        <v>72</v>
      </c>
      <c r="E25" s="63" t="n">
        <v>4</v>
      </c>
      <c r="F25" s="62" t="s">
        <v>390</v>
      </c>
      <c r="G25" s="62" t="s">
        <v>390</v>
      </c>
      <c r="H25" s="62" t="s">
        <v>390</v>
      </c>
      <c r="I25" s="62" t="s">
        <v>389</v>
      </c>
      <c r="J25" s="65"/>
      <c r="K25" s="62" t="s">
        <v>275</v>
      </c>
      <c r="L25" s="62" t="s">
        <v>389</v>
      </c>
      <c r="M25" s="62" t="s">
        <v>390</v>
      </c>
      <c r="N25" s="62"/>
      <c r="O25" s="62" t="s">
        <v>389</v>
      </c>
      <c r="P25" s="62" t="s">
        <v>390</v>
      </c>
      <c r="Q25" s="62" t="s">
        <v>390</v>
      </c>
      <c r="R25" s="62" t="s">
        <v>277</v>
      </c>
      <c r="S25" s="62" t="s">
        <v>390</v>
      </c>
      <c r="T25" s="65" t="n">
        <v>3522.8</v>
      </c>
      <c r="U25" s="62" t="s">
        <v>277</v>
      </c>
      <c r="V25" s="65" t="n">
        <v>3522.8</v>
      </c>
      <c r="W25" s="65"/>
      <c r="X25" s="63" t="n">
        <v>0</v>
      </c>
      <c r="Y25" s="62" t="s">
        <v>390</v>
      </c>
      <c r="Z25" s="62" t="s">
        <v>389</v>
      </c>
      <c r="AA25" s="62" t="s">
        <v>391</v>
      </c>
      <c r="AB25" s="62" t="s">
        <v>275</v>
      </c>
      <c r="AC25" s="65" t="n">
        <v>32.2</v>
      </c>
      <c r="AD25" s="63" t="n">
        <v>1</v>
      </c>
      <c r="AE25" s="63" t="n">
        <v>19</v>
      </c>
      <c r="AF25" s="63" t="n">
        <v>2</v>
      </c>
      <c r="AG25" s="62" t="s">
        <v>389</v>
      </c>
      <c r="AH25" s="62" t="s">
        <v>398</v>
      </c>
      <c r="AI25" s="63" t="n">
        <v>0</v>
      </c>
      <c r="AJ25" s="62" t="s">
        <v>147</v>
      </c>
      <c r="AK25" s="62" t="s">
        <v>392</v>
      </c>
      <c r="AL25" s="62" t="s">
        <v>393</v>
      </c>
      <c r="AM25" s="62" t="s">
        <v>394</v>
      </c>
      <c r="AN25" s="65" t="n">
        <v>99.8</v>
      </c>
      <c r="AO25" s="62" t="s">
        <v>389</v>
      </c>
      <c r="AP25" s="62" t="s">
        <v>390</v>
      </c>
      <c r="AQ25" s="62" t="s">
        <v>390</v>
      </c>
      <c r="AR25" s="66"/>
      <c r="AS25" s="62"/>
      <c r="AT25" s="65"/>
      <c r="AU25" s="62" t="s">
        <v>397</v>
      </c>
    </row>
    <row r="26" customFormat="false" ht="15" hidden="false" customHeight="false" outlineLevel="0" collapsed="false">
      <c r="A26" s="62" t="s">
        <v>388</v>
      </c>
      <c r="B26" s="63" t="n">
        <v>545</v>
      </c>
      <c r="C26" s="64" t="n">
        <v>46302.3708926505</v>
      </c>
      <c r="D26" s="62" t="s">
        <v>72</v>
      </c>
      <c r="E26" s="63" t="n">
        <v>8</v>
      </c>
      <c r="F26" s="62" t="s">
        <v>390</v>
      </c>
      <c r="G26" s="62" t="s">
        <v>389</v>
      </c>
      <c r="H26" s="62" t="s">
        <v>389</v>
      </c>
      <c r="I26" s="62" t="s">
        <v>389</v>
      </c>
      <c r="J26" s="65" t="n">
        <v>3.6</v>
      </c>
      <c r="K26" s="62" t="s">
        <v>277</v>
      </c>
      <c r="L26" s="62" t="s">
        <v>389</v>
      </c>
      <c r="M26" s="62" t="s">
        <v>389</v>
      </c>
      <c r="N26" s="62" t="s">
        <v>303</v>
      </c>
      <c r="O26" s="62" t="s">
        <v>389</v>
      </c>
      <c r="P26" s="62" t="s">
        <v>389</v>
      </c>
      <c r="Q26" s="62" t="s">
        <v>389</v>
      </c>
      <c r="R26" s="62" t="s">
        <v>277</v>
      </c>
      <c r="S26" s="62" t="s">
        <v>389</v>
      </c>
      <c r="T26" s="65" t="n">
        <v>264.5</v>
      </c>
      <c r="U26" s="62" t="s">
        <v>277</v>
      </c>
      <c r="V26" s="65" t="n">
        <v>5.4</v>
      </c>
      <c r="W26" s="65" t="n">
        <v>1.3</v>
      </c>
      <c r="X26" s="63" t="n">
        <v>0</v>
      </c>
      <c r="Y26" s="62" t="s">
        <v>389</v>
      </c>
      <c r="Z26" s="62" t="s">
        <v>389</v>
      </c>
      <c r="AA26" s="62" t="s">
        <v>391</v>
      </c>
      <c r="AB26" s="62" t="s">
        <v>277</v>
      </c>
      <c r="AC26" s="65" t="n">
        <v>56.3</v>
      </c>
      <c r="AD26" s="63" t="n">
        <v>16</v>
      </c>
      <c r="AE26" s="63" t="n">
        <v>29</v>
      </c>
      <c r="AF26" s="63" t="n">
        <v>29</v>
      </c>
      <c r="AG26" s="62" t="s">
        <v>389</v>
      </c>
      <c r="AH26" s="62" t="s">
        <v>404</v>
      </c>
      <c r="AI26" s="63" t="n">
        <v>0</v>
      </c>
      <c r="AJ26" s="62" t="s">
        <v>154</v>
      </c>
      <c r="AK26" s="62" t="s">
        <v>399</v>
      </c>
      <c r="AL26" s="62"/>
      <c r="AM26" s="62"/>
      <c r="AN26" s="65"/>
      <c r="AO26" s="62" t="s">
        <v>389</v>
      </c>
      <c r="AP26" s="62" t="s">
        <v>389</v>
      </c>
      <c r="AQ26" s="62" t="s">
        <v>389</v>
      </c>
      <c r="AR26" s="66" t="n">
        <v>2799</v>
      </c>
      <c r="AS26" s="62" t="s">
        <v>400</v>
      </c>
      <c r="AT26" s="65" t="n">
        <v>125.6</v>
      </c>
      <c r="AU26" s="62" t="s">
        <v>397</v>
      </c>
    </row>
    <row r="27" customFormat="false" ht="15" hidden="false" customHeight="false" outlineLevel="0" collapsed="false">
      <c r="A27" s="62" t="s">
        <v>388</v>
      </c>
      <c r="B27" s="63" t="n">
        <v>565</v>
      </c>
      <c r="C27" s="64" t="n">
        <v>46302.415193507</v>
      </c>
      <c r="D27" s="62" t="s">
        <v>72</v>
      </c>
      <c r="E27" s="63" t="n">
        <v>9</v>
      </c>
      <c r="F27" s="62" t="s">
        <v>389</v>
      </c>
      <c r="G27" s="62" t="s">
        <v>390</v>
      </c>
      <c r="H27" s="62" t="s">
        <v>390</v>
      </c>
      <c r="I27" s="62" t="s">
        <v>389</v>
      </c>
      <c r="J27" s="65"/>
      <c r="K27" s="62" t="s">
        <v>275</v>
      </c>
      <c r="L27" s="62" t="s">
        <v>389</v>
      </c>
      <c r="M27" s="62" t="s">
        <v>390</v>
      </c>
      <c r="N27" s="62"/>
      <c r="O27" s="62" t="s">
        <v>389</v>
      </c>
      <c r="P27" s="62" t="s">
        <v>390</v>
      </c>
      <c r="Q27" s="62" t="s">
        <v>390</v>
      </c>
      <c r="R27" s="62" t="s">
        <v>277</v>
      </c>
      <c r="S27" s="62" t="s">
        <v>390</v>
      </c>
      <c r="T27" s="65" t="n">
        <v>5680.8</v>
      </c>
      <c r="U27" s="62" t="s">
        <v>277</v>
      </c>
      <c r="V27" s="65" t="n">
        <v>5680.8</v>
      </c>
      <c r="W27" s="65"/>
      <c r="X27" s="63" t="n">
        <v>0</v>
      </c>
      <c r="Y27" s="62" t="s">
        <v>390</v>
      </c>
      <c r="Z27" s="62" t="s">
        <v>389</v>
      </c>
      <c r="AA27" s="62" t="s">
        <v>391</v>
      </c>
      <c r="AB27" s="62" t="s">
        <v>275</v>
      </c>
      <c r="AC27" s="65" t="n">
        <v>27.1</v>
      </c>
      <c r="AD27" s="63" t="n">
        <v>1</v>
      </c>
      <c r="AE27" s="63" t="n">
        <v>22</v>
      </c>
      <c r="AF27" s="63" t="n">
        <v>1</v>
      </c>
      <c r="AG27" s="62" t="s">
        <v>389</v>
      </c>
      <c r="AH27" s="62" t="s">
        <v>398</v>
      </c>
      <c r="AI27" s="63" t="n">
        <v>0</v>
      </c>
      <c r="AJ27" s="62" t="s">
        <v>147</v>
      </c>
      <c r="AK27" s="62" t="s">
        <v>392</v>
      </c>
      <c r="AL27" s="62" t="s">
        <v>393</v>
      </c>
      <c r="AM27" s="62" t="s">
        <v>394</v>
      </c>
      <c r="AN27" s="65" t="n">
        <v>94.7</v>
      </c>
      <c r="AO27" s="62" t="s">
        <v>389</v>
      </c>
      <c r="AP27" s="62" t="s">
        <v>390</v>
      </c>
      <c r="AQ27" s="62" t="s">
        <v>390</v>
      </c>
      <c r="AR27" s="66"/>
      <c r="AS27" s="62"/>
      <c r="AT27" s="65"/>
      <c r="AU27" s="62" t="s">
        <v>397</v>
      </c>
    </row>
    <row r="28" customFormat="false" ht="15" hidden="false" customHeight="false" outlineLevel="0" collapsed="false">
      <c r="A28" s="62" t="s">
        <v>388</v>
      </c>
      <c r="B28" s="63" t="n">
        <v>589</v>
      </c>
      <c r="C28" s="64" t="n">
        <v>46302.4942652546</v>
      </c>
      <c r="D28" s="62" t="s">
        <v>72</v>
      </c>
      <c r="E28" s="63" t="n">
        <v>11</v>
      </c>
      <c r="F28" s="62" t="s">
        <v>389</v>
      </c>
      <c r="G28" s="62" t="s">
        <v>390</v>
      </c>
      <c r="H28" s="62" t="s">
        <v>390</v>
      </c>
      <c r="I28" s="62" t="s">
        <v>389</v>
      </c>
      <c r="J28" s="65"/>
      <c r="K28" s="62" t="s">
        <v>275</v>
      </c>
      <c r="L28" s="62" t="s">
        <v>389</v>
      </c>
      <c r="M28" s="62" t="s">
        <v>390</v>
      </c>
      <c r="N28" s="62"/>
      <c r="O28" s="62" t="s">
        <v>389</v>
      </c>
      <c r="P28" s="62" t="s">
        <v>390</v>
      </c>
      <c r="Q28" s="62" t="s">
        <v>390</v>
      </c>
      <c r="R28" s="62" t="s">
        <v>277</v>
      </c>
      <c r="S28" s="62" t="s">
        <v>390</v>
      </c>
      <c r="T28" s="65" t="n">
        <v>3262.9</v>
      </c>
      <c r="U28" s="62" t="s">
        <v>277</v>
      </c>
      <c r="V28" s="65" t="n">
        <v>3262.9</v>
      </c>
      <c r="W28" s="65"/>
      <c r="X28" s="63" t="n">
        <v>0</v>
      </c>
      <c r="Y28" s="62" t="s">
        <v>390</v>
      </c>
      <c r="Z28" s="62" t="s">
        <v>389</v>
      </c>
      <c r="AA28" s="62" t="s">
        <v>391</v>
      </c>
      <c r="AB28" s="62" t="s">
        <v>275</v>
      </c>
      <c r="AC28" s="65" t="n">
        <v>26.6</v>
      </c>
      <c r="AD28" s="63" t="n">
        <v>1</v>
      </c>
      <c r="AE28" s="63" t="n">
        <v>19</v>
      </c>
      <c r="AF28" s="63" t="n">
        <v>2</v>
      </c>
      <c r="AG28" s="62" t="s">
        <v>390</v>
      </c>
      <c r="AH28" s="62"/>
      <c r="AI28" s="63" t="n">
        <v>0</v>
      </c>
      <c r="AJ28" s="62" t="s">
        <v>147</v>
      </c>
      <c r="AK28" s="62" t="s">
        <v>392</v>
      </c>
      <c r="AL28" s="62" t="s">
        <v>393</v>
      </c>
      <c r="AM28" s="62" t="s">
        <v>394</v>
      </c>
      <c r="AN28" s="65" t="n">
        <v>92.8</v>
      </c>
      <c r="AO28" s="62" t="s">
        <v>389</v>
      </c>
      <c r="AP28" s="62" t="s">
        <v>390</v>
      </c>
      <c r="AQ28" s="62" t="s">
        <v>390</v>
      </c>
      <c r="AR28" s="66"/>
      <c r="AS28" s="62"/>
      <c r="AT28" s="65"/>
      <c r="AU28" s="62" t="s">
        <v>397</v>
      </c>
    </row>
    <row r="29" customFormat="false" ht="15" hidden="false" customHeight="false" outlineLevel="0" collapsed="false">
      <c r="A29" s="62" t="s">
        <v>388</v>
      </c>
      <c r="B29" s="63" t="n">
        <v>602</v>
      </c>
      <c r="C29" s="64" t="n">
        <v>46302.5350284375</v>
      </c>
      <c r="D29" s="62" t="s">
        <v>72</v>
      </c>
      <c r="E29" s="63" t="n">
        <v>12</v>
      </c>
      <c r="F29" s="62" t="s">
        <v>389</v>
      </c>
      <c r="G29" s="62" t="s">
        <v>390</v>
      </c>
      <c r="H29" s="62" t="s">
        <v>390</v>
      </c>
      <c r="I29" s="62" t="s">
        <v>389</v>
      </c>
      <c r="J29" s="65"/>
      <c r="K29" s="62" t="s">
        <v>275</v>
      </c>
      <c r="L29" s="62" t="s">
        <v>389</v>
      </c>
      <c r="M29" s="62" t="s">
        <v>390</v>
      </c>
      <c r="N29" s="62"/>
      <c r="O29" s="62" t="s">
        <v>389</v>
      </c>
      <c r="P29" s="62" t="s">
        <v>390</v>
      </c>
      <c r="Q29" s="62" t="s">
        <v>390</v>
      </c>
      <c r="R29" s="62" t="s">
        <v>277</v>
      </c>
      <c r="S29" s="62" t="s">
        <v>390</v>
      </c>
      <c r="T29" s="65" t="n">
        <v>5508.7</v>
      </c>
      <c r="U29" s="62" t="s">
        <v>277</v>
      </c>
      <c r="V29" s="65" t="n">
        <v>5508.7</v>
      </c>
      <c r="W29" s="65"/>
      <c r="X29" s="63" t="n">
        <v>0</v>
      </c>
      <c r="Y29" s="62" t="s">
        <v>390</v>
      </c>
      <c r="Z29" s="62" t="s">
        <v>389</v>
      </c>
      <c r="AA29" s="62" t="s">
        <v>391</v>
      </c>
      <c r="AB29" s="62" t="s">
        <v>275</v>
      </c>
      <c r="AC29" s="65" t="n">
        <v>26.6</v>
      </c>
      <c r="AD29" s="63" t="n">
        <v>1</v>
      </c>
      <c r="AE29" s="63" t="n">
        <v>22</v>
      </c>
      <c r="AF29" s="63" t="n">
        <v>1</v>
      </c>
      <c r="AG29" s="62" t="s">
        <v>390</v>
      </c>
      <c r="AH29" s="62"/>
      <c r="AI29" s="63" t="n">
        <v>0</v>
      </c>
      <c r="AJ29" s="62" t="s">
        <v>147</v>
      </c>
      <c r="AK29" s="62" t="s">
        <v>392</v>
      </c>
      <c r="AL29" s="62" t="s">
        <v>393</v>
      </c>
      <c r="AM29" s="62" t="s">
        <v>403</v>
      </c>
      <c r="AN29" s="65" t="n">
        <v>91.8</v>
      </c>
      <c r="AO29" s="62" t="s">
        <v>389</v>
      </c>
      <c r="AP29" s="62" t="s">
        <v>390</v>
      </c>
      <c r="AQ29" s="62" t="s">
        <v>390</v>
      </c>
      <c r="AR29" s="66"/>
      <c r="AS29" s="62"/>
      <c r="AT29" s="65"/>
      <c r="AU29" s="62" t="s">
        <v>395</v>
      </c>
    </row>
    <row r="30" customFormat="false" ht="15" hidden="false" customHeight="false" outlineLevel="0" collapsed="false">
      <c r="A30" s="62" t="s">
        <v>388</v>
      </c>
      <c r="B30" s="63" t="n">
        <v>634</v>
      </c>
      <c r="C30" s="64" t="n">
        <v>46302.6156044213</v>
      </c>
      <c r="D30" s="62" t="s">
        <v>72</v>
      </c>
      <c r="E30" s="63" t="n">
        <v>14</v>
      </c>
      <c r="F30" s="62" t="s">
        <v>389</v>
      </c>
      <c r="G30" s="62" t="s">
        <v>389</v>
      </c>
      <c r="H30" s="62" t="s">
        <v>389</v>
      </c>
      <c r="I30" s="62" t="s">
        <v>389</v>
      </c>
      <c r="J30" s="65" t="n">
        <v>1</v>
      </c>
      <c r="K30" s="62" t="s">
        <v>277</v>
      </c>
      <c r="L30" s="62" t="s">
        <v>389</v>
      </c>
      <c r="M30" s="62" t="s">
        <v>389</v>
      </c>
      <c r="N30" s="62" t="s">
        <v>307</v>
      </c>
      <c r="O30" s="62" t="s">
        <v>389</v>
      </c>
      <c r="P30" s="62" t="s">
        <v>389</v>
      </c>
      <c r="Q30" s="62" t="s">
        <v>390</v>
      </c>
      <c r="R30" s="62" t="s">
        <v>277</v>
      </c>
      <c r="S30" s="62" t="s">
        <v>390</v>
      </c>
      <c r="T30" s="65" t="n">
        <v>4.3</v>
      </c>
      <c r="U30" s="62" t="s">
        <v>277</v>
      </c>
      <c r="V30" s="65" t="n">
        <v>1.3</v>
      </c>
      <c r="W30" s="65" t="n">
        <v>2.8</v>
      </c>
      <c r="X30" s="63" t="n">
        <v>0</v>
      </c>
      <c r="Y30" s="62" t="s">
        <v>389</v>
      </c>
      <c r="Z30" s="62" t="s">
        <v>389</v>
      </c>
      <c r="AA30" s="62" t="s">
        <v>391</v>
      </c>
      <c r="AB30" s="62" t="s">
        <v>275</v>
      </c>
      <c r="AC30" s="65" t="n">
        <v>46.2</v>
      </c>
      <c r="AD30" s="63" t="n">
        <v>7</v>
      </c>
      <c r="AE30" s="63" t="n">
        <v>23</v>
      </c>
      <c r="AF30" s="63" t="n">
        <v>5</v>
      </c>
      <c r="AG30" s="62" t="s">
        <v>390</v>
      </c>
      <c r="AH30" s="62"/>
      <c r="AI30" s="63" t="n">
        <v>0</v>
      </c>
      <c r="AJ30" s="62" t="s">
        <v>151</v>
      </c>
      <c r="AK30" s="62" t="s">
        <v>392</v>
      </c>
      <c r="AL30" s="62" t="s">
        <v>393</v>
      </c>
      <c r="AM30" s="62" t="s">
        <v>394</v>
      </c>
      <c r="AN30" s="65" t="n">
        <v>114.6</v>
      </c>
      <c r="AO30" s="62" t="s">
        <v>389</v>
      </c>
      <c r="AP30" s="62" t="s">
        <v>390</v>
      </c>
      <c r="AQ30" s="62" t="s">
        <v>390</v>
      </c>
      <c r="AR30" s="66"/>
      <c r="AS30" s="62"/>
      <c r="AT30" s="65"/>
      <c r="AU30" s="62" t="s">
        <v>397</v>
      </c>
    </row>
    <row r="31" customFormat="false" ht="15" hidden="false" customHeight="false" outlineLevel="0" collapsed="false">
      <c r="A31" s="62" t="s">
        <v>388</v>
      </c>
      <c r="B31" s="63" t="n">
        <v>646</v>
      </c>
      <c r="C31" s="64" t="n">
        <v>46302.6592403472</v>
      </c>
      <c r="D31" s="62" t="s">
        <v>72</v>
      </c>
      <c r="E31" s="63" t="n">
        <v>15</v>
      </c>
      <c r="F31" s="62" t="s">
        <v>389</v>
      </c>
      <c r="G31" s="62" t="s">
        <v>390</v>
      </c>
      <c r="H31" s="62" t="s">
        <v>390</v>
      </c>
      <c r="I31" s="62" t="s">
        <v>389</v>
      </c>
      <c r="J31" s="65"/>
      <c r="K31" s="62" t="s">
        <v>275</v>
      </c>
      <c r="L31" s="62" t="s">
        <v>389</v>
      </c>
      <c r="M31" s="62" t="s">
        <v>390</v>
      </c>
      <c r="N31" s="62"/>
      <c r="O31" s="62" t="s">
        <v>389</v>
      </c>
      <c r="P31" s="62" t="s">
        <v>390</v>
      </c>
      <c r="Q31" s="62" t="s">
        <v>390</v>
      </c>
      <c r="R31" s="62" t="s">
        <v>277</v>
      </c>
      <c r="S31" s="62" t="s">
        <v>390</v>
      </c>
      <c r="T31" s="65" t="n">
        <v>5329.6</v>
      </c>
      <c r="U31" s="62" t="s">
        <v>277</v>
      </c>
      <c r="V31" s="65" t="n">
        <v>5329.6</v>
      </c>
      <c r="W31" s="65"/>
      <c r="X31" s="63" t="n">
        <v>0</v>
      </c>
      <c r="Y31" s="62" t="s">
        <v>390</v>
      </c>
      <c r="Z31" s="62" t="s">
        <v>389</v>
      </c>
      <c r="AA31" s="62" t="s">
        <v>391</v>
      </c>
      <c r="AB31" s="62" t="s">
        <v>275</v>
      </c>
      <c r="AC31" s="65" t="n">
        <v>26.6</v>
      </c>
      <c r="AD31" s="63" t="n">
        <v>1</v>
      </c>
      <c r="AE31" s="63" t="n">
        <v>22</v>
      </c>
      <c r="AF31" s="63" t="n">
        <v>1</v>
      </c>
      <c r="AG31" s="62" t="s">
        <v>390</v>
      </c>
      <c r="AH31" s="62"/>
      <c r="AI31" s="63" t="n">
        <v>0</v>
      </c>
      <c r="AJ31" s="62" t="s">
        <v>147</v>
      </c>
      <c r="AK31" s="62" t="s">
        <v>392</v>
      </c>
      <c r="AL31" s="62" t="s">
        <v>393</v>
      </c>
      <c r="AM31" s="62" t="s">
        <v>394</v>
      </c>
      <c r="AN31" s="65" t="n">
        <v>88.8</v>
      </c>
      <c r="AO31" s="62" t="s">
        <v>389</v>
      </c>
      <c r="AP31" s="62" t="s">
        <v>390</v>
      </c>
      <c r="AQ31" s="62" t="s">
        <v>390</v>
      </c>
      <c r="AR31" s="66"/>
      <c r="AS31" s="62"/>
      <c r="AT31" s="65"/>
      <c r="AU31" s="62" t="s">
        <v>405</v>
      </c>
    </row>
    <row r="32" customFormat="false" ht="15" hidden="false" customHeight="false" outlineLevel="0" collapsed="false">
      <c r="A32" s="62" t="s">
        <v>388</v>
      </c>
      <c r="B32" s="63" t="n">
        <v>701</v>
      </c>
      <c r="C32" s="64" t="n">
        <v>46302.7931745602</v>
      </c>
      <c r="D32" s="62" t="s">
        <v>72</v>
      </c>
      <c r="E32" s="63" t="n">
        <v>19</v>
      </c>
      <c r="F32" s="62" t="s">
        <v>389</v>
      </c>
      <c r="G32" s="62" t="s">
        <v>390</v>
      </c>
      <c r="H32" s="62" t="s">
        <v>390</v>
      </c>
      <c r="I32" s="62" t="s">
        <v>389</v>
      </c>
      <c r="J32" s="65"/>
      <c r="K32" s="62" t="s">
        <v>275</v>
      </c>
      <c r="L32" s="62" t="s">
        <v>389</v>
      </c>
      <c r="M32" s="62" t="s">
        <v>389</v>
      </c>
      <c r="N32" s="62" t="s">
        <v>307</v>
      </c>
      <c r="O32" s="62" t="s">
        <v>389</v>
      </c>
      <c r="P32" s="62" t="s">
        <v>390</v>
      </c>
      <c r="Q32" s="62" t="s">
        <v>390</v>
      </c>
      <c r="R32" s="62" t="s">
        <v>278</v>
      </c>
      <c r="S32" s="62" t="s">
        <v>390</v>
      </c>
      <c r="T32" s="65" t="n">
        <v>51.5</v>
      </c>
      <c r="U32" s="62" t="s">
        <v>278</v>
      </c>
      <c r="V32" s="65" t="n">
        <v>51.5</v>
      </c>
      <c r="W32" s="65" t="n">
        <v>15.9</v>
      </c>
      <c r="X32" s="63" t="n">
        <v>0</v>
      </c>
      <c r="Y32" s="62" t="s">
        <v>390</v>
      </c>
      <c r="Z32" s="62" t="s">
        <v>389</v>
      </c>
      <c r="AA32" s="62" t="s">
        <v>391</v>
      </c>
      <c r="AB32" s="62" t="s">
        <v>275</v>
      </c>
      <c r="AC32" s="65" t="n">
        <v>42</v>
      </c>
      <c r="AD32" s="63" t="n">
        <v>2</v>
      </c>
      <c r="AE32" s="63" t="n">
        <v>23</v>
      </c>
      <c r="AF32" s="63" t="n">
        <v>2</v>
      </c>
      <c r="AG32" s="62" t="s">
        <v>390</v>
      </c>
      <c r="AH32" s="62"/>
      <c r="AI32" s="63" t="n">
        <v>0</v>
      </c>
      <c r="AJ32" s="62" t="s">
        <v>149</v>
      </c>
      <c r="AK32" s="62" t="s">
        <v>392</v>
      </c>
      <c r="AL32" s="62" t="s">
        <v>275</v>
      </c>
      <c r="AM32" s="62" t="s">
        <v>350</v>
      </c>
      <c r="AN32" s="65" t="n">
        <v>138</v>
      </c>
      <c r="AO32" s="62" t="s">
        <v>389</v>
      </c>
      <c r="AP32" s="62" t="s">
        <v>390</v>
      </c>
      <c r="AQ32" s="62" t="s">
        <v>390</v>
      </c>
      <c r="AR32" s="66"/>
      <c r="AS32" s="62"/>
      <c r="AT32" s="65"/>
      <c r="AU32" s="62" t="s">
        <v>405</v>
      </c>
    </row>
    <row r="33" customFormat="false" ht="15" hidden="false" customHeight="false" outlineLevel="0" collapsed="false">
      <c r="A33" s="62" t="s">
        <v>388</v>
      </c>
      <c r="B33" s="63" t="n">
        <v>712</v>
      </c>
      <c r="C33" s="64" t="n">
        <v>46302.8155612616</v>
      </c>
      <c r="D33" s="62" t="s">
        <v>72</v>
      </c>
      <c r="E33" s="63" t="n">
        <v>19</v>
      </c>
      <c r="F33" s="62" t="s">
        <v>389</v>
      </c>
      <c r="G33" s="62" t="s">
        <v>389</v>
      </c>
      <c r="H33" s="62" t="s">
        <v>389</v>
      </c>
      <c r="I33" s="62" t="s">
        <v>389</v>
      </c>
      <c r="J33" s="65" t="n">
        <v>36.9</v>
      </c>
      <c r="K33" s="62" t="s">
        <v>278</v>
      </c>
      <c r="L33" s="62" t="s">
        <v>389</v>
      </c>
      <c r="M33" s="62" t="s">
        <v>389</v>
      </c>
      <c r="N33" s="62" t="s">
        <v>304</v>
      </c>
      <c r="O33" s="62" t="s">
        <v>389</v>
      </c>
      <c r="P33" s="62" t="s">
        <v>389</v>
      </c>
      <c r="Q33" s="62" t="s">
        <v>390</v>
      </c>
      <c r="R33" s="62" t="s">
        <v>278</v>
      </c>
      <c r="S33" s="62" t="s">
        <v>389</v>
      </c>
      <c r="T33" s="65" t="n">
        <v>15.4</v>
      </c>
      <c r="U33" s="62" t="s">
        <v>278</v>
      </c>
      <c r="V33" s="65" t="n">
        <v>15.4</v>
      </c>
      <c r="W33" s="65" t="n">
        <v>6.4</v>
      </c>
      <c r="X33" s="63" t="n">
        <v>0</v>
      </c>
      <c r="Y33" s="62" t="s">
        <v>389</v>
      </c>
      <c r="Z33" s="62" t="s">
        <v>389</v>
      </c>
      <c r="AA33" s="62" t="s">
        <v>391</v>
      </c>
      <c r="AB33" s="62" t="s">
        <v>277</v>
      </c>
      <c r="AC33" s="65" t="n">
        <v>38</v>
      </c>
      <c r="AD33" s="63" t="n">
        <v>15</v>
      </c>
      <c r="AE33" s="63" t="n">
        <v>20</v>
      </c>
      <c r="AF33" s="63" t="n">
        <v>20</v>
      </c>
      <c r="AG33" s="62" t="s">
        <v>390</v>
      </c>
      <c r="AH33" s="62"/>
      <c r="AI33" s="63" t="n">
        <v>0</v>
      </c>
      <c r="AJ33" s="62" t="s">
        <v>153</v>
      </c>
      <c r="AK33" s="62" t="s">
        <v>392</v>
      </c>
      <c r="AL33" s="62" t="s">
        <v>393</v>
      </c>
      <c r="AM33" s="62" t="s">
        <v>394</v>
      </c>
      <c r="AN33" s="65" t="n">
        <v>114.6</v>
      </c>
      <c r="AO33" s="62" t="s">
        <v>389</v>
      </c>
      <c r="AP33" s="62" t="s">
        <v>389</v>
      </c>
      <c r="AQ33" s="62" t="s">
        <v>390</v>
      </c>
      <c r="AR33" s="66"/>
      <c r="AS33" s="62"/>
      <c r="AT33" s="65"/>
      <c r="AU33" s="62" t="s">
        <v>405</v>
      </c>
    </row>
    <row r="34" customFormat="false" ht="15" hidden="false" customHeight="false" outlineLevel="0" collapsed="false">
      <c r="A34" s="62" t="s">
        <v>388</v>
      </c>
      <c r="B34" s="63" t="n">
        <v>729</v>
      </c>
      <c r="C34" s="64" t="n">
        <v>46302.8832901852</v>
      </c>
      <c r="D34" s="62" t="s">
        <v>72</v>
      </c>
      <c r="E34" s="63" t="n">
        <v>21</v>
      </c>
      <c r="F34" s="62" t="s">
        <v>390</v>
      </c>
      <c r="G34" s="62" t="s">
        <v>389</v>
      </c>
      <c r="H34" s="62" t="s">
        <v>389</v>
      </c>
      <c r="I34" s="62" t="s">
        <v>389</v>
      </c>
      <c r="J34" s="65" t="n">
        <v>0.4</v>
      </c>
      <c r="K34" s="62" t="s">
        <v>279</v>
      </c>
      <c r="L34" s="62" t="s">
        <v>389</v>
      </c>
      <c r="M34" s="62" t="s">
        <v>389</v>
      </c>
      <c r="N34" s="62" t="s">
        <v>307</v>
      </c>
      <c r="O34" s="62" t="s">
        <v>389</v>
      </c>
      <c r="P34" s="62" t="s">
        <v>389</v>
      </c>
      <c r="Q34" s="62" t="s">
        <v>390</v>
      </c>
      <c r="R34" s="62" t="s">
        <v>278</v>
      </c>
      <c r="S34" s="62" t="s">
        <v>390</v>
      </c>
      <c r="T34" s="65" t="n">
        <v>23.6</v>
      </c>
      <c r="U34" s="62" t="s">
        <v>278</v>
      </c>
      <c r="V34" s="65" t="n">
        <v>0.6</v>
      </c>
      <c r="W34" s="65" t="n">
        <v>12.8</v>
      </c>
      <c r="X34" s="63" t="n">
        <v>0</v>
      </c>
      <c r="Y34" s="62" t="s">
        <v>389</v>
      </c>
      <c r="Z34" s="62" t="s">
        <v>389</v>
      </c>
      <c r="AA34" s="62" t="s">
        <v>391</v>
      </c>
      <c r="AB34" s="62" t="s">
        <v>275</v>
      </c>
      <c r="AC34" s="65" t="n">
        <v>39.8</v>
      </c>
      <c r="AD34" s="63" t="n">
        <v>5</v>
      </c>
      <c r="AE34" s="63" t="n">
        <v>24</v>
      </c>
      <c r="AF34" s="63" t="n">
        <v>6</v>
      </c>
      <c r="AG34" s="62" t="s">
        <v>390</v>
      </c>
      <c r="AH34" s="62"/>
      <c r="AI34" s="63" t="n">
        <v>0</v>
      </c>
      <c r="AJ34" s="62" t="s">
        <v>151</v>
      </c>
      <c r="AK34" s="62" t="s">
        <v>392</v>
      </c>
      <c r="AL34" s="62" t="s">
        <v>275</v>
      </c>
      <c r="AM34" s="62" t="s">
        <v>350</v>
      </c>
      <c r="AN34" s="65" t="n">
        <v>135.8</v>
      </c>
      <c r="AO34" s="62" t="s">
        <v>389</v>
      </c>
      <c r="AP34" s="62" t="s">
        <v>390</v>
      </c>
      <c r="AQ34" s="62" t="s">
        <v>390</v>
      </c>
      <c r="AR34" s="66"/>
      <c r="AS34" s="62"/>
      <c r="AT34" s="65"/>
      <c r="AU34" s="62" t="s">
        <v>405</v>
      </c>
    </row>
    <row r="35" customFormat="false" ht="15" hidden="false" customHeight="false" outlineLevel="0" collapsed="false">
      <c r="A35" s="62" t="s">
        <v>388</v>
      </c>
      <c r="B35" s="63" t="n">
        <v>738</v>
      </c>
      <c r="C35" s="64" t="n">
        <v>46302.907989213</v>
      </c>
      <c r="D35" s="62" t="s">
        <v>72</v>
      </c>
      <c r="E35" s="63" t="n">
        <v>21</v>
      </c>
      <c r="F35" s="62" t="s">
        <v>390</v>
      </c>
      <c r="G35" s="62" t="s">
        <v>390</v>
      </c>
      <c r="H35" s="62" t="s">
        <v>390</v>
      </c>
      <c r="I35" s="62" t="s">
        <v>389</v>
      </c>
      <c r="J35" s="65"/>
      <c r="K35" s="62" t="s">
        <v>275</v>
      </c>
      <c r="L35" s="62" t="s">
        <v>389</v>
      </c>
      <c r="M35" s="62" t="s">
        <v>389</v>
      </c>
      <c r="N35" s="62" t="s">
        <v>305</v>
      </c>
      <c r="O35" s="62" t="s">
        <v>389</v>
      </c>
      <c r="P35" s="62" t="s">
        <v>389</v>
      </c>
      <c r="Q35" s="62" t="s">
        <v>390</v>
      </c>
      <c r="R35" s="62" t="s">
        <v>277</v>
      </c>
      <c r="S35" s="62" t="s">
        <v>390</v>
      </c>
      <c r="T35" s="65" t="n">
        <v>570.5</v>
      </c>
      <c r="U35" s="62" t="s">
        <v>277</v>
      </c>
      <c r="V35" s="65" t="n">
        <v>570.5</v>
      </c>
      <c r="W35" s="65" t="n">
        <v>535.3</v>
      </c>
      <c r="X35" s="63" t="n">
        <v>0</v>
      </c>
      <c r="Y35" s="62" t="s">
        <v>389</v>
      </c>
      <c r="Z35" s="62" t="s">
        <v>389</v>
      </c>
      <c r="AA35" s="62" t="s">
        <v>391</v>
      </c>
      <c r="AB35" s="62" t="s">
        <v>275</v>
      </c>
      <c r="AC35" s="65" t="n">
        <v>39.2</v>
      </c>
      <c r="AD35" s="63" t="n">
        <v>2</v>
      </c>
      <c r="AE35" s="63" t="n">
        <v>24</v>
      </c>
      <c r="AF35" s="63" t="n">
        <v>4</v>
      </c>
      <c r="AG35" s="62" t="s">
        <v>390</v>
      </c>
      <c r="AH35" s="62"/>
      <c r="AI35" s="63" t="n">
        <v>0</v>
      </c>
      <c r="AJ35" s="62" t="s">
        <v>149</v>
      </c>
      <c r="AK35" s="62" t="s">
        <v>392</v>
      </c>
      <c r="AL35" s="62" t="s">
        <v>393</v>
      </c>
      <c r="AM35" s="62" t="s">
        <v>394</v>
      </c>
      <c r="AN35" s="65" t="n">
        <v>89.4</v>
      </c>
      <c r="AO35" s="62" t="s">
        <v>389</v>
      </c>
      <c r="AP35" s="62" t="s">
        <v>390</v>
      </c>
      <c r="AQ35" s="62" t="s">
        <v>390</v>
      </c>
      <c r="AR35" s="66"/>
      <c r="AS35" s="62"/>
      <c r="AT35" s="65"/>
      <c r="AU35" s="62" t="s">
        <v>405</v>
      </c>
    </row>
    <row r="36" customFormat="false" ht="15" hidden="false" customHeight="false" outlineLevel="0" collapsed="false">
      <c r="A36" s="62" t="s">
        <v>388</v>
      </c>
      <c r="B36" s="63" t="n">
        <v>753</v>
      </c>
      <c r="C36" s="64" t="n">
        <v>46302.9716108565</v>
      </c>
      <c r="D36" s="62" t="s">
        <v>72</v>
      </c>
      <c r="E36" s="63" t="n">
        <v>23</v>
      </c>
      <c r="F36" s="62" t="s">
        <v>390</v>
      </c>
      <c r="G36" s="62" t="s">
        <v>389</v>
      </c>
      <c r="H36" s="62" t="s">
        <v>389</v>
      </c>
      <c r="I36" s="62" t="s">
        <v>389</v>
      </c>
      <c r="J36" s="65" t="n">
        <v>488.4</v>
      </c>
      <c r="K36" s="62" t="s">
        <v>277</v>
      </c>
      <c r="L36" s="62" t="s">
        <v>389</v>
      </c>
      <c r="M36" s="62" t="s">
        <v>390</v>
      </c>
      <c r="N36" s="62"/>
      <c r="O36" s="62" t="s">
        <v>389</v>
      </c>
      <c r="P36" s="62" t="s">
        <v>390</v>
      </c>
      <c r="Q36" s="62" t="s">
        <v>390</v>
      </c>
      <c r="R36" s="62" t="s">
        <v>277</v>
      </c>
      <c r="S36" s="62" t="s">
        <v>390</v>
      </c>
      <c r="T36" s="65" t="n">
        <v>489.1</v>
      </c>
      <c r="U36" s="62" t="s">
        <v>277</v>
      </c>
      <c r="V36" s="65" t="n">
        <v>488.7</v>
      </c>
      <c r="W36" s="65" t="n">
        <v>488.8</v>
      </c>
      <c r="X36" s="63" t="n">
        <v>0</v>
      </c>
      <c r="Y36" s="62" t="s">
        <v>389</v>
      </c>
      <c r="Z36" s="62" t="s">
        <v>389</v>
      </c>
      <c r="AA36" s="62" t="s">
        <v>391</v>
      </c>
      <c r="AB36" s="62" t="s">
        <v>275</v>
      </c>
      <c r="AC36" s="65" t="n">
        <v>37.7</v>
      </c>
      <c r="AD36" s="63" t="n">
        <v>4</v>
      </c>
      <c r="AE36" s="63" t="n">
        <v>21</v>
      </c>
      <c r="AF36" s="63" t="n">
        <v>2</v>
      </c>
      <c r="AG36" s="62" t="s">
        <v>390</v>
      </c>
      <c r="AH36" s="62"/>
      <c r="AI36" s="63" t="n">
        <v>0</v>
      </c>
      <c r="AJ36" s="62" t="s">
        <v>148</v>
      </c>
      <c r="AK36" s="62" t="s">
        <v>392</v>
      </c>
      <c r="AL36" s="62" t="s">
        <v>393</v>
      </c>
      <c r="AM36" s="62" t="s">
        <v>394</v>
      </c>
      <c r="AN36" s="65" t="n">
        <v>88</v>
      </c>
      <c r="AO36" s="62" t="s">
        <v>389</v>
      </c>
      <c r="AP36" s="62" t="s">
        <v>390</v>
      </c>
      <c r="AQ36" s="62" t="s">
        <v>390</v>
      </c>
      <c r="AR36" s="66"/>
      <c r="AS36" s="62"/>
      <c r="AT36" s="65"/>
      <c r="AU36" s="62" t="s">
        <v>405</v>
      </c>
    </row>
    <row r="37" customFormat="false" ht="15" hidden="false" customHeight="false" outlineLevel="0" collapsed="false">
      <c r="A37" s="62" t="s">
        <v>388</v>
      </c>
      <c r="B37" s="63" t="n">
        <v>760</v>
      </c>
      <c r="C37" s="64" t="n">
        <v>46303.0678809375</v>
      </c>
      <c r="D37" s="62" t="s">
        <v>72</v>
      </c>
      <c r="E37" s="63" t="n">
        <v>1</v>
      </c>
      <c r="F37" s="62" t="s">
        <v>390</v>
      </c>
      <c r="G37" s="62" t="s">
        <v>390</v>
      </c>
      <c r="H37" s="62" t="s">
        <v>390</v>
      </c>
      <c r="I37" s="62" t="s">
        <v>389</v>
      </c>
      <c r="J37" s="65"/>
      <c r="K37" s="62" t="s">
        <v>275</v>
      </c>
      <c r="L37" s="62" t="s">
        <v>389</v>
      </c>
      <c r="M37" s="62" t="s">
        <v>390</v>
      </c>
      <c r="N37" s="62"/>
      <c r="O37" s="62" t="s">
        <v>389</v>
      </c>
      <c r="P37" s="62" t="s">
        <v>390</v>
      </c>
      <c r="Q37" s="62" t="s">
        <v>390</v>
      </c>
      <c r="R37" s="62" t="s">
        <v>277</v>
      </c>
      <c r="S37" s="62" t="s">
        <v>390</v>
      </c>
      <c r="T37" s="65" t="n">
        <v>4744.1</v>
      </c>
      <c r="U37" s="62" t="s">
        <v>277</v>
      </c>
      <c r="V37" s="65" t="n">
        <v>4744.1</v>
      </c>
      <c r="W37" s="65"/>
      <c r="X37" s="63" t="n">
        <v>0</v>
      </c>
      <c r="Y37" s="62" t="s">
        <v>390</v>
      </c>
      <c r="Z37" s="62" t="s">
        <v>389</v>
      </c>
      <c r="AA37" s="62" t="s">
        <v>391</v>
      </c>
      <c r="AB37" s="62" t="s">
        <v>275</v>
      </c>
      <c r="AC37" s="65" t="n">
        <v>35.4</v>
      </c>
      <c r="AD37" s="63" t="n">
        <v>1</v>
      </c>
      <c r="AE37" s="63" t="n">
        <v>19</v>
      </c>
      <c r="AF37" s="63" t="n">
        <v>2</v>
      </c>
      <c r="AG37" s="62" t="s">
        <v>390</v>
      </c>
      <c r="AH37" s="62"/>
      <c r="AI37" s="63" t="n">
        <v>0</v>
      </c>
      <c r="AJ37" s="62" t="s">
        <v>147</v>
      </c>
      <c r="AK37" s="62" t="s">
        <v>392</v>
      </c>
      <c r="AL37" s="62" t="s">
        <v>393</v>
      </c>
      <c r="AM37" s="62" t="s">
        <v>394</v>
      </c>
      <c r="AN37" s="65" t="n">
        <v>84.9</v>
      </c>
      <c r="AO37" s="62" t="s">
        <v>389</v>
      </c>
      <c r="AP37" s="62" t="s">
        <v>390</v>
      </c>
      <c r="AQ37" s="62" t="s">
        <v>390</v>
      </c>
      <c r="AR37" s="66"/>
      <c r="AS37" s="62"/>
      <c r="AT37" s="65"/>
      <c r="AU37" s="62" t="s">
        <v>405</v>
      </c>
    </row>
    <row r="38" customFormat="false" ht="15" hidden="false" customHeight="false" outlineLevel="0" collapsed="false">
      <c r="A38" s="62" t="s">
        <v>388</v>
      </c>
      <c r="B38" s="63" t="n">
        <v>802</v>
      </c>
      <c r="C38" s="64" t="n">
        <v>46303.3992724074</v>
      </c>
      <c r="D38" s="62" t="s">
        <v>72</v>
      </c>
      <c r="E38" s="63" t="n">
        <v>9</v>
      </c>
      <c r="F38" s="62" t="s">
        <v>389</v>
      </c>
      <c r="G38" s="62" t="s">
        <v>389</v>
      </c>
      <c r="H38" s="62" t="s">
        <v>389</v>
      </c>
      <c r="I38" s="62" t="s">
        <v>389</v>
      </c>
      <c r="J38" s="65" t="n">
        <v>0.9</v>
      </c>
      <c r="K38" s="62" t="s">
        <v>277</v>
      </c>
      <c r="L38" s="62" t="s">
        <v>389</v>
      </c>
      <c r="M38" s="62" t="s">
        <v>390</v>
      </c>
      <c r="N38" s="62"/>
      <c r="O38" s="62" t="s">
        <v>389</v>
      </c>
      <c r="P38" s="62" t="s">
        <v>390</v>
      </c>
      <c r="Q38" s="62" t="s">
        <v>390</v>
      </c>
      <c r="R38" s="62" t="s">
        <v>277</v>
      </c>
      <c r="S38" s="62" t="s">
        <v>390</v>
      </c>
      <c r="T38" s="65" t="n">
        <v>4700.7</v>
      </c>
      <c r="U38" s="62" t="s">
        <v>277</v>
      </c>
      <c r="V38" s="65" t="n">
        <v>1.2</v>
      </c>
      <c r="W38" s="65" t="n">
        <v>4700.4</v>
      </c>
      <c r="X38" s="63" t="n">
        <v>0</v>
      </c>
      <c r="Y38" s="62" t="s">
        <v>390</v>
      </c>
      <c r="Z38" s="62" t="s">
        <v>389</v>
      </c>
      <c r="AA38" s="62" t="s">
        <v>391</v>
      </c>
      <c r="AB38" s="62" t="s">
        <v>275</v>
      </c>
      <c r="AC38" s="65" t="n">
        <v>27.4</v>
      </c>
      <c r="AD38" s="63" t="n">
        <v>2</v>
      </c>
      <c r="AE38" s="63" t="n">
        <v>21</v>
      </c>
      <c r="AF38" s="63" t="n">
        <v>1</v>
      </c>
      <c r="AG38" s="62" t="s">
        <v>389</v>
      </c>
      <c r="AH38" s="62" t="s">
        <v>398</v>
      </c>
      <c r="AI38" s="63" t="n">
        <v>0</v>
      </c>
      <c r="AJ38" s="62" t="s">
        <v>148</v>
      </c>
      <c r="AK38" s="62" t="s">
        <v>392</v>
      </c>
      <c r="AL38" s="62" t="s">
        <v>393</v>
      </c>
      <c r="AM38" s="62" t="s">
        <v>394</v>
      </c>
      <c r="AN38" s="65" t="n">
        <v>78.3</v>
      </c>
      <c r="AO38" s="62" t="s">
        <v>389</v>
      </c>
      <c r="AP38" s="62" t="s">
        <v>390</v>
      </c>
      <c r="AQ38" s="62" t="s">
        <v>390</v>
      </c>
      <c r="AR38" s="66"/>
      <c r="AS38" s="62"/>
      <c r="AT38" s="65"/>
      <c r="AU38" s="62" t="s">
        <v>405</v>
      </c>
    </row>
    <row r="39" customFormat="false" ht="15" hidden="false" customHeight="false" outlineLevel="0" collapsed="false">
      <c r="A39" s="62" t="s">
        <v>388</v>
      </c>
      <c r="B39" s="63" t="n">
        <v>828</v>
      </c>
      <c r="C39" s="64" t="n">
        <v>46303.4495891435</v>
      </c>
      <c r="D39" s="62" t="s">
        <v>72</v>
      </c>
      <c r="E39" s="63" t="n">
        <v>10</v>
      </c>
      <c r="F39" s="62" t="s">
        <v>389</v>
      </c>
      <c r="G39" s="62" t="s">
        <v>389</v>
      </c>
      <c r="H39" s="62" t="s">
        <v>389</v>
      </c>
      <c r="I39" s="62" t="s">
        <v>389</v>
      </c>
      <c r="J39" s="65" t="n">
        <v>1</v>
      </c>
      <c r="K39" s="62" t="s">
        <v>276</v>
      </c>
      <c r="L39" s="62" t="s">
        <v>389</v>
      </c>
      <c r="M39" s="62" t="s">
        <v>390</v>
      </c>
      <c r="N39" s="62"/>
      <c r="O39" s="62" t="s">
        <v>389</v>
      </c>
      <c r="P39" s="62" t="s">
        <v>390</v>
      </c>
      <c r="Q39" s="62" t="s">
        <v>390</v>
      </c>
      <c r="R39" s="62" t="s">
        <v>277</v>
      </c>
      <c r="S39" s="62" t="s">
        <v>389</v>
      </c>
      <c r="T39" s="65" t="n">
        <v>5696.4</v>
      </c>
      <c r="U39" s="62" t="s">
        <v>277</v>
      </c>
      <c r="V39" s="65" t="n">
        <v>2.9</v>
      </c>
      <c r="W39" s="65" t="n">
        <v>5692.5</v>
      </c>
      <c r="X39" s="63" t="n">
        <v>0</v>
      </c>
      <c r="Y39" s="62" t="s">
        <v>390</v>
      </c>
      <c r="Z39" s="62" t="s">
        <v>389</v>
      </c>
      <c r="AA39" s="62" t="s">
        <v>391</v>
      </c>
      <c r="AB39" s="62" t="s">
        <v>275</v>
      </c>
      <c r="AC39" s="65" t="n">
        <v>26.2</v>
      </c>
      <c r="AD39" s="63" t="n">
        <v>2</v>
      </c>
      <c r="AE39" s="63" t="n">
        <v>21</v>
      </c>
      <c r="AF39" s="63" t="n">
        <v>1</v>
      </c>
      <c r="AG39" s="62" t="s">
        <v>390</v>
      </c>
      <c r="AH39" s="62"/>
      <c r="AI39" s="63" t="n">
        <v>0</v>
      </c>
      <c r="AJ39" s="62" t="s">
        <v>148</v>
      </c>
      <c r="AK39" s="62" t="s">
        <v>392</v>
      </c>
      <c r="AL39" s="62" t="s">
        <v>393</v>
      </c>
      <c r="AM39" s="62" t="s">
        <v>394</v>
      </c>
      <c r="AN39" s="65" t="n">
        <v>94.9</v>
      </c>
      <c r="AO39" s="62" t="s">
        <v>389</v>
      </c>
      <c r="AP39" s="62" t="s">
        <v>390</v>
      </c>
      <c r="AQ39" s="62" t="s">
        <v>390</v>
      </c>
      <c r="AR39" s="66"/>
      <c r="AS39" s="62"/>
      <c r="AT39" s="65"/>
      <c r="AU39" s="62"/>
    </row>
    <row r="40" customFormat="false" ht="15" hidden="false" customHeight="false" outlineLevel="0" collapsed="false">
      <c r="A40" s="62" t="s">
        <v>388</v>
      </c>
      <c r="B40" s="63" t="n">
        <v>833</v>
      </c>
      <c r="C40" s="64" t="n">
        <v>46303.4650459722</v>
      </c>
      <c r="D40" s="62" t="s">
        <v>72</v>
      </c>
      <c r="E40" s="63" t="n">
        <v>11</v>
      </c>
      <c r="F40" s="62" t="s">
        <v>389</v>
      </c>
      <c r="G40" s="62" t="s">
        <v>389</v>
      </c>
      <c r="H40" s="62" t="s">
        <v>389</v>
      </c>
      <c r="I40" s="62" t="s">
        <v>389</v>
      </c>
      <c r="J40" s="65" t="n">
        <v>1.1</v>
      </c>
      <c r="K40" s="62" t="s">
        <v>277</v>
      </c>
      <c r="L40" s="62" t="s">
        <v>389</v>
      </c>
      <c r="M40" s="62" t="s">
        <v>390</v>
      </c>
      <c r="N40" s="62"/>
      <c r="O40" s="62" t="s">
        <v>389</v>
      </c>
      <c r="P40" s="62" t="s">
        <v>390</v>
      </c>
      <c r="Q40" s="62" t="s">
        <v>390</v>
      </c>
      <c r="R40" s="62" t="s">
        <v>277</v>
      </c>
      <c r="S40" s="62" t="s">
        <v>390</v>
      </c>
      <c r="T40" s="65" t="n">
        <v>5680.8</v>
      </c>
      <c r="U40" s="62" t="s">
        <v>277</v>
      </c>
      <c r="V40" s="65" t="n">
        <v>1.4</v>
      </c>
      <c r="W40" s="65" t="n">
        <v>5680.5</v>
      </c>
      <c r="X40" s="63" t="n">
        <v>1</v>
      </c>
      <c r="Y40" s="62" t="s">
        <v>390</v>
      </c>
      <c r="Z40" s="62" t="s">
        <v>389</v>
      </c>
      <c r="AA40" s="62" t="s">
        <v>391</v>
      </c>
      <c r="AB40" s="62" t="s">
        <v>275</v>
      </c>
      <c r="AC40" s="65" t="n">
        <v>26.1</v>
      </c>
      <c r="AD40" s="63" t="n">
        <v>3</v>
      </c>
      <c r="AE40" s="63" t="n">
        <v>21</v>
      </c>
      <c r="AF40" s="63" t="n">
        <v>1</v>
      </c>
      <c r="AG40" s="62" t="s">
        <v>389</v>
      </c>
      <c r="AH40" s="62" t="s">
        <v>396</v>
      </c>
      <c r="AI40" s="63" t="n">
        <v>0</v>
      </c>
      <c r="AJ40" s="62" t="s">
        <v>153</v>
      </c>
      <c r="AK40" s="62" t="s">
        <v>392</v>
      </c>
      <c r="AL40" s="62" t="s">
        <v>393</v>
      </c>
      <c r="AM40" s="62" t="s">
        <v>394</v>
      </c>
      <c r="AN40" s="65" t="n">
        <v>94.7</v>
      </c>
      <c r="AO40" s="62" t="s">
        <v>389</v>
      </c>
      <c r="AP40" s="62" t="s">
        <v>389</v>
      </c>
      <c r="AQ40" s="62" t="s">
        <v>390</v>
      </c>
      <c r="AR40" s="66"/>
      <c r="AS40" s="62"/>
      <c r="AT40" s="65"/>
      <c r="AU40" s="62" t="s">
        <v>405</v>
      </c>
    </row>
    <row r="41" customFormat="false" ht="15" hidden="false" customHeight="false" outlineLevel="0" collapsed="false">
      <c r="A41" s="62" t="s">
        <v>388</v>
      </c>
      <c r="B41" s="63" t="n">
        <v>842</v>
      </c>
      <c r="C41" s="64" t="n">
        <v>46303.490074838</v>
      </c>
      <c r="D41" s="62" t="s">
        <v>72</v>
      </c>
      <c r="E41" s="63" t="n">
        <v>11</v>
      </c>
      <c r="F41" s="62" t="s">
        <v>389</v>
      </c>
      <c r="G41" s="62" t="s">
        <v>390</v>
      </c>
      <c r="H41" s="62" t="s">
        <v>390</v>
      </c>
      <c r="I41" s="62" t="s">
        <v>389</v>
      </c>
      <c r="J41" s="65"/>
      <c r="K41" s="62" t="s">
        <v>275</v>
      </c>
      <c r="L41" s="62" t="s">
        <v>389</v>
      </c>
      <c r="M41" s="62" t="s">
        <v>390</v>
      </c>
      <c r="N41" s="62"/>
      <c r="O41" s="62" t="s">
        <v>389</v>
      </c>
      <c r="P41" s="62" t="s">
        <v>390</v>
      </c>
      <c r="Q41" s="62" t="s">
        <v>390</v>
      </c>
      <c r="R41" s="62" t="s">
        <v>277</v>
      </c>
      <c r="S41" s="62" t="s">
        <v>390</v>
      </c>
      <c r="T41" s="65" t="n">
        <v>4136</v>
      </c>
      <c r="U41" s="62" t="s">
        <v>277</v>
      </c>
      <c r="V41" s="65" t="n">
        <v>4136</v>
      </c>
      <c r="W41" s="65"/>
      <c r="X41" s="63" t="n">
        <v>0</v>
      </c>
      <c r="Y41" s="62" t="s">
        <v>390</v>
      </c>
      <c r="Z41" s="62" t="s">
        <v>389</v>
      </c>
      <c r="AA41" s="62" t="s">
        <v>391</v>
      </c>
      <c r="AB41" s="62" t="s">
        <v>275</v>
      </c>
      <c r="AC41" s="65" t="n">
        <v>26.6</v>
      </c>
      <c r="AD41" s="63" t="n">
        <v>1</v>
      </c>
      <c r="AE41" s="63" t="n">
        <v>19</v>
      </c>
      <c r="AF41" s="63" t="n">
        <v>2</v>
      </c>
      <c r="AG41" s="62" t="s">
        <v>390</v>
      </c>
      <c r="AH41" s="62"/>
      <c r="AI41" s="63" t="n">
        <v>0</v>
      </c>
      <c r="AJ41" s="62" t="s">
        <v>147</v>
      </c>
      <c r="AK41" s="62" t="s">
        <v>392</v>
      </c>
      <c r="AL41" s="62" t="s">
        <v>393</v>
      </c>
      <c r="AM41" s="62" t="s">
        <v>394</v>
      </c>
      <c r="AN41" s="65" t="n">
        <v>74.8</v>
      </c>
      <c r="AO41" s="62" t="s">
        <v>389</v>
      </c>
      <c r="AP41" s="62" t="s">
        <v>390</v>
      </c>
      <c r="AQ41" s="62" t="s">
        <v>390</v>
      </c>
      <c r="AR41" s="66"/>
      <c r="AS41" s="62"/>
      <c r="AT41" s="65"/>
      <c r="AU41" s="62" t="s">
        <v>395</v>
      </c>
    </row>
    <row r="42" customFormat="false" ht="15" hidden="false" customHeight="false" outlineLevel="0" collapsed="false">
      <c r="A42" s="62" t="s">
        <v>388</v>
      </c>
      <c r="B42" s="63" t="n">
        <v>864</v>
      </c>
      <c r="C42" s="64" t="n">
        <v>46303.5655330903</v>
      </c>
      <c r="D42" s="62" t="s">
        <v>72</v>
      </c>
      <c r="E42" s="63" t="n">
        <v>13</v>
      </c>
      <c r="F42" s="62" t="s">
        <v>389</v>
      </c>
      <c r="G42" s="62" t="s">
        <v>390</v>
      </c>
      <c r="H42" s="62" t="s">
        <v>390</v>
      </c>
      <c r="I42" s="62" t="s">
        <v>389</v>
      </c>
      <c r="J42" s="65"/>
      <c r="K42" s="62" t="s">
        <v>275</v>
      </c>
      <c r="L42" s="62" t="s">
        <v>389</v>
      </c>
      <c r="M42" s="62" t="s">
        <v>390</v>
      </c>
      <c r="N42" s="62"/>
      <c r="O42" s="62" t="s">
        <v>389</v>
      </c>
      <c r="P42" s="62" t="s">
        <v>390</v>
      </c>
      <c r="Q42" s="62" t="s">
        <v>390</v>
      </c>
      <c r="R42" s="62" t="s">
        <v>277</v>
      </c>
      <c r="S42" s="62" t="s">
        <v>390</v>
      </c>
      <c r="T42" s="65" t="n">
        <v>4027.1</v>
      </c>
      <c r="U42" s="62" t="s">
        <v>277</v>
      </c>
      <c r="V42" s="65" t="n">
        <v>4027.1</v>
      </c>
      <c r="W42" s="65"/>
      <c r="X42" s="63" t="n">
        <v>0</v>
      </c>
      <c r="Y42" s="62" t="s">
        <v>390</v>
      </c>
      <c r="Z42" s="62" t="s">
        <v>389</v>
      </c>
      <c r="AA42" s="62" t="s">
        <v>391</v>
      </c>
      <c r="AB42" s="62" t="s">
        <v>275</v>
      </c>
      <c r="AC42" s="65" t="n">
        <v>26.6</v>
      </c>
      <c r="AD42" s="63" t="n">
        <v>1</v>
      </c>
      <c r="AE42" s="63" t="n">
        <v>19</v>
      </c>
      <c r="AF42" s="63" t="n">
        <v>2</v>
      </c>
      <c r="AG42" s="62" t="s">
        <v>390</v>
      </c>
      <c r="AH42" s="62"/>
      <c r="AI42" s="63" t="n">
        <v>0</v>
      </c>
      <c r="AJ42" s="62" t="s">
        <v>147</v>
      </c>
      <c r="AK42" s="62" t="s">
        <v>392</v>
      </c>
      <c r="AL42" s="62" t="s">
        <v>393</v>
      </c>
      <c r="AM42" s="62" t="s">
        <v>394</v>
      </c>
      <c r="AN42" s="65" t="n">
        <v>72.9</v>
      </c>
      <c r="AO42" s="62" t="s">
        <v>389</v>
      </c>
      <c r="AP42" s="62" t="s">
        <v>390</v>
      </c>
      <c r="AQ42" s="62" t="s">
        <v>390</v>
      </c>
      <c r="AR42" s="66"/>
      <c r="AS42" s="62"/>
      <c r="AT42" s="65"/>
      <c r="AU42" s="62" t="s">
        <v>395</v>
      </c>
    </row>
    <row r="43" customFormat="false" ht="15" hidden="false" customHeight="false" outlineLevel="0" collapsed="false">
      <c r="A43" s="62" t="s">
        <v>388</v>
      </c>
      <c r="B43" s="63" t="n">
        <v>868</v>
      </c>
      <c r="C43" s="64" t="n">
        <v>46303.5769794213</v>
      </c>
      <c r="D43" s="62" t="s">
        <v>72</v>
      </c>
      <c r="E43" s="63" t="n">
        <v>13</v>
      </c>
      <c r="F43" s="62" t="s">
        <v>389</v>
      </c>
      <c r="G43" s="62" t="s">
        <v>390</v>
      </c>
      <c r="H43" s="62" t="s">
        <v>390</v>
      </c>
      <c r="I43" s="62" t="s">
        <v>389</v>
      </c>
      <c r="J43" s="65"/>
      <c r="K43" s="62" t="s">
        <v>278</v>
      </c>
      <c r="L43" s="62" t="s">
        <v>389</v>
      </c>
      <c r="M43" s="62" t="s">
        <v>390</v>
      </c>
      <c r="N43" s="62"/>
      <c r="O43" s="62" t="s">
        <v>390</v>
      </c>
      <c r="P43" s="62" t="s">
        <v>389</v>
      </c>
      <c r="Q43" s="62" t="s">
        <v>389</v>
      </c>
      <c r="R43" s="62" t="s">
        <v>278</v>
      </c>
      <c r="S43" s="62" t="s">
        <v>390</v>
      </c>
      <c r="T43" s="65" t="n">
        <v>143.1</v>
      </c>
      <c r="U43" s="62" t="s">
        <v>278</v>
      </c>
      <c r="V43" s="65" t="n">
        <v>143.1</v>
      </c>
      <c r="W43" s="65" t="n">
        <v>72.2</v>
      </c>
      <c r="X43" s="63" t="n">
        <v>0</v>
      </c>
      <c r="Y43" s="62" t="s">
        <v>390</v>
      </c>
      <c r="Z43" s="62" t="s">
        <v>389</v>
      </c>
      <c r="AA43" s="62" t="s">
        <v>266</v>
      </c>
      <c r="AB43" s="62" t="s">
        <v>278</v>
      </c>
      <c r="AC43" s="65" t="n">
        <v>2.4</v>
      </c>
      <c r="AD43" s="63" t="n">
        <v>10</v>
      </c>
      <c r="AE43" s="63" t="n">
        <v>2</v>
      </c>
      <c r="AF43" s="63" t="n">
        <v>3</v>
      </c>
      <c r="AG43" s="62" t="s">
        <v>390</v>
      </c>
      <c r="AH43" s="62"/>
      <c r="AI43" s="63" t="n">
        <v>0</v>
      </c>
      <c r="AJ43" s="62" t="s">
        <v>154</v>
      </c>
      <c r="AK43" s="62" t="s">
        <v>399</v>
      </c>
      <c r="AL43" s="62"/>
      <c r="AM43" s="62"/>
      <c r="AN43" s="65"/>
      <c r="AO43" s="62" t="s">
        <v>390</v>
      </c>
      <c r="AP43" s="62"/>
      <c r="AQ43" s="62" t="s">
        <v>389</v>
      </c>
      <c r="AR43" s="66" t="n">
        <v>3400</v>
      </c>
      <c r="AS43" s="62" t="s">
        <v>400</v>
      </c>
      <c r="AT43" s="65" t="n">
        <v>2.4</v>
      </c>
      <c r="AU43" s="62"/>
    </row>
    <row r="44" customFormat="false" ht="15" hidden="false" customHeight="false" outlineLevel="0" collapsed="false">
      <c r="A44" s="62" t="s">
        <v>388</v>
      </c>
      <c r="B44" s="63" t="n">
        <v>877</v>
      </c>
      <c r="C44" s="64" t="n">
        <v>46303.6044980208</v>
      </c>
      <c r="D44" s="62" t="s">
        <v>72</v>
      </c>
      <c r="E44" s="63" t="n">
        <v>14</v>
      </c>
      <c r="F44" s="62" t="s">
        <v>389</v>
      </c>
      <c r="G44" s="62" t="s">
        <v>389</v>
      </c>
      <c r="H44" s="62" t="s">
        <v>389</v>
      </c>
      <c r="I44" s="62" t="s">
        <v>389</v>
      </c>
      <c r="J44" s="65" t="n">
        <v>1.8</v>
      </c>
      <c r="K44" s="62" t="s">
        <v>277</v>
      </c>
      <c r="L44" s="62" t="s">
        <v>389</v>
      </c>
      <c r="M44" s="62" t="s">
        <v>390</v>
      </c>
      <c r="N44" s="62"/>
      <c r="O44" s="62" t="s">
        <v>389</v>
      </c>
      <c r="P44" s="62" t="s">
        <v>390</v>
      </c>
      <c r="Q44" s="62" t="s">
        <v>390</v>
      </c>
      <c r="R44" s="62" t="s">
        <v>277</v>
      </c>
      <c r="S44" s="62" t="s">
        <v>390</v>
      </c>
      <c r="T44" s="65" t="n">
        <v>5505.8</v>
      </c>
      <c r="U44" s="62" t="s">
        <v>277</v>
      </c>
      <c r="V44" s="65" t="n">
        <v>3.7</v>
      </c>
      <c r="W44" s="65" t="n">
        <v>5503.9</v>
      </c>
      <c r="X44" s="63" t="n">
        <v>0</v>
      </c>
      <c r="Y44" s="62" t="s">
        <v>390</v>
      </c>
      <c r="Z44" s="62" t="s">
        <v>389</v>
      </c>
      <c r="AA44" s="62" t="s">
        <v>391</v>
      </c>
      <c r="AB44" s="62" t="s">
        <v>275</v>
      </c>
      <c r="AC44" s="65" t="n">
        <v>26.1</v>
      </c>
      <c r="AD44" s="63" t="n">
        <v>2</v>
      </c>
      <c r="AE44" s="63" t="n">
        <v>21</v>
      </c>
      <c r="AF44" s="63" t="n">
        <v>1</v>
      </c>
      <c r="AG44" s="62" t="s">
        <v>389</v>
      </c>
      <c r="AH44" s="62" t="s">
        <v>398</v>
      </c>
      <c r="AI44" s="63" t="n">
        <v>0</v>
      </c>
      <c r="AJ44" s="62" t="s">
        <v>148</v>
      </c>
      <c r="AK44" s="62" t="s">
        <v>392</v>
      </c>
      <c r="AL44" s="62" t="s">
        <v>393</v>
      </c>
      <c r="AM44" s="62" t="s">
        <v>394</v>
      </c>
      <c r="AN44" s="65" t="n">
        <v>91.8</v>
      </c>
      <c r="AO44" s="62" t="s">
        <v>389</v>
      </c>
      <c r="AP44" s="62" t="s">
        <v>390</v>
      </c>
      <c r="AQ44" s="62" t="s">
        <v>390</v>
      </c>
      <c r="AR44" s="66"/>
      <c r="AS44" s="62"/>
      <c r="AT44" s="65"/>
      <c r="AU44" s="62" t="s">
        <v>405</v>
      </c>
    </row>
    <row r="45" customFormat="false" ht="15" hidden="false" customHeight="false" outlineLevel="0" collapsed="false">
      <c r="A45" s="62" t="s">
        <v>388</v>
      </c>
      <c r="B45" s="63" t="n">
        <v>909</v>
      </c>
      <c r="C45" s="64" t="n">
        <v>46303.7485832755</v>
      </c>
      <c r="D45" s="62" t="s">
        <v>72</v>
      </c>
      <c r="E45" s="63" t="n">
        <v>17</v>
      </c>
      <c r="F45" s="62" t="s">
        <v>389</v>
      </c>
      <c r="G45" s="62" t="s">
        <v>389</v>
      </c>
      <c r="H45" s="62" t="s">
        <v>389</v>
      </c>
      <c r="I45" s="62" t="s">
        <v>389</v>
      </c>
      <c r="J45" s="65" t="n">
        <v>0.2</v>
      </c>
      <c r="K45" s="62" t="s">
        <v>278</v>
      </c>
      <c r="L45" s="62" t="s">
        <v>389</v>
      </c>
      <c r="M45" s="62" t="s">
        <v>390</v>
      </c>
      <c r="N45" s="62"/>
      <c r="O45" s="62" t="s">
        <v>389</v>
      </c>
      <c r="P45" s="62" t="s">
        <v>390</v>
      </c>
      <c r="Q45" s="62" t="s">
        <v>390</v>
      </c>
      <c r="R45" s="62" t="s">
        <v>277</v>
      </c>
      <c r="S45" s="62" t="s">
        <v>390</v>
      </c>
      <c r="T45" s="65" t="n">
        <v>3763.3</v>
      </c>
      <c r="U45" s="62" t="s">
        <v>277</v>
      </c>
      <c r="V45" s="65" t="n">
        <v>0.4</v>
      </c>
      <c r="W45" s="65" t="n">
        <v>3763</v>
      </c>
      <c r="X45" s="63" t="n">
        <v>0</v>
      </c>
      <c r="Y45" s="62" t="s">
        <v>390</v>
      </c>
      <c r="Z45" s="62" t="s">
        <v>389</v>
      </c>
      <c r="AA45" s="62" t="s">
        <v>391</v>
      </c>
      <c r="AB45" s="62" t="s">
        <v>275</v>
      </c>
      <c r="AC45" s="65" t="n">
        <v>43.1</v>
      </c>
      <c r="AD45" s="63" t="n">
        <v>2</v>
      </c>
      <c r="AE45" s="63" t="n">
        <v>18</v>
      </c>
      <c r="AF45" s="63" t="n">
        <v>2</v>
      </c>
      <c r="AG45" s="62" t="s">
        <v>390</v>
      </c>
      <c r="AH45" s="62"/>
      <c r="AI45" s="63" t="n">
        <v>0</v>
      </c>
      <c r="AJ45" s="62" t="s">
        <v>148</v>
      </c>
      <c r="AK45" s="62" t="s">
        <v>392</v>
      </c>
      <c r="AL45" s="62" t="s">
        <v>393</v>
      </c>
      <c r="AM45" s="62" t="s">
        <v>394</v>
      </c>
      <c r="AN45" s="65" t="n">
        <v>68.5</v>
      </c>
      <c r="AO45" s="62" t="s">
        <v>389</v>
      </c>
      <c r="AP45" s="62" t="s">
        <v>390</v>
      </c>
      <c r="AQ45" s="62" t="s">
        <v>390</v>
      </c>
      <c r="AR45" s="66"/>
      <c r="AS45" s="62"/>
      <c r="AT45" s="65"/>
      <c r="AU45" s="62" t="s">
        <v>405</v>
      </c>
    </row>
    <row r="46" customFormat="false" ht="15" hidden="false" customHeight="false" outlineLevel="0" collapsed="false">
      <c r="A46" s="62" t="s">
        <v>388</v>
      </c>
      <c r="B46" s="63" t="n">
        <v>925</v>
      </c>
      <c r="C46" s="64" t="n">
        <v>46303.8140788889</v>
      </c>
      <c r="D46" s="62" t="s">
        <v>72</v>
      </c>
      <c r="E46" s="63" t="n">
        <v>19</v>
      </c>
      <c r="F46" s="62" t="s">
        <v>389</v>
      </c>
      <c r="G46" s="62" t="s">
        <v>390</v>
      </c>
      <c r="H46" s="62" t="s">
        <v>390</v>
      </c>
      <c r="I46" s="62" t="s">
        <v>389</v>
      </c>
      <c r="J46" s="65"/>
      <c r="K46" s="62" t="s">
        <v>275</v>
      </c>
      <c r="L46" s="62" t="s">
        <v>389</v>
      </c>
      <c r="M46" s="62" t="s">
        <v>390</v>
      </c>
      <c r="N46" s="62"/>
      <c r="O46" s="62" t="s">
        <v>389</v>
      </c>
      <c r="P46" s="62" t="s">
        <v>390</v>
      </c>
      <c r="Q46" s="62" t="s">
        <v>390</v>
      </c>
      <c r="R46" s="62" t="s">
        <v>277</v>
      </c>
      <c r="S46" s="62" t="s">
        <v>390</v>
      </c>
      <c r="T46" s="65" t="n">
        <v>3668.7</v>
      </c>
      <c r="U46" s="62" t="s">
        <v>277</v>
      </c>
      <c r="V46" s="65" t="n">
        <v>3668.7</v>
      </c>
      <c r="W46" s="65"/>
      <c r="X46" s="63" t="n">
        <v>0</v>
      </c>
      <c r="Y46" s="62" t="s">
        <v>390</v>
      </c>
      <c r="Z46" s="62" t="s">
        <v>389</v>
      </c>
      <c r="AA46" s="62" t="s">
        <v>391</v>
      </c>
      <c r="AB46" s="62" t="s">
        <v>275</v>
      </c>
      <c r="AC46" s="65" t="n">
        <v>41.5</v>
      </c>
      <c r="AD46" s="63" t="n">
        <v>1</v>
      </c>
      <c r="AE46" s="63" t="n">
        <v>19</v>
      </c>
      <c r="AF46" s="63" t="n">
        <v>2</v>
      </c>
      <c r="AG46" s="62" t="s">
        <v>390</v>
      </c>
      <c r="AH46" s="62"/>
      <c r="AI46" s="63" t="n">
        <v>0</v>
      </c>
      <c r="AJ46" s="62" t="s">
        <v>147</v>
      </c>
      <c r="AK46" s="62" t="s">
        <v>392</v>
      </c>
      <c r="AL46" s="62" t="s">
        <v>393</v>
      </c>
      <c r="AM46" s="62" t="s">
        <v>394</v>
      </c>
      <c r="AN46" s="65" t="n">
        <v>67</v>
      </c>
      <c r="AO46" s="62" t="s">
        <v>389</v>
      </c>
      <c r="AP46" s="62" t="s">
        <v>390</v>
      </c>
      <c r="AQ46" s="62" t="s">
        <v>390</v>
      </c>
      <c r="AR46" s="66"/>
      <c r="AS46" s="62"/>
      <c r="AT46" s="65"/>
      <c r="AU46" s="62" t="s">
        <v>405</v>
      </c>
    </row>
    <row r="47" customFormat="false" ht="15" hidden="false" customHeight="false" outlineLevel="0" collapsed="false">
      <c r="A47" s="62" t="s">
        <v>388</v>
      </c>
      <c r="B47" s="63" t="n">
        <v>960</v>
      </c>
      <c r="C47" s="64" t="n">
        <v>46304.0056307407</v>
      </c>
      <c r="D47" s="62" t="s">
        <v>72</v>
      </c>
      <c r="E47" s="63" t="n">
        <v>0</v>
      </c>
      <c r="F47" s="62" t="s">
        <v>390</v>
      </c>
      <c r="G47" s="62" t="s">
        <v>390</v>
      </c>
      <c r="H47" s="62" t="s">
        <v>390</v>
      </c>
      <c r="I47" s="62" t="s">
        <v>389</v>
      </c>
      <c r="J47" s="65"/>
      <c r="K47" s="62" t="s">
        <v>275</v>
      </c>
      <c r="L47" s="62" t="s">
        <v>389</v>
      </c>
      <c r="M47" s="62" t="s">
        <v>390</v>
      </c>
      <c r="N47" s="62"/>
      <c r="O47" s="62" t="s">
        <v>389</v>
      </c>
      <c r="P47" s="62" t="s">
        <v>390</v>
      </c>
      <c r="Q47" s="62" t="s">
        <v>390</v>
      </c>
      <c r="R47" s="62" t="s">
        <v>277</v>
      </c>
      <c r="S47" s="62" t="s">
        <v>390</v>
      </c>
      <c r="T47" s="65" t="n">
        <v>3394.4</v>
      </c>
      <c r="U47" s="62" t="s">
        <v>277</v>
      </c>
      <c r="V47" s="65" t="n">
        <v>3394.4</v>
      </c>
      <c r="W47" s="65"/>
      <c r="X47" s="63" t="n">
        <v>0</v>
      </c>
      <c r="Y47" s="62" t="s">
        <v>390</v>
      </c>
      <c r="Z47" s="62" t="s">
        <v>389</v>
      </c>
      <c r="AA47" s="62" t="s">
        <v>391</v>
      </c>
      <c r="AB47" s="62" t="s">
        <v>275</v>
      </c>
      <c r="AC47" s="65" t="n">
        <v>36.9</v>
      </c>
      <c r="AD47" s="63" t="n">
        <v>1</v>
      </c>
      <c r="AE47" s="63" t="n">
        <v>19</v>
      </c>
      <c r="AF47" s="63" t="n">
        <v>2</v>
      </c>
      <c r="AG47" s="62" t="s">
        <v>390</v>
      </c>
      <c r="AH47" s="62"/>
      <c r="AI47" s="63" t="n">
        <v>0</v>
      </c>
      <c r="AJ47" s="62" t="s">
        <v>147</v>
      </c>
      <c r="AK47" s="62" t="s">
        <v>392</v>
      </c>
      <c r="AL47" s="62" t="s">
        <v>393</v>
      </c>
      <c r="AM47" s="62" t="s">
        <v>394</v>
      </c>
      <c r="AN47" s="65" t="n">
        <v>62.4</v>
      </c>
      <c r="AO47" s="62" t="s">
        <v>389</v>
      </c>
      <c r="AP47" s="62" t="s">
        <v>390</v>
      </c>
      <c r="AQ47" s="62" t="s">
        <v>390</v>
      </c>
      <c r="AR47" s="66"/>
      <c r="AS47" s="62"/>
      <c r="AT47" s="65"/>
      <c r="AU47" s="62" t="s">
        <v>405</v>
      </c>
    </row>
    <row r="48" customFormat="false" ht="15" hidden="false" customHeight="false" outlineLevel="0" collapsed="false">
      <c r="A48" s="62" t="s">
        <v>388</v>
      </c>
      <c r="B48" s="63" t="n">
        <v>992</v>
      </c>
      <c r="C48" s="64" t="n">
        <v>46304.3460339699</v>
      </c>
      <c r="D48" s="62" t="s">
        <v>72</v>
      </c>
      <c r="E48" s="63" t="n">
        <v>8</v>
      </c>
      <c r="F48" s="62" t="s">
        <v>390</v>
      </c>
      <c r="G48" s="62" t="s">
        <v>389</v>
      </c>
      <c r="H48" s="62" t="s">
        <v>389</v>
      </c>
      <c r="I48" s="62" t="s">
        <v>389</v>
      </c>
      <c r="J48" s="65" t="n">
        <v>0.2</v>
      </c>
      <c r="K48" s="62" t="s">
        <v>276</v>
      </c>
      <c r="L48" s="62" t="s">
        <v>389</v>
      </c>
      <c r="M48" s="62" t="s">
        <v>389</v>
      </c>
      <c r="N48" s="62" t="s">
        <v>303</v>
      </c>
      <c r="O48" s="62" t="s">
        <v>389</v>
      </c>
      <c r="P48" s="62" t="s">
        <v>390</v>
      </c>
      <c r="Q48" s="62" t="s">
        <v>390</v>
      </c>
      <c r="R48" s="62" t="s">
        <v>277</v>
      </c>
      <c r="S48" s="62" t="s">
        <v>389</v>
      </c>
      <c r="T48" s="65" t="n">
        <v>7.7</v>
      </c>
      <c r="U48" s="62" t="s">
        <v>276</v>
      </c>
      <c r="V48" s="65" t="n">
        <v>0.5</v>
      </c>
      <c r="W48" s="65" t="n">
        <v>4.2</v>
      </c>
      <c r="X48" s="63" t="n">
        <v>0</v>
      </c>
      <c r="Y48" s="62" t="s">
        <v>389</v>
      </c>
      <c r="Z48" s="62" t="s">
        <v>389</v>
      </c>
      <c r="AA48" s="62" t="s">
        <v>391</v>
      </c>
      <c r="AB48" s="62" t="s">
        <v>275</v>
      </c>
      <c r="AC48" s="65" t="n">
        <v>28.7</v>
      </c>
      <c r="AD48" s="63" t="n">
        <v>3</v>
      </c>
      <c r="AE48" s="63" t="n">
        <v>18</v>
      </c>
      <c r="AF48" s="63" t="n">
        <v>7</v>
      </c>
      <c r="AG48" s="62" t="s">
        <v>390</v>
      </c>
      <c r="AH48" s="62"/>
      <c r="AI48" s="63" t="n">
        <v>0</v>
      </c>
      <c r="AJ48" s="62" t="s">
        <v>149</v>
      </c>
      <c r="AK48" s="62" t="s">
        <v>392</v>
      </c>
      <c r="AL48" s="62" t="s">
        <v>393</v>
      </c>
      <c r="AM48" s="62" t="s">
        <v>394</v>
      </c>
      <c r="AN48" s="65" t="n">
        <v>74.4</v>
      </c>
      <c r="AO48" s="62" t="s">
        <v>389</v>
      </c>
      <c r="AP48" s="62" t="s">
        <v>390</v>
      </c>
      <c r="AQ48" s="62" t="s">
        <v>390</v>
      </c>
      <c r="AR48" s="66"/>
      <c r="AS48" s="62"/>
      <c r="AT48" s="65"/>
      <c r="AU48" s="62" t="s">
        <v>405</v>
      </c>
    </row>
    <row r="49" customFormat="false" ht="15" hidden="false" customHeight="false" outlineLevel="0" collapsed="false">
      <c r="A49" s="62" t="s">
        <v>388</v>
      </c>
      <c r="B49" s="63" t="n">
        <v>1008</v>
      </c>
      <c r="C49" s="64" t="n">
        <v>46304.4285842245</v>
      </c>
      <c r="D49" s="62" t="s">
        <v>72</v>
      </c>
      <c r="E49" s="63" t="n">
        <v>10</v>
      </c>
      <c r="F49" s="62" t="s">
        <v>389</v>
      </c>
      <c r="G49" s="62" t="s">
        <v>390</v>
      </c>
      <c r="H49" s="62" t="s">
        <v>390</v>
      </c>
      <c r="I49" s="62" t="s">
        <v>389</v>
      </c>
      <c r="J49" s="65"/>
      <c r="K49" s="62" t="s">
        <v>275</v>
      </c>
      <c r="L49" s="62" t="s">
        <v>389</v>
      </c>
      <c r="M49" s="62" t="s">
        <v>390</v>
      </c>
      <c r="N49" s="62"/>
      <c r="O49" s="62" t="s">
        <v>389</v>
      </c>
      <c r="P49" s="62" t="s">
        <v>390</v>
      </c>
      <c r="Q49" s="62" t="s">
        <v>390</v>
      </c>
      <c r="R49" s="62" t="s">
        <v>277</v>
      </c>
      <c r="S49" s="62" t="s">
        <v>390</v>
      </c>
      <c r="T49" s="65" t="n">
        <v>3029.3</v>
      </c>
      <c r="U49" s="62" t="s">
        <v>277</v>
      </c>
      <c r="V49" s="65" t="n">
        <v>3029.3</v>
      </c>
      <c r="W49" s="65"/>
      <c r="X49" s="63" t="n">
        <v>0</v>
      </c>
      <c r="Y49" s="62" t="s">
        <v>390</v>
      </c>
      <c r="Z49" s="62" t="s">
        <v>389</v>
      </c>
      <c r="AA49" s="62" t="s">
        <v>391</v>
      </c>
      <c r="AB49" s="62" t="s">
        <v>275</v>
      </c>
      <c r="AC49" s="65" t="n">
        <v>26.7</v>
      </c>
      <c r="AD49" s="63" t="n">
        <v>1</v>
      </c>
      <c r="AE49" s="63" t="n">
        <v>20</v>
      </c>
      <c r="AF49" s="63" t="n">
        <v>2</v>
      </c>
      <c r="AG49" s="62" t="s">
        <v>390</v>
      </c>
      <c r="AH49" s="62"/>
      <c r="AI49" s="63" t="n">
        <v>0</v>
      </c>
      <c r="AJ49" s="62" t="s">
        <v>147</v>
      </c>
      <c r="AK49" s="62" t="s">
        <v>392</v>
      </c>
      <c r="AL49" s="62" t="s">
        <v>393</v>
      </c>
      <c r="AM49" s="62" t="s">
        <v>394</v>
      </c>
      <c r="AN49" s="65" t="n">
        <v>72.5</v>
      </c>
      <c r="AO49" s="62" t="s">
        <v>389</v>
      </c>
      <c r="AP49" s="62" t="s">
        <v>390</v>
      </c>
      <c r="AQ49" s="62" t="s">
        <v>390</v>
      </c>
      <c r="AR49" s="66"/>
      <c r="AS49" s="62"/>
      <c r="AT49" s="65"/>
      <c r="AU49" s="62" t="s">
        <v>405</v>
      </c>
    </row>
    <row r="50" customFormat="false" ht="15" hidden="false" customHeight="false" outlineLevel="0" collapsed="false">
      <c r="A50" s="62" t="s">
        <v>388</v>
      </c>
      <c r="B50" s="63" t="n">
        <v>1018</v>
      </c>
      <c r="C50" s="64" t="n">
        <v>46304.4626055093</v>
      </c>
      <c r="D50" s="62" t="s">
        <v>72</v>
      </c>
      <c r="E50" s="63" t="n">
        <v>11</v>
      </c>
      <c r="F50" s="62" t="s">
        <v>389</v>
      </c>
      <c r="G50" s="62" t="s">
        <v>389</v>
      </c>
      <c r="H50" s="62" t="s">
        <v>389</v>
      </c>
      <c r="I50" s="62" t="s">
        <v>389</v>
      </c>
      <c r="J50" s="65" t="n">
        <v>2.6</v>
      </c>
      <c r="K50" s="62" t="s">
        <v>277</v>
      </c>
      <c r="L50" s="62" t="s">
        <v>389</v>
      </c>
      <c r="M50" s="62" t="s">
        <v>389</v>
      </c>
      <c r="N50" s="62" t="s">
        <v>305</v>
      </c>
      <c r="O50" s="62" t="s">
        <v>389</v>
      </c>
      <c r="P50" s="62" t="s">
        <v>389</v>
      </c>
      <c r="Q50" s="62" t="s">
        <v>390</v>
      </c>
      <c r="R50" s="62" t="s">
        <v>277</v>
      </c>
      <c r="S50" s="62" t="s">
        <v>390</v>
      </c>
      <c r="T50" s="65" t="n">
        <v>1.7</v>
      </c>
      <c r="U50" s="62" t="s">
        <v>277</v>
      </c>
      <c r="V50" s="65" t="n">
        <v>1.7</v>
      </c>
      <c r="W50" s="65" t="n">
        <v>2.7</v>
      </c>
      <c r="X50" s="63" t="n">
        <v>0</v>
      </c>
      <c r="Y50" s="62" t="s">
        <v>389</v>
      </c>
      <c r="Z50" s="62" t="s">
        <v>389</v>
      </c>
      <c r="AA50" s="62" t="s">
        <v>391</v>
      </c>
      <c r="AB50" s="62" t="s">
        <v>275</v>
      </c>
      <c r="AC50" s="65" t="n">
        <v>28.6</v>
      </c>
      <c r="AD50" s="63" t="n">
        <v>12</v>
      </c>
      <c r="AE50" s="63" t="n">
        <v>20</v>
      </c>
      <c r="AF50" s="63" t="n">
        <v>9</v>
      </c>
      <c r="AG50" s="62" t="s">
        <v>390</v>
      </c>
      <c r="AH50" s="62"/>
      <c r="AI50" s="63" t="n">
        <v>0</v>
      </c>
      <c r="AJ50" s="62" t="s">
        <v>153</v>
      </c>
      <c r="AK50" s="62" t="s">
        <v>392</v>
      </c>
      <c r="AL50" s="62" t="s">
        <v>393</v>
      </c>
      <c r="AM50" s="62" t="s">
        <v>394</v>
      </c>
      <c r="AN50" s="65" t="n">
        <v>71.7</v>
      </c>
      <c r="AO50" s="62" t="s">
        <v>389</v>
      </c>
      <c r="AP50" s="62" t="s">
        <v>389</v>
      </c>
      <c r="AQ50" s="62" t="s">
        <v>390</v>
      </c>
      <c r="AR50" s="66"/>
      <c r="AS50" s="62"/>
      <c r="AT50" s="65"/>
      <c r="AU50" s="62"/>
    </row>
    <row r="51" customFormat="false" ht="15" hidden="false" customHeight="false" outlineLevel="0" collapsed="false">
      <c r="A51" s="62" t="s">
        <v>388</v>
      </c>
      <c r="B51" s="63" t="n">
        <v>1037</v>
      </c>
      <c r="C51" s="64" t="n">
        <v>46304.5344410185</v>
      </c>
      <c r="D51" s="62" t="s">
        <v>72</v>
      </c>
      <c r="E51" s="63" t="n">
        <v>12</v>
      </c>
      <c r="F51" s="62" t="s">
        <v>389</v>
      </c>
      <c r="G51" s="62" t="s">
        <v>389</v>
      </c>
      <c r="H51" s="62" t="s">
        <v>389</v>
      </c>
      <c r="I51" s="62" t="s">
        <v>389</v>
      </c>
      <c r="J51" s="65" t="n">
        <v>0.2</v>
      </c>
      <c r="K51" s="62" t="s">
        <v>276</v>
      </c>
      <c r="L51" s="62" t="s">
        <v>389</v>
      </c>
      <c r="M51" s="62" t="s">
        <v>390</v>
      </c>
      <c r="N51" s="62"/>
      <c r="O51" s="62" t="s">
        <v>389</v>
      </c>
      <c r="P51" s="62" t="s">
        <v>390</v>
      </c>
      <c r="Q51" s="62" t="s">
        <v>390</v>
      </c>
      <c r="R51" s="62" t="s">
        <v>277</v>
      </c>
      <c r="S51" s="62" t="s">
        <v>389</v>
      </c>
      <c r="T51" s="65" t="n">
        <v>4.7</v>
      </c>
      <c r="U51" s="62" t="s">
        <v>277</v>
      </c>
      <c r="V51" s="65" t="n">
        <v>0.4</v>
      </c>
      <c r="W51" s="65" t="n">
        <v>4.5</v>
      </c>
      <c r="X51" s="63" t="n">
        <v>0</v>
      </c>
      <c r="Y51" s="62" t="s">
        <v>390</v>
      </c>
      <c r="Z51" s="62" t="s">
        <v>389</v>
      </c>
      <c r="AA51" s="62" t="s">
        <v>391</v>
      </c>
      <c r="AB51" s="62" t="s">
        <v>275</v>
      </c>
      <c r="AC51" s="65" t="n">
        <v>26.1</v>
      </c>
      <c r="AD51" s="63" t="n">
        <v>5</v>
      </c>
      <c r="AE51" s="63" t="n">
        <v>18</v>
      </c>
      <c r="AF51" s="63" t="n">
        <v>6</v>
      </c>
      <c r="AG51" s="62" t="s">
        <v>389</v>
      </c>
      <c r="AH51" s="62" t="s">
        <v>396</v>
      </c>
      <c r="AI51" s="63" t="n">
        <v>0</v>
      </c>
      <c r="AJ51" s="62" t="s">
        <v>149</v>
      </c>
      <c r="AK51" s="62" t="s">
        <v>392</v>
      </c>
      <c r="AL51" s="62" t="s">
        <v>393</v>
      </c>
      <c r="AM51" s="62" t="s">
        <v>394</v>
      </c>
      <c r="AN51" s="65" t="n">
        <v>70.5</v>
      </c>
      <c r="AO51" s="62" t="s">
        <v>389</v>
      </c>
      <c r="AP51" s="62" t="s">
        <v>390</v>
      </c>
      <c r="AQ51" s="62" t="s">
        <v>390</v>
      </c>
      <c r="AR51" s="66"/>
      <c r="AS51" s="62"/>
      <c r="AT51" s="65"/>
      <c r="AU51" s="62" t="s">
        <v>405</v>
      </c>
    </row>
    <row r="52" customFormat="false" ht="15" hidden="false" customHeight="false" outlineLevel="0" collapsed="false">
      <c r="A52" s="62" t="s">
        <v>388</v>
      </c>
      <c r="B52" s="63" t="n">
        <v>1038</v>
      </c>
      <c r="C52" s="64" t="n">
        <v>46304.5441062616</v>
      </c>
      <c r="D52" s="62" t="s">
        <v>72</v>
      </c>
      <c r="E52" s="63" t="n">
        <v>13</v>
      </c>
      <c r="F52" s="62" t="s">
        <v>389</v>
      </c>
      <c r="G52" s="62" t="s">
        <v>390</v>
      </c>
      <c r="H52" s="62" t="s">
        <v>390</v>
      </c>
      <c r="I52" s="62" t="s">
        <v>389</v>
      </c>
      <c r="J52" s="65"/>
      <c r="K52" s="62" t="s">
        <v>275</v>
      </c>
      <c r="L52" s="62" t="s">
        <v>389</v>
      </c>
      <c r="M52" s="62" t="s">
        <v>390</v>
      </c>
      <c r="N52" s="62"/>
      <c r="O52" s="62" t="s">
        <v>389</v>
      </c>
      <c r="P52" s="62" t="s">
        <v>390</v>
      </c>
      <c r="Q52" s="62" t="s">
        <v>390</v>
      </c>
      <c r="R52" s="62" t="s">
        <v>277</v>
      </c>
      <c r="S52" s="62" t="s">
        <v>390</v>
      </c>
      <c r="T52" s="65" t="n">
        <v>2618.7</v>
      </c>
      <c r="U52" s="62" t="s">
        <v>277</v>
      </c>
      <c r="V52" s="65" t="n">
        <v>2618.7</v>
      </c>
      <c r="W52" s="65"/>
      <c r="X52" s="63" t="n">
        <v>1</v>
      </c>
      <c r="Y52" s="62" t="s">
        <v>390</v>
      </c>
      <c r="Z52" s="62" t="s">
        <v>389</v>
      </c>
      <c r="AA52" s="62" t="s">
        <v>391</v>
      </c>
      <c r="AB52" s="62" t="s">
        <v>275</v>
      </c>
      <c r="AC52" s="65" t="n">
        <v>26.6</v>
      </c>
      <c r="AD52" s="63" t="n">
        <v>2</v>
      </c>
      <c r="AE52" s="63" t="n">
        <v>19</v>
      </c>
      <c r="AF52" s="63" t="n">
        <v>2</v>
      </c>
      <c r="AG52" s="62" t="s">
        <v>390</v>
      </c>
      <c r="AH52" s="62"/>
      <c r="AI52" s="63" t="n">
        <v>0</v>
      </c>
      <c r="AJ52" s="62" t="s">
        <v>153</v>
      </c>
      <c r="AK52" s="62" t="s">
        <v>392</v>
      </c>
      <c r="AL52" s="62" t="s">
        <v>393</v>
      </c>
      <c r="AM52" s="62" t="s">
        <v>394</v>
      </c>
      <c r="AN52" s="65" t="n">
        <v>49.5</v>
      </c>
      <c r="AO52" s="62" t="s">
        <v>389</v>
      </c>
      <c r="AP52" s="62" t="s">
        <v>389</v>
      </c>
      <c r="AQ52" s="62" t="s">
        <v>390</v>
      </c>
      <c r="AR52" s="66"/>
      <c r="AS52" s="62"/>
      <c r="AT52" s="65"/>
      <c r="AU52" s="62" t="s">
        <v>405</v>
      </c>
    </row>
    <row r="53" customFormat="false" ht="15" hidden="false" customHeight="false" outlineLevel="0" collapsed="false">
      <c r="A53" s="62" t="s">
        <v>388</v>
      </c>
      <c r="B53" s="63" t="n">
        <v>1075</v>
      </c>
      <c r="C53" s="64" t="n">
        <v>46304.7114244445</v>
      </c>
      <c r="D53" s="62" t="s">
        <v>72</v>
      </c>
      <c r="E53" s="63" t="n">
        <v>17</v>
      </c>
      <c r="F53" s="62" t="s">
        <v>389</v>
      </c>
      <c r="G53" s="62" t="s">
        <v>389</v>
      </c>
      <c r="H53" s="62" t="s">
        <v>389</v>
      </c>
      <c r="I53" s="62" t="s">
        <v>389</v>
      </c>
      <c r="J53" s="65" t="n">
        <v>0.3</v>
      </c>
      <c r="K53" s="62" t="s">
        <v>279</v>
      </c>
      <c r="L53" s="62" t="s">
        <v>389</v>
      </c>
      <c r="M53" s="62" t="s">
        <v>389</v>
      </c>
      <c r="N53" s="62" t="s">
        <v>303</v>
      </c>
      <c r="O53" s="62" t="s">
        <v>389</v>
      </c>
      <c r="P53" s="62" t="s">
        <v>389</v>
      </c>
      <c r="Q53" s="62" t="s">
        <v>390</v>
      </c>
      <c r="R53" s="62" t="s">
        <v>278</v>
      </c>
      <c r="S53" s="62" t="s">
        <v>389</v>
      </c>
      <c r="T53" s="65" t="n">
        <v>9</v>
      </c>
      <c r="U53" s="62" t="s">
        <v>278</v>
      </c>
      <c r="V53" s="65" t="n">
        <v>1</v>
      </c>
      <c r="W53" s="65" t="n">
        <v>6.3</v>
      </c>
      <c r="X53" s="63" t="n">
        <v>0</v>
      </c>
      <c r="Y53" s="62" t="s">
        <v>389</v>
      </c>
      <c r="Z53" s="62" t="s">
        <v>389</v>
      </c>
      <c r="AA53" s="62" t="s">
        <v>391</v>
      </c>
      <c r="AB53" s="62" t="s">
        <v>275</v>
      </c>
      <c r="AC53" s="65" t="n">
        <v>44</v>
      </c>
      <c r="AD53" s="63" t="n">
        <v>4</v>
      </c>
      <c r="AE53" s="63" t="n">
        <v>20</v>
      </c>
      <c r="AF53" s="63" t="n">
        <v>5</v>
      </c>
      <c r="AG53" s="62" t="s">
        <v>390</v>
      </c>
      <c r="AH53" s="62"/>
      <c r="AI53" s="63" t="n">
        <v>0</v>
      </c>
      <c r="AJ53" s="62" t="s">
        <v>149</v>
      </c>
      <c r="AK53" s="62" t="s">
        <v>392</v>
      </c>
      <c r="AL53" s="62" t="s">
        <v>393</v>
      </c>
      <c r="AM53" s="62" t="s">
        <v>394</v>
      </c>
      <c r="AN53" s="65" t="n">
        <v>92.5</v>
      </c>
      <c r="AO53" s="62" t="s">
        <v>389</v>
      </c>
      <c r="AP53" s="62" t="s">
        <v>390</v>
      </c>
      <c r="AQ53" s="62" t="s">
        <v>390</v>
      </c>
      <c r="AR53" s="66"/>
      <c r="AS53" s="62"/>
      <c r="AT53" s="65"/>
      <c r="AU53" s="62" t="s">
        <v>405</v>
      </c>
    </row>
    <row r="54" customFormat="false" ht="15" hidden="false" customHeight="false" outlineLevel="0" collapsed="false">
      <c r="A54" s="62" t="s">
        <v>388</v>
      </c>
      <c r="B54" s="63" t="n">
        <v>1086</v>
      </c>
      <c r="C54" s="64" t="n">
        <v>46304.737785625</v>
      </c>
      <c r="D54" s="62" t="s">
        <v>72</v>
      </c>
      <c r="E54" s="63" t="n">
        <v>17</v>
      </c>
      <c r="F54" s="62" t="s">
        <v>389</v>
      </c>
      <c r="G54" s="62" t="s">
        <v>390</v>
      </c>
      <c r="H54" s="62" t="s">
        <v>390</v>
      </c>
      <c r="I54" s="62" t="s">
        <v>389</v>
      </c>
      <c r="J54" s="65"/>
      <c r="K54" s="62" t="s">
        <v>275</v>
      </c>
      <c r="L54" s="62" t="s">
        <v>389</v>
      </c>
      <c r="M54" s="62" t="s">
        <v>390</v>
      </c>
      <c r="N54" s="62"/>
      <c r="O54" s="62" t="s">
        <v>389</v>
      </c>
      <c r="P54" s="62" t="s">
        <v>390</v>
      </c>
      <c r="Q54" s="62" t="s">
        <v>390</v>
      </c>
      <c r="R54" s="62" t="s">
        <v>277</v>
      </c>
      <c r="S54" s="62" t="s">
        <v>389</v>
      </c>
      <c r="T54" s="65" t="n">
        <v>2340.4</v>
      </c>
      <c r="U54" s="62" t="s">
        <v>277</v>
      </c>
      <c r="V54" s="65" t="n">
        <v>2340.4</v>
      </c>
      <c r="W54" s="65"/>
      <c r="X54" s="63" t="n">
        <v>0</v>
      </c>
      <c r="Y54" s="62" t="s">
        <v>390</v>
      </c>
      <c r="Z54" s="62" t="s">
        <v>389</v>
      </c>
      <c r="AA54" s="62" t="s">
        <v>391</v>
      </c>
      <c r="AB54" s="62" t="s">
        <v>277</v>
      </c>
      <c r="AC54" s="65" t="n">
        <v>39</v>
      </c>
      <c r="AD54" s="63" t="n">
        <v>1</v>
      </c>
      <c r="AE54" s="63" t="n">
        <v>14</v>
      </c>
      <c r="AF54" s="63" t="n">
        <v>3</v>
      </c>
      <c r="AG54" s="62" t="s">
        <v>390</v>
      </c>
      <c r="AH54" s="62"/>
      <c r="AI54" s="63" t="n">
        <v>0</v>
      </c>
      <c r="AJ54" s="62" t="s">
        <v>147</v>
      </c>
      <c r="AK54" s="62" t="s">
        <v>392</v>
      </c>
      <c r="AL54" s="62" t="s">
        <v>393</v>
      </c>
      <c r="AM54" s="62" t="s">
        <v>394</v>
      </c>
      <c r="AN54" s="65" t="n">
        <v>93.1</v>
      </c>
      <c r="AO54" s="62" t="s">
        <v>389</v>
      </c>
      <c r="AP54" s="62" t="s">
        <v>390</v>
      </c>
      <c r="AQ54" s="62" t="s">
        <v>390</v>
      </c>
      <c r="AR54" s="66"/>
      <c r="AS54" s="62"/>
      <c r="AT54" s="65"/>
      <c r="AU54" s="62" t="s">
        <v>405</v>
      </c>
    </row>
    <row r="55" customFormat="false" ht="15" hidden="false" customHeight="false" outlineLevel="0" collapsed="false">
      <c r="A55" s="62" t="s">
        <v>388</v>
      </c>
      <c r="B55" s="63" t="n">
        <v>1113</v>
      </c>
      <c r="C55" s="64" t="n">
        <v>46304.8767624421</v>
      </c>
      <c r="D55" s="62" t="s">
        <v>72</v>
      </c>
      <c r="E55" s="63" t="n">
        <v>21</v>
      </c>
      <c r="F55" s="62" t="s">
        <v>390</v>
      </c>
      <c r="G55" s="62" t="s">
        <v>389</v>
      </c>
      <c r="H55" s="62" t="s">
        <v>389</v>
      </c>
      <c r="I55" s="62" t="s">
        <v>389</v>
      </c>
      <c r="J55" s="65" t="n">
        <v>0.3</v>
      </c>
      <c r="K55" s="62" t="s">
        <v>278</v>
      </c>
      <c r="L55" s="62" t="s">
        <v>389</v>
      </c>
      <c r="M55" s="62" t="s">
        <v>389</v>
      </c>
      <c r="N55" s="62" t="s">
        <v>304</v>
      </c>
      <c r="O55" s="62" t="s">
        <v>389</v>
      </c>
      <c r="P55" s="62" t="s">
        <v>389</v>
      </c>
      <c r="Q55" s="62" t="s">
        <v>389</v>
      </c>
      <c r="R55" s="62" t="s">
        <v>278</v>
      </c>
      <c r="S55" s="62" t="s">
        <v>390</v>
      </c>
      <c r="T55" s="65" t="n">
        <v>6.2</v>
      </c>
      <c r="U55" s="62" t="s">
        <v>278</v>
      </c>
      <c r="V55" s="65" t="n">
        <v>0.6</v>
      </c>
      <c r="W55" s="65" t="n">
        <v>2.6</v>
      </c>
      <c r="X55" s="63" t="n">
        <v>0</v>
      </c>
      <c r="Y55" s="62" t="s">
        <v>389</v>
      </c>
      <c r="Z55" s="62" t="s">
        <v>389</v>
      </c>
      <c r="AA55" s="62" t="s">
        <v>391</v>
      </c>
      <c r="AB55" s="62" t="s">
        <v>275</v>
      </c>
      <c r="AC55" s="65" t="n">
        <v>36</v>
      </c>
      <c r="AD55" s="63" t="n">
        <v>20</v>
      </c>
      <c r="AE55" s="63" t="n">
        <v>29</v>
      </c>
      <c r="AF55" s="63" t="n">
        <v>15</v>
      </c>
      <c r="AG55" s="62" t="s">
        <v>389</v>
      </c>
      <c r="AH55" s="62" t="s">
        <v>398</v>
      </c>
      <c r="AI55" s="63" t="n">
        <v>0</v>
      </c>
      <c r="AJ55" s="62" t="s">
        <v>154</v>
      </c>
      <c r="AK55" s="62" t="s">
        <v>399</v>
      </c>
      <c r="AL55" s="62"/>
      <c r="AM55" s="62"/>
      <c r="AN55" s="65"/>
      <c r="AO55" s="62" t="s">
        <v>390</v>
      </c>
      <c r="AP55" s="62"/>
      <c r="AQ55" s="62" t="s">
        <v>389</v>
      </c>
      <c r="AR55" s="66" t="n">
        <v>2799</v>
      </c>
      <c r="AS55" s="62" t="s">
        <v>406</v>
      </c>
      <c r="AT55" s="65" t="n">
        <v>89.4</v>
      </c>
      <c r="AU55" s="62" t="s">
        <v>405</v>
      </c>
    </row>
    <row r="56" customFormat="false" ht="15" hidden="false" customHeight="false" outlineLevel="0" collapsed="false">
      <c r="A56" s="62" t="s">
        <v>388</v>
      </c>
      <c r="B56" s="63" t="n">
        <v>1134</v>
      </c>
      <c r="C56" s="64" t="n">
        <v>46305.0228529167</v>
      </c>
      <c r="D56" s="62" t="s">
        <v>72</v>
      </c>
      <c r="E56" s="63" t="n">
        <v>0</v>
      </c>
      <c r="F56" s="62" t="s">
        <v>390</v>
      </c>
      <c r="G56" s="62" t="s">
        <v>389</v>
      </c>
      <c r="H56" s="62" t="s">
        <v>389</v>
      </c>
      <c r="I56" s="62" t="s">
        <v>389</v>
      </c>
      <c r="J56" s="65" t="n">
        <v>439</v>
      </c>
      <c r="K56" s="62" t="s">
        <v>276</v>
      </c>
      <c r="L56" s="62" t="s">
        <v>389</v>
      </c>
      <c r="M56" s="62" t="s">
        <v>389</v>
      </c>
      <c r="N56" s="62" t="s">
        <v>306</v>
      </c>
      <c r="O56" s="62" t="s">
        <v>390</v>
      </c>
      <c r="P56" s="62" t="s">
        <v>390</v>
      </c>
      <c r="Q56" s="62" t="s">
        <v>390</v>
      </c>
      <c r="R56" s="62" t="s">
        <v>278</v>
      </c>
      <c r="S56" s="62" t="s">
        <v>389</v>
      </c>
      <c r="T56" s="65" t="n">
        <v>474.9</v>
      </c>
      <c r="U56" s="62" t="s">
        <v>276</v>
      </c>
      <c r="V56" s="65" t="n">
        <v>439.3</v>
      </c>
      <c r="W56" s="65" t="n">
        <v>31.4</v>
      </c>
      <c r="X56" s="63" t="n">
        <v>0</v>
      </c>
      <c r="Y56" s="62" t="s">
        <v>389</v>
      </c>
      <c r="Z56" s="62" t="s">
        <v>389</v>
      </c>
      <c r="AA56" s="62" t="s">
        <v>391</v>
      </c>
      <c r="AB56" s="62" t="s">
        <v>276</v>
      </c>
      <c r="AC56" s="65" t="n">
        <v>55.7</v>
      </c>
      <c r="AD56" s="63" t="n">
        <v>8</v>
      </c>
      <c r="AE56" s="63" t="n">
        <v>8</v>
      </c>
      <c r="AF56" s="63" t="n">
        <v>11</v>
      </c>
      <c r="AG56" s="62" t="s">
        <v>390</v>
      </c>
      <c r="AH56" s="62"/>
      <c r="AI56" s="63" t="n">
        <v>0</v>
      </c>
      <c r="AJ56" s="62" t="s">
        <v>149</v>
      </c>
      <c r="AK56" s="62" t="s">
        <v>392</v>
      </c>
      <c r="AL56" s="62" t="s">
        <v>393</v>
      </c>
      <c r="AM56" s="62" t="s">
        <v>394</v>
      </c>
      <c r="AN56" s="65" t="n">
        <v>89.4</v>
      </c>
      <c r="AO56" s="62" t="s">
        <v>389</v>
      </c>
      <c r="AP56" s="62" t="s">
        <v>390</v>
      </c>
      <c r="AQ56" s="62" t="s">
        <v>390</v>
      </c>
      <c r="AR56" s="66"/>
      <c r="AS56" s="62"/>
      <c r="AT56" s="65"/>
      <c r="AU56" s="62" t="s">
        <v>405</v>
      </c>
    </row>
    <row r="57" customFormat="false" ht="15" hidden="false" customHeight="false" outlineLevel="0" collapsed="false">
      <c r="A57" s="62" t="s">
        <v>388</v>
      </c>
      <c r="B57" s="63" t="n">
        <v>1136</v>
      </c>
      <c r="C57" s="64" t="n">
        <v>46305.1320813426</v>
      </c>
      <c r="D57" s="62" t="s">
        <v>72</v>
      </c>
      <c r="E57" s="63" t="n">
        <v>3</v>
      </c>
      <c r="F57" s="62" t="s">
        <v>390</v>
      </c>
      <c r="G57" s="62" t="s">
        <v>389</v>
      </c>
      <c r="H57" s="62" t="s">
        <v>389</v>
      </c>
      <c r="I57" s="62" t="s">
        <v>389</v>
      </c>
      <c r="J57" s="65" t="n">
        <v>272.7</v>
      </c>
      <c r="K57" s="62" t="s">
        <v>276</v>
      </c>
      <c r="L57" s="62" t="s">
        <v>389</v>
      </c>
      <c r="M57" s="62" t="s">
        <v>390</v>
      </c>
      <c r="N57" s="62"/>
      <c r="O57" s="62" t="s">
        <v>389</v>
      </c>
      <c r="P57" s="62" t="s">
        <v>390</v>
      </c>
      <c r="Q57" s="62" t="s">
        <v>390</v>
      </c>
      <c r="R57" s="62" t="s">
        <v>278</v>
      </c>
      <c r="S57" s="62" t="s">
        <v>389</v>
      </c>
      <c r="T57" s="65" t="n">
        <v>3545.2</v>
      </c>
      <c r="U57" s="62" t="s">
        <v>276</v>
      </c>
      <c r="V57" s="65" t="n">
        <v>282.8</v>
      </c>
      <c r="W57" s="65" t="n">
        <v>3535.1</v>
      </c>
      <c r="X57" s="63" t="n">
        <v>0</v>
      </c>
      <c r="Y57" s="62" t="s">
        <v>390</v>
      </c>
      <c r="Z57" s="62" t="s">
        <v>389</v>
      </c>
      <c r="AA57" s="62" t="s">
        <v>391</v>
      </c>
      <c r="AB57" s="62" t="s">
        <v>275</v>
      </c>
      <c r="AC57" s="65" t="n">
        <v>33.9</v>
      </c>
      <c r="AD57" s="63" t="n">
        <v>2</v>
      </c>
      <c r="AE57" s="63" t="n">
        <v>18</v>
      </c>
      <c r="AF57" s="63" t="n">
        <v>2</v>
      </c>
      <c r="AG57" s="62" t="s">
        <v>390</v>
      </c>
      <c r="AH57" s="62"/>
      <c r="AI57" s="63" t="n">
        <v>0</v>
      </c>
      <c r="AJ57" s="62" t="s">
        <v>148</v>
      </c>
      <c r="AK57" s="62" t="s">
        <v>392</v>
      </c>
      <c r="AL57" s="62" t="s">
        <v>393</v>
      </c>
      <c r="AM57" s="62" t="s">
        <v>394</v>
      </c>
      <c r="AN57" s="65" t="n">
        <v>64.1</v>
      </c>
      <c r="AO57" s="62" t="s">
        <v>389</v>
      </c>
      <c r="AP57" s="62" t="s">
        <v>390</v>
      </c>
      <c r="AQ57" s="62" t="s">
        <v>390</v>
      </c>
      <c r="AR57" s="66"/>
      <c r="AS57" s="62"/>
      <c r="AT57" s="65"/>
      <c r="AU57" s="62" t="s">
        <v>405</v>
      </c>
    </row>
    <row r="58" customFormat="false" ht="15" hidden="false" customHeight="false" outlineLevel="0" collapsed="false">
      <c r="A58" s="62" t="s">
        <v>388</v>
      </c>
      <c r="B58" s="63" t="n">
        <v>1159</v>
      </c>
      <c r="C58" s="64" t="n">
        <v>46305.374680463</v>
      </c>
      <c r="D58" s="62" t="s">
        <v>72</v>
      </c>
      <c r="E58" s="63" t="n">
        <v>8</v>
      </c>
      <c r="F58" s="62" t="s">
        <v>390</v>
      </c>
      <c r="G58" s="62" t="s">
        <v>389</v>
      </c>
      <c r="H58" s="62" t="s">
        <v>389</v>
      </c>
      <c r="I58" s="62" t="s">
        <v>389</v>
      </c>
      <c r="J58" s="65" t="n">
        <v>0.2</v>
      </c>
      <c r="K58" s="62" t="s">
        <v>276</v>
      </c>
      <c r="L58" s="62" t="s">
        <v>389</v>
      </c>
      <c r="M58" s="62" t="s">
        <v>390</v>
      </c>
      <c r="N58" s="62"/>
      <c r="O58" s="62" t="s">
        <v>389</v>
      </c>
      <c r="P58" s="62" t="s">
        <v>390</v>
      </c>
      <c r="Q58" s="62" t="s">
        <v>390</v>
      </c>
      <c r="R58" s="62" t="s">
        <v>278</v>
      </c>
      <c r="S58" s="62" t="s">
        <v>389</v>
      </c>
      <c r="T58" s="65" t="n">
        <v>3196.1</v>
      </c>
      <c r="U58" s="62" t="s">
        <v>276</v>
      </c>
      <c r="V58" s="65" t="n">
        <v>0.4</v>
      </c>
      <c r="W58" s="65" t="n">
        <v>3195.8</v>
      </c>
      <c r="X58" s="63" t="n">
        <v>0</v>
      </c>
      <c r="Y58" s="62" t="s">
        <v>390</v>
      </c>
      <c r="Z58" s="62" t="s">
        <v>389</v>
      </c>
      <c r="AA58" s="62" t="s">
        <v>391</v>
      </c>
      <c r="AB58" s="62" t="s">
        <v>275</v>
      </c>
      <c r="AC58" s="65" t="n">
        <v>28</v>
      </c>
      <c r="AD58" s="63" t="n">
        <v>2</v>
      </c>
      <c r="AE58" s="63" t="n">
        <v>18</v>
      </c>
      <c r="AF58" s="63" t="n">
        <v>2</v>
      </c>
      <c r="AG58" s="62" t="s">
        <v>390</v>
      </c>
      <c r="AH58" s="62"/>
      <c r="AI58" s="63" t="n">
        <v>0</v>
      </c>
      <c r="AJ58" s="62" t="s">
        <v>148</v>
      </c>
      <c r="AK58" s="62" t="s">
        <v>392</v>
      </c>
      <c r="AL58" s="62" t="s">
        <v>393</v>
      </c>
      <c r="AM58" s="62" t="s">
        <v>394</v>
      </c>
      <c r="AN58" s="65" t="n">
        <v>58.3</v>
      </c>
      <c r="AO58" s="62" t="s">
        <v>389</v>
      </c>
      <c r="AP58" s="62" t="s">
        <v>390</v>
      </c>
      <c r="AQ58" s="62" t="s">
        <v>390</v>
      </c>
      <c r="AR58" s="66"/>
      <c r="AS58" s="62"/>
      <c r="AT58" s="65"/>
      <c r="AU58" s="62" t="s">
        <v>405</v>
      </c>
    </row>
    <row r="59" customFormat="false" ht="15" hidden="false" customHeight="false" outlineLevel="0" collapsed="false">
      <c r="A59" s="62" t="s">
        <v>388</v>
      </c>
      <c r="B59" s="63" t="n">
        <v>1190</v>
      </c>
      <c r="C59" s="64" t="n">
        <v>46305.5542280671</v>
      </c>
      <c r="D59" s="62" t="s">
        <v>72</v>
      </c>
      <c r="E59" s="63" t="n">
        <v>13</v>
      </c>
      <c r="F59" s="62" t="s">
        <v>389</v>
      </c>
      <c r="G59" s="62" t="s">
        <v>390</v>
      </c>
      <c r="H59" s="62" t="s">
        <v>390</v>
      </c>
      <c r="I59" s="62" t="s">
        <v>389</v>
      </c>
      <c r="J59" s="65"/>
      <c r="K59" s="62" t="s">
        <v>277</v>
      </c>
      <c r="L59" s="62" t="s">
        <v>389</v>
      </c>
      <c r="M59" s="62" t="s">
        <v>390</v>
      </c>
      <c r="N59" s="62"/>
      <c r="O59" s="62" t="s">
        <v>390</v>
      </c>
      <c r="P59" s="62" t="s">
        <v>389</v>
      </c>
      <c r="Q59" s="62" t="s">
        <v>389</v>
      </c>
      <c r="R59" s="62" t="s">
        <v>277</v>
      </c>
      <c r="S59" s="62" t="s">
        <v>390</v>
      </c>
      <c r="T59" s="65" t="n">
        <v>4.4</v>
      </c>
      <c r="U59" s="62" t="s">
        <v>277</v>
      </c>
      <c r="V59" s="65" t="n">
        <v>4.4</v>
      </c>
      <c r="W59" s="65" t="n">
        <v>4.4</v>
      </c>
      <c r="X59" s="63" t="n">
        <v>0</v>
      </c>
      <c r="Y59" s="62" t="s">
        <v>390</v>
      </c>
      <c r="Z59" s="62" t="s">
        <v>390</v>
      </c>
      <c r="AA59" s="62"/>
      <c r="AB59" s="62"/>
      <c r="AC59" s="65"/>
      <c r="AD59" s="63" t="n">
        <v>1</v>
      </c>
      <c r="AE59" s="63" t="n">
        <v>2</v>
      </c>
      <c r="AF59" s="63" t="n">
        <v>1</v>
      </c>
      <c r="AG59" s="62" t="s">
        <v>390</v>
      </c>
      <c r="AH59" s="62"/>
      <c r="AI59" s="63" t="n">
        <v>0</v>
      </c>
      <c r="AJ59" s="62" t="s">
        <v>154</v>
      </c>
      <c r="AK59" s="62" t="s">
        <v>399</v>
      </c>
      <c r="AL59" s="62"/>
      <c r="AM59" s="62"/>
      <c r="AN59" s="65"/>
      <c r="AO59" s="62" t="s">
        <v>390</v>
      </c>
      <c r="AP59" s="62"/>
      <c r="AQ59" s="62" t="s">
        <v>389</v>
      </c>
      <c r="AR59" s="66" t="n">
        <v>8538</v>
      </c>
      <c r="AS59" s="62" t="s">
        <v>406</v>
      </c>
      <c r="AT59" s="65" t="n">
        <v>0.1</v>
      </c>
      <c r="AU59" s="62"/>
    </row>
    <row r="60" customFormat="false" ht="15" hidden="false" customHeight="false" outlineLevel="0" collapsed="false">
      <c r="A60" s="62" t="s">
        <v>388</v>
      </c>
      <c r="B60" s="63" t="n">
        <v>1215</v>
      </c>
      <c r="C60" s="64" t="n">
        <v>46305.7377086458</v>
      </c>
      <c r="D60" s="62" t="s">
        <v>72</v>
      </c>
      <c r="E60" s="63" t="n">
        <v>17</v>
      </c>
      <c r="F60" s="62" t="s">
        <v>389</v>
      </c>
      <c r="G60" s="62" t="s">
        <v>390</v>
      </c>
      <c r="H60" s="62" t="s">
        <v>390</v>
      </c>
      <c r="I60" s="62" t="s">
        <v>389</v>
      </c>
      <c r="J60" s="65"/>
      <c r="K60" s="62" t="s">
        <v>275</v>
      </c>
      <c r="L60" s="62" t="s">
        <v>389</v>
      </c>
      <c r="M60" s="62" t="s">
        <v>390</v>
      </c>
      <c r="N60" s="62"/>
      <c r="O60" s="62" t="s">
        <v>389</v>
      </c>
      <c r="P60" s="62" t="s">
        <v>390</v>
      </c>
      <c r="Q60" s="62" t="s">
        <v>390</v>
      </c>
      <c r="R60" s="62" t="s">
        <v>277</v>
      </c>
      <c r="S60" s="62" t="s">
        <v>390</v>
      </c>
      <c r="T60" s="65" t="n">
        <v>4147.8</v>
      </c>
      <c r="U60" s="62" t="s">
        <v>277</v>
      </c>
      <c r="V60" s="65" t="n">
        <v>4147.8</v>
      </c>
      <c r="W60" s="65"/>
      <c r="X60" s="63" t="n">
        <v>0</v>
      </c>
      <c r="Y60" s="62" t="s">
        <v>390</v>
      </c>
      <c r="Z60" s="62" t="s">
        <v>389</v>
      </c>
      <c r="AA60" s="62" t="s">
        <v>391</v>
      </c>
      <c r="AB60" s="62" t="s">
        <v>275</v>
      </c>
      <c r="AC60" s="65" t="n">
        <v>43.3</v>
      </c>
      <c r="AD60" s="63" t="n">
        <v>1</v>
      </c>
      <c r="AE60" s="63" t="n">
        <v>19</v>
      </c>
      <c r="AF60" s="63" t="n">
        <v>2</v>
      </c>
      <c r="AG60" s="62" t="s">
        <v>390</v>
      </c>
      <c r="AH60" s="62"/>
      <c r="AI60" s="63" t="n">
        <v>0</v>
      </c>
      <c r="AJ60" s="62" t="s">
        <v>147</v>
      </c>
      <c r="AK60" s="62" t="s">
        <v>392</v>
      </c>
      <c r="AL60" s="62" t="s">
        <v>393</v>
      </c>
      <c r="AM60" s="62" t="s">
        <v>394</v>
      </c>
      <c r="AN60" s="65" t="n">
        <v>89.5</v>
      </c>
      <c r="AO60" s="62" t="s">
        <v>389</v>
      </c>
      <c r="AP60" s="62" t="s">
        <v>390</v>
      </c>
      <c r="AQ60" s="62" t="s">
        <v>390</v>
      </c>
      <c r="AR60" s="66"/>
      <c r="AS60" s="62"/>
      <c r="AT60" s="65"/>
      <c r="AU60" s="62" t="s">
        <v>405</v>
      </c>
    </row>
    <row r="61" customFormat="false" ht="15" hidden="false" customHeight="false" outlineLevel="0" collapsed="false">
      <c r="A61" s="62" t="s">
        <v>388</v>
      </c>
      <c r="B61" s="63" t="n">
        <v>1226</v>
      </c>
      <c r="C61" s="64" t="n">
        <v>46305.783723669</v>
      </c>
      <c r="D61" s="62" t="s">
        <v>72</v>
      </c>
      <c r="E61" s="63" t="n">
        <v>18</v>
      </c>
      <c r="F61" s="62" t="s">
        <v>389</v>
      </c>
      <c r="G61" s="62" t="s">
        <v>389</v>
      </c>
      <c r="H61" s="62" t="s">
        <v>389</v>
      </c>
      <c r="I61" s="62" t="s">
        <v>389</v>
      </c>
      <c r="J61" s="65" t="n">
        <v>0.3</v>
      </c>
      <c r="K61" s="62" t="s">
        <v>279</v>
      </c>
      <c r="L61" s="62" t="s">
        <v>389</v>
      </c>
      <c r="M61" s="62" t="s">
        <v>390</v>
      </c>
      <c r="N61" s="62"/>
      <c r="O61" s="62" t="s">
        <v>389</v>
      </c>
      <c r="P61" s="62" t="s">
        <v>390</v>
      </c>
      <c r="Q61" s="62" t="s">
        <v>390</v>
      </c>
      <c r="R61" s="62" t="s">
        <v>277</v>
      </c>
      <c r="S61" s="62" t="s">
        <v>390</v>
      </c>
      <c r="T61" s="65" t="n">
        <v>4080.9</v>
      </c>
      <c r="U61" s="62" t="s">
        <v>277</v>
      </c>
      <c r="V61" s="65" t="n">
        <v>2.3</v>
      </c>
      <c r="W61" s="65" t="n">
        <v>4078.9</v>
      </c>
      <c r="X61" s="63" t="n">
        <v>0</v>
      </c>
      <c r="Y61" s="62" t="s">
        <v>390</v>
      </c>
      <c r="Z61" s="62" t="s">
        <v>389</v>
      </c>
      <c r="AA61" s="62" t="s">
        <v>391</v>
      </c>
      <c r="AB61" s="62" t="s">
        <v>275</v>
      </c>
      <c r="AC61" s="65" t="n">
        <v>42.2</v>
      </c>
      <c r="AD61" s="63" t="n">
        <v>2</v>
      </c>
      <c r="AE61" s="63" t="n">
        <v>18</v>
      </c>
      <c r="AF61" s="63" t="n">
        <v>2</v>
      </c>
      <c r="AG61" s="62" t="s">
        <v>390</v>
      </c>
      <c r="AH61" s="62"/>
      <c r="AI61" s="63" t="n">
        <v>0</v>
      </c>
      <c r="AJ61" s="62" t="s">
        <v>148</v>
      </c>
      <c r="AK61" s="62" t="s">
        <v>392</v>
      </c>
      <c r="AL61" s="62" t="s">
        <v>393</v>
      </c>
      <c r="AM61" s="62" t="s">
        <v>394</v>
      </c>
      <c r="AN61" s="65" t="n">
        <v>88.3</v>
      </c>
      <c r="AO61" s="62" t="s">
        <v>389</v>
      </c>
      <c r="AP61" s="62" t="s">
        <v>390</v>
      </c>
      <c r="AQ61" s="62" t="s">
        <v>390</v>
      </c>
      <c r="AR61" s="66"/>
      <c r="AS61" s="62"/>
      <c r="AT61" s="65"/>
      <c r="AU61" s="62" t="s">
        <v>405</v>
      </c>
    </row>
    <row r="62" customFormat="false" ht="15" hidden="false" customHeight="false" outlineLevel="0" collapsed="false">
      <c r="A62" s="62" t="s">
        <v>388</v>
      </c>
      <c r="B62" s="63" t="n">
        <v>1236</v>
      </c>
      <c r="C62" s="64" t="n">
        <v>46305.8301790278</v>
      </c>
      <c r="D62" s="62" t="s">
        <v>72</v>
      </c>
      <c r="E62" s="63" t="n">
        <v>19</v>
      </c>
      <c r="F62" s="62" t="s">
        <v>389</v>
      </c>
      <c r="G62" s="62" t="s">
        <v>390</v>
      </c>
      <c r="H62" s="62" t="s">
        <v>390</v>
      </c>
      <c r="I62" s="62" t="s">
        <v>389</v>
      </c>
      <c r="J62" s="65"/>
      <c r="K62" s="62" t="s">
        <v>275</v>
      </c>
      <c r="L62" s="62" t="s">
        <v>389</v>
      </c>
      <c r="M62" s="62" t="s">
        <v>390</v>
      </c>
      <c r="N62" s="62"/>
      <c r="O62" s="62" t="s">
        <v>389</v>
      </c>
      <c r="P62" s="62" t="s">
        <v>390</v>
      </c>
      <c r="Q62" s="62" t="s">
        <v>390</v>
      </c>
      <c r="R62" s="62" t="s">
        <v>277</v>
      </c>
      <c r="S62" s="62" t="s">
        <v>390</v>
      </c>
      <c r="T62" s="65" t="n">
        <v>4014.2</v>
      </c>
      <c r="U62" s="62" t="s">
        <v>277</v>
      </c>
      <c r="V62" s="65" t="n">
        <v>4014.2</v>
      </c>
      <c r="W62" s="65"/>
      <c r="X62" s="63" t="n">
        <v>0</v>
      </c>
      <c r="Y62" s="62" t="s">
        <v>390</v>
      </c>
      <c r="Z62" s="62" t="s">
        <v>389</v>
      </c>
      <c r="AA62" s="62" t="s">
        <v>391</v>
      </c>
      <c r="AB62" s="62" t="s">
        <v>275</v>
      </c>
      <c r="AC62" s="65" t="n">
        <v>41.1</v>
      </c>
      <c r="AD62" s="63" t="n">
        <v>1</v>
      </c>
      <c r="AE62" s="63" t="n">
        <v>19</v>
      </c>
      <c r="AF62" s="63" t="n">
        <v>2</v>
      </c>
      <c r="AG62" s="62" t="s">
        <v>390</v>
      </c>
      <c r="AH62" s="62"/>
      <c r="AI62" s="63" t="n">
        <v>0</v>
      </c>
      <c r="AJ62" s="62" t="s">
        <v>147</v>
      </c>
      <c r="AK62" s="62" t="s">
        <v>392</v>
      </c>
      <c r="AL62" s="62" t="s">
        <v>393</v>
      </c>
      <c r="AM62" s="62" t="s">
        <v>394</v>
      </c>
      <c r="AN62" s="65" t="n">
        <v>87.2</v>
      </c>
      <c r="AO62" s="62" t="s">
        <v>389</v>
      </c>
      <c r="AP62" s="62" t="s">
        <v>390</v>
      </c>
      <c r="AQ62" s="62" t="s">
        <v>390</v>
      </c>
      <c r="AR62" s="66"/>
      <c r="AS62" s="62"/>
      <c r="AT62" s="65"/>
      <c r="AU62" s="62" t="s">
        <v>405</v>
      </c>
    </row>
    <row r="63" customFormat="false" ht="15" hidden="false" customHeight="false" outlineLevel="0" collapsed="false">
      <c r="A63" s="62" t="s">
        <v>388</v>
      </c>
      <c r="B63" s="63" t="n">
        <v>1311</v>
      </c>
      <c r="C63" s="64" t="n">
        <v>46306.61919875</v>
      </c>
      <c r="D63" s="62" t="s">
        <v>72</v>
      </c>
      <c r="E63" s="63" t="n">
        <v>14</v>
      </c>
      <c r="F63" s="62" t="s">
        <v>389</v>
      </c>
      <c r="G63" s="62" t="s">
        <v>390</v>
      </c>
      <c r="H63" s="62" t="s">
        <v>390</v>
      </c>
      <c r="I63" s="62" t="s">
        <v>389</v>
      </c>
      <c r="J63" s="65"/>
      <c r="K63" s="62" t="s">
        <v>275</v>
      </c>
      <c r="L63" s="62" t="s">
        <v>389</v>
      </c>
      <c r="M63" s="62" t="s">
        <v>390</v>
      </c>
      <c r="N63" s="62"/>
      <c r="O63" s="62" t="s">
        <v>389</v>
      </c>
      <c r="P63" s="62" t="s">
        <v>390</v>
      </c>
      <c r="Q63" s="62" t="s">
        <v>390</v>
      </c>
      <c r="R63" s="62" t="s">
        <v>277</v>
      </c>
      <c r="S63" s="62" t="s">
        <v>390</v>
      </c>
      <c r="T63" s="65" t="n">
        <v>5484.8</v>
      </c>
      <c r="U63" s="62" t="s">
        <v>277</v>
      </c>
      <c r="V63" s="65" t="n">
        <v>5484.8</v>
      </c>
      <c r="W63" s="65"/>
      <c r="X63" s="63" t="n">
        <v>0</v>
      </c>
      <c r="Y63" s="62" t="s">
        <v>390</v>
      </c>
      <c r="Z63" s="62" t="s">
        <v>389</v>
      </c>
      <c r="AA63" s="62" t="s">
        <v>391</v>
      </c>
      <c r="AB63" s="62" t="s">
        <v>275</v>
      </c>
      <c r="AC63" s="65" t="n">
        <v>26.6</v>
      </c>
      <c r="AD63" s="63" t="n">
        <v>1</v>
      </c>
      <c r="AE63" s="63" t="n">
        <v>22</v>
      </c>
      <c r="AF63" s="63" t="n">
        <v>1</v>
      </c>
      <c r="AG63" s="62" t="s">
        <v>390</v>
      </c>
      <c r="AH63" s="62"/>
      <c r="AI63" s="63" t="n">
        <v>0</v>
      </c>
      <c r="AJ63" s="62" t="s">
        <v>147</v>
      </c>
      <c r="AK63" s="62" t="s">
        <v>392</v>
      </c>
      <c r="AL63" s="62" t="s">
        <v>393</v>
      </c>
      <c r="AM63" s="62" t="s">
        <v>394</v>
      </c>
      <c r="AN63" s="65" t="n">
        <v>91.4</v>
      </c>
      <c r="AO63" s="62" t="s">
        <v>389</v>
      </c>
      <c r="AP63" s="62" t="s">
        <v>390</v>
      </c>
      <c r="AQ63" s="62" t="s">
        <v>390</v>
      </c>
      <c r="AR63" s="66"/>
      <c r="AS63" s="62"/>
      <c r="AT63" s="65"/>
      <c r="AU63" s="62" t="s">
        <v>405</v>
      </c>
    </row>
    <row r="64" customFormat="false" ht="15" hidden="false" customHeight="false" outlineLevel="0" collapsed="false">
      <c r="A64" s="62" t="s">
        <v>388</v>
      </c>
      <c r="B64" s="63" t="n">
        <v>1313</v>
      </c>
      <c r="C64" s="64" t="n">
        <v>46306.6217279282</v>
      </c>
      <c r="D64" s="62" t="s">
        <v>72</v>
      </c>
      <c r="E64" s="63" t="n">
        <v>14</v>
      </c>
      <c r="F64" s="62" t="s">
        <v>389</v>
      </c>
      <c r="G64" s="62" t="s">
        <v>390</v>
      </c>
      <c r="H64" s="62" t="s">
        <v>390</v>
      </c>
      <c r="I64" s="62" t="s">
        <v>389</v>
      </c>
      <c r="J64" s="65"/>
      <c r="K64" s="62" t="s">
        <v>275</v>
      </c>
      <c r="L64" s="62" t="s">
        <v>389</v>
      </c>
      <c r="M64" s="62" t="s">
        <v>389</v>
      </c>
      <c r="N64" s="62" t="s">
        <v>304</v>
      </c>
      <c r="O64" s="62" t="s">
        <v>389</v>
      </c>
      <c r="P64" s="62" t="s">
        <v>389</v>
      </c>
      <c r="Q64" s="62" t="s">
        <v>390</v>
      </c>
      <c r="R64" s="62" t="s">
        <v>277</v>
      </c>
      <c r="S64" s="62" t="s">
        <v>389</v>
      </c>
      <c r="T64" s="65" t="n">
        <v>33.2</v>
      </c>
      <c r="U64" s="62" t="s">
        <v>277</v>
      </c>
      <c r="V64" s="65" t="n">
        <v>33.2</v>
      </c>
      <c r="W64" s="65" t="n">
        <v>0.6</v>
      </c>
      <c r="X64" s="63" t="n">
        <v>0</v>
      </c>
      <c r="Y64" s="62" t="s">
        <v>389</v>
      </c>
      <c r="Z64" s="62" t="s">
        <v>389</v>
      </c>
      <c r="AA64" s="62" t="s">
        <v>391</v>
      </c>
      <c r="AB64" s="62" t="s">
        <v>276</v>
      </c>
      <c r="AC64" s="65" t="n">
        <v>23.4</v>
      </c>
      <c r="AD64" s="63" t="n">
        <v>12</v>
      </c>
      <c r="AE64" s="63" t="n">
        <v>16</v>
      </c>
      <c r="AF64" s="63" t="n">
        <v>19</v>
      </c>
      <c r="AG64" s="62" t="s">
        <v>390</v>
      </c>
      <c r="AH64" s="62"/>
      <c r="AI64" s="63" t="n">
        <v>0</v>
      </c>
      <c r="AJ64" s="62" t="s">
        <v>150</v>
      </c>
      <c r="AK64" s="62" t="s">
        <v>392</v>
      </c>
      <c r="AL64" s="62" t="s">
        <v>393</v>
      </c>
      <c r="AM64" s="62" t="s">
        <v>394</v>
      </c>
      <c r="AN64" s="65" t="n">
        <v>90.3</v>
      </c>
      <c r="AO64" s="62" t="s">
        <v>389</v>
      </c>
      <c r="AP64" s="62" t="s">
        <v>390</v>
      </c>
      <c r="AQ64" s="62" t="s">
        <v>390</v>
      </c>
      <c r="AR64" s="66"/>
      <c r="AS64" s="62"/>
      <c r="AT64" s="65"/>
      <c r="AU64" s="62" t="s">
        <v>405</v>
      </c>
    </row>
    <row r="65" customFormat="false" ht="15" hidden="false" customHeight="false" outlineLevel="0" collapsed="false">
      <c r="A65" s="62" t="s">
        <v>388</v>
      </c>
      <c r="B65" s="63" t="n">
        <v>1318</v>
      </c>
      <c r="C65" s="64" t="n">
        <v>46306.6564926273</v>
      </c>
      <c r="D65" s="62" t="s">
        <v>72</v>
      </c>
      <c r="E65" s="63" t="n">
        <v>15</v>
      </c>
      <c r="F65" s="62" t="s">
        <v>389</v>
      </c>
      <c r="G65" s="62" t="s">
        <v>389</v>
      </c>
      <c r="H65" s="62" t="s">
        <v>389</v>
      </c>
      <c r="I65" s="62" t="s">
        <v>389</v>
      </c>
      <c r="J65" s="65" t="n">
        <v>0.4</v>
      </c>
      <c r="K65" s="62" t="s">
        <v>277</v>
      </c>
      <c r="L65" s="62" t="s">
        <v>389</v>
      </c>
      <c r="M65" s="62" t="s">
        <v>389</v>
      </c>
      <c r="N65" s="62" t="s">
        <v>304</v>
      </c>
      <c r="O65" s="62" t="s">
        <v>389</v>
      </c>
      <c r="P65" s="62" t="s">
        <v>389</v>
      </c>
      <c r="Q65" s="62" t="s">
        <v>390</v>
      </c>
      <c r="R65" s="62" t="s">
        <v>277</v>
      </c>
      <c r="S65" s="62" t="s">
        <v>389</v>
      </c>
      <c r="T65" s="65" t="n">
        <v>25.3</v>
      </c>
      <c r="U65" s="62" t="s">
        <v>277</v>
      </c>
      <c r="V65" s="65" t="n">
        <v>0.6</v>
      </c>
      <c r="W65" s="65" t="n">
        <v>0.6</v>
      </c>
      <c r="X65" s="63" t="n">
        <v>0</v>
      </c>
      <c r="Y65" s="62" t="s">
        <v>389</v>
      </c>
      <c r="Z65" s="62" t="s">
        <v>389</v>
      </c>
      <c r="AA65" s="62" t="s">
        <v>391</v>
      </c>
      <c r="AB65" s="62" t="s">
        <v>276</v>
      </c>
      <c r="AC65" s="65" t="n">
        <v>22.5</v>
      </c>
      <c r="AD65" s="63" t="n">
        <v>8</v>
      </c>
      <c r="AE65" s="63" t="n">
        <v>15</v>
      </c>
      <c r="AF65" s="63" t="n">
        <v>13</v>
      </c>
      <c r="AG65" s="62" t="s">
        <v>390</v>
      </c>
      <c r="AH65" s="62"/>
      <c r="AI65" s="63" t="n">
        <v>0</v>
      </c>
      <c r="AJ65" s="62" t="s">
        <v>150</v>
      </c>
      <c r="AK65" s="62" t="s">
        <v>407</v>
      </c>
      <c r="AL65" s="62"/>
      <c r="AM65" s="62"/>
      <c r="AN65" s="65"/>
      <c r="AO65" s="62" t="s">
        <v>390</v>
      </c>
      <c r="AP65" s="62"/>
      <c r="AQ65" s="62" t="s">
        <v>390</v>
      </c>
      <c r="AR65" s="66"/>
      <c r="AS65" s="62"/>
      <c r="AT65" s="65"/>
      <c r="AU65" s="62" t="s">
        <v>405</v>
      </c>
    </row>
    <row r="66" customFormat="false" ht="15" hidden="false" customHeight="false" outlineLevel="0" collapsed="false">
      <c r="A66" s="62" t="s">
        <v>388</v>
      </c>
      <c r="B66" s="63" t="n">
        <v>1326</v>
      </c>
      <c r="C66" s="64" t="n">
        <v>46306.6900554745</v>
      </c>
      <c r="D66" s="62" t="s">
        <v>72</v>
      </c>
      <c r="E66" s="63" t="n">
        <v>16</v>
      </c>
      <c r="F66" s="62" t="s">
        <v>389</v>
      </c>
      <c r="G66" s="62" t="s">
        <v>389</v>
      </c>
      <c r="H66" s="62" t="s">
        <v>389</v>
      </c>
      <c r="I66" s="62" t="s">
        <v>389</v>
      </c>
      <c r="J66" s="65" t="n">
        <v>0.8</v>
      </c>
      <c r="K66" s="62" t="s">
        <v>279</v>
      </c>
      <c r="L66" s="62" t="s">
        <v>389</v>
      </c>
      <c r="M66" s="62" t="s">
        <v>389</v>
      </c>
      <c r="N66" s="62" t="s">
        <v>308</v>
      </c>
      <c r="O66" s="62" t="s">
        <v>389</v>
      </c>
      <c r="P66" s="62" t="s">
        <v>389</v>
      </c>
      <c r="Q66" s="62" t="s">
        <v>389</v>
      </c>
      <c r="R66" s="62" t="s">
        <v>279</v>
      </c>
      <c r="S66" s="62" t="s">
        <v>389</v>
      </c>
      <c r="T66" s="65" t="n">
        <v>14</v>
      </c>
      <c r="U66" s="62" t="s">
        <v>279</v>
      </c>
      <c r="V66" s="65" t="n">
        <v>1.2</v>
      </c>
      <c r="W66" s="65" t="n">
        <v>2.9</v>
      </c>
      <c r="X66" s="63" t="n">
        <v>0</v>
      </c>
      <c r="Y66" s="62" t="s">
        <v>389</v>
      </c>
      <c r="Z66" s="62" t="s">
        <v>389</v>
      </c>
      <c r="AA66" s="62" t="s">
        <v>265</v>
      </c>
      <c r="AB66" s="62" t="s">
        <v>276</v>
      </c>
      <c r="AC66" s="65" t="n">
        <v>69.4</v>
      </c>
      <c r="AD66" s="63" t="n">
        <v>7</v>
      </c>
      <c r="AE66" s="63" t="n">
        <v>26</v>
      </c>
      <c r="AF66" s="63" t="n">
        <v>13</v>
      </c>
      <c r="AG66" s="62" t="s">
        <v>389</v>
      </c>
      <c r="AH66" s="62" t="s">
        <v>396</v>
      </c>
      <c r="AI66" s="63" t="n">
        <v>0</v>
      </c>
      <c r="AJ66" s="62" t="s">
        <v>152</v>
      </c>
      <c r="AK66" s="62" t="s">
        <v>407</v>
      </c>
      <c r="AL66" s="62"/>
      <c r="AM66" s="62"/>
      <c r="AN66" s="65"/>
      <c r="AO66" s="62" t="s">
        <v>390</v>
      </c>
      <c r="AP66" s="62"/>
      <c r="AQ66" s="62" t="s">
        <v>390</v>
      </c>
      <c r="AR66" s="66"/>
      <c r="AS66" s="62"/>
      <c r="AT66" s="65"/>
      <c r="AU66" s="62" t="s">
        <v>405</v>
      </c>
    </row>
    <row r="67" customFormat="false" ht="15" hidden="false" customHeight="false" outlineLevel="0" collapsed="false">
      <c r="A67" s="62" t="s">
        <v>388</v>
      </c>
      <c r="B67" s="63" t="n">
        <v>1328</v>
      </c>
      <c r="C67" s="64" t="n">
        <v>46306.6943594445</v>
      </c>
      <c r="D67" s="62" t="s">
        <v>72</v>
      </c>
      <c r="E67" s="63" t="n">
        <v>16</v>
      </c>
      <c r="F67" s="62" t="s">
        <v>389</v>
      </c>
      <c r="G67" s="62" t="s">
        <v>390</v>
      </c>
      <c r="H67" s="62" t="s">
        <v>390</v>
      </c>
      <c r="I67" s="62" t="s">
        <v>389</v>
      </c>
      <c r="J67" s="65"/>
      <c r="K67" s="62" t="s">
        <v>275</v>
      </c>
      <c r="L67" s="62" t="s">
        <v>389</v>
      </c>
      <c r="M67" s="62" t="s">
        <v>389</v>
      </c>
      <c r="N67" s="62" t="s">
        <v>303</v>
      </c>
      <c r="O67" s="62" t="s">
        <v>389</v>
      </c>
      <c r="P67" s="62" t="s">
        <v>389</v>
      </c>
      <c r="Q67" s="62" t="s">
        <v>389</v>
      </c>
      <c r="R67" s="62" t="s">
        <v>279</v>
      </c>
      <c r="S67" s="62" t="s">
        <v>389</v>
      </c>
      <c r="T67" s="65" t="n">
        <v>35</v>
      </c>
      <c r="U67" s="62" t="s">
        <v>279</v>
      </c>
      <c r="V67" s="65" t="n">
        <v>35</v>
      </c>
      <c r="W67" s="65" t="n">
        <v>1.1</v>
      </c>
      <c r="X67" s="63" t="n">
        <v>0</v>
      </c>
      <c r="Y67" s="62" t="s">
        <v>389</v>
      </c>
      <c r="Z67" s="62" t="s">
        <v>389</v>
      </c>
      <c r="AA67" s="62" t="s">
        <v>391</v>
      </c>
      <c r="AB67" s="62" t="s">
        <v>276</v>
      </c>
      <c r="AC67" s="65" t="n">
        <v>21.6</v>
      </c>
      <c r="AD67" s="63" t="n">
        <v>6</v>
      </c>
      <c r="AE67" s="63" t="n">
        <v>21</v>
      </c>
      <c r="AF67" s="63" t="n">
        <v>14</v>
      </c>
      <c r="AG67" s="62" t="s">
        <v>389</v>
      </c>
      <c r="AH67" s="62" t="s">
        <v>396</v>
      </c>
      <c r="AI67" s="63" t="n">
        <v>0</v>
      </c>
      <c r="AJ67" s="62" t="s">
        <v>151</v>
      </c>
      <c r="AK67" s="62" t="s">
        <v>407</v>
      </c>
      <c r="AL67" s="62"/>
      <c r="AM67" s="62"/>
      <c r="AN67" s="65"/>
      <c r="AO67" s="62" t="s">
        <v>390</v>
      </c>
      <c r="AP67" s="62"/>
      <c r="AQ67" s="62" t="s">
        <v>390</v>
      </c>
      <c r="AR67" s="66"/>
      <c r="AS67" s="62"/>
      <c r="AT67" s="65"/>
      <c r="AU67" s="62" t="s">
        <v>405</v>
      </c>
    </row>
    <row r="68" customFormat="false" ht="15" hidden="false" customHeight="false" outlineLevel="0" collapsed="false">
      <c r="A68" s="62" t="s">
        <v>388</v>
      </c>
      <c r="B68" s="63" t="n">
        <v>1335</v>
      </c>
      <c r="C68" s="64" t="n">
        <v>46306.7344075579</v>
      </c>
      <c r="D68" s="62" t="s">
        <v>72</v>
      </c>
      <c r="E68" s="63" t="n">
        <v>17</v>
      </c>
      <c r="F68" s="62" t="s">
        <v>389</v>
      </c>
      <c r="G68" s="62" t="s">
        <v>389</v>
      </c>
      <c r="H68" s="62" t="s">
        <v>389</v>
      </c>
      <c r="I68" s="62" t="s">
        <v>389</v>
      </c>
      <c r="J68" s="65" t="n">
        <v>3.4</v>
      </c>
      <c r="K68" s="62" t="s">
        <v>279</v>
      </c>
      <c r="L68" s="62" t="s">
        <v>389</v>
      </c>
      <c r="M68" s="62" t="s">
        <v>390</v>
      </c>
      <c r="N68" s="62"/>
      <c r="O68" s="62" t="s">
        <v>389</v>
      </c>
      <c r="P68" s="62" t="s">
        <v>389</v>
      </c>
      <c r="Q68" s="62" t="s">
        <v>389</v>
      </c>
      <c r="R68" s="62" t="s">
        <v>279</v>
      </c>
      <c r="S68" s="62" t="s">
        <v>389</v>
      </c>
      <c r="T68" s="65" t="n">
        <v>10.7</v>
      </c>
      <c r="U68" s="62" t="s">
        <v>279</v>
      </c>
      <c r="V68" s="65" t="n">
        <v>3.8</v>
      </c>
      <c r="W68" s="65" t="n">
        <v>2.3</v>
      </c>
      <c r="X68" s="63" t="n">
        <v>0</v>
      </c>
      <c r="Y68" s="62" t="s">
        <v>389</v>
      </c>
      <c r="Z68" s="62" t="s">
        <v>390</v>
      </c>
      <c r="AA68" s="62"/>
      <c r="AB68" s="62"/>
      <c r="AC68" s="65"/>
      <c r="AD68" s="63" t="n">
        <v>27</v>
      </c>
      <c r="AE68" s="63" t="n">
        <v>24</v>
      </c>
      <c r="AF68" s="63" t="n">
        <v>32</v>
      </c>
      <c r="AG68" s="62" t="s">
        <v>389</v>
      </c>
      <c r="AH68" s="62" t="s">
        <v>408</v>
      </c>
      <c r="AI68" s="63" t="n">
        <v>0</v>
      </c>
      <c r="AJ68" s="62" t="s">
        <v>154</v>
      </c>
      <c r="AK68" s="62" t="s">
        <v>399</v>
      </c>
      <c r="AL68" s="62"/>
      <c r="AM68" s="62"/>
      <c r="AN68" s="65"/>
      <c r="AO68" s="62" t="s">
        <v>390</v>
      </c>
      <c r="AP68" s="62"/>
      <c r="AQ68" s="62" t="s">
        <v>389</v>
      </c>
      <c r="AR68" s="66" t="n">
        <v>2000</v>
      </c>
      <c r="AS68" s="62" t="s">
        <v>400</v>
      </c>
      <c r="AT68" s="65" t="n">
        <v>39.3</v>
      </c>
      <c r="AU68" s="62" t="s">
        <v>405</v>
      </c>
    </row>
    <row r="69" customFormat="false" ht="15" hidden="false" customHeight="false" outlineLevel="0" collapsed="false">
      <c r="A69" s="62" t="s">
        <v>388</v>
      </c>
      <c r="B69" s="63" t="n">
        <v>1353</v>
      </c>
      <c r="C69" s="64" t="n">
        <v>46306.8340979861</v>
      </c>
      <c r="D69" s="62" t="s">
        <v>72</v>
      </c>
      <c r="E69" s="63" t="n">
        <v>20</v>
      </c>
      <c r="F69" s="62" t="s">
        <v>389</v>
      </c>
      <c r="G69" s="62" t="s">
        <v>389</v>
      </c>
      <c r="H69" s="62" t="s">
        <v>389</v>
      </c>
      <c r="I69" s="62" t="s">
        <v>389</v>
      </c>
      <c r="J69" s="65" t="n">
        <v>0.3</v>
      </c>
      <c r="K69" s="62" t="s">
        <v>279</v>
      </c>
      <c r="L69" s="62" t="s">
        <v>389</v>
      </c>
      <c r="M69" s="62" t="s">
        <v>389</v>
      </c>
      <c r="N69" s="62" t="s">
        <v>304</v>
      </c>
      <c r="O69" s="62" t="s">
        <v>389</v>
      </c>
      <c r="P69" s="62" t="s">
        <v>390</v>
      </c>
      <c r="Q69" s="62" t="s">
        <v>390</v>
      </c>
      <c r="R69" s="62" t="s">
        <v>279</v>
      </c>
      <c r="S69" s="62" t="s">
        <v>389</v>
      </c>
      <c r="T69" s="65" t="n">
        <v>1.7</v>
      </c>
      <c r="U69" s="62" t="s">
        <v>279</v>
      </c>
      <c r="V69" s="65" t="n">
        <v>0.6</v>
      </c>
      <c r="W69" s="65" t="n">
        <v>1</v>
      </c>
      <c r="X69" s="63" t="n">
        <v>0</v>
      </c>
      <c r="Y69" s="62" t="s">
        <v>390</v>
      </c>
      <c r="Z69" s="62" t="s">
        <v>389</v>
      </c>
      <c r="AA69" s="62" t="s">
        <v>391</v>
      </c>
      <c r="AB69" s="62" t="s">
        <v>276</v>
      </c>
      <c r="AC69" s="65" t="n">
        <v>18.3</v>
      </c>
      <c r="AD69" s="63" t="n">
        <v>6</v>
      </c>
      <c r="AE69" s="63" t="n">
        <v>13</v>
      </c>
      <c r="AF69" s="63" t="n">
        <v>9</v>
      </c>
      <c r="AG69" s="62" t="s">
        <v>390</v>
      </c>
      <c r="AH69" s="62"/>
      <c r="AI69" s="63" t="n">
        <v>0</v>
      </c>
      <c r="AJ69" s="62" t="s">
        <v>150</v>
      </c>
      <c r="AK69" s="62" t="s">
        <v>407</v>
      </c>
      <c r="AL69" s="62"/>
      <c r="AM69" s="62"/>
      <c r="AN69" s="65"/>
      <c r="AO69" s="62" t="s">
        <v>390</v>
      </c>
      <c r="AP69" s="62"/>
      <c r="AQ69" s="62" t="s">
        <v>390</v>
      </c>
      <c r="AR69" s="66"/>
      <c r="AS69" s="62"/>
      <c r="AT69" s="65"/>
      <c r="AU69" s="62" t="s">
        <v>405</v>
      </c>
    </row>
    <row r="70" customFormat="false" ht="15" hidden="false" customHeight="false" outlineLevel="0" collapsed="false">
      <c r="A70" s="62" t="s">
        <v>388</v>
      </c>
      <c r="B70" s="63" t="n">
        <v>1372</v>
      </c>
      <c r="C70" s="64" t="n">
        <v>46306.9108117708</v>
      </c>
      <c r="D70" s="62" t="s">
        <v>72</v>
      </c>
      <c r="E70" s="63" t="n">
        <v>21</v>
      </c>
      <c r="F70" s="62" t="s">
        <v>390</v>
      </c>
      <c r="G70" s="62" t="s">
        <v>390</v>
      </c>
      <c r="H70" s="62" t="s">
        <v>390</v>
      </c>
      <c r="I70" s="62" t="s">
        <v>389</v>
      </c>
      <c r="J70" s="65"/>
      <c r="K70" s="62" t="s">
        <v>275</v>
      </c>
      <c r="L70" s="62" t="s">
        <v>389</v>
      </c>
      <c r="M70" s="62" t="s">
        <v>390</v>
      </c>
      <c r="N70" s="62"/>
      <c r="O70" s="62" t="s">
        <v>389</v>
      </c>
      <c r="P70" s="62" t="s">
        <v>390</v>
      </c>
      <c r="Q70" s="62" t="s">
        <v>390</v>
      </c>
      <c r="R70" s="62" t="s">
        <v>277</v>
      </c>
      <c r="S70" s="62" t="s">
        <v>390</v>
      </c>
      <c r="T70" s="65" t="n">
        <v>3796</v>
      </c>
      <c r="U70" s="62" t="s">
        <v>277</v>
      </c>
      <c r="V70" s="65" t="n">
        <v>3796</v>
      </c>
      <c r="W70" s="65"/>
      <c r="X70" s="63" t="n">
        <v>0</v>
      </c>
      <c r="Y70" s="62" t="s">
        <v>390</v>
      </c>
      <c r="Z70" s="62" t="s">
        <v>389</v>
      </c>
      <c r="AA70" s="62" t="s">
        <v>391</v>
      </c>
      <c r="AB70" s="62" t="s">
        <v>275</v>
      </c>
      <c r="AC70" s="65" t="n">
        <v>39.2</v>
      </c>
      <c r="AD70" s="63" t="n">
        <v>1</v>
      </c>
      <c r="AE70" s="63" t="n">
        <v>19</v>
      </c>
      <c r="AF70" s="63" t="n">
        <v>2</v>
      </c>
      <c r="AG70" s="62" t="s">
        <v>390</v>
      </c>
      <c r="AH70" s="62"/>
      <c r="AI70" s="63" t="n">
        <v>0</v>
      </c>
      <c r="AJ70" s="62" t="s">
        <v>147</v>
      </c>
      <c r="AK70" s="62" t="s">
        <v>392</v>
      </c>
      <c r="AL70" s="62" t="s">
        <v>393</v>
      </c>
      <c r="AM70" s="62" t="s">
        <v>394</v>
      </c>
      <c r="AN70" s="65" t="n">
        <v>84.4</v>
      </c>
      <c r="AO70" s="62" t="s">
        <v>389</v>
      </c>
      <c r="AP70" s="62" t="s">
        <v>390</v>
      </c>
      <c r="AQ70" s="62" t="s">
        <v>390</v>
      </c>
      <c r="AR70" s="66"/>
      <c r="AS70" s="62"/>
      <c r="AT70" s="65"/>
      <c r="AU70" s="62" t="s">
        <v>405</v>
      </c>
    </row>
    <row r="71" customFormat="false" ht="15" hidden="false" customHeight="false" outlineLevel="0" collapsed="false">
      <c r="A71" s="62" t="s">
        <v>388</v>
      </c>
      <c r="B71" s="63" t="n">
        <v>1477</v>
      </c>
      <c r="C71" s="64" t="n">
        <v>46307.5643269329</v>
      </c>
      <c r="D71" s="62" t="s">
        <v>73</v>
      </c>
      <c r="E71" s="63" t="n">
        <v>13</v>
      </c>
      <c r="F71" s="62" t="s">
        <v>389</v>
      </c>
      <c r="G71" s="62" t="s">
        <v>390</v>
      </c>
      <c r="H71" s="62" t="s">
        <v>390</v>
      </c>
      <c r="I71" s="62" t="s">
        <v>389</v>
      </c>
      <c r="J71" s="65"/>
      <c r="K71" s="62" t="s">
        <v>275</v>
      </c>
      <c r="L71" s="62" t="s">
        <v>389</v>
      </c>
      <c r="M71" s="62" t="s">
        <v>390</v>
      </c>
      <c r="N71" s="62"/>
      <c r="O71" s="62" t="s">
        <v>389</v>
      </c>
      <c r="P71" s="62" t="s">
        <v>390</v>
      </c>
      <c r="Q71" s="62" t="s">
        <v>390</v>
      </c>
      <c r="R71" s="62" t="s">
        <v>277</v>
      </c>
      <c r="S71" s="62" t="s">
        <v>389</v>
      </c>
      <c r="T71" s="65" t="n">
        <v>2913.1</v>
      </c>
      <c r="U71" s="62" t="s">
        <v>276</v>
      </c>
      <c r="V71" s="65" t="n">
        <v>2913.1</v>
      </c>
      <c r="W71" s="65"/>
      <c r="X71" s="63" t="n">
        <v>0</v>
      </c>
      <c r="Y71" s="62" t="s">
        <v>390</v>
      </c>
      <c r="Z71" s="62" t="s">
        <v>389</v>
      </c>
      <c r="AA71" s="62" t="s">
        <v>391</v>
      </c>
      <c r="AB71" s="62" t="s">
        <v>275</v>
      </c>
      <c r="AC71" s="65" t="n">
        <v>26.6</v>
      </c>
      <c r="AD71" s="63" t="n">
        <v>1</v>
      </c>
      <c r="AE71" s="63" t="n">
        <v>19</v>
      </c>
      <c r="AF71" s="63" t="n">
        <v>2</v>
      </c>
      <c r="AG71" s="62" t="s">
        <v>390</v>
      </c>
      <c r="AH71" s="62"/>
      <c r="AI71" s="63" t="n">
        <v>0</v>
      </c>
      <c r="AJ71" s="62" t="s">
        <v>147</v>
      </c>
      <c r="AK71" s="62" t="s">
        <v>392</v>
      </c>
      <c r="AL71" s="62" t="s">
        <v>393</v>
      </c>
      <c r="AM71" s="62" t="s">
        <v>394</v>
      </c>
      <c r="AN71" s="65" t="n">
        <v>69.8</v>
      </c>
      <c r="AO71" s="62" t="s">
        <v>389</v>
      </c>
      <c r="AP71" s="62" t="s">
        <v>390</v>
      </c>
      <c r="AQ71" s="62" t="s">
        <v>390</v>
      </c>
      <c r="AR71" s="66"/>
      <c r="AS71" s="62"/>
      <c r="AT71" s="65"/>
      <c r="AU71" s="62" t="s">
        <v>405</v>
      </c>
    </row>
    <row r="72" customFormat="false" ht="15" hidden="false" customHeight="false" outlineLevel="0" collapsed="false">
      <c r="A72" s="62" t="s">
        <v>388</v>
      </c>
      <c r="B72" s="63" t="n">
        <v>1482</v>
      </c>
      <c r="C72" s="64" t="n">
        <v>46307.5708826273</v>
      </c>
      <c r="D72" s="62" t="s">
        <v>73</v>
      </c>
      <c r="E72" s="63" t="n">
        <v>13</v>
      </c>
      <c r="F72" s="62" t="s">
        <v>389</v>
      </c>
      <c r="G72" s="62" t="s">
        <v>389</v>
      </c>
      <c r="H72" s="62" t="s">
        <v>389</v>
      </c>
      <c r="I72" s="62" t="s">
        <v>389</v>
      </c>
      <c r="J72" s="65" t="n">
        <v>0.3</v>
      </c>
      <c r="K72" s="62" t="s">
        <v>276</v>
      </c>
      <c r="L72" s="62" t="s">
        <v>389</v>
      </c>
      <c r="M72" s="62" t="s">
        <v>390</v>
      </c>
      <c r="N72" s="62"/>
      <c r="O72" s="62" t="s">
        <v>389</v>
      </c>
      <c r="P72" s="62" t="s">
        <v>390</v>
      </c>
      <c r="Q72" s="62" t="s">
        <v>390</v>
      </c>
      <c r="R72" s="62" t="s">
        <v>338</v>
      </c>
      <c r="S72" s="62" t="s">
        <v>389</v>
      </c>
      <c r="T72" s="65" t="n">
        <v>2903.3</v>
      </c>
      <c r="U72" s="62" t="s">
        <v>276</v>
      </c>
      <c r="V72" s="65" t="n">
        <v>0.8</v>
      </c>
      <c r="W72" s="65" t="n">
        <v>2902.8</v>
      </c>
      <c r="X72" s="63" t="n">
        <v>0</v>
      </c>
      <c r="Y72" s="62" t="s">
        <v>390</v>
      </c>
      <c r="Z72" s="62" t="s">
        <v>389</v>
      </c>
      <c r="AA72" s="62" t="s">
        <v>391</v>
      </c>
      <c r="AB72" s="62" t="s">
        <v>275</v>
      </c>
      <c r="AC72" s="65" t="n">
        <v>26.1</v>
      </c>
      <c r="AD72" s="63" t="n">
        <v>2</v>
      </c>
      <c r="AE72" s="63" t="n">
        <v>18</v>
      </c>
      <c r="AF72" s="63" t="n">
        <v>1</v>
      </c>
      <c r="AG72" s="62" t="s">
        <v>390</v>
      </c>
      <c r="AH72" s="62"/>
      <c r="AI72" s="63" t="n">
        <v>0</v>
      </c>
      <c r="AJ72" s="62" t="s">
        <v>148</v>
      </c>
      <c r="AK72" s="62" t="s">
        <v>407</v>
      </c>
      <c r="AL72" s="62"/>
      <c r="AM72" s="62"/>
      <c r="AN72" s="65"/>
      <c r="AO72" s="62" t="s">
        <v>390</v>
      </c>
      <c r="AP72" s="62"/>
      <c r="AQ72" s="62" t="s">
        <v>390</v>
      </c>
      <c r="AR72" s="66"/>
      <c r="AS72" s="62"/>
      <c r="AT72" s="65"/>
      <c r="AU72" s="62" t="s">
        <v>405</v>
      </c>
    </row>
    <row r="73" customFormat="false" ht="15" hidden="false" customHeight="false" outlineLevel="0" collapsed="false">
      <c r="A73" s="62" t="s">
        <v>388</v>
      </c>
      <c r="B73" s="63" t="n">
        <v>1497</v>
      </c>
      <c r="C73" s="64" t="n">
        <v>46307.6230735301</v>
      </c>
      <c r="D73" s="62" t="s">
        <v>73</v>
      </c>
      <c r="E73" s="63" t="n">
        <v>14</v>
      </c>
      <c r="F73" s="62" t="s">
        <v>389</v>
      </c>
      <c r="G73" s="62" t="s">
        <v>389</v>
      </c>
      <c r="H73" s="62" t="s">
        <v>389</v>
      </c>
      <c r="I73" s="62" t="s">
        <v>389</v>
      </c>
      <c r="J73" s="65" t="n">
        <v>1.6</v>
      </c>
      <c r="K73" s="62" t="s">
        <v>279</v>
      </c>
      <c r="L73" s="62" t="s">
        <v>389</v>
      </c>
      <c r="M73" s="62" t="s">
        <v>389</v>
      </c>
      <c r="N73" s="62" t="s">
        <v>307</v>
      </c>
      <c r="O73" s="62" t="s">
        <v>390</v>
      </c>
      <c r="P73" s="62" t="s">
        <v>389</v>
      </c>
      <c r="Q73" s="62" t="s">
        <v>390</v>
      </c>
      <c r="R73" s="62" t="s">
        <v>278</v>
      </c>
      <c r="S73" s="62" t="s">
        <v>389</v>
      </c>
      <c r="T73" s="65" t="n">
        <v>6.8</v>
      </c>
      <c r="U73" s="62" t="s">
        <v>277</v>
      </c>
      <c r="V73" s="65" t="n">
        <v>1.8</v>
      </c>
      <c r="W73" s="65" t="n">
        <v>2.3</v>
      </c>
      <c r="X73" s="63" t="n">
        <v>0</v>
      </c>
      <c r="Y73" s="62" t="s">
        <v>389</v>
      </c>
      <c r="Z73" s="62" t="s">
        <v>389</v>
      </c>
      <c r="AA73" s="62" t="s">
        <v>265</v>
      </c>
      <c r="AB73" s="62" t="s">
        <v>276</v>
      </c>
      <c r="AC73" s="65" t="n">
        <v>47</v>
      </c>
      <c r="AD73" s="63" t="n">
        <v>6</v>
      </c>
      <c r="AE73" s="63" t="n">
        <v>8</v>
      </c>
      <c r="AF73" s="63" t="n">
        <v>8</v>
      </c>
      <c r="AG73" s="62" t="s">
        <v>390</v>
      </c>
      <c r="AH73" s="62"/>
      <c r="AI73" s="63" t="n">
        <v>0</v>
      </c>
      <c r="AJ73" s="62" t="s">
        <v>151</v>
      </c>
      <c r="AK73" s="62" t="s">
        <v>407</v>
      </c>
      <c r="AL73" s="62"/>
      <c r="AM73" s="62"/>
      <c r="AN73" s="65"/>
      <c r="AO73" s="62" t="s">
        <v>390</v>
      </c>
      <c r="AP73" s="62"/>
      <c r="AQ73" s="62" t="s">
        <v>390</v>
      </c>
      <c r="AR73" s="66"/>
      <c r="AS73" s="62"/>
      <c r="AT73" s="65"/>
      <c r="AU73" s="62" t="s">
        <v>405</v>
      </c>
    </row>
    <row r="74" customFormat="false" ht="15" hidden="false" customHeight="false" outlineLevel="0" collapsed="false">
      <c r="A74" s="62" t="s">
        <v>388</v>
      </c>
      <c r="B74" s="63" t="n">
        <v>1536</v>
      </c>
      <c r="C74" s="64" t="n">
        <v>46307.7607199884</v>
      </c>
      <c r="D74" s="62" t="s">
        <v>73</v>
      </c>
      <c r="E74" s="63" t="n">
        <v>18</v>
      </c>
      <c r="F74" s="62" t="s">
        <v>389</v>
      </c>
      <c r="G74" s="62" t="s">
        <v>390</v>
      </c>
      <c r="H74" s="62" t="s">
        <v>390</v>
      </c>
      <c r="I74" s="62" t="s">
        <v>389</v>
      </c>
      <c r="J74" s="65"/>
      <c r="K74" s="62" t="s">
        <v>275</v>
      </c>
      <c r="L74" s="62" t="s">
        <v>389</v>
      </c>
      <c r="M74" s="62" t="s">
        <v>390</v>
      </c>
      <c r="N74" s="62"/>
      <c r="O74" s="62" t="s">
        <v>389</v>
      </c>
      <c r="P74" s="62" t="s">
        <v>390</v>
      </c>
      <c r="Q74" s="62" t="s">
        <v>390</v>
      </c>
      <c r="R74" s="62" t="s">
        <v>277</v>
      </c>
      <c r="S74" s="62" t="s">
        <v>390</v>
      </c>
      <c r="T74" s="65" t="n">
        <v>3986.3</v>
      </c>
      <c r="U74" s="62" t="s">
        <v>277</v>
      </c>
      <c r="V74" s="65" t="n">
        <v>3986.3</v>
      </c>
      <c r="W74" s="65"/>
      <c r="X74" s="63" t="n">
        <v>0</v>
      </c>
      <c r="Y74" s="62" t="s">
        <v>390</v>
      </c>
      <c r="Z74" s="62" t="s">
        <v>389</v>
      </c>
      <c r="AA74" s="62" t="s">
        <v>391</v>
      </c>
      <c r="AB74" s="62" t="s">
        <v>275</v>
      </c>
      <c r="AC74" s="65" t="n">
        <v>42.8</v>
      </c>
      <c r="AD74" s="63" t="n">
        <v>1</v>
      </c>
      <c r="AE74" s="63" t="n">
        <v>19</v>
      </c>
      <c r="AF74" s="63" t="n">
        <v>1</v>
      </c>
      <c r="AG74" s="62" t="s">
        <v>390</v>
      </c>
      <c r="AH74" s="62"/>
      <c r="AI74" s="63" t="n">
        <v>0</v>
      </c>
      <c r="AJ74" s="62" t="s">
        <v>147</v>
      </c>
      <c r="AK74" s="62" t="s">
        <v>407</v>
      </c>
      <c r="AL74" s="62"/>
      <c r="AM74" s="62"/>
      <c r="AN74" s="65"/>
      <c r="AO74" s="62" t="s">
        <v>390</v>
      </c>
      <c r="AP74" s="62"/>
      <c r="AQ74" s="62" t="s">
        <v>390</v>
      </c>
      <c r="AR74" s="66"/>
      <c r="AS74" s="62"/>
      <c r="AT74" s="65"/>
      <c r="AU74" s="62" t="s">
        <v>405</v>
      </c>
    </row>
    <row r="75" customFormat="false" ht="15" hidden="false" customHeight="false" outlineLevel="0" collapsed="false">
      <c r="A75" s="62" t="s">
        <v>388</v>
      </c>
      <c r="B75" s="63" t="n">
        <v>1554</v>
      </c>
      <c r="C75" s="64" t="n">
        <v>46307.8144292824</v>
      </c>
      <c r="D75" s="62" t="s">
        <v>73</v>
      </c>
      <c r="E75" s="63" t="n">
        <v>19</v>
      </c>
      <c r="F75" s="62" t="s">
        <v>389</v>
      </c>
      <c r="G75" s="62" t="s">
        <v>389</v>
      </c>
      <c r="H75" s="62" t="s">
        <v>389</v>
      </c>
      <c r="I75" s="62" t="s">
        <v>389</v>
      </c>
      <c r="J75" s="65" t="n">
        <v>0.3</v>
      </c>
      <c r="K75" s="62" t="s">
        <v>278</v>
      </c>
      <c r="L75" s="62" t="s">
        <v>389</v>
      </c>
      <c r="M75" s="62" t="s">
        <v>389</v>
      </c>
      <c r="N75" s="62" t="s">
        <v>304</v>
      </c>
      <c r="O75" s="62" t="s">
        <v>389</v>
      </c>
      <c r="P75" s="62" t="s">
        <v>389</v>
      </c>
      <c r="Q75" s="62" t="s">
        <v>390</v>
      </c>
      <c r="R75" s="62" t="s">
        <v>278</v>
      </c>
      <c r="S75" s="62" t="s">
        <v>390</v>
      </c>
      <c r="T75" s="65" t="n">
        <v>10.6</v>
      </c>
      <c r="U75" s="62" t="s">
        <v>278</v>
      </c>
      <c r="V75" s="65" t="n">
        <v>0.8</v>
      </c>
      <c r="W75" s="65" t="n">
        <v>7.9</v>
      </c>
      <c r="X75" s="63" t="n">
        <v>0</v>
      </c>
      <c r="Y75" s="62" t="s">
        <v>389</v>
      </c>
      <c r="Z75" s="62" t="s">
        <v>389</v>
      </c>
      <c r="AA75" s="62" t="s">
        <v>391</v>
      </c>
      <c r="AB75" s="62" t="s">
        <v>275</v>
      </c>
      <c r="AC75" s="65" t="n">
        <v>41.5</v>
      </c>
      <c r="AD75" s="63" t="n">
        <v>3</v>
      </c>
      <c r="AE75" s="63" t="n">
        <v>20</v>
      </c>
      <c r="AF75" s="63" t="n">
        <v>9</v>
      </c>
      <c r="AG75" s="62" t="s">
        <v>390</v>
      </c>
      <c r="AH75" s="62"/>
      <c r="AI75" s="63" t="n">
        <v>0</v>
      </c>
      <c r="AJ75" s="62" t="s">
        <v>149</v>
      </c>
      <c r="AK75" s="62" t="s">
        <v>392</v>
      </c>
      <c r="AL75" s="62" t="s">
        <v>393</v>
      </c>
      <c r="AM75" s="62" t="s">
        <v>394</v>
      </c>
      <c r="AN75" s="65" t="n">
        <v>73.5</v>
      </c>
      <c r="AO75" s="62" t="s">
        <v>389</v>
      </c>
      <c r="AP75" s="62" t="s">
        <v>390</v>
      </c>
      <c r="AQ75" s="62" t="s">
        <v>390</v>
      </c>
      <c r="AR75" s="66"/>
      <c r="AS75" s="62"/>
      <c r="AT75" s="65"/>
      <c r="AU75" s="62" t="s">
        <v>405</v>
      </c>
    </row>
    <row r="76" customFormat="false" ht="15" hidden="false" customHeight="false" outlineLevel="0" collapsed="false">
      <c r="A76" s="62" t="s">
        <v>388</v>
      </c>
      <c r="B76" s="63" t="n">
        <v>1566</v>
      </c>
      <c r="C76" s="64" t="n">
        <v>46307.8704148611</v>
      </c>
      <c r="D76" s="62" t="s">
        <v>73</v>
      </c>
      <c r="E76" s="63" t="n">
        <v>20</v>
      </c>
      <c r="F76" s="62" t="s">
        <v>389</v>
      </c>
      <c r="G76" s="62" t="s">
        <v>390</v>
      </c>
      <c r="H76" s="62" t="s">
        <v>390</v>
      </c>
      <c r="I76" s="62" t="s">
        <v>389</v>
      </c>
      <c r="J76" s="65"/>
      <c r="K76" s="62" t="s">
        <v>275</v>
      </c>
      <c r="L76" s="62" t="s">
        <v>389</v>
      </c>
      <c r="M76" s="62" t="s">
        <v>390</v>
      </c>
      <c r="N76" s="62"/>
      <c r="O76" s="62" t="s">
        <v>389</v>
      </c>
      <c r="P76" s="62" t="s">
        <v>390</v>
      </c>
      <c r="Q76" s="62" t="s">
        <v>390</v>
      </c>
      <c r="R76" s="62" t="s">
        <v>277</v>
      </c>
      <c r="S76" s="62" t="s">
        <v>390</v>
      </c>
      <c r="T76" s="65" t="n">
        <v>3827.8</v>
      </c>
      <c r="U76" s="62" t="s">
        <v>277</v>
      </c>
      <c r="V76" s="65" t="n">
        <v>3827.8</v>
      </c>
      <c r="W76" s="65"/>
      <c r="X76" s="63" t="n">
        <v>0</v>
      </c>
      <c r="Y76" s="62" t="s">
        <v>390</v>
      </c>
      <c r="Z76" s="62" t="s">
        <v>389</v>
      </c>
      <c r="AA76" s="62" t="s">
        <v>391</v>
      </c>
      <c r="AB76" s="62" t="s">
        <v>275</v>
      </c>
      <c r="AC76" s="65" t="n">
        <v>40.1</v>
      </c>
      <c r="AD76" s="63" t="n">
        <v>1</v>
      </c>
      <c r="AE76" s="63" t="n">
        <v>19</v>
      </c>
      <c r="AF76" s="63" t="n">
        <v>1</v>
      </c>
      <c r="AG76" s="62" t="s">
        <v>390</v>
      </c>
      <c r="AH76" s="62"/>
      <c r="AI76" s="63" t="n">
        <v>0</v>
      </c>
      <c r="AJ76" s="62" t="s">
        <v>147</v>
      </c>
      <c r="AK76" s="62" t="s">
        <v>407</v>
      </c>
      <c r="AL76" s="62"/>
      <c r="AM76" s="62"/>
      <c r="AN76" s="65"/>
      <c r="AO76" s="62" t="s">
        <v>390</v>
      </c>
      <c r="AP76" s="62"/>
      <c r="AQ76" s="62" t="s">
        <v>390</v>
      </c>
      <c r="AR76" s="66"/>
      <c r="AS76" s="62"/>
      <c r="AT76" s="65"/>
      <c r="AU76" s="62" t="s">
        <v>405</v>
      </c>
    </row>
    <row r="77" customFormat="false" ht="15" hidden="false" customHeight="false" outlineLevel="0" collapsed="false">
      <c r="A77" s="62" t="s">
        <v>388</v>
      </c>
      <c r="B77" s="63" t="n">
        <v>1576</v>
      </c>
      <c r="C77" s="64" t="n">
        <v>46307.9009081482</v>
      </c>
      <c r="D77" s="62" t="s">
        <v>73</v>
      </c>
      <c r="E77" s="63" t="n">
        <v>21</v>
      </c>
      <c r="F77" s="62" t="s">
        <v>390</v>
      </c>
      <c r="G77" s="62" t="s">
        <v>389</v>
      </c>
      <c r="H77" s="62" t="s">
        <v>389</v>
      </c>
      <c r="I77" s="62" t="s">
        <v>389</v>
      </c>
      <c r="J77" s="65" t="n">
        <v>3.2</v>
      </c>
      <c r="K77" s="62" t="s">
        <v>279</v>
      </c>
      <c r="L77" s="62" t="s">
        <v>389</v>
      </c>
      <c r="M77" s="62" t="s">
        <v>389</v>
      </c>
      <c r="N77" s="62" t="s">
        <v>303</v>
      </c>
      <c r="O77" s="62" t="s">
        <v>389</v>
      </c>
      <c r="P77" s="62" t="s">
        <v>389</v>
      </c>
      <c r="Q77" s="62" t="s">
        <v>390</v>
      </c>
      <c r="R77" s="62" t="s">
        <v>278</v>
      </c>
      <c r="S77" s="62" t="s">
        <v>390</v>
      </c>
      <c r="T77" s="65" t="n">
        <v>14.7</v>
      </c>
      <c r="U77" s="62" t="s">
        <v>278</v>
      </c>
      <c r="V77" s="65" t="n">
        <v>3.5</v>
      </c>
      <c r="W77" s="65" t="n">
        <v>7.2</v>
      </c>
      <c r="X77" s="63" t="n">
        <v>0</v>
      </c>
      <c r="Y77" s="62" t="s">
        <v>389</v>
      </c>
      <c r="Z77" s="62" t="s">
        <v>390</v>
      </c>
      <c r="AA77" s="62"/>
      <c r="AB77" s="62"/>
      <c r="AC77" s="65"/>
      <c r="AD77" s="63" t="n">
        <v>11</v>
      </c>
      <c r="AE77" s="63" t="n">
        <v>17</v>
      </c>
      <c r="AF77" s="63" t="n">
        <v>8</v>
      </c>
      <c r="AG77" s="62" t="s">
        <v>389</v>
      </c>
      <c r="AH77" s="62" t="s">
        <v>409</v>
      </c>
      <c r="AI77" s="63" t="n">
        <v>0</v>
      </c>
      <c r="AJ77" s="62" t="s">
        <v>151</v>
      </c>
      <c r="AK77" s="62" t="s">
        <v>407</v>
      </c>
      <c r="AL77" s="62"/>
      <c r="AM77" s="62"/>
      <c r="AN77" s="65"/>
      <c r="AO77" s="62" t="s">
        <v>390</v>
      </c>
      <c r="AP77" s="62"/>
      <c r="AQ77" s="62" t="s">
        <v>390</v>
      </c>
      <c r="AR77" s="66"/>
      <c r="AS77" s="62"/>
      <c r="AT77" s="65"/>
      <c r="AU77" s="62" t="s">
        <v>405</v>
      </c>
    </row>
    <row r="78" customFormat="false" ht="15" hidden="false" customHeight="false" outlineLevel="0" collapsed="false">
      <c r="A78" s="62" t="s">
        <v>388</v>
      </c>
      <c r="B78" s="63" t="n">
        <v>1584</v>
      </c>
      <c r="C78" s="64" t="n">
        <v>46307.9186378472</v>
      </c>
      <c r="D78" s="62" t="s">
        <v>73</v>
      </c>
      <c r="E78" s="63" t="n">
        <v>22</v>
      </c>
      <c r="F78" s="62" t="s">
        <v>390</v>
      </c>
      <c r="G78" s="62" t="s">
        <v>389</v>
      </c>
      <c r="H78" s="62" t="s">
        <v>389</v>
      </c>
      <c r="I78" s="62" t="s">
        <v>389</v>
      </c>
      <c r="J78" s="65" t="n">
        <v>1.8</v>
      </c>
      <c r="K78" s="62" t="s">
        <v>279</v>
      </c>
      <c r="L78" s="62" t="s">
        <v>389</v>
      </c>
      <c r="M78" s="62" t="s">
        <v>390</v>
      </c>
      <c r="N78" s="62"/>
      <c r="O78" s="62" t="s">
        <v>389</v>
      </c>
      <c r="P78" s="62" t="s">
        <v>390</v>
      </c>
      <c r="Q78" s="62" t="s">
        <v>390</v>
      </c>
      <c r="R78" s="62" t="s">
        <v>277</v>
      </c>
      <c r="S78" s="62" t="s">
        <v>390</v>
      </c>
      <c r="T78" s="65"/>
      <c r="U78" s="62"/>
      <c r="V78" s="65" t="n">
        <v>2</v>
      </c>
      <c r="W78" s="65"/>
      <c r="X78" s="63" t="n">
        <v>1</v>
      </c>
      <c r="Y78" s="62" t="s">
        <v>390</v>
      </c>
      <c r="Z78" s="62" t="s">
        <v>389</v>
      </c>
      <c r="AA78" s="62" t="s">
        <v>265</v>
      </c>
      <c r="AB78" s="62" t="s">
        <v>275</v>
      </c>
      <c r="AC78" s="65" t="n">
        <v>39</v>
      </c>
      <c r="AD78" s="63" t="n">
        <v>2</v>
      </c>
      <c r="AE78" s="63" t="n">
        <v>18</v>
      </c>
      <c r="AF78" s="63" t="n">
        <v>0</v>
      </c>
      <c r="AG78" s="62" t="s">
        <v>390</v>
      </c>
      <c r="AH78" s="62"/>
      <c r="AI78" s="63" t="n">
        <v>0</v>
      </c>
      <c r="AJ78" s="62" t="s">
        <v>148</v>
      </c>
      <c r="AK78" s="62" t="s">
        <v>407</v>
      </c>
      <c r="AL78" s="62"/>
      <c r="AM78" s="62"/>
      <c r="AN78" s="65"/>
      <c r="AO78" s="62" t="s">
        <v>390</v>
      </c>
      <c r="AP78" s="62"/>
      <c r="AQ78" s="62" t="s">
        <v>390</v>
      </c>
      <c r="AR78" s="66"/>
      <c r="AS78" s="62"/>
      <c r="AT78" s="65"/>
      <c r="AU78" s="62" t="s">
        <v>405</v>
      </c>
    </row>
    <row r="79" customFormat="false" ht="15" hidden="false" customHeight="false" outlineLevel="0" collapsed="false">
      <c r="A79" s="62" t="s">
        <v>388</v>
      </c>
      <c r="B79" s="63" t="n">
        <v>1592</v>
      </c>
      <c r="C79" s="64" t="n">
        <v>46307.9564345949</v>
      </c>
      <c r="D79" s="62" t="s">
        <v>73</v>
      </c>
      <c r="E79" s="63" t="n">
        <v>22</v>
      </c>
      <c r="F79" s="62" t="s">
        <v>390</v>
      </c>
      <c r="G79" s="62" t="s">
        <v>389</v>
      </c>
      <c r="H79" s="62" t="s">
        <v>389</v>
      </c>
      <c r="I79" s="62" t="s">
        <v>389</v>
      </c>
      <c r="J79" s="65" t="n">
        <v>0.2</v>
      </c>
      <c r="K79" s="62" t="s">
        <v>279</v>
      </c>
      <c r="L79" s="62" t="s">
        <v>389</v>
      </c>
      <c r="M79" s="62" t="s">
        <v>389</v>
      </c>
      <c r="N79" s="62" t="s">
        <v>305</v>
      </c>
      <c r="O79" s="62" t="s">
        <v>389</v>
      </c>
      <c r="P79" s="62" t="s">
        <v>389</v>
      </c>
      <c r="Q79" s="62" t="s">
        <v>390</v>
      </c>
      <c r="R79" s="62" t="s">
        <v>277</v>
      </c>
      <c r="S79" s="62" t="s">
        <v>390</v>
      </c>
      <c r="T79" s="65" t="n">
        <v>494.4</v>
      </c>
      <c r="U79" s="62" t="s">
        <v>277</v>
      </c>
      <c r="V79" s="65" t="n">
        <v>0.5</v>
      </c>
      <c r="W79" s="65" t="n">
        <v>492.6</v>
      </c>
      <c r="X79" s="63" t="n">
        <v>0</v>
      </c>
      <c r="Y79" s="62" t="s">
        <v>389</v>
      </c>
      <c r="Z79" s="62" t="s">
        <v>389</v>
      </c>
      <c r="AA79" s="62" t="s">
        <v>391</v>
      </c>
      <c r="AB79" s="62" t="s">
        <v>275</v>
      </c>
      <c r="AC79" s="65" t="n">
        <v>38.1</v>
      </c>
      <c r="AD79" s="63" t="n">
        <v>3</v>
      </c>
      <c r="AE79" s="63" t="n">
        <v>20</v>
      </c>
      <c r="AF79" s="63" t="n">
        <v>4</v>
      </c>
      <c r="AG79" s="62" t="s">
        <v>390</v>
      </c>
      <c r="AH79" s="62"/>
      <c r="AI79" s="63" t="n">
        <v>0</v>
      </c>
      <c r="AJ79" s="62" t="s">
        <v>149</v>
      </c>
      <c r="AK79" s="62" t="s">
        <v>407</v>
      </c>
      <c r="AL79" s="62"/>
      <c r="AM79" s="62"/>
      <c r="AN79" s="65"/>
      <c r="AO79" s="62" t="s">
        <v>390</v>
      </c>
      <c r="AP79" s="62"/>
      <c r="AQ79" s="62" t="s">
        <v>390</v>
      </c>
      <c r="AR79" s="66"/>
      <c r="AS79" s="62"/>
      <c r="AT79" s="65"/>
      <c r="AU79" s="62" t="s">
        <v>405</v>
      </c>
    </row>
    <row r="80" customFormat="false" ht="15" hidden="false" customHeight="false" outlineLevel="0" collapsed="false">
      <c r="A80" s="62" t="s">
        <v>388</v>
      </c>
      <c r="B80" s="63" t="n">
        <v>1619</v>
      </c>
      <c r="C80" s="64" t="n">
        <v>46308.3817190741</v>
      </c>
      <c r="D80" s="62" t="s">
        <v>73</v>
      </c>
      <c r="E80" s="63" t="n">
        <v>9</v>
      </c>
      <c r="F80" s="62" t="s">
        <v>389</v>
      </c>
      <c r="G80" s="62" t="s">
        <v>389</v>
      </c>
      <c r="H80" s="62" t="s">
        <v>389</v>
      </c>
      <c r="I80" s="62" t="s">
        <v>389</v>
      </c>
      <c r="J80" s="65" t="n">
        <v>0.3</v>
      </c>
      <c r="K80" s="62" t="s">
        <v>277</v>
      </c>
      <c r="L80" s="62" t="s">
        <v>389</v>
      </c>
      <c r="M80" s="62" t="s">
        <v>390</v>
      </c>
      <c r="N80" s="62"/>
      <c r="O80" s="62" t="s">
        <v>389</v>
      </c>
      <c r="P80" s="62" t="s">
        <v>390</v>
      </c>
      <c r="Q80" s="62" t="s">
        <v>390</v>
      </c>
      <c r="R80" s="62" t="s">
        <v>277</v>
      </c>
      <c r="S80" s="62" t="s">
        <v>390</v>
      </c>
      <c r="T80" s="65" t="n">
        <v>3186.9</v>
      </c>
      <c r="U80" s="62" t="s">
        <v>277</v>
      </c>
      <c r="V80" s="65" t="n">
        <v>0.5</v>
      </c>
      <c r="W80" s="65" t="n">
        <v>3186.6</v>
      </c>
      <c r="X80" s="63" t="n">
        <v>0</v>
      </c>
      <c r="Y80" s="62" t="s">
        <v>390</v>
      </c>
      <c r="Z80" s="62" t="s">
        <v>389</v>
      </c>
      <c r="AA80" s="62" t="s">
        <v>391</v>
      </c>
      <c r="AB80" s="62" t="s">
        <v>275</v>
      </c>
      <c r="AC80" s="65" t="n">
        <v>27.9</v>
      </c>
      <c r="AD80" s="63" t="n">
        <v>2</v>
      </c>
      <c r="AE80" s="63" t="n">
        <v>18</v>
      </c>
      <c r="AF80" s="63" t="n">
        <v>1</v>
      </c>
      <c r="AG80" s="62" t="s">
        <v>389</v>
      </c>
      <c r="AH80" s="62" t="s">
        <v>398</v>
      </c>
      <c r="AI80" s="63" t="n">
        <v>0</v>
      </c>
      <c r="AJ80" s="62" t="s">
        <v>148</v>
      </c>
      <c r="AK80" s="62" t="s">
        <v>407</v>
      </c>
      <c r="AL80" s="62"/>
      <c r="AM80" s="62"/>
      <c r="AN80" s="65"/>
      <c r="AO80" s="62" t="s">
        <v>390</v>
      </c>
      <c r="AP80" s="62"/>
      <c r="AQ80" s="62" t="s">
        <v>390</v>
      </c>
      <c r="AR80" s="66"/>
      <c r="AS80" s="62"/>
      <c r="AT80" s="65"/>
      <c r="AU80" s="62" t="s">
        <v>405</v>
      </c>
    </row>
    <row r="81" customFormat="false" ht="15" hidden="false" customHeight="false" outlineLevel="0" collapsed="false">
      <c r="A81" s="62" t="s">
        <v>388</v>
      </c>
      <c r="B81" s="63" t="n">
        <v>1637</v>
      </c>
      <c r="C81" s="64" t="n">
        <v>46308.4487059607</v>
      </c>
      <c r="D81" s="62" t="s">
        <v>73</v>
      </c>
      <c r="E81" s="63" t="n">
        <v>10</v>
      </c>
      <c r="F81" s="62" t="s">
        <v>389</v>
      </c>
      <c r="G81" s="62" t="s">
        <v>389</v>
      </c>
      <c r="H81" s="62" t="s">
        <v>389</v>
      </c>
      <c r="I81" s="62" t="s">
        <v>389</v>
      </c>
      <c r="J81" s="65" t="n">
        <v>0.3</v>
      </c>
      <c r="K81" s="62" t="s">
        <v>276</v>
      </c>
      <c r="L81" s="62" t="s">
        <v>389</v>
      </c>
      <c r="M81" s="62" t="s">
        <v>389</v>
      </c>
      <c r="N81" s="62" t="s">
        <v>307</v>
      </c>
      <c r="O81" s="62" t="s">
        <v>389</v>
      </c>
      <c r="P81" s="62" t="s">
        <v>390</v>
      </c>
      <c r="Q81" s="62" t="s">
        <v>390</v>
      </c>
      <c r="R81" s="62" t="s">
        <v>277</v>
      </c>
      <c r="S81" s="62" t="s">
        <v>389</v>
      </c>
      <c r="T81" s="65" t="n">
        <v>8.2</v>
      </c>
      <c r="U81" s="62" t="s">
        <v>276</v>
      </c>
      <c r="V81" s="65" t="n">
        <v>0.6</v>
      </c>
      <c r="W81" s="65" t="n">
        <v>4.9</v>
      </c>
      <c r="X81" s="63" t="n">
        <v>0</v>
      </c>
      <c r="Y81" s="62" t="s">
        <v>389</v>
      </c>
      <c r="Z81" s="62" t="s">
        <v>389</v>
      </c>
      <c r="AA81" s="62" t="s">
        <v>391</v>
      </c>
      <c r="AB81" s="62" t="s">
        <v>275</v>
      </c>
      <c r="AC81" s="65" t="n">
        <v>26.3</v>
      </c>
      <c r="AD81" s="63" t="n">
        <v>3</v>
      </c>
      <c r="AE81" s="63" t="n">
        <v>18</v>
      </c>
      <c r="AF81" s="63" t="n">
        <v>6</v>
      </c>
      <c r="AG81" s="62" t="s">
        <v>389</v>
      </c>
      <c r="AH81" s="62" t="s">
        <v>409</v>
      </c>
      <c r="AI81" s="63" t="n">
        <v>0</v>
      </c>
      <c r="AJ81" s="62" t="s">
        <v>149</v>
      </c>
      <c r="AK81" s="62" t="s">
        <v>407</v>
      </c>
      <c r="AL81" s="62"/>
      <c r="AM81" s="62"/>
      <c r="AN81" s="65"/>
      <c r="AO81" s="62" t="s">
        <v>390</v>
      </c>
      <c r="AP81" s="62"/>
      <c r="AQ81" s="62" t="s">
        <v>390</v>
      </c>
      <c r="AR81" s="66"/>
      <c r="AS81" s="62"/>
      <c r="AT81" s="65"/>
      <c r="AU81" s="62" t="s">
        <v>405</v>
      </c>
    </row>
    <row r="82" customFormat="false" ht="15" hidden="false" customHeight="false" outlineLevel="0" collapsed="false">
      <c r="A82" s="62" t="s">
        <v>388</v>
      </c>
      <c r="B82" s="63" t="n">
        <v>1655</v>
      </c>
      <c r="C82" s="64" t="n">
        <v>46308.5278145833</v>
      </c>
      <c r="D82" s="62" t="s">
        <v>73</v>
      </c>
      <c r="E82" s="63" t="n">
        <v>12</v>
      </c>
      <c r="F82" s="62" t="s">
        <v>389</v>
      </c>
      <c r="G82" s="62" t="s">
        <v>389</v>
      </c>
      <c r="H82" s="62" t="s">
        <v>389</v>
      </c>
      <c r="I82" s="62" t="s">
        <v>389</v>
      </c>
      <c r="J82" s="65" t="n">
        <v>2</v>
      </c>
      <c r="K82" s="62" t="s">
        <v>277</v>
      </c>
      <c r="L82" s="62" t="s">
        <v>389</v>
      </c>
      <c r="M82" s="62" t="s">
        <v>389</v>
      </c>
      <c r="N82" s="62" t="s">
        <v>308</v>
      </c>
      <c r="O82" s="62" t="s">
        <v>389</v>
      </c>
      <c r="P82" s="62" t="s">
        <v>389</v>
      </c>
      <c r="Q82" s="62" t="s">
        <v>390</v>
      </c>
      <c r="R82" s="62" t="s">
        <v>277</v>
      </c>
      <c r="S82" s="62" t="s">
        <v>390</v>
      </c>
      <c r="T82" s="65" t="n">
        <v>8</v>
      </c>
      <c r="U82" s="62" t="s">
        <v>277</v>
      </c>
      <c r="V82" s="65" t="n">
        <v>2.2</v>
      </c>
      <c r="W82" s="65" t="n">
        <v>5</v>
      </c>
      <c r="X82" s="63" t="n">
        <v>0</v>
      </c>
      <c r="Y82" s="62" t="s">
        <v>389</v>
      </c>
      <c r="Z82" s="62" t="s">
        <v>389</v>
      </c>
      <c r="AA82" s="62" t="s">
        <v>391</v>
      </c>
      <c r="AB82" s="62" t="s">
        <v>275</v>
      </c>
      <c r="AC82" s="65" t="n">
        <v>28.5</v>
      </c>
      <c r="AD82" s="63" t="n">
        <v>4</v>
      </c>
      <c r="AE82" s="63" t="n">
        <v>20</v>
      </c>
      <c r="AF82" s="63" t="n">
        <v>5</v>
      </c>
      <c r="AG82" s="62" t="s">
        <v>390</v>
      </c>
      <c r="AH82" s="62"/>
      <c r="AI82" s="63" t="n">
        <v>0</v>
      </c>
      <c r="AJ82" s="62" t="s">
        <v>149</v>
      </c>
      <c r="AK82" s="62" t="s">
        <v>407</v>
      </c>
      <c r="AL82" s="62"/>
      <c r="AM82" s="62"/>
      <c r="AN82" s="65"/>
      <c r="AO82" s="62" t="s">
        <v>390</v>
      </c>
      <c r="AP82" s="62"/>
      <c r="AQ82" s="62" t="s">
        <v>390</v>
      </c>
      <c r="AR82" s="66"/>
      <c r="AS82" s="62"/>
      <c r="AT82" s="65"/>
      <c r="AU82" s="62" t="s">
        <v>405</v>
      </c>
    </row>
    <row r="83" customFormat="false" ht="15" hidden="false" customHeight="false" outlineLevel="0" collapsed="false">
      <c r="A83" s="62" t="s">
        <v>388</v>
      </c>
      <c r="B83" s="63" t="n">
        <v>1656</v>
      </c>
      <c r="C83" s="64" t="n">
        <v>46308.5358000926</v>
      </c>
      <c r="D83" s="62" t="s">
        <v>73</v>
      </c>
      <c r="E83" s="63" t="n">
        <v>12</v>
      </c>
      <c r="F83" s="62" t="s">
        <v>389</v>
      </c>
      <c r="G83" s="62" t="s">
        <v>389</v>
      </c>
      <c r="H83" s="62" t="s">
        <v>389</v>
      </c>
      <c r="I83" s="62" t="s">
        <v>389</v>
      </c>
      <c r="J83" s="65" t="n">
        <v>0.2</v>
      </c>
      <c r="K83" s="62" t="s">
        <v>276</v>
      </c>
      <c r="L83" s="62" t="s">
        <v>389</v>
      </c>
      <c r="M83" s="62" t="s">
        <v>389</v>
      </c>
      <c r="N83" s="62" t="s">
        <v>304</v>
      </c>
      <c r="O83" s="62" t="s">
        <v>389</v>
      </c>
      <c r="P83" s="62" t="s">
        <v>389</v>
      </c>
      <c r="Q83" s="62" t="s">
        <v>390</v>
      </c>
      <c r="R83" s="62" t="s">
        <v>277</v>
      </c>
      <c r="S83" s="62" t="s">
        <v>389</v>
      </c>
      <c r="T83" s="65" t="n">
        <v>3.5</v>
      </c>
      <c r="U83" s="62" t="s">
        <v>277</v>
      </c>
      <c r="V83" s="65" t="n">
        <v>0.5</v>
      </c>
      <c r="W83" s="65" t="n">
        <v>1.7</v>
      </c>
      <c r="X83" s="63" t="n">
        <v>0</v>
      </c>
      <c r="Y83" s="62" t="s">
        <v>389</v>
      </c>
      <c r="Z83" s="62" t="s">
        <v>389</v>
      </c>
      <c r="AA83" s="62" t="s">
        <v>391</v>
      </c>
      <c r="AB83" s="62" t="s">
        <v>275</v>
      </c>
      <c r="AC83" s="65" t="n">
        <v>28.4</v>
      </c>
      <c r="AD83" s="63" t="n">
        <v>3</v>
      </c>
      <c r="AE83" s="63" t="n">
        <v>20</v>
      </c>
      <c r="AF83" s="63" t="n">
        <v>4</v>
      </c>
      <c r="AG83" s="62" t="s">
        <v>390</v>
      </c>
      <c r="AH83" s="62"/>
      <c r="AI83" s="63" t="n">
        <v>0</v>
      </c>
      <c r="AJ83" s="62" t="s">
        <v>149</v>
      </c>
      <c r="AK83" s="62" t="s">
        <v>407</v>
      </c>
      <c r="AL83" s="62"/>
      <c r="AM83" s="62"/>
      <c r="AN83" s="65"/>
      <c r="AO83" s="62" t="s">
        <v>390</v>
      </c>
      <c r="AP83" s="62"/>
      <c r="AQ83" s="62" t="s">
        <v>390</v>
      </c>
      <c r="AR83" s="66"/>
      <c r="AS83" s="62"/>
      <c r="AT83" s="65"/>
      <c r="AU83" s="62" t="s">
        <v>405</v>
      </c>
    </row>
    <row r="84" customFormat="false" ht="15" hidden="false" customHeight="false" outlineLevel="0" collapsed="false">
      <c r="A84" s="62" t="s">
        <v>388</v>
      </c>
      <c r="B84" s="63" t="n">
        <v>1657</v>
      </c>
      <c r="C84" s="64" t="n">
        <v>46308.536088588</v>
      </c>
      <c r="D84" s="62" t="s">
        <v>73</v>
      </c>
      <c r="E84" s="63" t="n">
        <v>12</v>
      </c>
      <c r="F84" s="62" t="s">
        <v>389</v>
      </c>
      <c r="G84" s="62" t="s">
        <v>389</v>
      </c>
      <c r="H84" s="62" t="s">
        <v>390</v>
      </c>
      <c r="I84" s="62" t="s">
        <v>389</v>
      </c>
      <c r="J84" s="65" t="n">
        <v>0.2</v>
      </c>
      <c r="K84" s="62" t="s">
        <v>279</v>
      </c>
      <c r="L84" s="62" t="s">
        <v>389</v>
      </c>
      <c r="M84" s="62" t="s">
        <v>390</v>
      </c>
      <c r="N84" s="62"/>
      <c r="O84" s="62" t="s">
        <v>389</v>
      </c>
      <c r="P84" s="62" t="s">
        <v>390</v>
      </c>
      <c r="Q84" s="62" t="s">
        <v>390</v>
      </c>
      <c r="R84" s="62" t="s">
        <v>279</v>
      </c>
      <c r="S84" s="62" t="s">
        <v>390</v>
      </c>
      <c r="T84" s="65" t="n">
        <v>2.4</v>
      </c>
      <c r="U84" s="62" t="s">
        <v>279</v>
      </c>
      <c r="V84" s="65" t="n">
        <v>0.3</v>
      </c>
      <c r="W84" s="65" t="n">
        <v>1.5</v>
      </c>
      <c r="X84" s="63" t="n">
        <v>0</v>
      </c>
      <c r="Y84" s="62" t="s">
        <v>390</v>
      </c>
      <c r="Z84" s="62" t="s">
        <v>389</v>
      </c>
      <c r="AA84" s="62" t="s">
        <v>391</v>
      </c>
      <c r="AB84" s="62" t="s">
        <v>275</v>
      </c>
      <c r="AC84" s="65" t="n">
        <v>26.1</v>
      </c>
      <c r="AD84" s="63" t="n">
        <v>3</v>
      </c>
      <c r="AE84" s="63" t="n">
        <v>18</v>
      </c>
      <c r="AF84" s="63" t="n">
        <v>8</v>
      </c>
      <c r="AG84" s="62" t="s">
        <v>389</v>
      </c>
      <c r="AH84" s="62" t="s">
        <v>409</v>
      </c>
      <c r="AI84" s="63" t="n">
        <v>0</v>
      </c>
      <c r="AJ84" s="62" t="s">
        <v>149</v>
      </c>
      <c r="AK84" s="62" t="s">
        <v>407</v>
      </c>
      <c r="AL84" s="62"/>
      <c r="AM84" s="62"/>
      <c r="AN84" s="65"/>
      <c r="AO84" s="62" t="s">
        <v>390</v>
      </c>
      <c r="AP84" s="62"/>
      <c r="AQ84" s="62" t="s">
        <v>390</v>
      </c>
      <c r="AR84" s="66"/>
      <c r="AS84" s="62"/>
      <c r="AT84" s="65"/>
      <c r="AU84" s="62" t="s">
        <v>405</v>
      </c>
    </row>
    <row r="85" customFormat="false" ht="15" hidden="false" customHeight="false" outlineLevel="0" collapsed="false">
      <c r="A85" s="62" t="s">
        <v>388</v>
      </c>
      <c r="B85" s="63" t="n">
        <v>1680</v>
      </c>
      <c r="C85" s="64" t="n">
        <v>46308.6513292708</v>
      </c>
      <c r="D85" s="62" t="s">
        <v>73</v>
      </c>
      <c r="E85" s="63" t="n">
        <v>15</v>
      </c>
      <c r="F85" s="62" t="s">
        <v>389</v>
      </c>
      <c r="G85" s="62" t="s">
        <v>389</v>
      </c>
      <c r="H85" s="62" t="s">
        <v>389</v>
      </c>
      <c r="I85" s="62" t="s">
        <v>389</v>
      </c>
      <c r="J85" s="65" t="n">
        <v>0.6</v>
      </c>
      <c r="K85" s="62" t="s">
        <v>278</v>
      </c>
      <c r="L85" s="62" t="s">
        <v>389</v>
      </c>
      <c r="M85" s="62" t="s">
        <v>390</v>
      </c>
      <c r="N85" s="62"/>
      <c r="O85" s="62" t="s">
        <v>389</v>
      </c>
      <c r="P85" s="62" t="s">
        <v>390</v>
      </c>
      <c r="Q85" s="62" t="s">
        <v>390</v>
      </c>
      <c r="R85" s="62" t="s">
        <v>278</v>
      </c>
      <c r="S85" s="62" t="s">
        <v>390</v>
      </c>
      <c r="T85" s="65" t="n">
        <v>1362.3</v>
      </c>
      <c r="U85" s="62" t="s">
        <v>278</v>
      </c>
      <c r="V85" s="65" t="n">
        <v>13.3</v>
      </c>
      <c r="W85" s="65" t="n">
        <v>1349.6</v>
      </c>
      <c r="X85" s="63" t="n">
        <v>0</v>
      </c>
      <c r="Y85" s="62" t="s">
        <v>390</v>
      </c>
      <c r="Z85" s="62" t="s">
        <v>389</v>
      </c>
      <c r="AA85" s="62" t="s">
        <v>391</v>
      </c>
      <c r="AB85" s="62" t="s">
        <v>275</v>
      </c>
      <c r="AC85" s="65" t="n">
        <v>26.3</v>
      </c>
      <c r="AD85" s="63" t="n">
        <v>2</v>
      </c>
      <c r="AE85" s="63" t="n">
        <v>18</v>
      </c>
      <c r="AF85" s="63" t="n">
        <v>3</v>
      </c>
      <c r="AG85" s="62" t="s">
        <v>390</v>
      </c>
      <c r="AH85" s="62"/>
      <c r="AI85" s="63" t="n">
        <v>0</v>
      </c>
      <c r="AJ85" s="62" t="s">
        <v>148</v>
      </c>
      <c r="AK85" s="62" t="s">
        <v>392</v>
      </c>
      <c r="AL85" s="62" t="s">
        <v>393</v>
      </c>
      <c r="AM85" s="62" t="s">
        <v>394</v>
      </c>
      <c r="AN85" s="65" t="n">
        <v>53.4</v>
      </c>
      <c r="AO85" s="62" t="s">
        <v>389</v>
      </c>
      <c r="AP85" s="62" t="s">
        <v>390</v>
      </c>
      <c r="AQ85" s="62" t="s">
        <v>390</v>
      </c>
      <c r="AR85" s="66"/>
      <c r="AS85" s="62"/>
      <c r="AT85" s="65"/>
      <c r="AU85" s="62" t="s">
        <v>405</v>
      </c>
    </row>
    <row r="86" customFormat="false" ht="15" hidden="false" customHeight="false" outlineLevel="0" collapsed="false">
      <c r="A86" s="62" t="s">
        <v>388</v>
      </c>
      <c r="B86" s="63" t="n">
        <v>1688</v>
      </c>
      <c r="C86" s="64" t="n">
        <v>46308.6864572338</v>
      </c>
      <c r="D86" s="62" t="s">
        <v>73</v>
      </c>
      <c r="E86" s="63" t="n">
        <v>16</v>
      </c>
      <c r="F86" s="62" t="s">
        <v>389</v>
      </c>
      <c r="G86" s="62" t="s">
        <v>389</v>
      </c>
      <c r="H86" s="62" t="s">
        <v>389</v>
      </c>
      <c r="I86" s="62" t="s">
        <v>389</v>
      </c>
      <c r="J86" s="65" t="n">
        <v>0.4</v>
      </c>
      <c r="K86" s="62" t="s">
        <v>279</v>
      </c>
      <c r="L86" s="62" t="s">
        <v>389</v>
      </c>
      <c r="M86" s="62" t="s">
        <v>389</v>
      </c>
      <c r="N86" s="62" t="s">
        <v>304</v>
      </c>
      <c r="O86" s="62" t="s">
        <v>389</v>
      </c>
      <c r="P86" s="62" t="s">
        <v>389</v>
      </c>
      <c r="Q86" s="62" t="s">
        <v>390</v>
      </c>
      <c r="R86" s="62" t="s">
        <v>279</v>
      </c>
      <c r="S86" s="62" t="s">
        <v>390</v>
      </c>
      <c r="T86" s="65" t="n">
        <v>5.6</v>
      </c>
      <c r="U86" s="62" t="s">
        <v>279</v>
      </c>
      <c r="V86" s="65" t="n">
        <v>0.7</v>
      </c>
      <c r="W86" s="65" t="n">
        <v>2</v>
      </c>
      <c r="X86" s="63" t="n">
        <v>0</v>
      </c>
      <c r="Y86" s="62" t="s">
        <v>389</v>
      </c>
      <c r="Z86" s="62" t="s">
        <v>389</v>
      </c>
      <c r="AA86" s="62" t="s">
        <v>265</v>
      </c>
      <c r="AB86" s="62" t="s">
        <v>275</v>
      </c>
      <c r="AC86" s="65" t="n">
        <v>44.6</v>
      </c>
      <c r="AD86" s="63" t="n">
        <v>10</v>
      </c>
      <c r="AE86" s="63" t="n">
        <v>21</v>
      </c>
      <c r="AF86" s="63" t="n">
        <v>12</v>
      </c>
      <c r="AG86" s="62" t="s">
        <v>389</v>
      </c>
      <c r="AH86" s="62" t="s">
        <v>409</v>
      </c>
      <c r="AI86" s="63" t="n">
        <v>0</v>
      </c>
      <c r="AJ86" s="62" t="s">
        <v>151</v>
      </c>
      <c r="AK86" s="62" t="s">
        <v>407</v>
      </c>
      <c r="AL86" s="62"/>
      <c r="AM86" s="62"/>
      <c r="AN86" s="65"/>
      <c r="AO86" s="62" t="s">
        <v>390</v>
      </c>
      <c r="AP86" s="62"/>
      <c r="AQ86" s="62" t="s">
        <v>390</v>
      </c>
      <c r="AR86" s="66"/>
      <c r="AS86" s="62"/>
      <c r="AT86" s="65"/>
      <c r="AU86" s="62" t="s">
        <v>405</v>
      </c>
    </row>
    <row r="87" customFormat="false" ht="15" hidden="false" customHeight="false" outlineLevel="0" collapsed="false">
      <c r="A87" s="62" t="s">
        <v>388</v>
      </c>
      <c r="B87" s="63" t="n">
        <v>1694</v>
      </c>
      <c r="C87" s="64" t="n">
        <v>46308.6941096875</v>
      </c>
      <c r="D87" s="62" t="s">
        <v>73</v>
      </c>
      <c r="E87" s="63" t="n">
        <v>16</v>
      </c>
      <c r="F87" s="62" t="s">
        <v>389</v>
      </c>
      <c r="G87" s="62" t="s">
        <v>389</v>
      </c>
      <c r="H87" s="62" t="s">
        <v>389</v>
      </c>
      <c r="I87" s="62" t="s">
        <v>389</v>
      </c>
      <c r="J87" s="65" t="n">
        <v>0.6</v>
      </c>
      <c r="K87" s="62" t="s">
        <v>279</v>
      </c>
      <c r="L87" s="62" t="s">
        <v>389</v>
      </c>
      <c r="M87" s="62" t="s">
        <v>390</v>
      </c>
      <c r="N87" s="62"/>
      <c r="O87" s="62" t="s">
        <v>389</v>
      </c>
      <c r="P87" s="62" t="s">
        <v>390</v>
      </c>
      <c r="Q87" s="62" t="s">
        <v>390</v>
      </c>
      <c r="R87" s="62" t="s">
        <v>279</v>
      </c>
      <c r="S87" s="62" t="s">
        <v>389</v>
      </c>
      <c r="T87" s="65" t="n">
        <v>1286.9</v>
      </c>
      <c r="U87" s="62" t="s">
        <v>276</v>
      </c>
      <c r="V87" s="65" t="n">
        <v>2.4</v>
      </c>
      <c r="W87" s="65" t="n">
        <v>1285</v>
      </c>
      <c r="X87" s="63" t="n">
        <v>0</v>
      </c>
      <c r="Y87" s="62" t="s">
        <v>390</v>
      </c>
      <c r="Z87" s="62" t="s">
        <v>389</v>
      </c>
      <c r="AA87" s="62" t="s">
        <v>265</v>
      </c>
      <c r="AB87" s="62" t="s">
        <v>279</v>
      </c>
      <c r="AC87" s="65" t="n">
        <v>45.6</v>
      </c>
      <c r="AD87" s="63" t="n">
        <v>2</v>
      </c>
      <c r="AE87" s="63" t="n">
        <v>13</v>
      </c>
      <c r="AF87" s="63" t="n">
        <v>2</v>
      </c>
      <c r="AG87" s="62" t="s">
        <v>390</v>
      </c>
      <c r="AH87" s="62"/>
      <c r="AI87" s="63" t="n">
        <v>0</v>
      </c>
      <c r="AJ87" s="62" t="s">
        <v>148</v>
      </c>
      <c r="AK87" s="62" t="s">
        <v>407</v>
      </c>
      <c r="AL87" s="62"/>
      <c r="AM87" s="62"/>
      <c r="AN87" s="65"/>
      <c r="AO87" s="62" t="s">
        <v>390</v>
      </c>
      <c r="AP87" s="62"/>
      <c r="AQ87" s="62" t="s">
        <v>390</v>
      </c>
      <c r="AR87" s="66"/>
      <c r="AS87" s="62"/>
      <c r="AT87" s="65"/>
      <c r="AU87" s="62" t="s">
        <v>405</v>
      </c>
    </row>
    <row r="88" customFormat="false" ht="15" hidden="false" customHeight="false" outlineLevel="0" collapsed="false">
      <c r="A88" s="62" t="s">
        <v>388</v>
      </c>
      <c r="B88" s="63" t="n">
        <v>1723</v>
      </c>
      <c r="C88" s="64" t="n">
        <v>46308.8216658796</v>
      </c>
      <c r="D88" s="62" t="s">
        <v>73</v>
      </c>
      <c r="E88" s="63" t="n">
        <v>19</v>
      </c>
      <c r="F88" s="62" t="s">
        <v>389</v>
      </c>
      <c r="G88" s="62" t="s">
        <v>390</v>
      </c>
      <c r="H88" s="62" t="s">
        <v>390</v>
      </c>
      <c r="I88" s="62" t="s">
        <v>389</v>
      </c>
      <c r="J88" s="65"/>
      <c r="K88" s="62" t="s">
        <v>275</v>
      </c>
      <c r="L88" s="62" t="s">
        <v>389</v>
      </c>
      <c r="M88" s="62" t="s">
        <v>390</v>
      </c>
      <c r="N88" s="62"/>
      <c r="O88" s="62" t="s">
        <v>389</v>
      </c>
      <c r="P88" s="62" t="s">
        <v>390</v>
      </c>
      <c r="Q88" s="62" t="s">
        <v>390</v>
      </c>
      <c r="R88" s="62" t="s">
        <v>277</v>
      </c>
      <c r="S88" s="62" t="s">
        <v>390</v>
      </c>
      <c r="T88" s="65"/>
      <c r="U88" s="62"/>
      <c r="V88" s="65"/>
      <c r="W88" s="65"/>
      <c r="X88" s="63" t="n">
        <v>0</v>
      </c>
      <c r="Y88" s="62" t="s">
        <v>390</v>
      </c>
      <c r="Z88" s="62" t="s">
        <v>389</v>
      </c>
      <c r="AA88" s="62" t="s">
        <v>265</v>
      </c>
      <c r="AB88" s="62" t="s">
        <v>275</v>
      </c>
      <c r="AC88" s="65" t="n">
        <v>41.3</v>
      </c>
      <c r="AD88" s="63" t="n">
        <v>1</v>
      </c>
      <c r="AE88" s="63" t="n">
        <v>19</v>
      </c>
      <c r="AF88" s="63" t="n">
        <v>0</v>
      </c>
      <c r="AG88" s="62" t="s">
        <v>390</v>
      </c>
      <c r="AH88" s="62"/>
      <c r="AI88" s="63" t="n">
        <v>0</v>
      </c>
      <c r="AJ88" s="62" t="s">
        <v>147</v>
      </c>
      <c r="AK88" s="62" t="s">
        <v>407</v>
      </c>
      <c r="AL88" s="62"/>
      <c r="AM88" s="62"/>
      <c r="AN88" s="65"/>
      <c r="AO88" s="62" t="s">
        <v>390</v>
      </c>
      <c r="AP88" s="62"/>
      <c r="AQ88" s="62" t="s">
        <v>390</v>
      </c>
      <c r="AR88" s="66"/>
      <c r="AS88" s="62"/>
      <c r="AT88" s="65"/>
      <c r="AU88" s="62" t="s">
        <v>405</v>
      </c>
    </row>
    <row r="89" customFormat="false" ht="15" hidden="false" customHeight="false" outlineLevel="0" collapsed="false">
      <c r="A89" s="62" t="s">
        <v>388</v>
      </c>
      <c r="B89" s="63" t="n">
        <v>1726</v>
      </c>
      <c r="C89" s="64" t="n">
        <v>46308.8259347454</v>
      </c>
      <c r="D89" s="62" t="s">
        <v>73</v>
      </c>
      <c r="E89" s="63" t="n">
        <v>19</v>
      </c>
      <c r="F89" s="62" t="s">
        <v>389</v>
      </c>
      <c r="G89" s="62" t="s">
        <v>389</v>
      </c>
      <c r="H89" s="62" t="s">
        <v>389</v>
      </c>
      <c r="I89" s="62" t="s">
        <v>389</v>
      </c>
      <c r="J89" s="65" t="n">
        <v>1.3</v>
      </c>
      <c r="K89" s="62" t="s">
        <v>278</v>
      </c>
      <c r="L89" s="62" t="s">
        <v>389</v>
      </c>
      <c r="M89" s="62" t="s">
        <v>390</v>
      </c>
      <c r="N89" s="62"/>
      <c r="O89" s="62" t="s">
        <v>389</v>
      </c>
      <c r="P89" s="62" t="s">
        <v>390</v>
      </c>
      <c r="Q89" s="62" t="s">
        <v>390</v>
      </c>
      <c r="R89" s="62" t="s">
        <v>278</v>
      </c>
      <c r="S89" s="62" t="s">
        <v>390</v>
      </c>
      <c r="T89" s="65" t="n">
        <v>1150.2</v>
      </c>
      <c r="U89" s="62" t="s">
        <v>278</v>
      </c>
      <c r="V89" s="65" t="n">
        <v>6.1</v>
      </c>
      <c r="W89" s="65" t="n">
        <v>1145.4</v>
      </c>
      <c r="X89" s="63" t="n">
        <v>0</v>
      </c>
      <c r="Y89" s="62" t="s">
        <v>390</v>
      </c>
      <c r="Z89" s="62" t="s">
        <v>389</v>
      </c>
      <c r="AA89" s="62" t="s">
        <v>265</v>
      </c>
      <c r="AB89" s="62" t="s">
        <v>275</v>
      </c>
      <c r="AC89" s="65" t="n">
        <v>41.2</v>
      </c>
      <c r="AD89" s="63" t="n">
        <v>2</v>
      </c>
      <c r="AE89" s="63" t="n">
        <v>18</v>
      </c>
      <c r="AF89" s="63" t="n">
        <v>1</v>
      </c>
      <c r="AG89" s="62" t="s">
        <v>390</v>
      </c>
      <c r="AH89" s="62"/>
      <c r="AI89" s="63" t="n">
        <v>0</v>
      </c>
      <c r="AJ89" s="62" t="s">
        <v>148</v>
      </c>
      <c r="AK89" s="62" t="s">
        <v>407</v>
      </c>
      <c r="AL89" s="62"/>
      <c r="AM89" s="62"/>
      <c r="AN89" s="65"/>
      <c r="AO89" s="62" t="s">
        <v>390</v>
      </c>
      <c r="AP89" s="62"/>
      <c r="AQ89" s="62" t="s">
        <v>390</v>
      </c>
      <c r="AR89" s="66"/>
      <c r="AS89" s="62"/>
      <c r="AT89" s="65"/>
      <c r="AU89" s="62" t="s">
        <v>405</v>
      </c>
    </row>
    <row r="90" customFormat="false" ht="15" hidden="false" customHeight="false" outlineLevel="0" collapsed="false">
      <c r="A90" s="62" t="s">
        <v>388</v>
      </c>
      <c r="B90" s="63" t="n">
        <v>1744</v>
      </c>
      <c r="C90" s="64" t="n">
        <v>46308.8695160185</v>
      </c>
      <c r="D90" s="62" t="s">
        <v>73</v>
      </c>
      <c r="E90" s="63" t="n">
        <v>20</v>
      </c>
      <c r="F90" s="62" t="s">
        <v>389</v>
      </c>
      <c r="G90" s="62" t="s">
        <v>389</v>
      </c>
      <c r="H90" s="62" t="s">
        <v>389</v>
      </c>
      <c r="I90" s="62" t="s">
        <v>389</v>
      </c>
      <c r="J90" s="65" t="n">
        <v>3.4</v>
      </c>
      <c r="K90" s="62" t="s">
        <v>279</v>
      </c>
      <c r="L90" s="62" t="s">
        <v>389</v>
      </c>
      <c r="M90" s="62" t="s">
        <v>389</v>
      </c>
      <c r="N90" s="62" t="s">
        <v>304</v>
      </c>
      <c r="O90" s="62" t="s">
        <v>390</v>
      </c>
      <c r="P90" s="62" t="s">
        <v>389</v>
      </c>
      <c r="Q90" s="62" t="s">
        <v>390</v>
      </c>
      <c r="R90" s="62" t="s">
        <v>278</v>
      </c>
      <c r="S90" s="62" t="s">
        <v>389</v>
      </c>
      <c r="T90" s="65" t="n">
        <v>10.2</v>
      </c>
      <c r="U90" s="62" t="s">
        <v>278</v>
      </c>
      <c r="V90" s="65" t="n">
        <v>3.8</v>
      </c>
      <c r="W90" s="65" t="n">
        <v>3.2</v>
      </c>
      <c r="X90" s="63" t="n">
        <v>0</v>
      </c>
      <c r="Y90" s="62" t="s">
        <v>389</v>
      </c>
      <c r="Z90" s="62" t="s">
        <v>389</v>
      </c>
      <c r="AA90" s="62" t="s">
        <v>265</v>
      </c>
      <c r="AB90" s="62" t="s">
        <v>278</v>
      </c>
      <c r="AC90" s="65" t="n">
        <v>43.3</v>
      </c>
      <c r="AD90" s="63" t="n">
        <v>5</v>
      </c>
      <c r="AE90" s="63" t="n">
        <v>9</v>
      </c>
      <c r="AF90" s="63" t="n">
        <v>10</v>
      </c>
      <c r="AG90" s="62" t="s">
        <v>389</v>
      </c>
      <c r="AH90" s="62" t="s">
        <v>398</v>
      </c>
      <c r="AI90" s="63" t="n">
        <v>0</v>
      </c>
      <c r="AJ90" s="62" t="s">
        <v>151</v>
      </c>
      <c r="AK90" s="62" t="s">
        <v>407</v>
      </c>
      <c r="AL90" s="62"/>
      <c r="AM90" s="62"/>
      <c r="AN90" s="65"/>
      <c r="AO90" s="62" t="s">
        <v>390</v>
      </c>
      <c r="AP90" s="62"/>
      <c r="AQ90" s="62" t="s">
        <v>390</v>
      </c>
      <c r="AR90" s="66"/>
      <c r="AS90" s="62"/>
      <c r="AT90" s="65"/>
      <c r="AU90" s="62" t="s">
        <v>405</v>
      </c>
    </row>
    <row r="91" customFormat="false" ht="15" hidden="false" customHeight="false" outlineLevel="0" collapsed="false">
      <c r="A91" s="62" t="s">
        <v>388</v>
      </c>
      <c r="B91" s="63" t="n">
        <v>1756</v>
      </c>
      <c r="C91" s="64" t="n">
        <v>46308.9227394329</v>
      </c>
      <c r="D91" s="62" t="s">
        <v>73</v>
      </c>
      <c r="E91" s="63" t="n">
        <v>22</v>
      </c>
      <c r="F91" s="62" t="s">
        <v>390</v>
      </c>
      <c r="G91" s="62" t="s">
        <v>389</v>
      </c>
      <c r="H91" s="62" t="s">
        <v>389</v>
      </c>
      <c r="I91" s="62" t="s">
        <v>389</v>
      </c>
      <c r="J91" s="65" t="n">
        <v>528.4</v>
      </c>
      <c r="K91" s="62" t="s">
        <v>277</v>
      </c>
      <c r="L91" s="62" t="s">
        <v>389</v>
      </c>
      <c r="M91" s="62" t="s">
        <v>390</v>
      </c>
      <c r="N91" s="62"/>
      <c r="O91" s="62" t="s">
        <v>389</v>
      </c>
      <c r="P91" s="62" t="s">
        <v>390</v>
      </c>
      <c r="Q91" s="62" t="s">
        <v>390</v>
      </c>
      <c r="R91" s="62" t="s">
        <v>277</v>
      </c>
      <c r="S91" s="62" t="s">
        <v>390</v>
      </c>
      <c r="T91" s="65"/>
      <c r="U91" s="62"/>
      <c r="V91" s="65" t="n">
        <v>536.3</v>
      </c>
      <c r="W91" s="65"/>
      <c r="X91" s="63" t="n">
        <v>1</v>
      </c>
      <c r="Y91" s="62" t="s">
        <v>390</v>
      </c>
      <c r="Z91" s="62" t="s">
        <v>389</v>
      </c>
      <c r="AA91" s="62" t="s">
        <v>265</v>
      </c>
      <c r="AB91" s="62" t="s">
        <v>275</v>
      </c>
      <c r="AC91" s="65" t="n">
        <v>38.9</v>
      </c>
      <c r="AD91" s="63" t="n">
        <v>3</v>
      </c>
      <c r="AE91" s="63" t="n">
        <v>18</v>
      </c>
      <c r="AF91" s="63" t="n">
        <v>0</v>
      </c>
      <c r="AG91" s="62" t="s">
        <v>390</v>
      </c>
      <c r="AH91" s="62"/>
      <c r="AI91" s="63" t="n">
        <v>0</v>
      </c>
      <c r="AJ91" s="62" t="s">
        <v>148</v>
      </c>
      <c r="AK91" s="62" t="s">
        <v>407</v>
      </c>
      <c r="AL91" s="62"/>
      <c r="AM91" s="62"/>
      <c r="AN91" s="65"/>
      <c r="AO91" s="62" t="s">
        <v>390</v>
      </c>
      <c r="AP91" s="62"/>
      <c r="AQ91" s="62" t="s">
        <v>390</v>
      </c>
      <c r="AR91" s="66"/>
      <c r="AS91" s="62"/>
      <c r="AT91" s="65"/>
      <c r="AU91" s="62" t="s">
        <v>405</v>
      </c>
    </row>
    <row r="92" customFormat="false" ht="15" hidden="false" customHeight="false" outlineLevel="0" collapsed="false">
      <c r="A92" s="62" t="s">
        <v>388</v>
      </c>
      <c r="B92" s="63" t="n">
        <v>1760</v>
      </c>
      <c r="C92" s="64" t="n">
        <v>46308.9353481366</v>
      </c>
      <c r="D92" s="62" t="s">
        <v>73</v>
      </c>
      <c r="E92" s="63" t="n">
        <v>22</v>
      </c>
      <c r="F92" s="62" t="s">
        <v>390</v>
      </c>
      <c r="G92" s="62" t="s">
        <v>390</v>
      </c>
      <c r="H92" s="62" t="s">
        <v>390</v>
      </c>
      <c r="I92" s="62" t="s">
        <v>389</v>
      </c>
      <c r="J92" s="65"/>
      <c r="K92" s="62" t="s">
        <v>275</v>
      </c>
      <c r="L92" s="62" t="s">
        <v>389</v>
      </c>
      <c r="M92" s="62" t="s">
        <v>390</v>
      </c>
      <c r="N92" s="62"/>
      <c r="O92" s="62" t="s">
        <v>389</v>
      </c>
      <c r="P92" s="62" t="s">
        <v>390</v>
      </c>
      <c r="Q92" s="62" t="s">
        <v>390</v>
      </c>
      <c r="R92" s="62" t="s">
        <v>277</v>
      </c>
      <c r="S92" s="62" t="s">
        <v>389</v>
      </c>
      <c r="T92" s="65" t="n">
        <v>940</v>
      </c>
      <c r="U92" s="62" t="s">
        <v>276</v>
      </c>
      <c r="V92" s="65" t="n">
        <v>940</v>
      </c>
      <c r="W92" s="65"/>
      <c r="X92" s="63" t="n">
        <v>0</v>
      </c>
      <c r="Y92" s="62" t="s">
        <v>390</v>
      </c>
      <c r="Z92" s="62" t="s">
        <v>389</v>
      </c>
      <c r="AA92" s="62" t="s">
        <v>265</v>
      </c>
      <c r="AB92" s="62" t="s">
        <v>277</v>
      </c>
      <c r="AC92" s="65" t="n">
        <v>40.9</v>
      </c>
      <c r="AD92" s="63" t="n">
        <v>1</v>
      </c>
      <c r="AE92" s="63" t="n">
        <v>14</v>
      </c>
      <c r="AF92" s="63" t="n">
        <v>2</v>
      </c>
      <c r="AG92" s="62" t="s">
        <v>390</v>
      </c>
      <c r="AH92" s="62"/>
      <c r="AI92" s="63" t="n">
        <v>0</v>
      </c>
      <c r="AJ92" s="62" t="s">
        <v>147</v>
      </c>
      <c r="AK92" s="62" t="s">
        <v>407</v>
      </c>
      <c r="AL92" s="62"/>
      <c r="AM92" s="62"/>
      <c r="AN92" s="65"/>
      <c r="AO92" s="62" t="s">
        <v>390</v>
      </c>
      <c r="AP92" s="62"/>
      <c r="AQ92" s="62" t="s">
        <v>390</v>
      </c>
      <c r="AR92" s="66"/>
      <c r="AS92" s="62"/>
      <c r="AT92" s="65"/>
      <c r="AU92" s="62" t="s">
        <v>405</v>
      </c>
    </row>
    <row r="93" customFormat="false" ht="15" hidden="false" customHeight="false" outlineLevel="0" collapsed="false">
      <c r="A93" s="62" t="s">
        <v>388</v>
      </c>
      <c r="B93" s="63" t="n">
        <v>1774</v>
      </c>
      <c r="C93" s="64" t="n">
        <v>46309.0821167593</v>
      </c>
      <c r="D93" s="62" t="s">
        <v>73</v>
      </c>
      <c r="E93" s="63" t="n">
        <v>1</v>
      </c>
      <c r="F93" s="62" t="s">
        <v>390</v>
      </c>
      <c r="G93" s="62" t="s">
        <v>390</v>
      </c>
      <c r="H93" s="62" t="s">
        <v>390</v>
      </c>
      <c r="I93" s="62" t="s">
        <v>389</v>
      </c>
      <c r="J93" s="65"/>
      <c r="K93" s="62" t="s">
        <v>275</v>
      </c>
      <c r="L93" s="62" t="s">
        <v>389</v>
      </c>
      <c r="M93" s="62" t="s">
        <v>390</v>
      </c>
      <c r="N93" s="62"/>
      <c r="O93" s="62" t="s">
        <v>389</v>
      </c>
      <c r="P93" s="62" t="s">
        <v>390</v>
      </c>
      <c r="Q93" s="62" t="s">
        <v>390</v>
      </c>
      <c r="R93" s="62" t="s">
        <v>277</v>
      </c>
      <c r="S93" s="62" t="s">
        <v>390</v>
      </c>
      <c r="T93" s="65" t="n">
        <v>1146.3</v>
      </c>
      <c r="U93" s="62" t="s">
        <v>277</v>
      </c>
      <c r="V93" s="65" t="n">
        <v>1146.3</v>
      </c>
      <c r="W93" s="65" t="n">
        <v>2</v>
      </c>
      <c r="X93" s="63" t="n">
        <v>0</v>
      </c>
      <c r="Y93" s="62" t="s">
        <v>390</v>
      </c>
      <c r="Z93" s="62" t="s">
        <v>389</v>
      </c>
      <c r="AA93" s="62" t="s">
        <v>265</v>
      </c>
      <c r="AB93" s="62" t="s">
        <v>275</v>
      </c>
      <c r="AC93" s="65" t="n">
        <v>35.1</v>
      </c>
      <c r="AD93" s="63" t="n">
        <v>2</v>
      </c>
      <c r="AE93" s="63" t="n">
        <v>19</v>
      </c>
      <c r="AF93" s="63" t="n">
        <v>1</v>
      </c>
      <c r="AG93" s="62" t="s">
        <v>390</v>
      </c>
      <c r="AH93" s="62"/>
      <c r="AI93" s="63" t="n">
        <v>0</v>
      </c>
      <c r="AJ93" s="62" t="s">
        <v>150</v>
      </c>
      <c r="AK93" s="62" t="s">
        <v>407</v>
      </c>
      <c r="AL93" s="62"/>
      <c r="AM93" s="62"/>
      <c r="AN93" s="65"/>
      <c r="AO93" s="62" t="s">
        <v>390</v>
      </c>
      <c r="AP93" s="62"/>
      <c r="AQ93" s="62" t="s">
        <v>390</v>
      </c>
      <c r="AR93" s="66"/>
      <c r="AS93" s="62"/>
      <c r="AT93" s="65"/>
      <c r="AU93" s="62" t="s">
        <v>405</v>
      </c>
    </row>
    <row r="94" customFormat="false" ht="15" hidden="false" customHeight="false" outlineLevel="0" collapsed="false">
      <c r="A94" s="62" t="s">
        <v>388</v>
      </c>
      <c r="B94" s="63" t="n">
        <v>1775</v>
      </c>
      <c r="C94" s="64" t="n">
        <v>46309.1367098727</v>
      </c>
      <c r="D94" s="62" t="s">
        <v>73</v>
      </c>
      <c r="E94" s="63" t="n">
        <v>3</v>
      </c>
      <c r="F94" s="62" t="s">
        <v>390</v>
      </c>
      <c r="G94" s="62" t="s">
        <v>389</v>
      </c>
      <c r="H94" s="62" t="s">
        <v>389</v>
      </c>
      <c r="I94" s="62" t="s">
        <v>389</v>
      </c>
      <c r="J94" s="65" t="n">
        <v>243.6</v>
      </c>
      <c r="K94" s="62" t="s">
        <v>277</v>
      </c>
      <c r="L94" s="62" t="s">
        <v>389</v>
      </c>
      <c r="M94" s="62" t="s">
        <v>390</v>
      </c>
      <c r="N94" s="62"/>
      <c r="O94" s="62" t="s">
        <v>389</v>
      </c>
      <c r="P94" s="62" t="s">
        <v>390</v>
      </c>
      <c r="Q94" s="62" t="s">
        <v>390</v>
      </c>
      <c r="R94" s="62" t="s">
        <v>277</v>
      </c>
      <c r="S94" s="62" t="s">
        <v>390</v>
      </c>
      <c r="T94" s="65"/>
      <c r="U94" s="62"/>
      <c r="V94" s="65" t="n">
        <v>244</v>
      </c>
      <c r="W94" s="65"/>
      <c r="X94" s="63" t="n">
        <v>1</v>
      </c>
      <c r="Y94" s="62" t="s">
        <v>390</v>
      </c>
      <c r="Z94" s="62" t="s">
        <v>389</v>
      </c>
      <c r="AA94" s="62" t="s">
        <v>265</v>
      </c>
      <c r="AB94" s="62" t="s">
        <v>275</v>
      </c>
      <c r="AC94" s="65" t="n">
        <v>33.8</v>
      </c>
      <c r="AD94" s="63" t="n">
        <v>2</v>
      </c>
      <c r="AE94" s="63" t="n">
        <v>18</v>
      </c>
      <c r="AF94" s="63" t="n">
        <v>0</v>
      </c>
      <c r="AG94" s="62" t="s">
        <v>390</v>
      </c>
      <c r="AH94" s="62"/>
      <c r="AI94" s="63" t="n">
        <v>0</v>
      </c>
      <c r="AJ94" s="62" t="s">
        <v>148</v>
      </c>
      <c r="AK94" s="62" t="s">
        <v>407</v>
      </c>
      <c r="AL94" s="62"/>
      <c r="AM94" s="62"/>
      <c r="AN94" s="65"/>
      <c r="AO94" s="62" t="s">
        <v>390</v>
      </c>
      <c r="AP94" s="62"/>
      <c r="AQ94" s="62" t="s">
        <v>390</v>
      </c>
      <c r="AR94" s="66"/>
      <c r="AS94" s="62"/>
      <c r="AT94" s="65"/>
      <c r="AU94" s="62" t="s">
        <v>405</v>
      </c>
    </row>
    <row r="95" customFormat="false" ht="15" hidden="false" customHeight="false" outlineLevel="0" collapsed="false">
      <c r="A95" s="62" t="s">
        <v>388</v>
      </c>
      <c r="B95" s="63" t="n">
        <v>1807</v>
      </c>
      <c r="C95" s="64" t="n">
        <v>46309.3801965625</v>
      </c>
      <c r="D95" s="62" t="s">
        <v>73</v>
      </c>
      <c r="E95" s="63" t="n">
        <v>9</v>
      </c>
      <c r="F95" s="62" t="s">
        <v>389</v>
      </c>
      <c r="G95" s="62" t="s">
        <v>389</v>
      </c>
      <c r="H95" s="62" t="s">
        <v>389</v>
      </c>
      <c r="I95" s="62" t="s">
        <v>389</v>
      </c>
      <c r="J95" s="65" t="n">
        <v>0.3</v>
      </c>
      <c r="K95" s="62" t="s">
        <v>276</v>
      </c>
      <c r="L95" s="62" t="s">
        <v>389</v>
      </c>
      <c r="M95" s="62" t="s">
        <v>390</v>
      </c>
      <c r="N95" s="62"/>
      <c r="O95" s="62" t="s">
        <v>389</v>
      </c>
      <c r="P95" s="62" t="s">
        <v>390</v>
      </c>
      <c r="Q95" s="62" t="s">
        <v>390</v>
      </c>
      <c r="R95" s="62" t="s">
        <v>338</v>
      </c>
      <c r="S95" s="62" t="s">
        <v>389</v>
      </c>
      <c r="T95" s="65" t="n">
        <v>276.2</v>
      </c>
      <c r="U95" s="62" t="s">
        <v>276</v>
      </c>
      <c r="V95" s="65" t="n">
        <v>15.1</v>
      </c>
      <c r="W95" s="65" t="n">
        <v>131.4</v>
      </c>
      <c r="X95" s="63" t="n">
        <v>0</v>
      </c>
      <c r="Y95" s="62" t="s">
        <v>390</v>
      </c>
      <c r="Z95" s="62" t="s">
        <v>390</v>
      </c>
      <c r="AA95" s="62"/>
      <c r="AB95" s="62"/>
      <c r="AC95" s="65"/>
      <c r="AD95" s="63" t="n">
        <v>4</v>
      </c>
      <c r="AE95" s="63" t="n">
        <v>13</v>
      </c>
      <c r="AF95" s="63" t="n">
        <v>1</v>
      </c>
      <c r="AG95" s="62" t="s">
        <v>389</v>
      </c>
      <c r="AH95" s="62" t="s">
        <v>408</v>
      </c>
      <c r="AI95" s="63" t="n">
        <v>0</v>
      </c>
      <c r="AJ95" s="62" t="s">
        <v>150</v>
      </c>
      <c r="AK95" s="62" t="s">
        <v>407</v>
      </c>
      <c r="AL95" s="62"/>
      <c r="AM95" s="62"/>
      <c r="AN95" s="65"/>
      <c r="AO95" s="62" t="s">
        <v>390</v>
      </c>
      <c r="AP95" s="62"/>
      <c r="AQ95" s="62" t="s">
        <v>390</v>
      </c>
      <c r="AR95" s="66"/>
      <c r="AS95" s="62"/>
      <c r="AT95" s="65"/>
      <c r="AU95" s="62" t="s">
        <v>405</v>
      </c>
    </row>
    <row r="96" customFormat="false" ht="15" hidden="false" customHeight="false" outlineLevel="0" collapsed="false">
      <c r="A96" s="62" t="s">
        <v>388</v>
      </c>
      <c r="B96" s="63" t="n">
        <v>1812</v>
      </c>
      <c r="C96" s="64" t="n">
        <v>46309.39759375</v>
      </c>
      <c r="D96" s="62" t="s">
        <v>73</v>
      </c>
      <c r="E96" s="63" t="n">
        <v>9</v>
      </c>
      <c r="F96" s="62" t="s">
        <v>389</v>
      </c>
      <c r="G96" s="62" t="s">
        <v>389</v>
      </c>
      <c r="H96" s="62" t="s">
        <v>389</v>
      </c>
      <c r="I96" s="62" t="s">
        <v>389</v>
      </c>
      <c r="J96" s="65" t="n">
        <v>0.2</v>
      </c>
      <c r="K96" s="62" t="s">
        <v>276</v>
      </c>
      <c r="L96" s="62" t="s">
        <v>389</v>
      </c>
      <c r="M96" s="62" t="s">
        <v>390</v>
      </c>
      <c r="N96" s="62"/>
      <c r="O96" s="62" t="s">
        <v>389</v>
      </c>
      <c r="P96" s="62" t="s">
        <v>390</v>
      </c>
      <c r="Q96" s="62" t="s">
        <v>390</v>
      </c>
      <c r="R96" s="62" t="s">
        <v>277</v>
      </c>
      <c r="S96" s="62" t="s">
        <v>389</v>
      </c>
      <c r="T96" s="65"/>
      <c r="U96" s="62"/>
      <c r="V96" s="65" t="n">
        <v>4.1</v>
      </c>
      <c r="W96" s="65"/>
      <c r="X96" s="63" t="n">
        <v>1</v>
      </c>
      <c r="Y96" s="62" t="s">
        <v>390</v>
      </c>
      <c r="Z96" s="62" t="s">
        <v>389</v>
      </c>
      <c r="AA96" s="62" t="s">
        <v>265</v>
      </c>
      <c r="AB96" s="62" t="s">
        <v>275</v>
      </c>
      <c r="AC96" s="65" t="n">
        <v>27.5</v>
      </c>
      <c r="AD96" s="63" t="n">
        <v>2</v>
      </c>
      <c r="AE96" s="63" t="n">
        <v>18</v>
      </c>
      <c r="AF96" s="63" t="n">
        <v>0</v>
      </c>
      <c r="AG96" s="62" t="s">
        <v>389</v>
      </c>
      <c r="AH96" s="62" t="s">
        <v>398</v>
      </c>
      <c r="AI96" s="63" t="n">
        <v>0</v>
      </c>
      <c r="AJ96" s="62" t="s">
        <v>148</v>
      </c>
      <c r="AK96" s="62" t="s">
        <v>407</v>
      </c>
      <c r="AL96" s="62"/>
      <c r="AM96" s="62"/>
      <c r="AN96" s="65"/>
      <c r="AO96" s="62" t="s">
        <v>390</v>
      </c>
      <c r="AP96" s="62"/>
      <c r="AQ96" s="62" t="s">
        <v>390</v>
      </c>
      <c r="AR96" s="66"/>
      <c r="AS96" s="62"/>
      <c r="AT96" s="65"/>
      <c r="AU96" s="62" t="s">
        <v>405</v>
      </c>
    </row>
    <row r="97" customFormat="false" ht="15" hidden="false" customHeight="false" outlineLevel="0" collapsed="false">
      <c r="A97" s="62" t="s">
        <v>388</v>
      </c>
      <c r="B97" s="63" t="n">
        <v>1821</v>
      </c>
      <c r="C97" s="64" t="n">
        <v>46309.4259250694</v>
      </c>
      <c r="D97" s="62" t="s">
        <v>73</v>
      </c>
      <c r="E97" s="63" t="n">
        <v>10</v>
      </c>
      <c r="F97" s="62" t="s">
        <v>389</v>
      </c>
      <c r="G97" s="62" t="s">
        <v>390</v>
      </c>
      <c r="H97" s="62" t="s">
        <v>390</v>
      </c>
      <c r="I97" s="62" t="s">
        <v>389</v>
      </c>
      <c r="J97" s="65"/>
      <c r="K97" s="62" t="s">
        <v>275</v>
      </c>
      <c r="L97" s="62" t="s">
        <v>389</v>
      </c>
      <c r="M97" s="62" t="s">
        <v>390</v>
      </c>
      <c r="N97" s="62"/>
      <c r="O97" s="62" t="s">
        <v>389</v>
      </c>
      <c r="P97" s="62" t="s">
        <v>390</v>
      </c>
      <c r="Q97" s="62" t="s">
        <v>390</v>
      </c>
      <c r="R97" s="62" t="s">
        <v>277</v>
      </c>
      <c r="S97" s="62" t="s">
        <v>390</v>
      </c>
      <c r="T97" s="65"/>
      <c r="U97" s="62"/>
      <c r="V97" s="65"/>
      <c r="W97" s="65"/>
      <c r="X97" s="63" t="n">
        <v>0</v>
      </c>
      <c r="Y97" s="62" t="s">
        <v>390</v>
      </c>
      <c r="Z97" s="62" t="s">
        <v>389</v>
      </c>
      <c r="AA97" s="62" t="s">
        <v>265</v>
      </c>
      <c r="AB97" s="62" t="s">
        <v>275</v>
      </c>
      <c r="AC97" s="65" t="n">
        <v>26.8</v>
      </c>
      <c r="AD97" s="63" t="n">
        <v>1</v>
      </c>
      <c r="AE97" s="63" t="n">
        <v>19</v>
      </c>
      <c r="AF97" s="63" t="n">
        <v>0</v>
      </c>
      <c r="AG97" s="62" t="s">
        <v>390</v>
      </c>
      <c r="AH97" s="62"/>
      <c r="AI97" s="63" t="n">
        <v>0</v>
      </c>
      <c r="AJ97" s="62" t="s">
        <v>147</v>
      </c>
      <c r="AK97" s="62" t="s">
        <v>407</v>
      </c>
      <c r="AL97" s="62"/>
      <c r="AM97" s="62"/>
      <c r="AN97" s="65"/>
      <c r="AO97" s="62" t="s">
        <v>390</v>
      </c>
      <c r="AP97" s="62"/>
      <c r="AQ97" s="62" t="s">
        <v>390</v>
      </c>
      <c r="AR97" s="66"/>
      <c r="AS97" s="62"/>
      <c r="AT97" s="65"/>
      <c r="AU97" s="62" t="s">
        <v>405</v>
      </c>
    </row>
    <row r="98" customFormat="false" ht="15" hidden="false" customHeight="false" outlineLevel="0" collapsed="false">
      <c r="A98" s="62" t="s">
        <v>388</v>
      </c>
      <c r="B98" s="63" t="n">
        <v>1838</v>
      </c>
      <c r="C98" s="64" t="n">
        <v>46309.4833959028</v>
      </c>
      <c r="D98" s="62" t="s">
        <v>73</v>
      </c>
      <c r="E98" s="63" t="n">
        <v>11</v>
      </c>
      <c r="F98" s="62" t="s">
        <v>389</v>
      </c>
      <c r="G98" s="62" t="s">
        <v>390</v>
      </c>
      <c r="H98" s="62" t="s">
        <v>390</v>
      </c>
      <c r="I98" s="62" t="s">
        <v>389</v>
      </c>
      <c r="J98" s="65"/>
      <c r="K98" s="62" t="s">
        <v>275</v>
      </c>
      <c r="L98" s="62" t="s">
        <v>389</v>
      </c>
      <c r="M98" s="62" t="s">
        <v>390</v>
      </c>
      <c r="N98" s="62"/>
      <c r="O98" s="62" t="s">
        <v>389</v>
      </c>
      <c r="P98" s="62" t="s">
        <v>390</v>
      </c>
      <c r="Q98" s="62" t="s">
        <v>390</v>
      </c>
      <c r="R98" s="62" t="s">
        <v>277</v>
      </c>
      <c r="S98" s="62" t="s">
        <v>390</v>
      </c>
      <c r="T98" s="65"/>
      <c r="U98" s="62"/>
      <c r="V98" s="65"/>
      <c r="W98" s="65"/>
      <c r="X98" s="63" t="n">
        <v>0</v>
      </c>
      <c r="Y98" s="62" t="s">
        <v>390</v>
      </c>
      <c r="Z98" s="62" t="s">
        <v>389</v>
      </c>
      <c r="AA98" s="62" t="s">
        <v>265</v>
      </c>
      <c r="AB98" s="62" t="s">
        <v>275</v>
      </c>
      <c r="AC98" s="65" t="n">
        <v>26.6</v>
      </c>
      <c r="AD98" s="63" t="n">
        <v>1</v>
      </c>
      <c r="AE98" s="63" t="n">
        <v>19</v>
      </c>
      <c r="AF98" s="63" t="n">
        <v>0</v>
      </c>
      <c r="AG98" s="62" t="s">
        <v>390</v>
      </c>
      <c r="AH98" s="62"/>
      <c r="AI98" s="63" t="n">
        <v>0</v>
      </c>
      <c r="AJ98" s="62" t="s">
        <v>147</v>
      </c>
      <c r="AK98" s="62" t="s">
        <v>407</v>
      </c>
      <c r="AL98" s="62"/>
      <c r="AM98" s="62"/>
      <c r="AN98" s="65"/>
      <c r="AO98" s="62" t="s">
        <v>390</v>
      </c>
      <c r="AP98" s="62"/>
      <c r="AQ98" s="62" t="s">
        <v>390</v>
      </c>
      <c r="AR98" s="66"/>
      <c r="AS98" s="62"/>
      <c r="AT98" s="65"/>
      <c r="AU98" s="62" t="s">
        <v>405</v>
      </c>
    </row>
    <row r="99" customFormat="false" ht="15" hidden="false" customHeight="false" outlineLevel="0" collapsed="false">
      <c r="A99" s="62" t="s">
        <v>388</v>
      </c>
      <c r="B99" s="63" t="n">
        <v>1841</v>
      </c>
      <c r="C99" s="64" t="n">
        <v>46309.4918682639</v>
      </c>
      <c r="D99" s="62" t="s">
        <v>73</v>
      </c>
      <c r="E99" s="63" t="n">
        <v>11</v>
      </c>
      <c r="F99" s="62" t="s">
        <v>389</v>
      </c>
      <c r="G99" s="62" t="s">
        <v>389</v>
      </c>
      <c r="H99" s="62" t="s">
        <v>389</v>
      </c>
      <c r="I99" s="62" t="s">
        <v>389</v>
      </c>
      <c r="J99" s="65" t="n">
        <v>0.5</v>
      </c>
      <c r="K99" s="62" t="s">
        <v>277</v>
      </c>
      <c r="L99" s="62" t="s">
        <v>389</v>
      </c>
      <c r="M99" s="62" t="s">
        <v>390</v>
      </c>
      <c r="N99" s="62"/>
      <c r="O99" s="62" t="s">
        <v>389</v>
      </c>
      <c r="P99" s="62" t="s">
        <v>390</v>
      </c>
      <c r="Q99" s="62" t="s">
        <v>390</v>
      </c>
      <c r="R99" s="62" t="s">
        <v>277</v>
      </c>
      <c r="S99" s="62" t="s">
        <v>390</v>
      </c>
      <c r="T99" s="65"/>
      <c r="U99" s="62"/>
      <c r="V99" s="65" t="n">
        <v>1.1</v>
      </c>
      <c r="W99" s="65"/>
      <c r="X99" s="63" t="n">
        <v>1</v>
      </c>
      <c r="Y99" s="62" t="s">
        <v>390</v>
      </c>
      <c r="Z99" s="62" t="s">
        <v>389</v>
      </c>
      <c r="AA99" s="62" t="s">
        <v>265</v>
      </c>
      <c r="AB99" s="62" t="s">
        <v>275</v>
      </c>
      <c r="AC99" s="65" t="n">
        <v>26.1</v>
      </c>
      <c r="AD99" s="63" t="n">
        <v>2</v>
      </c>
      <c r="AE99" s="63" t="n">
        <v>18</v>
      </c>
      <c r="AF99" s="63" t="n">
        <v>0</v>
      </c>
      <c r="AG99" s="62" t="s">
        <v>390</v>
      </c>
      <c r="AH99" s="62"/>
      <c r="AI99" s="63" t="n">
        <v>0</v>
      </c>
      <c r="AJ99" s="62" t="s">
        <v>148</v>
      </c>
      <c r="AK99" s="62" t="s">
        <v>407</v>
      </c>
      <c r="AL99" s="62"/>
      <c r="AM99" s="62"/>
      <c r="AN99" s="65"/>
      <c r="AO99" s="62" t="s">
        <v>390</v>
      </c>
      <c r="AP99" s="62"/>
      <c r="AQ99" s="62" t="s">
        <v>390</v>
      </c>
      <c r="AR99" s="66"/>
      <c r="AS99" s="62"/>
      <c r="AT99" s="65"/>
      <c r="AU99" s="62" t="s">
        <v>405</v>
      </c>
    </row>
    <row r="100" customFormat="false" ht="15" hidden="false" customHeight="false" outlineLevel="0" collapsed="false">
      <c r="A100" s="62" t="s">
        <v>388</v>
      </c>
      <c r="B100" s="63" t="n">
        <v>1853</v>
      </c>
      <c r="C100" s="64" t="n">
        <v>46309.5433897917</v>
      </c>
      <c r="D100" s="62" t="s">
        <v>73</v>
      </c>
      <c r="E100" s="63" t="n">
        <v>13</v>
      </c>
      <c r="F100" s="62" t="s">
        <v>389</v>
      </c>
      <c r="G100" s="62" t="s">
        <v>390</v>
      </c>
      <c r="H100" s="62" t="s">
        <v>390</v>
      </c>
      <c r="I100" s="62" t="s">
        <v>389</v>
      </c>
      <c r="J100" s="65"/>
      <c r="K100" s="62" t="s">
        <v>275</v>
      </c>
      <c r="L100" s="62" t="s">
        <v>389</v>
      </c>
      <c r="M100" s="62" t="s">
        <v>390</v>
      </c>
      <c r="N100" s="62"/>
      <c r="O100" s="62" t="s">
        <v>389</v>
      </c>
      <c r="P100" s="62" t="s">
        <v>390</v>
      </c>
      <c r="Q100" s="62" t="s">
        <v>390</v>
      </c>
      <c r="R100" s="62" t="s">
        <v>277</v>
      </c>
      <c r="S100" s="62" t="s">
        <v>390</v>
      </c>
      <c r="T100" s="65"/>
      <c r="U100" s="62"/>
      <c r="V100" s="65"/>
      <c r="W100" s="65"/>
      <c r="X100" s="63" t="n">
        <v>0</v>
      </c>
      <c r="Y100" s="62" t="s">
        <v>390</v>
      </c>
      <c r="Z100" s="62" t="s">
        <v>389</v>
      </c>
      <c r="AA100" s="62" t="s">
        <v>265</v>
      </c>
      <c r="AB100" s="62" t="s">
        <v>275</v>
      </c>
      <c r="AC100" s="65" t="n">
        <v>26.6</v>
      </c>
      <c r="AD100" s="63" t="n">
        <v>1</v>
      </c>
      <c r="AE100" s="63" t="n">
        <v>19</v>
      </c>
      <c r="AF100" s="63" t="n">
        <v>0</v>
      </c>
      <c r="AG100" s="62" t="s">
        <v>390</v>
      </c>
      <c r="AH100" s="62"/>
      <c r="AI100" s="63" t="n">
        <v>0</v>
      </c>
      <c r="AJ100" s="62" t="s">
        <v>147</v>
      </c>
      <c r="AK100" s="62" t="s">
        <v>407</v>
      </c>
      <c r="AL100" s="62"/>
      <c r="AM100" s="62"/>
      <c r="AN100" s="65"/>
      <c r="AO100" s="62" t="s">
        <v>390</v>
      </c>
      <c r="AP100" s="62"/>
      <c r="AQ100" s="62" t="s">
        <v>390</v>
      </c>
      <c r="AR100" s="66"/>
      <c r="AS100" s="62"/>
      <c r="AT100" s="65"/>
      <c r="AU100" s="62" t="s">
        <v>395</v>
      </c>
    </row>
    <row r="101" customFormat="false" ht="15" hidden="false" customHeight="false" outlineLevel="0" collapsed="false">
      <c r="A101" s="62" t="s">
        <v>388</v>
      </c>
      <c r="B101" s="63" t="n">
        <v>1893</v>
      </c>
      <c r="C101" s="64" t="n">
        <v>46309.7446924306</v>
      </c>
      <c r="D101" s="62" t="s">
        <v>73</v>
      </c>
      <c r="E101" s="63" t="n">
        <v>17</v>
      </c>
      <c r="F101" s="62" t="s">
        <v>389</v>
      </c>
      <c r="G101" s="62" t="s">
        <v>389</v>
      </c>
      <c r="H101" s="62" t="s">
        <v>389</v>
      </c>
      <c r="I101" s="62" t="s">
        <v>389</v>
      </c>
      <c r="J101" s="65" t="n">
        <v>0.3</v>
      </c>
      <c r="K101" s="62" t="s">
        <v>277</v>
      </c>
      <c r="L101" s="62" t="s">
        <v>389</v>
      </c>
      <c r="M101" s="62" t="s">
        <v>390</v>
      </c>
      <c r="N101" s="62"/>
      <c r="O101" s="62" t="s">
        <v>389</v>
      </c>
      <c r="P101" s="62" t="s">
        <v>389</v>
      </c>
      <c r="Q101" s="62" t="s">
        <v>389</v>
      </c>
      <c r="R101" s="62" t="s">
        <v>278</v>
      </c>
      <c r="S101" s="62" t="s">
        <v>390</v>
      </c>
      <c r="T101" s="65" t="n">
        <v>1354.1</v>
      </c>
      <c r="U101" s="62" t="s">
        <v>278</v>
      </c>
      <c r="V101" s="65" t="n">
        <v>0.5</v>
      </c>
      <c r="W101" s="65" t="n">
        <v>2.1</v>
      </c>
      <c r="X101" s="63" t="n">
        <v>0</v>
      </c>
      <c r="Y101" s="62" t="s">
        <v>390</v>
      </c>
      <c r="Z101" s="62" t="s">
        <v>389</v>
      </c>
      <c r="AA101" s="62" t="s">
        <v>410</v>
      </c>
      <c r="AB101" s="62" t="s">
        <v>278</v>
      </c>
      <c r="AC101" s="65" t="n">
        <v>22.6</v>
      </c>
      <c r="AD101" s="63" t="n">
        <v>19</v>
      </c>
      <c r="AE101" s="63" t="n">
        <v>17</v>
      </c>
      <c r="AF101" s="63" t="n">
        <v>12</v>
      </c>
      <c r="AG101" s="62" t="s">
        <v>389</v>
      </c>
      <c r="AH101" s="62" t="s">
        <v>396</v>
      </c>
      <c r="AI101" s="63" t="n">
        <v>0</v>
      </c>
      <c r="AJ101" s="62" t="s">
        <v>152</v>
      </c>
      <c r="AK101" s="62" t="s">
        <v>407</v>
      </c>
      <c r="AL101" s="62"/>
      <c r="AM101" s="62"/>
      <c r="AN101" s="65"/>
      <c r="AO101" s="62" t="s">
        <v>390</v>
      </c>
      <c r="AP101" s="62"/>
      <c r="AQ101" s="62" t="s">
        <v>390</v>
      </c>
      <c r="AR101" s="66"/>
      <c r="AS101" s="62"/>
      <c r="AT101" s="65"/>
      <c r="AU101" s="62" t="s">
        <v>405</v>
      </c>
    </row>
    <row r="102" customFormat="false" ht="15" hidden="false" customHeight="false" outlineLevel="0" collapsed="false">
      <c r="A102" s="62" t="s">
        <v>388</v>
      </c>
      <c r="B102" s="63" t="n">
        <v>1898</v>
      </c>
      <c r="C102" s="64" t="n">
        <v>46309.7667554745</v>
      </c>
      <c r="D102" s="62" t="s">
        <v>73</v>
      </c>
      <c r="E102" s="63" t="n">
        <v>18</v>
      </c>
      <c r="F102" s="62" t="s">
        <v>389</v>
      </c>
      <c r="G102" s="62" t="s">
        <v>389</v>
      </c>
      <c r="H102" s="62" t="s">
        <v>389</v>
      </c>
      <c r="I102" s="62" t="s">
        <v>389</v>
      </c>
      <c r="J102" s="65" t="n">
        <v>0.3</v>
      </c>
      <c r="K102" s="62" t="s">
        <v>279</v>
      </c>
      <c r="L102" s="62" t="s">
        <v>389</v>
      </c>
      <c r="M102" s="62" t="s">
        <v>390</v>
      </c>
      <c r="N102" s="62"/>
      <c r="O102" s="62" t="s">
        <v>389</v>
      </c>
      <c r="P102" s="62" t="s">
        <v>390</v>
      </c>
      <c r="Q102" s="62" t="s">
        <v>390</v>
      </c>
      <c r="R102" s="62" t="s">
        <v>279</v>
      </c>
      <c r="S102" s="62" t="s">
        <v>390</v>
      </c>
      <c r="T102" s="65"/>
      <c r="U102" s="62"/>
      <c r="V102" s="65" t="n">
        <v>1.1</v>
      </c>
      <c r="W102" s="65"/>
      <c r="X102" s="63" t="n">
        <v>1</v>
      </c>
      <c r="Y102" s="62" t="s">
        <v>390</v>
      </c>
      <c r="Z102" s="62" t="s">
        <v>390</v>
      </c>
      <c r="AA102" s="62"/>
      <c r="AB102" s="62"/>
      <c r="AC102" s="65"/>
      <c r="AD102" s="63" t="n">
        <v>2</v>
      </c>
      <c r="AE102" s="63" t="n">
        <v>13</v>
      </c>
      <c r="AF102" s="63" t="n">
        <v>0</v>
      </c>
      <c r="AG102" s="62" t="s">
        <v>390</v>
      </c>
      <c r="AH102" s="62"/>
      <c r="AI102" s="63" t="n">
        <v>0</v>
      </c>
      <c r="AJ102" s="62" t="s">
        <v>148</v>
      </c>
      <c r="AK102" s="62" t="s">
        <v>407</v>
      </c>
      <c r="AL102" s="62"/>
      <c r="AM102" s="62"/>
      <c r="AN102" s="65"/>
      <c r="AO102" s="62" t="s">
        <v>390</v>
      </c>
      <c r="AP102" s="62"/>
      <c r="AQ102" s="62" t="s">
        <v>390</v>
      </c>
      <c r="AR102" s="66"/>
      <c r="AS102" s="62"/>
      <c r="AT102" s="65"/>
      <c r="AU102" s="62" t="s">
        <v>405</v>
      </c>
    </row>
    <row r="103" customFormat="false" ht="15" hidden="false" customHeight="false" outlineLevel="0" collapsed="false">
      <c r="A103" s="62" t="s">
        <v>388</v>
      </c>
      <c r="B103" s="63" t="n">
        <v>1908</v>
      </c>
      <c r="C103" s="64" t="n">
        <v>46309.8181179861</v>
      </c>
      <c r="D103" s="62" t="s">
        <v>73</v>
      </c>
      <c r="E103" s="63" t="n">
        <v>19</v>
      </c>
      <c r="F103" s="62" t="s">
        <v>389</v>
      </c>
      <c r="G103" s="62" t="s">
        <v>389</v>
      </c>
      <c r="H103" s="62" t="s">
        <v>389</v>
      </c>
      <c r="I103" s="62" t="s">
        <v>389</v>
      </c>
      <c r="J103" s="65" t="n">
        <v>1</v>
      </c>
      <c r="K103" s="62" t="s">
        <v>278</v>
      </c>
      <c r="L103" s="62" t="s">
        <v>389</v>
      </c>
      <c r="M103" s="62" t="s">
        <v>390</v>
      </c>
      <c r="N103" s="62"/>
      <c r="O103" s="62" t="s">
        <v>390</v>
      </c>
      <c r="P103" s="62" t="s">
        <v>390</v>
      </c>
      <c r="Q103" s="62" t="s">
        <v>390</v>
      </c>
      <c r="R103" s="62" t="s">
        <v>278</v>
      </c>
      <c r="S103" s="62" t="s">
        <v>390</v>
      </c>
      <c r="T103" s="65" t="n">
        <v>8.2</v>
      </c>
      <c r="U103" s="62" t="s">
        <v>278</v>
      </c>
      <c r="V103" s="65" t="n">
        <v>7.7</v>
      </c>
      <c r="W103" s="65" t="n">
        <v>1.2</v>
      </c>
      <c r="X103" s="63" t="n">
        <v>0</v>
      </c>
      <c r="Y103" s="62" t="s">
        <v>390</v>
      </c>
      <c r="Z103" s="62" t="s">
        <v>390</v>
      </c>
      <c r="AA103" s="62"/>
      <c r="AB103" s="62"/>
      <c r="AC103" s="65"/>
      <c r="AD103" s="63" t="n">
        <v>3</v>
      </c>
      <c r="AE103" s="63" t="n">
        <v>7</v>
      </c>
      <c r="AF103" s="63" t="n">
        <v>4</v>
      </c>
      <c r="AG103" s="62" t="s">
        <v>390</v>
      </c>
      <c r="AH103" s="62"/>
      <c r="AI103" s="63" t="n">
        <v>0</v>
      </c>
      <c r="AJ103" s="62" t="s">
        <v>149</v>
      </c>
      <c r="AK103" s="62" t="s">
        <v>392</v>
      </c>
      <c r="AL103" s="62" t="s">
        <v>393</v>
      </c>
      <c r="AM103" s="62" t="s">
        <v>403</v>
      </c>
      <c r="AN103" s="65" t="n">
        <v>20.6</v>
      </c>
      <c r="AO103" s="62" t="s">
        <v>389</v>
      </c>
      <c r="AP103" s="62" t="s">
        <v>390</v>
      </c>
      <c r="AQ103" s="62" t="s">
        <v>390</v>
      </c>
      <c r="AR103" s="66"/>
      <c r="AS103" s="62"/>
      <c r="AT103" s="65"/>
      <c r="AU103" s="62" t="s">
        <v>395</v>
      </c>
    </row>
    <row r="104" customFormat="false" ht="15" hidden="false" customHeight="false" outlineLevel="0" collapsed="false">
      <c r="A104" s="62" t="s">
        <v>388</v>
      </c>
      <c r="B104" s="63" t="n">
        <v>1912</v>
      </c>
      <c r="C104" s="64" t="n">
        <v>46309.834829456</v>
      </c>
      <c r="D104" s="62" t="s">
        <v>73</v>
      </c>
      <c r="E104" s="63" t="n">
        <v>20</v>
      </c>
      <c r="F104" s="62" t="s">
        <v>389</v>
      </c>
      <c r="G104" s="62" t="s">
        <v>390</v>
      </c>
      <c r="H104" s="62" t="s">
        <v>390</v>
      </c>
      <c r="I104" s="62" t="s">
        <v>389</v>
      </c>
      <c r="J104" s="65"/>
      <c r="K104" s="62" t="s">
        <v>275</v>
      </c>
      <c r="L104" s="62" t="s">
        <v>389</v>
      </c>
      <c r="M104" s="62" t="s">
        <v>389</v>
      </c>
      <c r="N104" s="62" t="s">
        <v>303</v>
      </c>
      <c r="O104" s="62" t="s">
        <v>389</v>
      </c>
      <c r="P104" s="62" t="s">
        <v>389</v>
      </c>
      <c r="Q104" s="62" t="s">
        <v>390</v>
      </c>
      <c r="R104" s="62" t="s">
        <v>278</v>
      </c>
      <c r="S104" s="62" t="s">
        <v>390</v>
      </c>
      <c r="T104" s="65" t="n">
        <v>68.9</v>
      </c>
      <c r="U104" s="62" t="s">
        <v>278</v>
      </c>
      <c r="V104" s="65" t="n">
        <v>68.9</v>
      </c>
      <c r="W104" s="65" t="n">
        <v>2.4</v>
      </c>
      <c r="X104" s="63" t="n">
        <v>0</v>
      </c>
      <c r="Y104" s="62" t="s">
        <v>389</v>
      </c>
      <c r="Z104" s="62" t="s">
        <v>390</v>
      </c>
      <c r="AA104" s="62"/>
      <c r="AB104" s="62"/>
      <c r="AC104" s="65"/>
      <c r="AD104" s="63" t="n">
        <v>5</v>
      </c>
      <c r="AE104" s="63" t="n">
        <v>16</v>
      </c>
      <c r="AF104" s="63" t="n">
        <v>5</v>
      </c>
      <c r="AG104" s="62" t="s">
        <v>389</v>
      </c>
      <c r="AH104" s="62" t="s">
        <v>409</v>
      </c>
      <c r="AI104" s="63" t="n">
        <v>0</v>
      </c>
      <c r="AJ104" s="62" t="s">
        <v>150</v>
      </c>
      <c r="AK104" s="62" t="s">
        <v>407</v>
      </c>
      <c r="AL104" s="62"/>
      <c r="AM104" s="62"/>
      <c r="AN104" s="65"/>
      <c r="AO104" s="62" t="s">
        <v>390</v>
      </c>
      <c r="AP104" s="62"/>
      <c r="AQ104" s="62" t="s">
        <v>390</v>
      </c>
      <c r="AR104" s="66"/>
      <c r="AS104" s="62"/>
      <c r="AT104" s="65"/>
      <c r="AU104" s="62" t="s">
        <v>395</v>
      </c>
    </row>
    <row r="105" customFormat="false" ht="15" hidden="false" customHeight="false" outlineLevel="0" collapsed="false">
      <c r="A105" s="62" t="s">
        <v>388</v>
      </c>
      <c r="B105" s="63" t="n">
        <v>1927</v>
      </c>
      <c r="C105" s="64" t="n">
        <v>46309.9172760532</v>
      </c>
      <c r="D105" s="62" t="s">
        <v>73</v>
      </c>
      <c r="E105" s="63" t="n">
        <v>22</v>
      </c>
      <c r="F105" s="62" t="s">
        <v>390</v>
      </c>
      <c r="G105" s="62" t="s">
        <v>389</v>
      </c>
      <c r="H105" s="62" t="s">
        <v>389</v>
      </c>
      <c r="I105" s="62" t="s">
        <v>389</v>
      </c>
      <c r="J105" s="65" t="n">
        <v>1.3</v>
      </c>
      <c r="K105" s="62" t="s">
        <v>279</v>
      </c>
      <c r="L105" s="62" t="s">
        <v>389</v>
      </c>
      <c r="M105" s="62" t="s">
        <v>389</v>
      </c>
      <c r="N105" s="62" t="s">
        <v>307</v>
      </c>
      <c r="O105" s="62" t="s">
        <v>389</v>
      </c>
      <c r="P105" s="62" t="s">
        <v>389</v>
      </c>
      <c r="Q105" s="62" t="s">
        <v>390</v>
      </c>
      <c r="R105" s="62" t="s">
        <v>277</v>
      </c>
      <c r="S105" s="62" t="s">
        <v>390</v>
      </c>
      <c r="T105" s="65" t="n">
        <v>11.4</v>
      </c>
      <c r="U105" s="62" t="s">
        <v>277</v>
      </c>
      <c r="V105" s="65" t="n">
        <v>1.7</v>
      </c>
      <c r="W105" s="65" t="n">
        <v>11</v>
      </c>
      <c r="X105" s="63" t="n">
        <v>0</v>
      </c>
      <c r="Y105" s="62" t="s">
        <v>389</v>
      </c>
      <c r="Z105" s="62" t="s">
        <v>390</v>
      </c>
      <c r="AA105" s="62"/>
      <c r="AB105" s="62"/>
      <c r="AC105" s="65"/>
      <c r="AD105" s="63" t="n">
        <v>4</v>
      </c>
      <c r="AE105" s="63" t="n">
        <v>15</v>
      </c>
      <c r="AF105" s="63" t="n">
        <v>4</v>
      </c>
      <c r="AG105" s="62" t="s">
        <v>390</v>
      </c>
      <c r="AH105" s="62"/>
      <c r="AI105" s="63" t="n">
        <v>0</v>
      </c>
      <c r="AJ105" s="62" t="s">
        <v>149</v>
      </c>
      <c r="AK105" s="62" t="s">
        <v>407</v>
      </c>
      <c r="AL105" s="62"/>
      <c r="AM105" s="62"/>
      <c r="AN105" s="65"/>
      <c r="AO105" s="62" t="s">
        <v>390</v>
      </c>
      <c r="AP105" s="62"/>
      <c r="AQ105" s="62" t="s">
        <v>390</v>
      </c>
      <c r="AR105" s="66"/>
      <c r="AS105" s="62"/>
      <c r="AT105" s="65"/>
      <c r="AU105" s="62" t="s">
        <v>405</v>
      </c>
    </row>
    <row r="106" customFormat="false" ht="15" hidden="false" customHeight="false" outlineLevel="0" collapsed="false">
      <c r="A106" s="62" t="s">
        <v>388</v>
      </c>
      <c r="B106" s="63" t="n">
        <v>1933</v>
      </c>
      <c r="C106" s="64" t="n">
        <v>46309.9599038773</v>
      </c>
      <c r="D106" s="62" t="s">
        <v>73</v>
      </c>
      <c r="E106" s="63" t="n">
        <v>23</v>
      </c>
      <c r="F106" s="62" t="s">
        <v>390</v>
      </c>
      <c r="G106" s="62" t="s">
        <v>389</v>
      </c>
      <c r="H106" s="62" t="s">
        <v>389</v>
      </c>
      <c r="I106" s="62" t="s">
        <v>389</v>
      </c>
      <c r="J106" s="65" t="n">
        <v>481.9</v>
      </c>
      <c r="K106" s="62" t="s">
        <v>277</v>
      </c>
      <c r="L106" s="62" t="s">
        <v>389</v>
      </c>
      <c r="M106" s="62" t="s">
        <v>390</v>
      </c>
      <c r="N106" s="62"/>
      <c r="O106" s="62" t="s">
        <v>389</v>
      </c>
      <c r="P106" s="62" t="s">
        <v>390</v>
      </c>
      <c r="Q106" s="62" t="s">
        <v>390</v>
      </c>
      <c r="R106" s="62" t="s">
        <v>277</v>
      </c>
      <c r="S106" s="62" t="s">
        <v>390</v>
      </c>
      <c r="T106" s="65"/>
      <c r="U106" s="62"/>
      <c r="V106" s="65" t="n">
        <v>482.1</v>
      </c>
      <c r="W106" s="65"/>
      <c r="X106" s="63" t="n">
        <v>1</v>
      </c>
      <c r="Y106" s="62" t="s">
        <v>390</v>
      </c>
      <c r="Z106" s="62" t="s">
        <v>390</v>
      </c>
      <c r="AA106" s="62"/>
      <c r="AB106" s="62"/>
      <c r="AC106" s="65"/>
      <c r="AD106" s="63" t="n">
        <v>2</v>
      </c>
      <c r="AE106" s="63" t="n">
        <v>13</v>
      </c>
      <c r="AF106" s="63" t="n">
        <v>0</v>
      </c>
      <c r="AG106" s="62" t="s">
        <v>390</v>
      </c>
      <c r="AH106" s="62"/>
      <c r="AI106" s="63" t="n">
        <v>0</v>
      </c>
      <c r="AJ106" s="62" t="s">
        <v>148</v>
      </c>
      <c r="AK106" s="62" t="s">
        <v>407</v>
      </c>
      <c r="AL106" s="62"/>
      <c r="AM106" s="62"/>
      <c r="AN106" s="65"/>
      <c r="AO106" s="62" t="s">
        <v>390</v>
      </c>
      <c r="AP106" s="62"/>
      <c r="AQ106" s="62" t="s">
        <v>390</v>
      </c>
      <c r="AR106" s="66"/>
      <c r="AS106" s="62"/>
      <c r="AT106" s="65"/>
      <c r="AU106" s="62" t="s">
        <v>405</v>
      </c>
    </row>
    <row r="107" customFormat="false" ht="15" hidden="false" customHeight="false" outlineLevel="0" collapsed="false">
      <c r="A107" s="62" t="s">
        <v>388</v>
      </c>
      <c r="B107" s="63" t="n">
        <v>1947</v>
      </c>
      <c r="C107" s="64" t="n">
        <v>46310.2925727315</v>
      </c>
      <c r="D107" s="62" t="s">
        <v>73</v>
      </c>
      <c r="E107" s="63" t="n">
        <v>7</v>
      </c>
      <c r="F107" s="62" t="s">
        <v>390</v>
      </c>
      <c r="G107" s="62" t="s">
        <v>389</v>
      </c>
      <c r="H107" s="62" t="s">
        <v>389</v>
      </c>
      <c r="I107" s="62" t="s">
        <v>389</v>
      </c>
      <c r="J107" s="65" t="n">
        <v>3.1</v>
      </c>
      <c r="K107" s="62" t="s">
        <v>277</v>
      </c>
      <c r="L107" s="62" t="s">
        <v>389</v>
      </c>
      <c r="M107" s="62" t="s">
        <v>389</v>
      </c>
      <c r="N107" s="62" t="s">
        <v>304</v>
      </c>
      <c r="O107" s="62" t="s">
        <v>390</v>
      </c>
      <c r="P107" s="62" t="s">
        <v>389</v>
      </c>
      <c r="Q107" s="62" t="s">
        <v>390</v>
      </c>
      <c r="R107" s="62" t="s">
        <v>277</v>
      </c>
      <c r="S107" s="62" t="s">
        <v>390</v>
      </c>
      <c r="T107" s="65" t="n">
        <v>35.6</v>
      </c>
      <c r="U107" s="62" t="s">
        <v>277</v>
      </c>
      <c r="V107" s="65" t="n">
        <v>13.3</v>
      </c>
      <c r="W107" s="65" t="n">
        <v>0.9</v>
      </c>
      <c r="X107" s="63" t="n">
        <v>0</v>
      </c>
      <c r="Y107" s="62" t="s">
        <v>389</v>
      </c>
      <c r="Z107" s="62" t="s">
        <v>390</v>
      </c>
      <c r="AA107" s="62"/>
      <c r="AB107" s="62"/>
      <c r="AC107" s="65"/>
      <c r="AD107" s="63" t="n">
        <v>9</v>
      </c>
      <c r="AE107" s="63" t="n">
        <v>10</v>
      </c>
      <c r="AF107" s="63" t="n">
        <v>16</v>
      </c>
      <c r="AG107" s="62" t="s">
        <v>390</v>
      </c>
      <c r="AH107" s="62"/>
      <c r="AI107" s="63" t="n">
        <v>0</v>
      </c>
      <c r="AJ107" s="62" t="s">
        <v>151</v>
      </c>
      <c r="AK107" s="62" t="s">
        <v>407</v>
      </c>
      <c r="AL107" s="62"/>
      <c r="AM107" s="62"/>
      <c r="AN107" s="65"/>
      <c r="AO107" s="62" t="s">
        <v>390</v>
      </c>
      <c r="AP107" s="62"/>
      <c r="AQ107" s="62" t="s">
        <v>390</v>
      </c>
      <c r="AR107" s="66"/>
      <c r="AS107" s="62"/>
      <c r="AT107" s="65"/>
      <c r="AU107" s="62" t="s">
        <v>405</v>
      </c>
    </row>
    <row r="108" customFormat="false" ht="15" hidden="false" customHeight="false" outlineLevel="0" collapsed="false">
      <c r="A108" s="62" t="s">
        <v>388</v>
      </c>
      <c r="B108" s="63" t="n">
        <v>1972</v>
      </c>
      <c r="C108" s="64" t="n">
        <v>46310.4308428241</v>
      </c>
      <c r="D108" s="62" t="s">
        <v>73</v>
      </c>
      <c r="E108" s="63" t="n">
        <v>10</v>
      </c>
      <c r="F108" s="62" t="s">
        <v>389</v>
      </c>
      <c r="G108" s="62" t="s">
        <v>389</v>
      </c>
      <c r="H108" s="62" t="s">
        <v>389</v>
      </c>
      <c r="I108" s="62" t="s">
        <v>389</v>
      </c>
      <c r="J108" s="65" t="n">
        <v>1.1</v>
      </c>
      <c r="K108" s="62" t="s">
        <v>276</v>
      </c>
      <c r="L108" s="62" t="s">
        <v>389</v>
      </c>
      <c r="M108" s="62" t="s">
        <v>390</v>
      </c>
      <c r="N108" s="62"/>
      <c r="O108" s="62" t="s">
        <v>389</v>
      </c>
      <c r="P108" s="62" t="s">
        <v>390</v>
      </c>
      <c r="Q108" s="62" t="s">
        <v>390</v>
      </c>
      <c r="R108" s="62" t="s">
        <v>277</v>
      </c>
      <c r="S108" s="62" t="s">
        <v>389</v>
      </c>
      <c r="T108" s="65"/>
      <c r="U108" s="62"/>
      <c r="V108" s="65" t="n">
        <v>1.5</v>
      </c>
      <c r="W108" s="65"/>
      <c r="X108" s="63" t="n">
        <v>1</v>
      </c>
      <c r="Y108" s="62" t="s">
        <v>390</v>
      </c>
      <c r="Z108" s="62" t="s">
        <v>390</v>
      </c>
      <c r="AA108" s="62"/>
      <c r="AB108" s="62"/>
      <c r="AC108" s="65"/>
      <c r="AD108" s="63" t="n">
        <v>2</v>
      </c>
      <c r="AE108" s="63" t="n">
        <v>13</v>
      </c>
      <c r="AF108" s="63" t="n">
        <v>0</v>
      </c>
      <c r="AG108" s="62" t="s">
        <v>389</v>
      </c>
      <c r="AH108" s="62" t="s">
        <v>398</v>
      </c>
      <c r="AI108" s="63" t="n">
        <v>0</v>
      </c>
      <c r="AJ108" s="62" t="s">
        <v>148</v>
      </c>
      <c r="AK108" s="62" t="s">
        <v>407</v>
      </c>
      <c r="AL108" s="62"/>
      <c r="AM108" s="62"/>
      <c r="AN108" s="65"/>
      <c r="AO108" s="62" t="s">
        <v>390</v>
      </c>
      <c r="AP108" s="62"/>
      <c r="AQ108" s="62" t="s">
        <v>390</v>
      </c>
      <c r="AR108" s="66"/>
      <c r="AS108" s="62"/>
      <c r="AT108" s="65"/>
      <c r="AU108" s="62" t="s">
        <v>405</v>
      </c>
    </row>
    <row r="109" customFormat="false" ht="15" hidden="false" customHeight="false" outlineLevel="0" collapsed="false">
      <c r="A109" s="62" t="s">
        <v>388</v>
      </c>
      <c r="B109" s="63" t="n">
        <v>1992</v>
      </c>
      <c r="C109" s="64" t="n">
        <v>46310.5086534954</v>
      </c>
      <c r="D109" s="62" t="s">
        <v>73</v>
      </c>
      <c r="E109" s="63" t="n">
        <v>12</v>
      </c>
      <c r="F109" s="62" t="s">
        <v>389</v>
      </c>
      <c r="G109" s="62" t="s">
        <v>389</v>
      </c>
      <c r="H109" s="62" t="s">
        <v>389</v>
      </c>
      <c r="I109" s="62" t="s">
        <v>389</v>
      </c>
      <c r="J109" s="65" t="n">
        <v>0.2</v>
      </c>
      <c r="K109" s="62" t="s">
        <v>276</v>
      </c>
      <c r="L109" s="62" t="s">
        <v>389</v>
      </c>
      <c r="M109" s="62" t="s">
        <v>389</v>
      </c>
      <c r="N109" s="62" t="s">
        <v>303</v>
      </c>
      <c r="O109" s="62" t="s">
        <v>389</v>
      </c>
      <c r="P109" s="62" t="s">
        <v>390</v>
      </c>
      <c r="Q109" s="62" t="s">
        <v>390</v>
      </c>
      <c r="R109" s="62" t="s">
        <v>277</v>
      </c>
      <c r="S109" s="62" t="s">
        <v>389</v>
      </c>
      <c r="T109" s="65" t="n">
        <v>7.2</v>
      </c>
      <c r="U109" s="62" t="s">
        <v>276</v>
      </c>
      <c r="V109" s="65" t="n">
        <v>0.4</v>
      </c>
      <c r="W109" s="65" t="n">
        <v>4.9</v>
      </c>
      <c r="X109" s="63" t="n">
        <v>0</v>
      </c>
      <c r="Y109" s="62" t="s">
        <v>389</v>
      </c>
      <c r="Z109" s="62" t="s">
        <v>390</v>
      </c>
      <c r="AA109" s="62"/>
      <c r="AB109" s="62"/>
      <c r="AC109" s="65"/>
      <c r="AD109" s="63" t="n">
        <v>3</v>
      </c>
      <c r="AE109" s="63" t="n">
        <v>13</v>
      </c>
      <c r="AF109" s="63" t="n">
        <v>5</v>
      </c>
      <c r="AG109" s="62" t="s">
        <v>390</v>
      </c>
      <c r="AH109" s="62"/>
      <c r="AI109" s="63" t="n">
        <v>0</v>
      </c>
      <c r="AJ109" s="62" t="s">
        <v>149</v>
      </c>
      <c r="AK109" s="62" t="s">
        <v>407</v>
      </c>
      <c r="AL109" s="62"/>
      <c r="AM109" s="62"/>
      <c r="AN109" s="65"/>
      <c r="AO109" s="62" t="s">
        <v>390</v>
      </c>
      <c r="AP109" s="62"/>
      <c r="AQ109" s="62" t="s">
        <v>390</v>
      </c>
      <c r="AR109" s="66"/>
      <c r="AS109" s="62"/>
      <c r="AT109" s="65"/>
      <c r="AU109" s="62" t="s">
        <v>405</v>
      </c>
    </row>
    <row r="110" customFormat="false" ht="15" hidden="false" customHeight="false" outlineLevel="0" collapsed="false">
      <c r="A110" s="62" t="s">
        <v>388</v>
      </c>
      <c r="B110" s="63" t="n">
        <v>2005</v>
      </c>
      <c r="C110" s="64" t="n">
        <v>46310.5665602199</v>
      </c>
      <c r="D110" s="62" t="s">
        <v>73</v>
      </c>
      <c r="E110" s="63" t="n">
        <v>13</v>
      </c>
      <c r="F110" s="62" t="s">
        <v>389</v>
      </c>
      <c r="G110" s="62" t="s">
        <v>389</v>
      </c>
      <c r="H110" s="62" t="s">
        <v>389</v>
      </c>
      <c r="I110" s="62" t="s">
        <v>389</v>
      </c>
      <c r="J110" s="65" t="n">
        <v>0.2</v>
      </c>
      <c r="K110" s="62" t="s">
        <v>278</v>
      </c>
      <c r="L110" s="62" t="s">
        <v>389</v>
      </c>
      <c r="M110" s="62" t="s">
        <v>389</v>
      </c>
      <c r="N110" s="62" t="s">
        <v>306</v>
      </c>
      <c r="O110" s="62" t="s">
        <v>389</v>
      </c>
      <c r="P110" s="62" t="s">
        <v>390</v>
      </c>
      <c r="Q110" s="62" t="s">
        <v>390</v>
      </c>
      <c r="R110" s="62" t="s">
        <v>278</v>
      </c>
      <c r="S110" s="62" t="s">
        <v>389</v>
      </c>
      <c r="T110" s="65" t="n">
        <v>7</v>
      </c>
      <c r="U110" s="62" t="s">
        <v>278</v>
      </c>
      <c r="V110" s="65" t="n">
        <v>0.5</v>
      </c>
      <c r="W110" s="65" t="n">
        <v>3.4</v>
      </c>
      <c r="X110" s="63" t="n">
        <v>0</v>
      </c>
      <c r="Y110" s="62" t="s">
        <v>389</v>
      </c>
      <c r="Z110" s="62" t="s">
        <v>390</v>
      </c>
      <c r="AA110" s="62"/>
      <c r="AB110" s="62"/>
      <c r="AC110" s="65"/>
      <c r="AD110" s="63" t="n">
        <v>4</v>
      </c>
      <c r="AE110" s="63" t="n">
        <v>13</v>
      </c>
      <c r="AF110" s="63" t="n">
        <v>5</v>
      </c>
      <c r="AG110" s="62" t="s">
        <v>390</v>
      </c>
      <c r="AH110" s="62"/>
      <c r="AI110" s="63" t="n">
        <v>0</v>
      </c>
      <c r="AJ110" s="62" t="s">
        <v>149</v>
      </c>
      <c r="AK110" s="62" t="s">
        <v>407</v>
      </c>
      <c r="AL110" s="62"/>
      <c r="AM110" s="62"/>
      <c r="AN110" s="65"/>
      <c r="AO110" s="62" t="s">
        <v>390</v>
      </c>
      <c r="AP110" s="62"/>
      <c r="AQ110" s="62" t="s">
        <v>390</v>
      </c>
      <c r="AR110" s="66"/>
      <c r="AS110" s="62"/>
      <c r="AT110" s="65"/>
      <c r="AU110" s="62" t="s">
        <v>405</v>
      </c>
    </row>
    <row r="111" customFormat="false" ht="15" hidden="false" customHeight="false" outlineLevel="0" collapsed="false">
      <c r="A111" s="62" t="s">
        <v>388</v>
      </c>
      <c r="B111" s="63" t="n">
        <v>2076</v>
      </c>
      <c r="C111" s="64" t="n">
        <v>46310.843881169</v>
      </c>
      <c r="D111" s="62" t="s">
        <v>73</v>
      </c>
      <c r="E111" s="63" t="n">
        <v>20</v>
      </c>
      <c r="F111" s="62" t="s">
        <v>389</v>
      </c>
      <c r="G111" s="62" t="s">
        <v>389</v>
      </c>
      <c r="H111" s="62" t="s">
        <v>389</v>
      </c>
      <c r="I111" s="62" t="s">
        <v>389</v>
      </c>
      <c r="J111" s="65" t="n">
        <v>1</v>
      </c>
      <c r="K111" s="62" t="s">
        <v>278</v>
      </c>
      <c r="L111" s="62" t="s">
        <v>389</v>
      </c>
      <c r="M111" s="62" t="s">
        <v>390</v>
      </c>
      <c r="N111" s="62"/>
      <c r="O111" s="62" t="s">
        <v>389</v>
      </c>
      <c r="P111" s="62" t="s">
        <v>390</v>
      </c>
      <c r="Q111" s="62" t="s">
        <v>390</v>
      </c>
      <c r="R111" s="62" t="s">
        <v>277</v>
      </c>
      <c r="S111" s="62" t="s">
        <v>390</v>
      </c>
      <c r="T111" s="65"/>
      <c r="U111" s="62"/>
      <c r="V111" s="65" t="n">
        <v>1.2</v>
      </c>
      <c r="W111" s="65"/>
      <c r="X111" s="63" t="n">
        <v>1</v>
      </c>
      <c r="Y111" s="62" t="s">
        <v>390</v>
      </c>
      <c r="Z111" s="62" t="s">
        <v>390</v>
      </c>
      <c r="AA111" s="62"/>
      <c r="AB111" s="62"/>
      <c r="AC111" s="65"/>
      <c r="AD111" s="63" t="n">
        <v>2</v>
      </c>
      <c r="AE111" s="63" t="n">
        <v>8</v>
      </c>
      <c r="AF111" s="63" t="n">
        <v>0</v>
      </c>
      <c r="AG111" s="62" t="s">
        <v>389</v>
      </c>
      <c r="AH111" s="62" t="s">
        <v>398</v>
      </c>
      <c r="AI111" s="63" t="n">
        <v>0</v>
      </c>
      <c r="AJ111" s="62" t="s">
        <v>148</v>
      </c>
      <c r="AK111" s="62" t="s">
        <v>407</v>
      </c>
      <c r="AL111" s="62"/>
      <c r="AM111" s="62"/>
      <c r="AN111" s="65"/>
      <c r="AO111" s="62" t="s">
        <v>390</v>
      </c>
      <c r="AP111" s="62"/>
      <c r="AQ111" s="62" t="s">
        <v>390</v>
      </c>
      <c r="AR111" s="66"/>
      <c r="AS111" s="62"/>
      <c r="AT111" s="65"/>
      <c r="AU111" s="62" t="s">
        <v>405</v>
      </c>
    </row>
    <row r="112" customFormat="false" ht="15" hidden="false" customHeight="false" outlineLevel="0" collapsed="false">
      <c r="A112" s="62" t="s">
        <v>388</v>
      </c>
      <c r="B112" s="63" t="n">
        <v>2080</v>
      </c>
      <c r="C112" s="64" t="n">
        <v>46310.8603818056</v>
      </c>
      <c r="D112" s="62" t="s">
        <v>73</v>
      </c>
      <c r="E112" s="63" t="n">
        <v>20</v>
      </c>
      <c r="F112" s="62" t="s">
        <v>389</v>
      </c>
      <c r="G112" s="62" t="s">
        <v>390</v>
      </c>
      <c r="H112" s="62" t="s">
        <v>390</v>
      </c>
      <c r="I112" s="62" t="s">
        <v>389</v>
      </c>
      <c r="J112" s="65"/>
      <c r="K112" s="62" t="s">
        <v>275</v>
      </c>
      <c r="L112" s="62" t="s">
        <v>389</v>
      </c>
      <c r="M112" s="62" t="s">
        <v>390</v>
      </c>
      <c r="N112" s="62"/>
      <c r="O112" s="62" t="s">
        <v>389</v>
      </c>
      <c r="P112" s="62" t="s">
        <v>390</v>
      </c>
      <c r="Q112" s="62" t="s">
        <v>390</v>
      </c>
      <c r="R112" s="62" t="s">
        <v>338</v>
      </c>
      <c r="S112" s="62" t="s">
        <v>390</v>
      </c>
      <c r="T112" s="65"/>
      <c r="U112" s="62"/>
      <c r="V112" s="65"/>
      <c r="W112" s="65"/>
      <c r="X112" s="63" t="n">
        <v>0</v>
      </c>
      <c r="Y112" s="62" t="s">
        <v>390</v>
      </c>
      <c r="Z112" s="62" t="s">
        <v>390</v>
      </c>
      <c r="AA112" s="62"/>
      <c r="AB112" s="62"/>
      <c r="AC112" s="65"/>
      <c r="AD112" s="63" t="n">
        <v>1</v>
      </c>
      <c r="AE112" s="63" t="n">
        <v>9</v>
      </c>
      <c r="AF112" s="63" t="n">
        <v>0</v>
      </c>
      <c r="AG112" s="62" t="s">
        <v>390</v>
      </c>
      <c r="AH112" s="62"/>
      <c r="AI112" s="63" t="n">
        <v>0</v>
      </c>
      <c r="AJ112" s="62" t="s">
        <v>147</v>
      </c>
      <c r="AK112" s="62" t="s">
        <v>407</v>
      </c>
      <c r="AL112" s="62"/>
      <c r="AM112" s="62"/>
      <c r="AN112" s="65"/>
      <c r="AO112" s="62" t="s">
        <v>390</v>
      </c>
      <c r="AP112" s="62"/>
      <c r="AQ112" s="62" t="s">
        <v>390</v>
      </c>
      <c r="AR112" s="66"/>
      <c r="AS112" s="62"/>
      <c r="AT112" s="65"/>
      <c r="AU112" s="62" t="s">
        <v>405</v>
      </c>
    </row>
  </sheetData>
  <autoFilter ref="A1:AU11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false"/>
  </sheetPr>
  <dimension ref="A1:I2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3" min="3" style="0" width="17"/>
    <col collapsed="false" customWidth="true" hidden="false" outlineLevel="0" max="4" min="4" style="0" width="7"/>
    <col collapsed="false" customWidth="true" hidden="false" outlineLevel="0" max="5" min="5" style="0" width="10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2"/>
  </cols>
  <sheetData>
    <row r="1" customFormat="false" ht="48" hidden="false" customHeight="true" outlineLevel="0" collapsed="false">
      <c r="A1" s="61" t="s">
        <v>176</v>
      </c>
      <c r="B1" s="61" t="s">
        <v>290</v>
      </c>
      <c r="C1" s="61" t="s">
        <v>411</v>
      </c>
      <c r="D1" s="61" t="s">
        <v>412</v>
      </c>
      <c r="E1" s="61" t="s">
        <v>413</v>
      </c>
      <c r="F1" s="61" t="s">
        <v>414</v>
      </c>
      <c r="G1" s="61" t="s">
        <v>415</v>
      </c>
      <c r="H1" s="61" t="s">
        <v>416</v>
      </c>
      <c r="I1" s="61" t="s">
        <v>417</v>
      </c>
    </row>
    <row r="2" customFormat="false" ht="15" hidden="false" customHeight="false" outlineLevel="0" collapsed="false">
      <c r="A2" s="62" t="s">
        <v>388</v>
      </c>
      <c r="B2" s="63" t="n">
        <v>268</v>
      </c>
      <c r="C2" s="64" t="n">
        <v>46300.4861873958</v>
      </c>
      <c r="D2" s="63" t="n">
        <v>11</v>
      </c>
      <c r="E2" s="62" t="s">
        <v>389</v>
      </c>
      <c r="F2" s="62" t="s">
        <v>418</v>
      </c>
      <c r="G2" s="62" t="s">
        <v>389</v>
      </c>
      <c r="H2" s="65" t="n">
        <v>1381.9</v>
      </c>
      <c r="I2" s="62" t="s">
        <v>275</v>
      </c>
    </row>
    <row r="3" customFormat="false" ht="15" hidden="false" customHeight="false" outlineLevel="0" collapsed="false">
      <c r="A3" s="62" t="s">
        <v>388</v>
      </c>
      <c r="B3" s="63" t="n">
        <v>286</v>
      </c>
      <c r="C3" s="64" t="n">
        <v>46300.5706961343</v>
      </c>
      <c r="D3" s="63" t="n">
        <v>13</v>
      </c>
      <c r="E3" s="62" t="s">
        <v>389</v>
      </c>
      <c r="F3" s="62" t="s">
        <v>418</v>
      </c>
      <c r="G3" s="62" t="s">
        <v>389</v>
      </c>
      <c r="H3" s="65" t="n">
        <v>3.9</v>
      </c>
      <c r="I3" s="62" t="s">
        <v>275</v>
      </c>
    </row>
    <row r="4" customFormat="false" ht="15" hidden="false" customHeight="false" outlineLevel="0" collapsed="false">
      <c r="A4" s="62" t="s">
        <v>388</v>
      </c>
      <c r="B4" s="63" t="n">
        <v>286</v>
      </c>
      <c r="C4" s="64" t="n">
        <v>46300.5717304514</v>
      </c>
      <c r="D4" s="63" t="n">
        <v>13</v>
      </c>
      <c r="E4" s="62" t="s">
        <v>389</v>
      </c>
      <c r="F4" s="62" t="s">
        <v>419</v>
      </c>
      <c r="G4" s="62" t="s">
        <v>389</v>
      </c>
      <c r="H4" s="65" t="n">
        <v>2.4</v>
      </c>
      <c r="I4" s="62" t="s">
        <v>275</v>
      </c>
    </row>
    <row r="5" customFormat="false" ht="15" hidden="false" customHeight="false" outlineLevel="0" collapsed="false">
      <c r="A5" s="62" t="s">
        <v>388</v>
      </c>
      <c r="B5" s="63" t="n">
        <v>286</v>
      </c>
      <c r="C5" s="64" t="n">
        <v>46300.5732610301</v>
      </c>
      <c r="D5" s="63" t="n">
        <v>13</v>
      </c>
      <c r="E5" s="62" t="s">
        <v>389</v>
      </c>
      <c r="F5" s="62" t="s">
        <v>419</v>
      </c>
      <c r="G5" s="62" t="s">
        <v>389</v>
      </c>
      <c r="H5" s="65" t="n">
        <v>0.2</v>
      </c>
      <c r="I5" s="62" t="s">
        <v>393</v>
      </c>
    </row>
    <row r="6" customFormat="false" ht="15" hidden="false" customHeight="false" outlineLevel="0" collapsed="false">
      <c r="A6" s="62" t="s">
        <v>388</v>
      </c>
      <c r="B6" s="63" t="n">
        <v>286</v>
      </c>
      <c r="C6" s="64" t="n">
        <v>46300.5736701505</v>
      </c>
      <c r="D6" s="63" t="n">
        <v>13</v>
      </c>
      <c r="E6" s="62" t="s">
        <v>389</v>
      </c>
      <c r="F6" s="62" t="s">
        <v>419</v>
      </c>
      <c r="G6" s="62" t="s">
        <v>389</v>
      </c>
      <c r="H6" s="65" t="n">
        <v>4.5</v>
      </c>
      <c r="I6" s="62" t="s">
        <v>393</v>
      </c>
    </row>
    <row r="7" customFormat="false" ht="15" hidden="false" customHeight="false" outlineLevel="0" collapsed="false">
      <c r="A7" s="62" t="s">
        <v>388</v>
      </c>
      <c r="B7" s="63" t="n">
        <v>286</v>
      </c>
      <c r="C7" s="64" t="n">
        <v>46300.5949553588</v>
      </c>
      <c r="D7" s="63" t="n">
        <v>14</v>
      </c>
      <c r="E7" s="62" t="s">
        <v>389</v>
      </c>
      <c r="F7" s="62" t="s">
        <v>151</v>
      </c>
      <c r="G7" s="62" t="s">
        <v>389</v>
      </c>
      <c r="H7" s="65" t="n">
        <v>0.9</v>
      </c>
      <c r="I7" s="62" t="s">
        <v>393</v>
      </c>
    </row>
    <row r="8" customFormat="false" ht="15" hidden="false" customHeight="false" outlineLevel="0" collapsed="false">
      <c r="A8" s="62" t="s">
        <v>388</v>
      </c>
      <c r="B8" s="63" t="n">
        <v>286</v>
      </c>
      <c r="C8" s="64" t="n">
        <v>46300.6070886574</v>
      </c>
      <c r="D8" s="63" t="n">
        <v>14</v>
      </c>
      <c r="E8" s="62" t="s">
        <v>389</v>
      </c>
      <c r="F8" s="62" t="s">
        <v>151</v>
      </c>
      <c r="G8" s="62" t="s">
        <v>389</v>
      </c>
      <c r="H8" s="65" t="n">
        <v>2</v>
      </c>
      <c r="I8" s="62" t="s">
        <v>275</v>
      </c>
    </row>
    <row r="9" customFormat="false" ht="15" hidden="false" customHeight="false" outlineLevel="0" collapsed="false">
      <c r="A9" s="62" t="s">
        <v>388</v>
      </c>
      <c r="B9" s="63" t="n">
        <v>286</v>
      </c>
      <c r="C9" s="64" t="n">
        <v>46300.6090317014</v>
      </c>
      <c r="D9" s="63" t="n">
        <v>14</v>
      </c>
      <c r="E9" s="62" t="s">
        <v>389</v>
      </c>
      <c r="F9" s="62" t="s">
        <v>152</v>
      </c>
      <c r="G9" s="62" t="s">
        <v>389</v>
      </c>
      <c r="H9" s="65" t="n">
        <v>1</v>
      </c>
      <c r="I9" s="62" t="s">
        <v>393</v>
      </c>
    </row>
    <row r="10" customFormat="false" ht="15" hidden="false" customHeight="false" outlineLevel="0" collapsed="false">
      <c r="A10" s="62" t="s">
        <v>388</v>
      </c>
      <c r="B10" s="63" t="n">
        <v>301</v>
      </c>
      <c r="C10" s="64" t="n">
        <v>46300.6398540509</v>
      </c>
      <c r="D10" s="63" t="n">
        <v>15</v>
      </c>
      <c r="E10" s="62" t="s">
        <v>389</v>
      </c>
      <c r="F10" s="62" t="s">
        <v>418</v>
      </c>
      <c r="G10" s="62" t="s">
        <v>389</v>
      </c>
      <c r="H10" s="65" t="n">
        <v>4429.9</v>
      </c>
      <c r="I10" s="62" t="s">
        <v>275</v>
      </c>
    </row>
    <row r="11" customFormat="false" ht="15" hidden="false" customHeight="false" outlineLevel="0" collapsed="false">
      <c r="A11" s="62" t="s">
        <v>388</v>
      </c>
      <c r="B11" s="63" t="n">
        <v>310</v>
      </c>
      <c r="C11" s="64" t="n">
        <v>46300.6763882755</v>
      </c>
      <c r="D11" s="63" t="n">
        <v>16</v>
      </c>
      <c r="E11" s="62" t="s">
        <v>389</v>
      </c>
      <c r="F11" s="62" t="s">
        <v>418</v>
      </c>
      <c r="G11" s="62" t="s">
        <v>390</v>
      </c>
      <c r="H11" s="65"/>
      <c r="I11" s="62" t="s">
        <v>275</v>
      </c>
    </row>
    <row r="12" customFormat="false" ht="15" hidden="false" customHeight="false" outlineLevel="0" collapsed="false">
      <c r="A12" s="62" t="s">
        <v>388</v>
      </c>
      <c r="B12" s="63" t="n">
        <v>327</v>
      </c>
      <c r="C12" s="64" t="n">
        <v>46300.8657532292</v>
      </c>
      <c r="D12" s="63" t="n">
        <v>20</v>
      </c>
      <c r="E12" s="62" t="s">
        <v>389</v>
      </c>
      <c r="F12" s="62" t="s">
        <v>418</v>
      </c>
      <c r="G12" s="62" t="s">
        <v>389</v>
      </c>
      <c r="H12" s="65" t="n">
        <v>2.4</v>
      </c>
      <c r="I12" s="62" t="s">
        <v>275</v>
      </c>
    </row>
    <row r="13" customFormat="false" ht="15" hidden="false" customHeight="false" outlineLevel="0" collapsed="false">
      <c r="A13" s="62" t="s">
        <v>388</v>
      </c>
      <c r="B13" s="63" t="n">
        <v>327</v>
      </c>
      <c r="C13" s="64" t="n">
        <v>46300.8660111806</v>
      </c>
      <c r="D13" s="63" t="n">
        <v>20</v>
      </c>
      <c r="E13" s="62" t="s">
        <v>389</v>
      </c>
      <c r="F13" s="62" t="s">
        <v>419</v>
      </c>
      <c r="G13" s="62" t="s">
        <v>389</v>
      </c>
      <c r="H13" s="65" t="n">
        <v>2</v>
      </c>
      <c r="I13" s="62" t="s">
        <v>275</v>
      </c>
    </row>
    <row r="14" customFormat="false" ht="15" hidden="false" customHeight="false" outlineLevel="0" collapsed="false">
      <c r="A14" s="62" t="s">
        <v>388</v>
      </c>
      <c r="B14" s="63" t="n">
        <v>327</v>
      </c>
      <c r="C14" s="64" t="n">
        <v>46300.8704472222</v>
      </c>
      <c r="D14" s="63" t="n">
        <v>20</v>
      </c>
      <c r="E14" s="62" t="s">
        <v>389</v>
      </c>
      <c r="F14" s="62" t="s">
        <v>419</v>
      </c>
      <c r="G14" s="62" t="s">
        <v>389</v>
      </c>
      <c r="H14" s="65" t="n">
        <v>12.2</v>
      </c>
      <c r="I14" s="62" t="s">
        <v>393</v>
      </c>
    </row>
    <row r="15" customFormat="false" ht="15" hidden="false" customHeight="false" outlineLevel="0" collapsed="false">
      <c r="A15" s="62" t="s">
        <v>388</v>
      </c>
      <c r="B15" s="63" t="n">
        <v>327</v>
      </c>
      <c r="C15" s="64" t="n">
        <v>46300.8796727894</v>
      </c>
      <c r="D15" s="63" t="n">
        <v>21</v>
      </c>
      <c r="E15" s="62" t="s">
        <v>390</v>
      </c>
      <c r="F15" s="62" t="s">
        <v>151</v>
      </c>
      <c r="G15" s="62" t="s">
        <v>389</v>
      </c>
      <c r="H15" s="65" t="n">
        <v>1.7</v>
      </c>
      <c r="I15" s="62" t="s">
        <v>393</v>
      </c>
    </row>
    <row r="16" customFormat="false" ht="15" hidden="false" customHeight="false" outlineLevel="0" collapsed="false">
      <c r="A16" s="62" t="s">
        <v>388</v>
      </c>
      <c r="B16" s="63" t="n">
        <v>327</v>
      </c>
      <c r="C16" s="64" t="n">
        <v>46300.881135162</v>
      </c>
      <c r="D16" s="63" t="n">
        <v>21</v>
      </c>
      <c r="E16" s="62" t="s">
        <v>390</v>
      </c>
      <c r="F16" s="62" t="s">
        <v>151</v>
      </c>
      <c r="G16" s="62" t="s">
        <v>389</v>
      </c>
      <c r="H16" s="65" t="n">
        <v>1.1</v>
      </c>
      <c r="I16" s="62" t="s">
        <v>275</v>
      </c>
    </row>
    <row r="17" customFormat="false" ht="15" hidden="false" customHeight="false" outlineLevel="0" collapsed="false">
      <c r="A17" s="62" t="s">
        <v>388</v>
      </c>
      <c r="B17" s="63" t="n">
        <v>327</v>
      </c>
      <c r="C17" s="64" t="n">
        <v>46300.8815244213</v>
      </c>
      <c r="D17" s="63" t="n">
        <v>21</v>
      </c>
      <c r="E17" s="62" t="s">
        <v>390</v>
      </c>
      <c r="F17" s="62" t="s">
        <v>151</v>
      </c>
      <c r="G17" s="62" t="s">
        <v>389</v>
      </c>
      <c r="H17" s="65" t="n">
        <v>0.6</v>
      </c>
      <c r="I17" s="62" t="s">
        <v>393</v>
      </c>
    </row>
    <row r="18" customFormat="false" ht="15" hidden="false" customHeight="false" outlineLevel="0" collapsed="false">
      <c r="A18" s="62" t="s">
        <v>388</v>
      </c>
      <c r="B18" s="63" t="n">
        <v>327</v>
      </c>
      <c r="C18" s="64" t="n">
        <v>46300.8865818634</v>
      </c>
      <c r="D18" s="63" t="n">
        <v>21</v>
      </c>
      <c r="E18" s="62" t="s">
        <v>390</v>
      </c>
      <c r="F18" s="62" t="s">
        <v>152</v>
      </c>
      <c r="G18" s="62" t="s">
        <v>389</v>
      </c>
      <c r="H18" s="65" t="n">
        <v>2.2</v>
      </c>
      <c r="I18" s="62" t="s">
        <v>393</v>
      </c>
    </row>
    <row r="19" customFormat="false" ht="15" hidden="false" customHeight="false" outlineLevel="0" collapsed="false">
      <c r="A19" s="62" t="s">
        <v>388</v>
      </c>
      <c r="B19" s="63" t="n">
        <v>327</v>
      </c>
      <c r="C19" s="64" t="n">
        <v>46300.9016591088</v>
      </c>
      <c r="D19" s="63" t="n">
        <v>21</v>
      </c>
      <c r="E19" s="62" t="s">
        <v>390</v>
      </c>
      <c r="F19" s="62" t="s">
        <v>152</v>
      </c>
      <c r="G19" s="62" t="s">
        <v>389</v>
      </c>
      <c r="H19" s="65" t="n">
        <v>2.8</v>
      </c>
      <c r="I19" s="62" t="s">
        <v>393</v>
      </c>
    </row>
    <row r="20" customFormat="false" ht="15" hidden="false" customHeight="false" outlineLevel="0" collapsed="false">
      <c r="A20" s="62" t="s">
        <v>388</v>
      </c>
      <c r="B20" s="63" t="n">
        <v>337</v>
      </c>
      <c r="C20" s="64" t="n">
        <v>46300.902626713</v>
      </c>
      <c r="D20" s="63" t="n">
        <v>21</v>
      </c>
      <c r="E20" s="62" t="s">
        <v>390</v>
      </c>
      <c r="F20" s="62" t="s">
        <v>418</v>
      </c>
      <c r="G20" s="62" t="s">
        <v>389</v>
      </c>
      <c r="H20" s="65" t="n">
        <v>5643.5</v>
      </c>
      <c r="I20" s="62" t="s">
        <v>275</v>
      </c>
    </row>
    <row r="21" customFormat="false" ht="15" hidden="false" customHeight="false" outlineLevel="0" collapsed="false">
      <c r="A21" s="62" t="s">
        <v>388</v>
      </c>
      <c r="B21" s="63" t="n">
        <v>343</v>
      </c>
      <c r="C21" s="64" t="n">
        <v>46300.9816073032</v>
      </c>
      <c r="D21" s="63" t="n">
        <v>23</v>
      </c>
      <c r="E21" s="62" t="s">
        <v>390</v>
      </c>
      <c r="F21" s="62" t="s">
        <v>418</v>
      </c>
      <c r="G21" s="62" t="s">
        <v>389</v>
      </c>
      <c r="H21" s="65" t="n">
        <v>454.9</v>
      </c>
      <c r="I21" s="62" t="s">
        <v>275</v>
      </c>
    </row>
    <row r="22" customFormat="false" ht="15" hidden="false" customHeight="false" outlineLevel="0" collapsed="false">
      <c r="A22" s="62" t="s">
        <v>388</v>
      </c>
      <c r="B22" s="63" t="n">
        <v>327</v>
      </c>
      <c r="C22" s="64" t="n">
        <v>46301.2864468287</v>
      </c>
      <c r="D22" s="63" t="n">
        <v>6</v>
      </c>
      <c r="E22" s="62" t="s">
        <v>390</v>
      </c>
      <c r="F22" s="62" t="s">
        <v>150</v>
      </c>
      <c r="G22" s="62" t="s">
        <v>389</v>
      </c>
      <c r="H22" s="65" t="n">
        <v>6</v>
      </c>
      <c r="I22" s="62" t="s">
        <v>393</v>
      </c>
    </row>
    <row r="23" customFormat="false" ht="15" hidden="false" customHeight="false" outlineLevel="0" collapsed="false">
      <c r="A23" s="62" t="s">
        <v>388</v>
      </c>
      <c r="B23" s="63" t="n">
        <v>327</v>
      </c>
      <c r="C23" s="64" t="n">
        <v>46301.2911992477</v>
      </c>
      <c r="D23" s="63" t="n">
        <v>6</v>
      </c>
      <c r="E23" s="62" t="s">
        <v>390</v>
      </c>
      <c r="F23" s="62" t="s">
        <v>150</v>
      </c>
      <c r="G23" s="62" t="s">
        <v>389</v>
      </c>
      <c r="H23" s="65" t="n">
        <v>0.3</v>
      </c>
      <c r="I23" s="62" t="s">
        <v>393</v>
      </c>
    </row>
    <row r="24" customFormat="false" ht="15" hidden="false" customHeight="false" outlineLevel="0" collapsed="false">
      <c r="A24" s="62" t="s">
        <v>388</v>
      </c>
      <c r="B24" s="63" t="n">
        <v>343</v>
      </c>
      <c r="C24" s="64" t="n">
        <v>46301.2973606713</v>
      </c>
      <c r="D24" s="63" t="n">
        <v>7</v>
      </c>
      <c r="E24" s="62" t="s">
        <v>390</v>
      </c>
      <c r="F24" s="62" t="s">
        <v>419</v>
      </c>
      <c r="G24" s="62" t="s">
        <v>389</v>
      </c>
      <c r="H24" s="65" t="n">
        <v>0.3</v>
      </c>
      <c r="I24" s="62" t="s">
        <v>393</v>
      </c>
    </row>
    <row r="25" customFormat="false" ht="15" hidden="false" customHeight="false" outlineLevel="0" collapsed="false">
      <c r="A25" s="62" t="s">
        <v>388</v>
      </c>
      <c r="B25" s="63" t="n">
        <v>327</v>
      </c>
      <c r="C25" s="64" t="n">
        <v>46301.2992977431</v>
      </c>
      <c r="D25" s="63" t="n">
        <v>7</v>
      </c>
      <c r="E25" s="62" t="s">
        <v>390</v>
      </c>
      <c r="F25" s="62" t="s">
        <v>399</v>
      </c>
      <c r="G25" s="62" t="s">
        <v>389</v>
      </c>
      <c r="H25" s="65" t="n">
        <v>3.4</v>
      </c>
      <c r="I25" s="62" t="s">
        <v>393</v>
      </c>
    </row>
    <row r="26" customFormat="false" ht="15" hidden="false" customHeight="false" outlineLevel="0" collapsed="false">
      <c r="A26" s="62" t="s">
        <v>388</v>
      </c>
      <c r="B26" s="63" t="n">
        <v>327</v>
      </c>
      <c r="C26" s="64" t="n">
        <v>46301.3124771875</v>
      </c>
      <c r="D26" s="63" t="n">
        <v>7</v>
      </c>
      <c r="E26" s="62" t="s">
        <v>390</v>
      </c>
      <c r="F26" s="62" t="s">
        <v>399</v>
      </c>
      <c r="G26" s="62" t="s">
        <v>389</v>
      </c>
      <c r="H26" s="65" t="n">
        <v>0.4</v>
      </c>
      <c r="I26" s="62" t="s">
        <v>393</v>
      </c>
    </row>
    <row r="27" customFormat="false" ht="15" hidden="false" customHeight="false" outlineLevel="0" collapsed="false">
      <c r="A27" s="62" t="s">
        <v>388</v>
      </c>
      <c r="B27" s="63" t="n">
        <v>355</v>
      </c>
      <c r="C27" s="64" t="n">
        <v>46301.3522075</v>
      </c>
      <c r="D27" s="63" t="n">
        <v>8</v>
      </c>
      <c r="E27" s="62" t="s">
        <v>390</v>
      </c>
      <c r="F27" s="62" t="s">
        <v>418</v>
      </c>
      <c r="G27" s="62" t="s">
        <v>389</v>
      </c>
      <c r="H27" s="65" t="n">
        <v>1565.3</v>
      </c>
      <c r="I27" s="62" t="s">
        <v>275</v>
      </c>
    </row>
    <row r="28" customFormat="false" ht="15" hidden="false" customHeight="false" outlineLevel="0" collapsed="false">
      <c r="A28" s="62" t="s">
        <v>388</v>
      </c>
      <c r="B28" s="63" t="n">
        <v>343</v>
      </c>
      <c r="C28" s="64" t="n">
        <v>46301.403212581</v>
      </c>
      <c r="D28" s="63" t="n">
        <v>9</v>
      </c>
      <c r="E28" s="62" t="s">
        <v>389</v>
      </c>
      <c r="F28" s="62" t="s">
        <v>151</v>
      </c>
      <c r="G28" s="62" t="s">
        <v>389</v>
      </c>
      <c r="H28" s="65" t="n">
        <v>7.3</v>
      </c>
      <c r="I28" s="62" t="s">
        <v>393</v>
      </c>
    </row>
    <row r="29" customFormat="false" ht="15" hidden="false" customHeight="false" outlineLevel="0" collapsed="false">
      <c r="A29" s="62" t="s">
        <v>388</v>
      </c>
      <c r="B29" s="63" t="n">
        <v>268</v>
      </c>
      <c r="C29" s="64" t="n">
        <v>46301.4384461227</v>
      </c>
      <c r="D29" s="63" t="n">
        <v>10</v>
      </c>
      <c r="E29" s="62" t="s">
        <v>389</v>
      </c>
      <c r="F29" s="62" t="s">
        <v>150</v>
      </c>
      <c r="G29" s="62" t="s">
        <v>389</v>
      </c>
      <c r="H29" s="65" t="n">
        <v>10.7</v>
      </c>
      <c r="I29" s="62" t="s">
        <v>393</v>
      </c>
    </row>
    <row r="30" customFormat="false" ht="15" hidden="false" customHeight="false" outlineLevel="0" collapsed="false">
      <c r="A30" s="62" t="s">
        <v>388</v>
      </c>
      <c r="B30" s="63" t="n">
        <v>371</v>
      </c>
      <c r="C30" s="64" t="n">
        <v>46301.4643017361</v>
      </c>
      <c r="D30" s="63" t="n">
        <v>11</v>
      </c>
      <c r="E30" s="62" t="s">
        <v>389</v>
      </c>
      <c r="F30" s="62" t="s">
        <v>418</v>
      </c>
      <c r="G30" s="62" t="s">
        <v>389</v>
      </c>
      <c r="H30" s="65" t="n">
        <v>3284.1</v>
      </c>
      <c r="I30" s="62" t="s">
        <v>275</v>
      </c>
    </row>
    <row r="31" customFormat="false" ht="15" hidden="false" customHeight="false" outlineLevel="0" collapsed="false">
      <c r="A31" s="62" t="s">
        <v>388</v>
      </c>
      <c r="B31" s="63" t="n">
        <v>286</v>
      </c>
      <c r="C31" s="64" t="n">
        <v>46301.6642074769</v>
      </c>
      <c r="D31" s="63" t="n">
        <v>15</v>
      </c>
      <c r="E31" s="62" t="s">
        <v>389</v>
      </c>
      <c r="F31" s="62" t="s">
        <v>150</v>
      </c>
      <c r="G31" s="62" t="s">
        <v>389</v>
      </c>
      <c r="H31" s="65" t="n">
        <v>6.7</v>
      </c>
      <c r="I31" s="62" t="s">
        <v>393</v>
      </c>
    </row>
    <row r="32" customFormat="false" ht="15" hidden="false" customHeight="false" outlineLevel="0" collapsed="false">
      <c r="A32" s="62" t="s">
        <v>388</v>
      </c>
      <c r="B32" s="63" t="n">
        <v>445</v>
      </c>
      <c r="C32" s="64" t="n">
        <v>46301.7282857176</v>
      </c>
      <c r="D32" s="63" t="n">
        <v>17</v>
      </c>
      <c r="E32" s="62" t="s">
        <v>389</v>
      </c>
      <c r="F32" s="62" t="s">
        <v>418</v>
      </c>
      <c r="G32" s="62" t="s">
        <v>389</v>
      </c>
      <c r="H32" s="65" t="n">
        <v>6669.4</v>
      </c>
      <c r="I32" s="62" t="s">
        <v>275</v>
      </c>
    </row>
    <row r="33" customFormat="false" ht="15" hidden="false" customHeight="false" outlineLevel="0" collapsed="false">
      <c r="A33" s="62" t="s">
        <v>388</v>
      </c>
      <c r="B33" s="63" t="n">
        <v>446</v>
      </c>
      <c r="C33" s="64" t="n">
        <v>46301.7301108449</v>
      </c>
      <c r="D33" s="63" t="n">
        <v>17</v>
      </c>
      <c r="E33" s="62" t="s">
        <v>389</v>
      </c>
      <c r="F33" s="62" t="s">
        <v>418</v>
      </c>
      <c r="G33" s="62" t="s">
        <v>389</v>
      </c>
      <c r="H33" s="65" t="n">
        <v>51.4</v>
      </c>
      <c r="I33" s="62" t="s">
        <v>275</v>
      </c>
    </row>
    <row r="34" customFormat="false" ht="15" hidden="false" customHeight="false" outlineLevel="0" collapsed="false">
      <c r="A34" s="62" t="s">
        <v>388</v>
      </c>
      <c r="B34" s="63" t="n">
        <v>449</v>
      </c>
      <c r="C34" s="64" t="n">
        <v>46301.7327383796</v>
      </c>
      <c r="D34" s="63" t="n">
        <v>17</v>
      </c>
      <c r="E34" s="62" t="s">
        <v>389</v>
      </c>
      <c r="F34" s="62" t="s">
        <v>418</v>
      </c>
      <c r="G34" s="62" t="s">
        <v>389</v>
      </c>
      <c r="H34" s="65" t="n">
        <v>8.9</v>
      </c>
      <c r="I34" s="62" t="s">
        <v>275</v>
      </c>
    </row>
    <row r="35" customFormat="false" ht="15" hidden="false" customHeight="false" outlineLevel="0" collapsed="false">
      <c r="A35" s="62" t="s">
        <v>388</v>
      </c>
      <c r="B35" s="63" t="n">
        <v>449</v>
      </c>
      <c r="C35" s="64" t="n">
        <v>46301.7349949074</v>
      </c>
      <c r="D35" s="63" t="n">
        <v>17</v>
      </c>
      <c r="E35" s="62" t="s">
        <v>389</v>
      </c>
      <c r="F35" s="62" t="s">
        <v>419</v>
      </c>
      <c r="G35" s="62" t="s">
        <v>389</v>
      </c>
      <c r="H35" s="65" t="n">
        <v>5.6</v>
      </c>
      <c r="I35" s="62" t="s">
        <v>393</v>
      </c>
    </row>
    <row r="36" customFormat="false" ht="15" hidden="false" customHeight="false" outlineLevel="0" collapsed="false">
      <c r="A36" s="62" t="s">
        <v>388</v>
      </c>
      <c r="B36" s="63" t="n">
        <v>452</v>
      </c>
      <c r="C36" s="64" t="n">
        <v>46301.7565888426</v>
      </c>
      <c r="D36" s="63" t="n">
        <v>18</v>
      </c>
      <c r="E36" s="62" t="s">
        <v>389</v>
      </c>
      <c r="F36" s="62" t="s">
        <v>418</v>
      </c>
      <c r="G36" s="62" t="s">
        <v>389</v>
      </c>
      <c r="H36" s="65" t="n">
        <v>1.4</v>
      </c>
      <c r="I36" s="62" t="s">
        <v>393</v>
      </c>
    </row>
    <row r="37" customFormat="false" ht="15" hidden="false" customHeight="false" outlineLevel="0" collapsed="false">
      <c r="A37" s="62" t="s">
        <v>388</v>
      </c>
      <c r="B37" s="63" t="n">
        <v>452</v>
      </c>
      <c r="C37" s="64" t="n">
        <v>46301.7588787269</v>
      </c>
      <c r="D37" s="63" t="n">
        <v>18</v>
      </c>
      <c r="E37" s="62" t="s">
        <v>389</v>
      </c>
      <c r="F37" s="62" t="s">
        <v>418</v>
      </c>
      <c r="G37" s="62" t="s">
        <v>389</v>
      </c>
      <c r="H37" s="65" t="n">
        <v>2.1</v>
      </c>
      <c r="I37" s="62" t="s">
        <v>393</v>
      </c>
    </row>
    <row r="38" customFormat="false" ht="15" hidden="false" customHeight="false" outlineLevel="0" collapsed="false">
      <c r="A38" s="62" t="s">
        <v>388</v>
      </c>
      <c r="B38" s="63" t="n">
        <v>446</v>
      </c>
      <c r="C38" s="64" t="n">
        <v>46301.7619853588</v>
      </c>
      <c r="D38" s="63" t="n">
        <v>18</v>
      </c>
      <c r="E38" s="62" t="s">
        <v>389</v>
      </c>
      <c r="F38" s="62" t="s">
        <v>419</v>
      </c>
      <c r="G38" s="62" t="s">
        <v>389</v>
      </c>
      <c r="H38" s="65" t="n">
        <v>5.5</v>
      </c>
      <c r="I38" s="62" t="s">
        <v>393</v>
      </c>
    </row>
    <row r="39" customFormat="false" ht="15" hidden="false" customHeight="false" outlineLevel="0" collapsed="false">
      <c r="A39" s="62" t="s">
        <v>388</v>
      </c>
      <c r="B39" s="63" t="n">
        <v>470</v>
      </c>
      <c r="C39" s="64" t="n">
        <v>46301.8459758218</v>
      </c>
      <c r="D39" s="63" t="n">
        <v>20</v>
      </c>
      <c r="E39" s="62" t="s">
        <v>389</v>
      </c>
      <c r="F39" s="62" t="s">
        <v>418</v>
      </c>
      <c r="G39" s="62" t="s">
        <v>389</v>
      </c>
      <c r="H39" s="65" t="n">
        <v>5.5</v>
      </c>
      <c r="I39" s="62" t="s">
        <v>275</v>
      </c>
    </row>
    <row r="40" customFormat="false" ht="15" hidden="false" customHeight="false" outlineLevel="0" collapsed="false">
      <c r="A40" s="62" t="s">
        <v>388</v>
      </c>
      <c r="B40" s="63" t="n">
        <v>470</v>
      </c>
      <c r="C40" s="64" t="n">
        <v>46301.8482131713</v>
      </c>
      <c r="D40" s="63" t="n">
        <v>20</v>
      </c>
      <c r="E40" s="62" t="s">
        <v>389</v>
      </c>
      <c r="F40" s="62" t="s">
        <v>419</v>
      </c>
      <c r="G40" s="62" t="s">
        <v>389</v>
      </c>
      <c r="H40" s="65" t="n">
        <v>2.3</v>
      </c>
      <c r="I40" s="62" t="s">
        <v>393</v>
      </c>
    </row>
    <row r="41" customFormat="false" ht="15" hidden="false" customHeight="false" outlineLevel="0" collapsed="false">
      <c r="A41" s="62" t="s">
        <v>388</v>
      </c>
      <c r="B41" s="63" t="n">
        <v>470</v>
      </c>
      <c r="C41" s="64" t="n">
        <v>46301.8558672106</v>
      </c>
      <c r="D41" s="63" t="n">
        <v>20</v>
      </c>
      <c r="E41" s="62" t="s">
        <v>389</v>
      </c>
      <c r="F41" s="62" t="s">
        <v>151</v>
      </c>
      <c r="G41" s="62" t="s">
        <v>389</v>
      </c>
      <c r="H41" s="65" t="n">
        <v>1</v>
      </c>
      <c r="I41" s="62" t="s">
        <v>393</v>
      </c>
    </row>
    <row r="42" customFormat="false" ht="15" hidden="false" customHeight="false" outlineLevel="0" collapsed="false">
      <c r="A42" s="62" t="s">
        <v>388</v>
      </c>
      <c r="B42" s="63" t="n">
        <v>488</v>
      </c>
      <c r="C42" s="64" t="n">
        <v>46301.9126169907</v>
      </c>
      <c r="D42" s="63" t="n">
        <v>21</v>
      </c>
      <c r="E42" s="62" t="s">
        <v>390</v>
      </c>
      <c r="F42" s="62" t="s">
        <v>418</v>
      </c>
      <c r="G42" s="62" t="s">
        <v>389</v>
      </c>
      <c r="H42" s="65" t="n">
        <v>4.8</v>
      </c>
      <c r="I42" s="62" t="s">
        <v>275</v>
      </c>
    </row>
    <row r="43" customFormat="false" ht="15" hidden="false" customHeight="false" outlineLevel="0" collapsed="false">
      <c r="A43" s="62" t="s">
        <v>388</v>
      </c>
      <c r="B43" s="63" t="n">
        <v>488</v>
      </c>
      <c r="C43" s="64" t="n">
        <v>46301.914824294</v>
      </c>
      <c r="D43" s="63" t="n">
        <v>21</v>
      </c>
      <c r="E43" s="62" t="s">
        <v>390</v>
      </c>
      <c r="F43" s="62" t="s">
        <v>419</v>
      </c>
      <c r="G43" s="62" t="s">
        <v>389</v>
      </c>
      <c r="H43" s="65" t="n">
        <v>1.6</v>
      </c>
      <c r="I43" s="62" t="s">
        <v>393</v>
      </c>
    </row>
    <row r="44" customFormat="false" ht="15" hidden="false" customHeight="false" outlineLevel="0" collapsed="false">
      <c r="A44" s="62" t="s">
        <v>388</v>
      </c>
      <c r="B44" s="63" t="n">
        <v>488</v>
      </c>
      <c r="C44" s="64" t="n">
        <v>46301.9196042361</v>
      </c>
      <c r="D44" s="63" t="n">
        <v>22</v>
      </c>
      <c r="E44" s="62" t="s">
        <v>390</v>
      </c>
      <c r="F44" s="62" t="s">
        <v>151</v>
      </c>
      <c r="G44" s="62" t="s">
        <v>389</v>
      </c>
      <c r="H44" s="65" t="n">
        <v>1</v>
      </c>
      <c r="I44" s="62" t="s">
        <v>393</v>
      </c>
    </row>
    <row r="45" customFormat="false" ht="15" hidden="false" customHeight="false" outlineLevel="0" collapsed="false">
      <c r="A45" s="62" t="s">
        <v>388</v>
      </c>
      <c r="B45" s="63" t="n">
        <v>493</v>
      </c>
      <c r="C45" s="64" t="n">
        <v>46301.9364783218</v>
      </c>
      <c r="D45" s="63" t="n">
        <v>22</v>
      </c>
      <c r="E45" s="62" t="s">
        <v>390</v>
      </c>
      <c r="F45" s="62" t="s">
        <v>418</v>
      </c>
      <c r="G45" s="62" t="s">
        <v>389</v>
      </c>
      <c r="H45" s="65" t="n">
        <v>3899.7</v>
      </c>
      <c r="I45" s="62" t="s">
        <v>275</v>
      </c>
    </row>
    <row r="46" customFormat="false" ht="15" hidden="false" customHeight="false" outlineLevel="0" collapsed="false">
      <c r="A46" s="62" t="s">
        <v>388</v>
      </c>
      <c r="B46" s="63" t="n">
        <v>497</v>
      </c>
      <c r="C46" s="64" t="n">
        <v>46301.97207</v>
      </c>
      <c r="D46" s="63" t="n">
        <v>23</v>
      </c>
      <c r="E46" s="62" t="s">
        <v>390</v>
      </c>
      <c r="F46" s="62" t="s">
        <v>418</v>
      </c>
      <c r="G46" s="62" t="s">
        <v>389</v>
      </c>
      <c r="H46" s="65" t="n">
        <v>6318.1</v>
      </c>
      <c r="I46" s="62" t="s">
        <v>275</v>
      </c>
    </row>
    <row r="47" customFormat="false" ht="15" hidden="false" customHeight="false" outlineLevel="0" collapsed="false">
      <c r="A47" s="62" t="s">
        <v>388</v>
      </c>
      <c r="B47" s="63" t="n">
        <v>508</v>
      </c>
      <c r="C47" s="64" t="n">
        <v>46301.9936655787</v>
      </c>
      <c r="D47" s="63" t="n">
        <v>23</v>
      </c>
      <c r="E47" s="62" t="s">
        <v>390</v>
      </c>
      <c r="F47" s="62" t="s">
        <v>418</v>
      </c>
      <c r="G47" s="62" t="s">
        <v>389</v>
      </c>
      <c r="H47" s="65" t="n">
        <v>3809.3</v>
      </c>
      <c r="I47" s="62" t="s">
        <v>275</v>
      </c>
    </row>
    <row r="48" customFormat="false" ht="15" hidden="false" customHeight="false" outlineLevel="0" collapsed="false">
      <c r="A48" s="62" t="s">
        <v>388</v>
      </c>
      <c r="B48" s="63" t="n">
        <v>545</v>
      </c>
      <c r="C48" s="64" t="n">
        <v>46302.3721304282</v>
      </c>
      <c r="D48" s="63" t="n">
        <v>8</v>
      </c>
      <c r="E48" s="62" t="s">
        <v>390</v>
      </c>
      <c r="F48" s="62" t="s">
        <v>418</v>
      </c>
      <c r="G48" s="62" t="s">
        <v>389</v>
      </c>
      <c r="H48" s="65" t="n">
        <v>262.7</v>
      </c>
      <c r="I48" s="62" t="s">
        <v>275</v>
      </c>
    </row>
    <row r="49" customFormat="false" ht="15" hidden="false" customHeight="false" outlineLevel="0" collapsed="false">
      <c r="A49" s="62" t="s">
        <v>388</v>
      </c>
      <c r="B49" s="63" t="n">
        <v>446</v>
      </c>
      <c r="C49" s="64" t="n">
        <v>46302.3811058333</v>
      </c>
      <c r="D49" s="63" t="n">
        <v>9</v>
      </c>
      <c r="E49" s="62" t="s">
        <v>389</v>
      </c>
      <c r="F49" s="62" t="s">
        <v>150</v>
      </c>
      <c r="G49" s="62" t="s">
        <v>389</v>
      </c>
      <c r="H49" s="65" t="n">
        <v>7.5</v>
      </c>
      <c r="I49" s="62" t="s">
        <v>393</v>
      </c>
    </row>
    <row r="50" customFormat="false" ht="15" hidden="false" customHeight="false" outlineLevel="0" collapsed="false">
      <c r="A50" s="62" t="s">
        <v>388</v>
      </c>
      <c r="B50" s="63" t="n">
        <v>327</v>
      </c>
      <c r="C50" s="64" t="n">
        <v>46302.3877508333</v>
      </c>
      <c r="D50" s="63" t="n">
        <v>9</v>
      </c>
      <c r="E50" s="62" t="s">
        <v>389</v>
      </c>
      <c r="F50" s="62" t="s">
        <v>399</v>
      </c>
      <c r="G50" s="62" t="s">
        <v>389</v>
      </c>
      <c r="H50" s="65" t="n">
        <v>5.8</v>
      </c>
      <c r="I50" s="62" t="s">
        <v>393</v>
      </c>
    </row>
    <row r="51" customFormat="false" ht="15" hidden="false" customHeight="false" outlineLevel="0" collapsed="false">
      <c r="A51" s="62" t="s">
        <v>388</v>
      </c>
      <c r="B51" s="63" t="n">
        <v>327</v>
      </c>
      <c r="C51" s="64" t="n">
        <v>46302.392904919</v>
      </c>
      <c r="D51" s="63" t="n">
        <v>9</v>
      </c>
      <c r="E51" s="62" t="s">
        <v>389</v>
      </c>
      <c r="F51" s="62" t="s">
        <v>399</v>
      </c>
      <c r="G51" s="62" t="s">
        <v>389</v>
      </c>
      <c r="H51" s="65" t="n">
        <v>1.1</v>
      </c>
      <c r="I51" s="62" t="s">
        <v>393</v>
      </c>
    </row>
    <row r="52" customFormat="false" ht="15" hidden="false" customHeight="false" outlineLevel="0" collapsed="false">
      <c r="A52" s="62" t="s">
        <v>388</v>
      </c>
      <c r="B52" s="63" t="n">
        <v>488</v>
      </c>
      <c r="C52" s="64" t="n">
        <v>46302.4171858218</v>
      </c>
      <c r="D52" s="63" t="n">
        <v>10</v>
      </c>
      <c r="E52" s="62" t="s">
        <v>389</v>
      </c>
      <c r="F52" s="62" t="s">
        <v>150</v>
      </c>
      <c r="G52" s="62" t="s">
        <v>389</v>
      </c>
      <c r="H52" s="65" t="n">
        <v>3.2</v>
      </c>
      <c r="I52" s="62" t="s">
        <v>393</v>
      </c>
    </row>
    <row r="53" customFormat="false" ht="15" hidden="false" customHeight="false" outlineLevel="0" collapsed="false">
      <c r="A53" s="62" t="s">
        <v>388</v>
      </c>
      <c r="B53" s="63" t="n">
        <v>355</v>
      </c>
      <c r="C53" s="64" t="n">
        <v>46302.4362836111</v>
      </c>
      <c r="D53" s="63" t="n">
        <v>10</v>
      </c>
      <c r="E53" s="62" t="s">
        <v>389</v>
      </c>
      <c r="F53" s="62" t="s">
        <v>150</v>
      </c>
      <c r="G53" s="62" t="s">
        <v>389</v>
      </c>
      <c r="H53" s="65" t="n">
        <v>4.2</v>
      </c>
      <c r="I53" s="62" t="s">
        <v>393</v>
      </c>
    </row>
    <row r="54" customFormat="false" ht="15" hidden="false" customHeight="false" outlineLevel="0" collapsed="false">
      <c r="A54" s="62" t="s">
        <v>388</v>
      </c>
      <c r="B54" s="63" t="n">
        <v>355</v>
      </c>
      <c r="C54" s="64" t="n">
        <v>46302.4408195718</v>
      </c>
      <c r="D54" s="63" t="n">
        <v>10</v>
      </c>
      <c r="E54" s="62" t="s">
        <v>389</v>
      </c>
      <c r="F54" s="62" t="s">
        <v>150</v>
      </c>
      <c r="G54" s="62" t="s">
        <v>389</v>
      </c>
      <c r="H54" s="65" t="n">
        <v>3.5</v>
      </c>
      <c r="I54" s="62" t="s">
        <v>393</v>
      </c>
    </row>
    <row r="55" customFormat="false" ht="15" hidden="false" customHeight="false" outlineLevel="0" collapsed="false">
      <c r="A55" s="62" t="s">
        <v>388</v>
      </c>
      <c r="B55" s="63" t="n">
        <v>545</v>
      </c>
      <c r="C55" s="64" t="n">
        <v>46302.5295556945</v>
      </c>
      <c r="D55" s="63" t="n">
        <v>12</v>
      </c>
      <c r="E55" s="62" t="s">
        <v>389</v>
      </c>
      <c r="F55" s="62" t="s">
        <v>150</v>
      </c>
      <c r="G55" s="62" t="s">
        <v>389</v>
      </c>
      <c r="H55" s="65" t="n">
        <v>36</v>
      </c>
      <c r="I55" s="62" t="s">
        <v>275</v>
      </c>
    </row>
    <row r="56" customFormat="false" ht="15" hidden="false" customHeight="false" outlineLevel="0" collapsed="false">
      <c r="A56" s="62" t="s">
        <v>388</v>
      </c>
      <c r="B56" s="63" t="n">
        <v>545</v>
      </c>
      <c r="C56" s="64" t="n">
        <v>46302.5472381134</v>
      </c>
      <c r="D56" s="63" t="n">
        <v>13</v>
      </c>
      <c r="E56" s="62" t="s">
        <v>389</v>
      </c>
      <c r="F56" s="62" t="s">
        <v>419</v>
      </c>
      <c r="G56" s="62" t="s">
        <v>389</v>
      </c>
      <c r="H56" s="65" t="n">
        <v>10.6</v>
      </c>
      <c r="I56" s="62" t="s">
        <v>393</v>
      </c>
    </row>
    <row r="57" customFormat="false" ht="15" hidden="false" customHeight="false" outlineLevel="0" collapsed="false">
      <c r="A57" s="62" t="s">
        <v>388</v>
      </c>
      <c r="B57" s="63" t="n">
        <v>634</v>
      </c>
      <c r="C57" s="64" t="n">
        <v>46302.6157628241</v>
      </c>
      <c r="D57" s="63" t="n">
        <v>14</v>
      </c>
      <c r="E57" s="62" t="s">
        <v>389</v>
      </c>
      <c r="F57" s="62" t="s">
        <v>418</v>
      </c>
      <c r="G57" s="62" t="s">
        <v>389</v>
      </c>
      <c r="H57" s="65" t="n">
        <v>4.1</v>
      </c>
      <c r="I57" s="62" t="s">
        <v>275</v>
      </c>
    </row>
    <row r="58" customFormat="false" ht="15" hidden="false" customHeight="false" outlineLevel="0" collapsed="false">
      <c r="A58" s="62" t="s">
        <v>388</v>
      </c>
      <c r="B58" s="63" t="n">
        <v>634</v>
      </c>
      <c r="C58" s="64" t="n">
        <v>46302.6183514815</v>
      </c>
      <c r="D58" s="63" t="n">
        <v>14</v>
      </c>
      <c r="E58" s="62" t="s">
        <v>389</v>
      </c>
      <c r="F58" s="62" t="s">
        <v>419</v>
      </c>
      <c r="G58" s="62" t="s">
        <v>389</v>
      </c>
      <c r="H58" s="65" t="n">
        <v>0.3</v>
      </c>
      <c r="I58" s="62" t="s">
        <v>393</v>
      </c>
    </row>
    <row r="59" customFormat="false" ht="15" hidden="false" customHeight="false" outlineLevel="0" collapsed="false">
      <c r="A59" s="62" t="s">
        <v>388</v>
      </c>
      <c r="B59" s="63" t="n">
        <v>634</v>
      </c>
      <c r="C59" s="64" t="n">
        <v>46302.6188798148</v>
      </c>
      <c r="D59" s="63" t="n">
        <v>14</v>
      </c>
      <c r="E59" s="62" t="s">
        <v>389</v>
      </c>
      <c r="F59" s="62" t="s">
        <v>419</v>
      </c>
      <c r="G59" s="62" t="s">
        <v>389</v>
      </c>
      <c r="H59" s="65" t="n">
        <v>2.8</v>
      </c>
      <c r="I59" s="62" t="s">
        <v>393</v>
      </c>
    </row>
    <row r="60" customFormat="false" ht="15" hidden="false" customHeight="false" outlineLevel="0" collapsed="false">
      <c r="A60" s="62" t="s">
        <v>388</v>
      </c>
      <c r="B60" s="63" t="n">
        <v>634</v>
      </c>
      <c r="C60" s="64" t="n">
        <v>46302.622772662</v>
      </c>
      <c r="D60" s="63" t="n">
        <v>14</v>
      </c>
      <c r="E60" s="62" t="s">
        <v>389</v>
      </c>
      <c r="F60" s="62" t="s">
        <v>419</v>
      </c>
      <c r="G60" s="62" t="s">
        <v>389</v>
      </c>
      <c r="H60" s="65" t="n">
        <v>0.4</v>
      </c>
      <c r="I60" s="62" t="s">
        <v>393</v>
      </c>
    </row>
    <row r="61" customFormat="false" ht="15" hidden="false" customHeight="false" outlineLevel="0" collapsed="false">
      <c r="A61" s="62" t="s">
        <v>388</v>
      </c>
      <c r="B61" s="63" t="n">
        <v>634</v>
      </c>
      <c r="C61" s="64" t="n">
        <v>46302.6278085995</v>
      </c>
      <c r="D61" s="63" t="n">
        <v>15</v>
      </c>
      <c r="E61" s="62" t="s">
        <v>389</v>
      </c>
      <c r="F61" s="62" t="s">
        <v>151</v>
      </c>
      <c r="G61" s="62" t="s">
        <v>389</v>
      </c>
      <c r="H61" s="65" t="n">
        <v>6861.3</v>
      </c>
      <c r="I61" s="62" t="s">
        <v>275</v>
      </c>
    </row>
    <row r="62" customFormat="false" ht="15" hidden="false" customHeight="false" outlineLevel="0" collapsed="false">
      <c r="A62" s="62" t="s">
        <v>388</v>
      </c>
      <c r="B62" s="63" t="n">
        <v>712</v>
      </c>
      <c r="C62" s="64" t="n">
        <v>46302.8157492824</v>
      </c>
      <c r="D62" s="63" t="n">
        <v>19</v>
      </c>
      <c r="E62" s="62" t="s">
        <v>389</v>
      </c>
      <c r="F62" s="62" t="s">
        <v>418</v>
      </c>
      <c r="G62" s="62" t="s">
        <v>389</v>
      </c>
      <c r="H62" s="65" t="n">
        <v>15.2</v>
      </c>
      <c r="I62" s="62" t="s">
        <v>393</v>
      </c>
    </row>
    <row r="63" customFormat="false" ht="15" hidden="false" customHeight="false" outlineLevel="0" collapsed="false">
      <c r="A63" s="62" t="s">
        <v>388</v>
      </c>
      <c r="B63" s="63" t="n">
        <v>701</v>
      </c>
      <c r="C63" s="64" t="n">
        <v>46302.8179032755</v>
      </c>
      <c r="D63" s="63" t="n">
        <v>19</v>
      </c>
      <c r="E63" s="62" t="s">
        <v>389</v>
      </c>
      <c r="F63" s="62" t="s">
        <v>419</v>
      </c>
      <c r="G63" s="62" t="s">
        <v>389</v>
      </c>
      <c r="H63" s="65" t="n">
        <v>15.9</v>
      </c>
      <c r="I63" s="62" t="s">
        <v>393</v>
      </c>
    </row>
    <row r="64" customFormat="false" ht="15" hidden="false" customHeight="false" outlineLevel="0" collapsed="false">
      <c r="A64" s="62" t="s">
        <v>388</v>
      </c>
      <c r="B64" s="63" t="n">
        <v>712</v>
      </c>
      <c r="C64" s="64" t="n">
        <v>46302.8291873958</v>
      </c>
      <c r="D64" s="63" t="n">
        <v>19</v>
      </c>
      <c r="E64" s="62" t="s">
        <v>389</v>
      </c>
      <c r="F64" s="62" t="s">
        <v>418</v>
      </c>
      <c r="G64" s="62" t="s">
        <v>389</v>
      </c>
      <c r="H64" s="65" t="n">
        <v>60.4</v>
      </c>
      <c r="I64" s="62" t="s">
        <v>275</v>
      </c>
    </row>
    <row r="65" customFormat="false" ht="15" hidden="false" customHeight="false" outlineLevel="0" collapsed="false">
      <c r="A65" s="62" t="s">
        <v>388</v>
      </c>
      <c r="B65" s="63" t="n">
        <v>712</v>
      </c>
      <c r="C65" s="64" t="n">
        <v>46302.8434560648</v>
      </c>
      <c r="D65" s="63" t="n">
        <v>20</v>
      </c>
      <c r="E65" s="62" t="s">
        <v>389</v>
      </c>
      <c r="F65" s="62" t="s">
        <v>419</v>
      </c>
      <c r="G65" s="62" t="s">
        <v>389</v>
      </c>
      <c r="H65" s="65" t="n">
        <v>39.9</v>
      </c>
      <c r="I65" s="62" t="s">
        <v>393</v>
      </c>
    </row>
    <row r="66" customFormat="false" ht="15" hidden="false" customHeight="false" outlineLevel="0" collapsed="false">
      <c r="A66" s="62" t="s">
        <v>388</v>
      </c>
      <c r="B66" s="63" t="n">
        <v>729</v>
      </c>
      <c r="C66" s="64" t="n">
        <v>46302.8834121875</v>
      </c>
      <c r="D66" s="63" t="n">
        <v>21</v>
      </c>
      <c r="E66" s="62" t="s">
        <v>390</v>
      </c>
      <c r="F66" s="62" t="s">
        <v>418</v>
      </c>
      <c r="G66" s="62" t="s">
        <v>389</v>
      </c>
      <c r="H66" s="65" t="n">
        <v>23.4</v>
      </c>
      <c r="I66" s="62" t="s">
        <v>275</v>
      </c>
    </row>
    <row r="67" customFormat="false" ht="15" hidden="false" customHeight="false" outlineLevel="0" collapsed="false">
      <c r="A67" s="62" t="s">
        <v>388</v>
      </c>
      <c r="B67" s="63" t="n">
        <v>729</v>
      </c>
      <c r="C67" s="64" t="n">
        <v>46302.8907766551</v>
      </c>
      <c r="D67" s="63" t="n">
        <v>21</v>
      </c>
      <c r="E67" s="62" t="s">
        <v>390</v>
      </c>
      <c r="F67" s="62" t="s">
        <v>419</v>
      </c>
      <c r="G67" s="62" t="s">
        <v>389</v>
      </c>
      <c r="H67" s="65" t="n">
        <v>12.8</v>
      </c>
      <c r="I67" s="62" t="s">
        <v>393</v>
      </c>
    </row>
    <row r="68" customFormat="false" ht="15" hidden="false" customHeight="false" outlineLevel="0" collapsed="false">
      <c r="A68" s="62" t="s">
        <v>388</v>
      </c>
      <c r="B68" s="63" t="n">
        <v>729</v>
      </c>
      <c r="C68" s="64" t="n">
        <v>46302.9148152431</v>
      </c>
      <c r="D68" s="63" t="n">
        <v>21</v>
      </c>
      <c r="E68" s="62" t="s">
        <v>390</v>
      </c>
      <c r="F68" s="62" t="s">
        <v>151</v>
      </c>
      <c r="G68" s="62" t="s">
        <v>389</v>
      </c>
      <c r="H68" s="65" t="n">
        <v>5.1</v>
      </c>
      <c r="I68" s="62" t="s">
        <v>393</v>
      </c>
    </row>
    <row r="69" customFormat="false" ht="15" hidden="false" customHeight="false" outlineLevel="0" collapsed="false">
      <c r="A69" s="62" t="s">
        <v>388</v>
      </c>
      <c r="B69" s="63" t="n">
        <v>738</v>
      </c>
      <c r="C69" s="64" t="n">
        <v>46302.9324689815</v>
      </c>
      <c r="D69" s="63" t="n">
        <v>22</v>
      </c>
      <c r="E69" s="62" t="s">
        <v>390</v>
      </c>
      <c r="F69" s="62" t="s">
        <v>419</v>
      </c>
      <c r="G69" s="62" t="s">
        <v>389</v>
      </c>
      <c r="H69" s="65" t="n">
        <v>535.3</v>
      </c>
      <c r="I69" s="62" t="s">
        <v>393</v>
      </c>
    </row>
    <row r="70" customFormat="false" ht="15" hidden="false" customHeight="false" outlineLevel="0" collapsed="false">
      <c r="A70" s="62" t="s">
        <v>388</v>
      </c>
      <c r="B70" s="63" t="n">
        <v>753</v>
      </c>
      <c r="C70" s="64" t="n">
        <v>46302.971811331</v>
      </c>
      <c r="D70" s="63" t="n">
        <v>23</v>
      </c>
      <c r="E70" s="62" t="s">
        <v>390</v>
      </c>
      <c r="F70" s="62" t="s">
        <v>418</v>
      </c>
      <c r="G70" s="62" t="s">
        <v>389</v>
      </c>
      <c r="H70" s="65" t="n">
        <v>488.8</v>
      </c>
      <c r="I70" s="62" t="s">
        <v>275</v>
      </c>
    </row>
    <row r="71" customFormat="false" ht="15" hidden="false" customHeight="false" outlineLevel="0" collapsed="false">
      <c r="A71" s="62" t="s">
        <v>388</v>
      </c>
      <c r="B71" s="63" t="n">
        <v>802</v>
      </c>
      <c r="C71" s="64" t="n">
        <v>46303.3994938079</v>
      </c>
      <c r="D71" s="63" t="n">
        <v>9</v>
      </c>
      <c r="E71" s="62" t="s">
        <v>389</v>
      </c>
      <c r="F71" s="62" t="s">
        <v>418</v>
      </c>
      <c r="G71" s="62" t="s">
        <v>389</v>
      </c>
      <c r="H71" s="65" t="n">
        <v>4700.4</v>
      </c>
      <c r="I71" s="62" t="s">
        <v>275</v>
      </c>
    </row>
    <row r="72" customFormat="false" ht="15" hidden="false" customHeight="false" outlineLevel="0" collapsed="false">
      <c r="A72" s="62" t="s">
        <v>388</v>
      </c>
      <c r="B72" s="63" t="n">
        <v>828</v>
      </c>
      <c r="C72" s="64" t="n">
        <v>46303.4523046644</v>
      </c>
      <c r="D72" s="63" t="n">
        <v>10</v>
      </c>
      <c r="E72" s="62" t="s">
        <v>389</v>
      </c>
      <c r="F72" s="62" t="s">
        <v>418</v>
      </c>
      <c r="G72" s="62" t="s">
        <v>389</v>
      </c>
      <c r="H72" s="65" t="n">
        <v>5692.5</v>
      </c>
      <c r="I72" s="62" t="s">
        <v>275</v>
      </c>
    </row>
    <row r="73" customFormat="false" ht="15" hidden="false" customHeight="false" outlineLevel="0" collapsed="false">
      <c r="A73" s="62" t="s">
        <v>388</v>
      </c>
      <c r="B73" s="63" t="n">
        <v>833</v>
      </c>
      <c r="C73" s="64" t="n">
        <v>46303.4652601157</v>
      </c>
      <c r="D73" s="63" t="n">
        <v>11</v>
      </c>
      <c r="E73" s="62" t="s">
        <v>389</v>
      </c>
      <c r="F73" s="62" t="s">
        <v>418</v>
      </c>
      <c r="G73" s="62" t="s">
        <v>389</v>
      </c>
      <c r="H73" s="65" t="n">
        <v>5680.5</v>
      </c>
      <c r="I73" s="62" t="s">
        <v>275</v>
      </c>
    </row>
    <row r="74" customFormat="false" ht="15" hidden="false" customHeight="false" outlineLevel="0" collapsed="false">
      <c r="A74" s="62" t="s">
        <v>388</v>
      </c>
      <c r="B74" s="63" t="n">
        <v>545</v>
      </c>
      <c r="C74" s="64" t="n">
        <v>46303.4985197338</v>
      </c>
      <c r="D74" s="63" t="n">
        <v>11</v>
      </c>
      <c r="E74" s="62" t="s">
        <v>389</v>
      </c>
      <c r="F74" s="62" t="s">
        <v>150</v>
      </c>
      <c r="G74" s="62" t="s">
        <v>389</v>
      </c>
      <c r="H74" s="65" t="n">
        <v>1</v>
      </c>
      <c r="I74" s="62" t="s">
        <v>393</v>
      </c>
    </row>
    <row r="75" customFormat="false" ht="15" hidden="false" customHeight="false" outlineLevel="0" collapsed="false">
      <c r="A75" s="62" t="s">
        <v>388</v>
      </c>
      <c r="B75" s="63" t="n">
        <v>545</v>
      </c>
      <c r="C75" s="64" t="n">
        <v>46303.5033788657</v>
      </c>
      <c r="D75" s="63" t="n">
        <v>12</v>
      </c>
      <c r="E75" s="62" t="s">
        <v>389</v>
      </c>
      <c r="F75" s="62" t="s">
        <v>150</v>
      </c>
      <c r="G75" s="62" t="s">
        <v>389</v>
      </c>
      <c r="H75" s="65" t="n">
        <v>1.6</v>
      </c>
      <c r="I75" s="62" t="s">
        <v>393</v>
      </c>
    </row>
    <row r="76" customFormat="false" ht="15" hidden="false" customHeight="false" outlineLevel="0" collapsed="false">
      <c r="A76" s="62" t="s">
        <v>388</v>
      </c>
      <c r="B76" s="63" t="n">
        <v>545</v>
      </c>
      <c r="C76" s="64" t="n">
        <v>46303.5193711921</v>
      </c>
      <c r="D76" s="63" t="n">
        <v>12</v>
      </c>
      <c r="E76" s="62" t="s">
        <v>389</v>
      </c>
      <c r="F76" s="62" t="s">
        <v>150</v>
      </c>
      <c r="G76" s="62" t="s">
        <v>389</v>
      </c>
      <c r="H76" s="65" t="n">
        <v>1.6</v>
      </c>
      <c r="I76" s="62" t="s">
        <v>393</v>
      </c>
    </row>
    <row r="77" customFormat="false" ht="15" hidden="false" customHeight="false" outlineLevel="0" collapsed="false">
      <c r="A77" s="62" t="s">
        <v>388</v>
      </c>
      <c r="B77" s="63" t="n">
        <v>545</v>
      </c>
      <c r="C77" s="64" t="n">
        <v>46303.5223061921</v>
      </c>
      <c r="D77" s="63" t="n">
        <v>12</v>
      </c>
      <c r="E77" s="62" t="s">
        <v>389</v>
      </c>
      <c r="F77" s="62" t="s">
        <v>150</v>
      </c>
      <c r="G77" s="62" t="s">
        <v>389</v>
      </c>
      <c r="H77" s="65" t="n">
        <v>1.3</v>
      </c>
      <c r="I77" s="62" t="s">
        <v>393</v>
      </c>
    </row>
    <row r="78" customFormat="false" ht="15" hidden="false" customHeight="false" outlineLevel="0" collapsed="false">
      <c r="A78" s="62" t="s">
        <v>388</v>
      </c>
      <c r="B78" s="63" t="n">
        <v>545</v>
      </c>
      <c r="C78" s="64" t="n">
        <v>46303.5281483565</v>
      </c>
      <c r="D78" s="63" t="n">
        <v>12</v>
      </c>
      <c r="E78" s="62" t="s">
        <v>389</v>
      </c>
      <c r="F78" s="62" t="s">
        <v>150</v>
      </c>
      <c r="G78" s="62" t="s">
        <v>389</v>
      </c>
      <c r="H78" s="65" t="n">
        <v>0.9</v>
      </c>
      <c r="I78" s="62" t="s">
        <v>393</v>
      </c>
    </row>
    <row r="79" customFormat="false" ht="15" hidden="false" customHeight="false" outlineLevel="0" collapsed="false">
      <c r="A79" s="62" t="s">
        <v>388</v>
      </c>
      <c r="B79" s="63" t="n">
        <v>868</v>
      </c>
      <c r="C79" s="64" t="n">
        <v>46303.5769795023</v>
      </c>
      <c r="D79" s="63" t="n">
        <v>13</v>
      </c>
      <c r="E79" s="62" t="s">
        <v>389</v>
      </c>
      <c r="F79" s="62" t="s">
        <v>418</v>
      </c>
      <c r="G79" s="62" t="s">
        <v>389</v>
      </c>
      <c r="H79" s="65" t="n">
        <v>143.1</v>
      </c>
      <c r="I79" s="62" t="s">
        <v>393</v>
      </c>
    </row>
    <row r="80" customFormat="false" ht="15" hidden="false" customHeight="false" outlineLevel="0" collapsed="false">
      <c r="A80" s="62" t="s">
        <v>388</v>
      </c>
      <c r="B80" s="63" t="n">
        <v>877</v>
      </c>
      <c r="C80" s="64" t="n">
        <v>46303.6058297222</v>
      </c>
      <c r="D80" s="63" t="n">
        <v>14</v>
      </c>
      <c r="E80" s="62" t="s">
        <v>389</v>
      </c>
      <c r="F80" s="62" t="s">
        <v>418</v>
      </c>
      <c r="G80" s="62" t="s">
        <v>389</v>
      </c>
      <c r="H80" s="65" t="n">
        <v>5503.9</v>
      </c>
      <c r="I80" s="62" t="s">
        <v>275</v>
      </c>
    </row>
    <row r="81" customFormat="false" ht="15" hidden="false" customHeight="false" outlineLevel="0" collapsed="false">
      <c r="A81" s="62" t="s">
        <v>388</v>
      </c>
      <c r="B81" s="63" t="n">
        <v>868</v>
      </c>
      <c r="C81" s="64" t="n">
        <v>46303.6791360417</v>
      </c>
      <c r="D81" s="63" t="n">
        <v>16</v>
      </c>
      <c r="E81" s="62" t="s">
        <v>389</v>
      </c>
      <c r="F81" s="62" t="s">
        <v>399</v>
      </c>
      <c r="G81" s="62" t="s">
        <v>389</v>
      </c>
      <c r="H81" s="65" t="n">
        <v>1.3</v>
      </c>
      <c r="I81" s="62" t="s">
        <v>393</v>
      </c>
    </row>
    <row r="82" customFormat="false" ht="15" hidden="false" customHeight="false" outlineLevel="0" collapsed="false">
      <c r="A82" s="62" t="s">
        <v>388</v>
      </c>
      <c r="B82" s="63" t="n">
        <v>909</v>
      </c>
      <c r="C82" s="64" t="n">
        <v>46303.7487524074</v>
      </c>
      <c r="D82" s="63" t="n">
        <v>17</v>
      </c>
      <c r="E82" s="62" t="s">
        <v>389</v>
      </c>
      <c r="F82" s="62" t="s">
        <v>418</v>
      </c>
      <c r="G82" s="62" t="s">
        <v>389</v>
      </c>
      <c r="H82" s="65" t="n">
        <v>3763</v>
      </c>
      <c r="I82" s="62" t="s">
        <v>275</v>
      </c>
    </row>
    <row r="83" customFormat="false" ht="15" hidden="false" customHeight="false" outlineLevel="0" collapsed="false">
      <c r="A83" s="62" t="s">
        <v>388</v>
      </c>
      <c r="B83" s="63" t="n">
        <v>992</v>
      </c>
      <c r="C83" s="64" t="n">
        <v>46304.3462382523</v>
      </c>
      <c r="D83" s="63" t="n">
        <v>8</v>
      </c>
      <c r="E83" s="62" t="s">
        <v>390</v>
      </c>
      <c r="F83" s="62" t="s">
        <v>418</v>
      </c>
      <c r="G83" s="62" t="s">
        <v>389</v>
      </c>
      <c r="H83" s="65" t="n">
        <v>7.4</v>
      </c>
      <c r="I83" s="62" t="s">
        <v>275</v>
      </c>
    </row>
    <row r="84" customFormat="false" ht="15" hidden="false" customHeight="false" outlineLevel="0" collapsed="false">
      <c r="A84" s="62" t="s">
        <v>388</v>
      </c>
      <c r="B84" s="63" t="n">
        <v>992</v>
      </c>
      <c r="C84" s="64" t="n">
        <v>46304.3507676505</v>
      </c>
      <c r="D84" s="63" t="n">
        <v>8</v>
      </c>
      <c r="E84" s="62" t="s">
        <v>390</v>
      </c>
      <c r="F84" s="62" t="s">
        <v>419</v>
      </c>
      <c r="G84" s="62" t="s">
        <v>389</v>
      </c>
      <c r="H84" s="65" t="n">
        <v>0.9</v>
      </c>
      <c r="I84" s="62" t="s">
        <v>393</v>
      </c>
    </row>
    <row r="85" customFormat="false" ht="15" hidden="false" customHeight="false" outlineLevel="0" collapsed="false">
      <c r="A85" s="62" t="s">
        <v>388</v>
      </c>
      <c r="B85" s="63" t="n">
        <v>712</v>
      </c>
      <c r="C85" s="64" t="n">
        <v>46304.3839862616</v>
      </c>
      <c r="D85" s="63" t="n">
        <v>9</v>
      </c>
      <c r="E85" s="62" t="s">
        <v>389</v>
      </c>
      <c r="F85" s="62" t="s">
        <v>150</v>
      </c>
      <c r="G85" s="62" t="s">
        <v>389</v>
      </c>
      <c r="H85" s="65" t="n">
        <v>7.5</v>
      </c>
      <c r="I85" s="62" t="s">
        <v>393</v>
      </c>
    </row>
    <row r="86" customFormat="false" ht="15" hidden="false" customHeight="false" outlineLevel="0" collapsed="false">
      <c r="A86" s="62" t="s">
        <v>388</v>
      </c>
      <c r="B86" s="63" t="n">
        <v>712</v>
      </c>
      <c r="C86" s="64" t="n">
        <v>46304.3930168171</v>
      </c>
      <c r="D86" s="63" t="n">
        <v>9</v>
      </c>
      <c r="E86" s="62" t="s">
        <v>389</v>
      </c>
      <c r="F86" s="62" t="s">
        <v>150</v>
      </c>
      <c r="G86" s="62" t="s">
        <v>389</v>
      </c>
      <c r="H86" s="65" t="n">
        <v>0.4</v>
      </c>
      <c r="I86" s="62" t="s">
        <v>393</v>
      </c>
    </row>
    <row r="87" customFormat="false" ht="15" hidden="false" customHeight="false" outlineLevel="0" collapsed="false">
      <c r="A87" s="62" t="s">
        <v>388</v>
      </c>
      <c r="B87" s="63" t="n">
        <v>712</v>
      </c>
      <c r="C87" s="64" t="n">
        <v>46304.395328588</v>
      </c>
      <c r="D87" s="63" t="n">
        <v>9</v>
      </c>
      <c r="E87" s="62" t="s">
        <v>389</v>
      </c>
      <c r="F87" s="62" t="s">
        <v>150</v>
      </c>
      <c r="G87" s="62" t="s">
        <v>389</v>
      </c>
      <c r="H87" s="65" t="n">
        <v>5.9</v>
      </c>
      <c r="I87" s="62" t="s">
        <v>393</v>
      </c>
    </row>
    <row r="88" customFormat="false" ht="15" hidden="false" customHeight="false" outlineLevel="0" collapsed="false">
      <c r="A88" s="62" t="s">
        <v>388</v>
      </c>
      <c r="B88" s="63" t="n">
        <v>712</v>
      </c>
      <c r="C88" s="64" t="n">
        <v>46304.400220544</v>
      </c>
      <c r="D88" s="63" t="n">
        <v>9</v>
      </c>
      <c r="E88" s="62" t="s">
        <v>389</v>
      </c>
      <c r="F88" s="62" t="s">
        <v>150</v>
      </c>
      <c r="G88" s="62" t="s">
        <v>389</v>
      </c>
      <c r="H88" s="65" t="n">
        <v>6.9</v>
      </c>
      <c r="I88" s="62" t="s">
        <v>393</v>
      </c>
    </row>
    <row r="89" customFormat="false" ht="15" hidden="false" customHeight="false" outlineLevel="0" collapsed="false">
      <c r="A89" s="62" t="s">
        <v>388</v>
      </c>
      <c r="B89" s="63" t="n">
        <v>1018</v>
      </c>
      <c r="C89" s="64" t="n">
        <v>46304.4661733681</v>
      </c>
      <c r="D89" s="63" t="n">
        <v>11</v>
      </c>
      <c r="E89" s="62" t="s">
        <v>389</v>
      </c>
      <c r="F89" s="62" t="s">
        <v>418</v>
      </c>
      <c r="G89" s="62" t="s">
        <v>389</v>
      </c>
      <c r="H89" s="65" t="n">
        <v>10.2</v>
      </c>
      <c r="I89" s="62" t="s">
        <v>275</v>
      </c>
    </row>
    <row r="90" customFormat="false" ht="15" hidden="false" customHeight="false" outlineLevel="0" collapsed="false">
      <c r="A90" s="62" t="s">
        <v>388</v>
      </c>
      <c r="B90" s="63" t="n">
        <v>1018</v>
      </c>
      <c r="C90" s="64" t="n">
        <v>46304.4694520255</v>
      </c>
      <c r="D90" s="63" t="n">
        <v>11</v>
      </c>
      <c r="E90" s="62" t="s">
        <v>389</v>
      </c>
      <c r="F90" s="62" t="s">
        <v>419</v>
      </c>
      <c r="G90" s="62" t="s">
        <v>389</v>
      </c>
      <c r="H90" s="65" t="n">
        <v>5.4</v>
      </c>
      <c r="I90" s="62" t="s">
        <v>275</v>
      </c>
    </row>
    <row r="91" customFormat="false" ht="15" hidden="false" customHeight="false" outlineLevel="0" collapsed="false">
      <c r="A91" s="62" t="s">
        <v>388</v>
      </c>
      <c r="B91" s="63" t="n">
        <v>1018</v>
      </c>
      <c r="C91" s="64" t="n">
        <v>46304.4705007292</v>
      </c>
      <c r="D91" s="63" t="n">
        <v>11</v>
      </c>
      <c r="E91" s="62" t="s">
        <v>389</v>
      </c>
      <c r="F91" s="62" t="s">
        <v>419</v>
      </c>
      <c r="G91" s="62" t="s">
        <v>389</v>
      </c>
      <c r="H91" s="65" t="n">
        <v>3.9</v>
      </c>
      <c r="I91" s="62" t="s">
        <v>393</v>
      </c>
    </row>
    <row r="92" customFormat="false" ht="15" hidden="false" customHeight="false" outlineLevel="0" collapsed="false">
      <c r="A92" s="62" t="s">
        <v>388</v>
      </c>
      <c r="B92" s="63" t="n">
        <v>1018</v>
      </c>
      <c r="C92" s="64" t="n">
        <v>46304.4736387037</v>
      </c>
      <c r="D92" s="63" t="n">
        <v>11</v>
      </c>
      <c r="E92" s="62" t="s">
        <v>389</v>
      </c>
      <c r="F92" s="62" t="s">
        <v>419</v>
      </c>
      <c r="G92" s="62" t="s">
        <v>389</v>
      </c>
      <c r="H92" s="65" t="n">
        <v>2.6</v>
      </c>
      <c r="I92" s="62" t="s">
        <v>393</v>
      </c>
    </row>
    <row r="93" customFormat="false" ht="15" hidden="false" customHeight="false" outlineLevel="0" collapsed="false">
      <c r="A93" s="62" t="s">
        <v>388</v>
      </c>
      <c r="B93" s="63" t="n">
        <v>1018</v>
      </c>
      <c r="C93" s="64" t="n">
        <v>46304.4775663195</v>
      </c>
      <c r="D93" s="63" t="n">
        <v>11</v>
      </c>
      <c r="E93" s="62" t="s">
        <v>389</v>
      </c>
      <c r="F93" s="62" t="s">
        <v>151</v>
      </c>
      <c r="G93" s="62" t="s">
        <v>389</v>
      </c>
      <c r="H93" s="65" t="n">
        <v>2.5</v>
      </c>
      <c r="I93" s="62" t="s">
        <v>275</v>
      </c>
    </row>
    <row r="94" customFormat="false" ht="15" hidden="false" customHeight="false" outlineLevel="0" collapsed="false">
      <c r="A94" s="62" t="s">
        <v>388</v>
      </c>
      <c r="B94" s="63" t="n">
        <v>1037</v>
      </c>
      <c r="C94" s="64" t="n">
        <v>46304.5345938542</v>
      </c>
      <c r="D94" s="63" t="n">
        <v>12</v>
      </c>
      <c r="E94" s="62" t="s">
        <v>389</v>
      </c>
      <c r="F94" s="62" t="s">
        <v>418</v>
      </c>
      <c r="G94" s="62" t="s">
        <v>389</v>
      </c>
      <c r="H94" s="65" t="n">
        <v>4.5</v>
      </c>
      <c r="I94" s="62" t="s">
        <v>275</v>
      </c>
    </row>
    <row r="95" customFormat="false" ht="15" hidden="false" customHeight="false" outlineLevel="0" collapsed="false">
      <c r="A95" s="62" t="s">
        <v>388</v>
      </c>
      <c r="B95" s="63" t="n">
        <v>1037</v>
      </c>
      <c r="C95" s="64" t="n">
        <v>46304.5369202546</v>
      </c>
      <c r="D95" s="63" t="n">
        <v>12</v>
      </c>
      <c r="E95" s="62" t="s">
        <v>389</v>
      </c>
      <c r="F95" s="62" t="s">
        <v>419</v>
      </c>
      <c r="G95" s="62" t="s">
        <v>389</v>
      </c>
      <c r="H95" s="65" t="n">
        <v>1.2</v>
      </c>
      <c r="I95" s="62" t="s">
        <v>393</v>
      </c>
    </row>
    <row r="96" customFormat="false" ht="15" hidden="false" customHeight="false" outlineLevel="0" collapsed="false">
      <c r="A96" s="62" t="s">
        <v>388</v>
      </c>
      <c r="B96" s="63" t="n">
        <v>1037</v>
      </c>
      <c r="C96" s="64" t="n">
        <v>46304.5395383796</v>
      </c>
      <c r="D96" s="63" t="n">
        <v>12</v>
      </c>
      <c r="E96" s="62" t="s">
        <v>389</v>
      </c>
      <c r="F96" s="62" t="s">
        <v>419</v>
      </c>
      <c r="G96" s="62" t="s">
        <v>389</v>
      </c>
      <c r="H96" s="65" t="n">
        <v>5.8</v>
      </c>
      <c r="I96" s="62" t="s">
        <v>393</v>
      </c>
    </row>
    <row r="97" customFormat="false" ht="15" hidden="false" customHeight="false" outlineLevel="0" collapsed="false">
      <c r="A97" s="62" t="s">
        <v>388</v>
      </c>
      <c r="B97" s="63" t="n">
        <v>712</v>
      </c>
      <c r="C97" s="64" t="n">
        <v>46304.5685360301</v>
      </c>
      <c r="D97" s="63" t="n">
        <v>13</v>
      </c>
      <c r="E97" s="62" t="s">
        <v>389</v>
      </c>
      <c r="F97" s="62" t="s">
        <v>150</v>
      </c>
      <c r="G97" s="62" t="s">
        <v>389</v>
      </c>
      <c r="H97" s="65" t="n">
        <v>3.1</v>
      </c>
      <c r="I97" s="62" t="s">
        <v>393</v>
      </c>
    </row>
    <row r="98" customFormat="false" ht="15" hidden="false" customHeight="false" outlineLevel="0" collapsed="false">
      <c r="A98" s="62" t="s">
        <v>388</v>
      </c>
      <c r="B98" s="63" t="n">
        <v>371</v>
      </c>
      <c r="C98" s="64" t="n">
        <v>46304.6098202662</v>
      </c>
      <c r="D98" s="63" t="n">
        <v>14</v>
      </c>
      <c r="E98" s="62" t="s">
        <v>389</v>
      </c>
      <c r="F98" s="62" t="s">
        <v>392</v>
      </c>
      <c r="G98" s="62" t="s">
        <v>389</v>
      </c>
      <c r="H98" s="65" t="n">
        <v>3.3</v>
      </c>
      <c r="I98" s="62" t="s">
        <v>393</v>
      </c>
    </row>
    <row r="99" customFormat="false" ht="15" hidden="false" customHeight="false" outlineLevel="0" collapsed="false">
      <c r="A99" s="62" t="s">
        <v>388</v>
      </c>
      <c r="B99" s="63" t="n">
        <v>1075</v>
      </c>
      <c r="C99" s="64" t="n">
        <v>46304.7119262847</v>
      </c>
      <c r="D99" s="63" t="n">
        <v>17</v>
      </c>
      <c r="E99" s="62" t="s">
        <v>389</v>
      </c>
      <c r="F99" s="62" t="s">
        <v>418</v>
      </c>
      <c r="G99" s="62" t="s">
        <v>389</v>
      </c>
      <c r="H99" s="65" t="n">
        <v>8.3</v>
      </c>
      <c r="I99" s="62" t="s">
        <v>275</v>
      </c>
    </row>
    <row r="100" customFormat="false" ht="15" hidden="false" customHeight="false" outlineLevel="0" collapsed="false">
      <c r="A100" s="62" t="s">
        <v>388</v>
      </c>
      <c r="B100" s="63" t="n">
        <v>1075</v>
      </c>
      <c r="C100" s="64" t="n">
        <v>46304.7146162963</v>
      </c>
      <c r="D100" s="63" t="n">
        <v>17</v>
      </c>
      <c r="E100" s="62" t="s">
        <v>389</v>
      </c>
      <c r="F100" s="62" t="s">
        <v>419</v>
      </c>
      <c r="G100" s="62" t="s">
        <v>389</v>
      </c>
      <c r="H100" s="65" t="n">
        <v>4.4</v>
      </c>
      <c r="I100" s="62" t="s">
        <v>393</v>
      </c>
    </row>
    <row r="101" customFormat="false" ht="15" hidden="false" customHeight="false" outlineLevel="0" collapsed="false">
      <c r="A101" s="62" t="s">
        <v>388</v>
      </c>
      <c r="B101" s="63" t="n">
        <v>1113</v>
      </c>
      <c r="C101" s="64" t="n">
        <v>46304.876971007</v>
      </c>
      <c r="D101" s="63" t="n">
        <v>21</v>
      </c>
      <c r="E101" s="62" t="s">
        <v>390</v>
      </c>
      <c r="F101" s="62" t="s">
        <v>418</v>
      </c>
      <c r="G101" s="62" t="s">
        <v>389</v>
      </c>
      <c r="H101" s="65" t="n">
        <v>5.9</v>
      </c>
      <c r="I101" s="62" t="s">
        <v>275</v>
      </c>
    </row>
    <row r="102" customFormat="false" ht="15" hidden="false" customHeight="false" outlineLevel="0" collapsed="false">
      <c r="A102" s="62" t="s">
        <v>388</v>
      </c>
      <c r="B102" s="63" t="n">
        <v>1113</v>
      </c>
      <c r="C102" s="64" t="n">
        <v>46304.8794077546</v>
      </c>
      <c r="D102" s="63" t="n">
        <v>21</v>
      </c>
      <c r="E102" s="62" t="s">
        <v>390</v>
      </c>
      <c r="F102" s="62" t="s">
        <v>419</v>
      </c>
      <c r="G102" s="62" t="s">
        <v>389</v>
      </c>
      <c r="H102" s="65" t="n">
        <v>2.4</v>
      </c>
      <c r="I102" s="62" t="s">
        <v>393</v>
      </c>
    </row>
    <row r="103" customFormat="false" ht="15" hidden="false" customHeight="false" outlineLevel="0" collapsed="false">
      <c r="A103" s="62" t="s">
        <v>388</v>
      </c>
      <c r="B103" s="63" t="n">
        <v>1113</v>
      </c>
      <c r="C103" s="64" t="n">
        <v>46304.8821697222</v>
      </c>
      <c r="D103" s="63" t="n">
        <v>21</v>
      </c>
      <c r="E103" s="62" t="s">
        <v>390</v>
      </c>
      <c r="F103" s="62" t="s">
        <v>151</v>
      </c>
      <c r="G103" s="62" t="s">
        <v>389</v>
      </c>
      <c r="H103" s="65" t="n">
        <v>0.5</v>
      </c>
      <c r="I103" s="62" t="s">
        <v>393</v>
      </c>
    </row>
    <row r="104" customFormat="false" ht="15" hidden="false" customHeight="false" outlineLevel="0" collapsed="false">
      <c r="A104" s="62" t="s">
        <v>388</v>
      </c>
      <c r="B104" s="63" t="n">
        <v>446</v>
      </c>
      <c r="C104" s="64" t="n">
        <v>46304.9148043056</v>
      </c>
      <c r="D104" s="63" t="n">
        <v>21</v>
      </c>
      <c r="E104" s="62" t="s">
        <v>390</v>
      </c>
      <c r="F104" s="62" t="s">
        <v>392</v>
      </c>
      <c r="G104" s="62" t="s">
        <v>389</v>
      </c>
      <c r="H104" s="65" t="n">
        <v>2</v>
      </c>
      <c r="I104" s="62" t="s">
        <v>393</v>
      </c>
    </row>
    <row r="105" customFormat="false" ht="15" hidden="false" customHeight="false" outlineLevel="0" collapsed="false">
      <c r="A105" s="62" t="s">
        <v>388</v>
      </c>
      <c r="B105" s="63" t="n">
        <v>446</v>
      </c>
      <c r="C105" s="64" t="n">
        <v>46304.9451797685</v>
      </c>
      <c r="D105" s="63" t="n">
        <v>22</v>
      </c>
      <c r="E105" s="62" t="s">
        <v>390</v>
      </c>
      <c r="F105" s="62" t="s">
        <v>152</v>
      </c>
      <c r="G105" s="62" t="s">
        <v>389</v>
      </c>
      <c r="H105" s="65" t="n">
        <v>687.3</v>
      </c>
      <c r="I105" s="62" t="s">
        <v>275</v>
      </c>
    </row>
    <row r="106" customFormat="false" ht="15" hidden="false" customHeight="false" outlineLevel="0" collapsed="false">
      <c r="A106" s="62" t="s">
        <v>388</v>
      </c>
      <c r="B106" s="63" t="n">
        <v>1134</v>
      </c>
      <c r="C106" s="64" t="n">
        <v>46305.0230722222</v>
      </c>
      <c r="D106" s="63" t="n">
        <v>0</v>
      </c>
      <c r="E106" s="62" t="s">
        <v>390</v>
      </c>
      <c r="F106" s="62" t="s">
        <v>418</v>
      </c>
      <c r="G106" s="62" t="s">
        <v>389</v>
      </c>
      <c r="H106" s="65" t="n">
        <v>474.6</v>
      </c>
      <c r="I106" s="62" t="s">
        <v>275</v>
      </c>
    </row>
    <row r="107" customFormat="false" ht="15" hidden="false" customHeight="false" outlineLevel="0" collapsed="false">
      <c r="A107" s="62" t="s">
        <v>388</v>
      </c>
      <c r="B107" s="63" t="n">
        <v>1136</v>
      </c>
      <c r="C107" s="64" t="n">
        <v>46305.1390958912</v>
      </c>
      <c r="D107" s="63" t="n">
        <v>3</v>
      </c>
      <c r="E107" s="62" t="s">
        <v>390</v>
      </c>
      <c r="F107" s="62" t="s">
        <v>418</v>
      </c>
      <c r="G107" s="62" t="s">
        <v>389</v>
      </c>
      <c r="H107" s="65" t="n">
        <v>3535.1</v>
      </c>
      <c r="I107" s="62" t="s">
        <v>275</v>
      </c>
    </row>
    <row r="108" customFormat="false" ht="15" hidden="false" customHeight="false" outlineLevel="0" collapsed="false">
      <c r="A108" s="62" t="s">
        <v>388</v>
      </c>
      <c r="B108" s="63" t="n">
        <v>1134</v>
      </c>
      <c r="C108" s="64" t="n">
        <v>46305.3308816667</v>
      </c>
      <c r="D108" s="63" t="n">
        <v>7</v>
      </c>
      <c r="E108" s="62" t="s">
        <v>390</v>
      </c>
      <c r="F108" s="62" t="s">
        <v>419</v>
      </c>
      <c r="G108" s="62" t="s">
        <v>389</v>
      </c>
      <c r="H108" s="65" t="n">
        <v>31.4</v>
      </c>
      <c r="I108" s="62" t="s">
        <v>393</v>
      </c>
    </row>
    <row r="109" customFormat="false" ht="15" hidden="false" customHeight="false" outlineLevel="0" collapsed="false">
      <c r="A109" s="62" t="s">
        <v>388</v>
      </c>
      <c r="B109" s="63" t="n">
        <v>1134</v>
      </c>
      <c r="C109" s="64" t="n">
        <v>46305.3581585764</v>
      </c>
      <c r="D109" s="63" t="n">
        <v>8</v>
      </c>
      <c r="E109" s="62" t="s">
        <v>390</v>
      </c>
      <c r="F109" s="62" t="s">
        <v>419</v>
      </c>
      <c r="G109" s="62" t="s">
        <v>389</v>
      </c>
      <c r="H109" s="65" t="n">
        <v>2.4</v>
      </c>
      <c r="I109" s="62" t="s">
        <v>393</v>
      </c>
    </row>
    <row r="110" customFormat="false" ht="15" hidden="false" customHeight="false" outlineLevel="0" collapsed="false">
      <c r="A110" s="62" t="s">
        <v>388</v>
      </c>
      <c r="B110" s="63" t="n">
        <v>1159</v>
      </c>
      <c r="C110" s="64" t="n">
        <v>46305.3748707407</v>
      </c>
      <c r="D110" s="63" t="n">
        <v>8</v>
      </c>
      <c r="E110" s="62" t="s">
        <v>390</v>
      </c>
      <c r="F110" s="62" t="s">
        <v>418</v>
      </c>
      <c r="G110" s="62" t="s">
        <v>389</v>
      </c>
      <c r="H110" s="65" t="n">
        <v>3195.8</v>
      </c>
      <c r="I110" s="62" t="s">
        <v>275</v>
      </c>
    </row>
    <row r="111" customFormat="false" ht="15" hidden="false" customHeight="false" outlineLevel="0" collapsed="false">
      <c r="A111" s="62" t="s">
        <v>388</v>
      </c>
      <c r="B111" s="63" t="n">
        <v>1190</v>
      </c>
      <c r="C111" s="64" t="n">
        <v>46305.5542281366</v>
      </c>
      <c r="D111" s="63" t="n">
        <v>13</v>
      </c>
      <c r="E111" s="62" t="s">
        <v>389</v>
      </c>
      <c r="F111" s="62" t="s">
        <v>418</v>
      </c>
      <c r="G111" s="62" t="s">
        <v>389</v>
      </c>
      <c r="H111" s="65" t="n">
        <v>4.4</v>
      </c>
      <c r="I111" s="62" t="s">
        <v>393</v>
      </c>
    </row>
    <row r="112" customFormat="false" ht="15" hidden="false" customHeight="false" outlineLevel="0" collapsed="false">
      <c r="A112" s="62" t="s">
        <v>388</v>
      </c>
      <c r="B112" s="63" t="n">
        <v>1113</v>
      </c>
      <c r="C112" s="64" t="n">
        <v>46305.6720779282</v>
      </c>
      <c r="D112" s="63" t="n">
        <v>16</v>
      </c>
      <c r="E112" s="62" t="s">
        <v>389</v>
      </c>
      <c r="F112" s="62" t="s">
        <v>152</v>
      </c>
      <c r="G112" s="62" t="s">
        <v>389</v>
      </c>
      <c r="H112" s="65" t="n">
        <v>1.3</v>
      </c>
      <c r="I112" s="62" t="s">
        <v>393</v>
      </c>
    </row>
    <row r="113" customFormat="false" ht="15" hidden="false" customHeight="false" outlineLevel="0" collapsed="false">
      <c r="A113" s="62" t="s">
        <v>388</v>
      </c>
      <c r="B113" s="63" t="n">
        <v>1226</v>
      </c>
      <c r="C113" s="64" t="n">
        <v>46305.7851145949</v>
      </c>
      <c r="D113" s="63" t="n">
        <v>18</v>
      </c>
      <c r="E113" s="62" t="s">
        <v>389</v>
      </c>
      <c r="F113" s="62" t="s">
        <v>418</v>
      </c>
      <c r="G113" s="62" t="s">
        <v>389</v>
      </c>
      <c r="H113" s="65" t="n">
        <v>4078.9</v>
      </c>
      <c r="I113" s="62" t="s">
        <v>275</v>
      </c>
    </row>
    <row r="114" customFormat="false" ht="15" hidden="false" customHeight="false" outlineLevel="0" collapsed="false">
      <c r="A114" s="62" t="s">
        <v>388</v>
      </c>
      <c r="B114" s="63" t="n">
        <v>1313</v>
      </c>
      <c r="C114" s="64" t="n">
        <v>46306.6445866551</v>
      </c>
      <c r="D114" s="63" t="n">
        <v>15</v>
      </c>
      <c r="E114" s="62" t="s">
        <v>389</v>
      </c>
      <c r="F114" s="62" t="s">
        <v>419</v>
      </c>
      <c r="G114" s="62" t="s">
        <v>389</v>
      </c>
      <c r="H114" s="65" t="n">
        <v>0.2</v>
      </c>
      <c r="I114" s="62" t="s">
        <v>393</v>
      </c>
    </row>
    <row r="115" customFormat="false" ht="15" hidden="false" customHeight="false" outlineLevel="0" collapsed="false">
      <c r="A115" s="62" t="s">
        <v>388</v>
      </c>
      <c r="B115" s="63" t="n">
        <v>1313</v>
      </c>
      <c r="C115" s="64" t="n">
        <v>46306.6449197454</v>
      </c>
      <c r="D115" s="63" t="n">
        <v>15</v>
      </c>
      <c r="E115" s="62" t="s">
        <v>389</v>
      </c>
      <c r="F115" s="62" t="s">
        <v>419</v>
      </c>
      <c r="G115" s="62" t="s">
        <v>389</v>
      </c>
      <c r="H115" s="65" t="n">
        <v>3</v>
      </c>
      <c r="I115" s="62" t="s">
        <v>393</v>
      </c>
    </row>
    <row r="116" customFormat="false" ht="15" hidden="false" customHeight="false" outlineLevel="0" collapsed="false">
      <c r="A116" s="62" t="s">
        <v>388</v>
      </c>
      <c r="B116" s="63" t="n">
        <v>1038</v>
      </c>
      <c r="C116" s="64" t="n">
        <v>46306.648757581</v>
      </c>
      <c r="D116" s="63" t="n">
        <v>15</v>
      </c>
      <c r="E116" s="62" t="s">
        <v>389</v>
      </c>
      <c r="F116" s="62" t="s">
        <v>392</v>
      </c>
      <c r="G116" s="62" t="s">
        <v>390</v>
      </c>
      <c r="H116" s="65"/>
      <c r="I116" s="62" t="s">
        <v>420</v>
      </c>
    </row>
    <row r="117" customFormat="false" ht="15" hidden="false" customHeight="false" outlineLevel="0" collapsed="false">
      <c r="A117" s="62" t="s">
        <v>388</v>
      </c>
      <c r="B117" s="63" t="n">
        <v>1318</v>
      </c>
      <c r="C117" s="64" t="n">
        <v>46306.6566648264</v>
      </c>
      <c r="D117" s="63" t="n">
        <v>15</v>
      </c>
      <c r="E117" s="62" t="s">
        <v>389</v>
      </c>
      <c r="F117" s="62" t="s">
        <v>418</v>
      </c>
      <c r="G117" s="62" t="s">
        <v>389</v>
      </c>
      <c r="H117" s="65" t="n">
        <v>25</v>
      </c>
      <c r="I117" s="62" t="s">
        <v>275</v>
      </c>
    </row>
    <row r="118" customFormat="false" ht="15" hidden="false" customHeight="false" outlineLevel="0" collapsed="false">
      <c r="A118" s="62" t="s">
        <v>388</v>
      </c>
      <c r="B118" s="63" t="n">
        <v>1318</v>
      </c>
      <c r="C118" s="64" t="n">
        <v>46306.6738215741</v>
      </c>
      <c r="D118" s="63" t="n">
        <v>16</v>
      </c>
      <c r="E118" s="62" t="s">
        <v>389</v>
      </c>
      <c r="F118" s="62" t="s">
        <v>419</v>
      </c>
      <c r="G118" s="62" t="s">
        <v>389</v>
      </c>
      <c r="H118" s="65" t="n">
        <v>0.3</v>
      </c>
      <c r="I118" s="62" t="s">
        <v>393</v>
      </c>
    </row>
    <row r="119" customFormat="false" ht="15" hidden="false" customHeight="false" outlineLevel="0" collapsed="false">
      <c r="A119" s="62" t="s">
        <v>388</v>
      </c>
      <c r="B119" s="63" t="n">
        <v>1318</v>
      </c>
      <c r="C119" s="64" t="n">
        <v>46306.6769079051</v>
      </c>
      <c r="D119" s="63" t="n">
        <v>16</v>
      </c>
      <c r="E119" s="62" t="s">
        <v>389</v>
      </c>
      <c r="F119" s="62" t="s">
        <v>419</v>
      </c>
      <c r="G119" s="62" t="s">
        <v>389</v>
      </c>
      <c r="H119" s="65" t="n">
        <v>0.8</v>
      </c>
      <c r="I119" s="62" t="s">
        <v>393</v>
      </c>
    </row>
    <row r="120" customFormat="false" ht="15" hidden="false" customHeight="false" outlineLevel="0" collapsed="false">
      <c r="A120" s="62" t="s">
        <v>388</v>
      </c>
      <c r="B120" s="63" t="n">
        <v>1326</v>
      </c>
      <c r="C120" s="64" t="n">
        <v>46306.6903632292</v>
      </c>
      <c r="D120" s="63" t="n">
        <v>16</v>
      </c>
      <c r="E120" s="62" t="s">
        <v>389</v>
      </c>
      <c r="F120" s="62" t="s">
        <v>418</v>
      </c>
      <c r="G120" s="62" t="s">
        <v>389</v>
      </c>
      <c r="H120" s="65" t="n">
        <v>13.5</v>
      </c>
      <c r="I120" s="62" t="s">
        <v>275</v>
      </c>
    </row>
    <row r="121" customFormat="false" ht="15" hidden="false" customHeight="false" outlineLevel="0" collapsed="false">
      <c r="A121" s="62" t="s">
        <v>388</v>
      </c>
      <c r="B121" s="63" t="n">
        <v>1326</v>
      </c>
      <c r="C121" s="64" t="n">
        <v>46306.6980230556</v>
      </c>
      <c r="D121" s="63" t="n">
        <v>16</v>
      </c>
      <c r="E121" s="62" t="s">
        <v>389</v>
      </c>
      <c r="F121" s="62" t="s">
        <v>419</v>
      </c>
      <c r="G121" s="62" t="s">
        <v>389</v>
      </c>
      <c r="H121" s="65" t="n">
        <v>2.5</v>
      </c>
      <c r="I121" s="62" t="s">
        <v>393</v>
      </c>
    </row>
    <row r="122" customFormat="false" ht="15" hidden="false" customHeight="false" outlineLevel="0" collapsed="false">
      <c r="A122" s="62" t="s">
        <v>388</v>
      </c>
      <c r="B122" s="63" t="n">
        <v>1326</v>
      </c>
      <c r="C122" s="64" t="n">
        <v>46306.7003985532</v>
      </c>
      <c r="D122" s="63" t="n">
        <v>16</v>
      </c>
      <c r="E122" s="62" t="s">
        <v>389</v>
      </c>
      <c r="F122" s="62" t="s">
        <v>419</v>
      </c>
      <c r="G122" s="62" t="s">
        <v>389</v>
      </c>
      <c r="H122" s="65" t="n">
        <v>3.2</v>
      </c>
      <c r="I122" s="62" t="s">
        <v>393</v>
      </c>
    </row>
    <row r="123" customFormat="false" ht="15" hidden="false" customHeight="false" outlineLevel="0" collapsed="false">
      <c r="A123" s="62" t="s">
        <v>388</v>
      </c>
      <c r="B123" s="63" t="n">
        <v>1328</v>
      </c>
      <c r="C123" s="64" t="n">
        <v>46306.7178979398</v>
      </c>
      <c r="D123" s="63" t="n">
        <v>17</v>
      </c>
      <c r="E123" s="62" t="s">
        <v>389</v>
      </c>
      <c r="F123" s="62" t="s">
        <v>419</v>
      </c>
      <c r="G123" s="62" t="s">
        <v>389</v>
      </c>
      <c r="H123" s="65" t="n">
        <v>1.1</v>
      </c>
      <c r="I123" s="62" t="s">
        <v>393</v>
      </c>
    </row>
    <row r="124" customFormat="false" ht="15" hidden="false" customHeight="false" outlineLevel="0" collapsed="false">
      <c r="A124" s="62" t="s">
        <v>388</v>
      </c>
      <c r="B124" s="63" t="n">
        <v>1328</v>
      </c>
      <c r="C124" s="64" t="n">
        <v>46306.7215061343</v>
      </c>
      <c r="D124" s="63" t="n">
        <v>17</v>
      </c>
      <c r="E124" s="62" t="s">
        <v>389</v>
      </c>
      <c r="F124" s="62" t="s">
        <v>151</v>
      </c>
      <c r="G124" s="62" t="s">
        <v>389</v>
      </c>
      <c r="H124" s="65" t="n">
        <v>0.4</v>
      </c>
      <c r="I124" s="62" t="s">
        <v>393</v>
      </c>
    </row>
    <row r="125" customFormat="false" ht="15" hidden="false" customHeight="false" outlineLevel="0" collapsed="false">
      <c r="A125" s="62" t="s">
        <v>388</v>
      </c>
      <c r="B125" s="63" t="n">
        <v>1328</v>
      </c>
      <c r="C125" s="64" t="n">
        <v>46306.7218427315</v>
      </c>
      <c r="D125" s="63" t="n">
        <v>17</v>
      </c>
      <c r="E125" s="62" t="s">
        <v>389</v>
      </c>
      <c r="F125" s="62" t="s">
        <v>151</v>
      </c>
      <c r="G125" s="62" t="s">
        <v>389</v>
      </c>
      <c r="H125" s="65" t="n">
        <v>0.5</v>
      </c>
      <c r="I125" s="62" t="s">
        <v>393</v>
      </c>
    </row>
    <row r="126" customFormat="false" ht="15" hidden="false" customHeight="false" outlineLevel="0" collapsed="false">
      <c r="A126" s="62" t="s">
        <v>388</v>
      </c>
      <c r="B126" s="63" t="n">
        <v>1328</v>
      </c>
      <c r="C126" s="64" t="n">
        <v>46306.7224847917</v>
      </c>
      <c r="D126" s="63" t="n">
        <v>17</v>
      </c>
      <c r="E126" s="62" t="s">
        <v>389</v>
      </c>
      <c r="F126" s="62" t="s">
        <v>151</v>
      </c>
      <c r="G126" s="62" t="s">
        <v>389</v>
      </c>
      <c r="H126" s="65" t="n">
        <v>4.1</v>
      </c>
      <c r="I126" s="62" t="s">
        <v>275</v>
      </c>
    </row>
    <row r="127" customFormat="false" ht="15" hidden="false" customHeight="false" outlineLevel="0" collapsed="false">
      <c r="A127" s="62" t="s">
        <v>388</v>
      </c>
      <c r="B127" s="63" t="n">
        <v>1328</v>
      </c>
      <c r="C127" s="64" t="n">
        <v>46306.7232291667</v>
      </c>
      <c r="D127" s="63" t="n">
        <v>17</v>
      </c>
      <c r="E127" s="62" t="s">
        <v>389</v>
      </c>
      <c r="F127" s="62" t="s">
        <v>151</v>
      </c>
      <c r="G127" s="62" t="s">
        <v>389</v>
      </c>
      <c r="H127" s="65" t="n">
        <v>3.1</v>
      </c>
      <c r="I127" s="62" t="s">
        <v>393</v>
      </c>
    </row>
    <row r="128" customFormat="false" ht="15" hidden="false" customHeight="false" outlineLevel="0" collapsed="false">
      <c r="A128" s="62" t="s">
        <v>388</v>
      </c>
      <c r="B128" s="63" t="n">
        <v>1335</v>
      </c>
      <c r="C128" s="64" t="n">
        <v>46306.734664537</v>
      </c>
      <c r="D128" s="63" t="n">
        <v>17</v>
      </c>
      <c r="E128" s="62" t="s">
        <v>389</v>
      </c>
      <c r="F128" s="62" t="s">
        <v>418</v>
      </c>
      <c r="G128" s="62" t="s">
        <v>389</v>
      </c>
      <c r="H128" s="65" t="n">
        <v>10.3</v>
      </c>
      <c r="I128" s="62" t="s">
        <v>275</v>
      </c>
    </row>
    <row r="129" customFormat="false" ht="15" hidden="false" customHeight="false" outlineLevel="0" collapsed="false">
      <c r="A129" s="62" t="s">
        <v>388</v>
      </c>
      <c r="B129" s="63" t="n">
        <v>1335</v>
      </c>
      <c r="C129" s="64" t="n">
        <v>46306.7416552431</v>
      </c>
      <c r="D129" s="63" t="n">
        <v>17</v>
      </c>
      <c r="E129" s="62" t="s">
        <v>389</v>
      </c>
      <c r="F129" s="62" t="s">
        <v>419</v>
      </c>
      <c r="G129" s="62" t="s">
        <v>389</v>
      </c>
      <c r="H129" s="65" t="n">
        <v>0.2</v>
      </c>
      <c r="I129" s="62" t="s">
        <v>393</v>
      </c>
    </row>
    <row r="130" customFormat="false" ht="15" hidden="false" customHeight="false" outlineLevel="0" collapsed="false">
      <c r="A130" s="62" t="s">
        <v>388</v>
      </c>
      <c r="B130" s="63" t="n">
        <v>1335</v>
      </c>
      <c r="C130" s="64" t="n">
        <v>46306.7421103125</v>
      </c>
      <c r="D130" s="63" t="n">
        <v>17</v>
      </c>
      <c r="E130" s="62" t="s">
        <v>389</v>
      </c>
      <c r="F130" s="62" t="s">
        <v>419</v>
      </c>
      <c r="G130" s="62" t="s">
        <v>389</v>
      </c>
      <c r="H130" s="65" t="n">
        <v>3.2</v>
      </c>
      <c r="I130" s="62" t="s">
        <v>393</v>
      </c>
    </row>
    <row r="131" customFormat="false" ht="15" hidden="false" customHeight="false" outlineLevel="0" collapsed="false">
      <c r="A131" s="62" t="s">
        <v>388</v>
      </c>
      <c r="B131" s="63" t="n">
        <v>1335</v>
      </c>
      <c r="C131" s="64" t="n">
        <v>46306.7537603125</v>
      </c>
      <c r="D131" s="63" t="n">
        <v>18</v>
      </c>
      <c r="E131" s="62" t="s">
        <v>389</v>
      </c>
      <c r="F131" s="62" t="s">
        <v>151</v>
      </c>
      <c r="G131" s="62" t="s">
        <v>389</v>
      </c>
      <c r="H131" s="65" t="n">
        <v>1</v>
      </c>
      <c r="I131" s="62" t="s">
        <v>393</v>
      </c>
    </row>
    <row r="132" customFormat="false" ht="15" hidden="false" customHeight="false" outlineLevel="0" collapsed="false">
      <c r="A132" s="62" t="s">
        <v>388</v>
      </c>
      <c r="B132" s="63" t="n">
        <v>1335</v>
      </c>
      <c r="C132" s="64" t="n">
        <v>46306.7556002894</v>
      </c>
      <c r="D132" s="63" t="n">
        <v>18</v>
      </c>
      <c r="E132" s="62" t="s">
        <v>389</v>
      </c>
      <c r="F132" s="62" t="s">
        <v>151</v>
      </c>
      <c r="G132" s="62" t="s">
        <v>389</v>
      </c>
      <c r="H132" s="65" t="n">
        <v>0.4</v>
      </c>
      <c r="I132" s="62" t="s">
        <v>393</v>
      </c>
    </row>
    <row r="133" customFormat="false" ht="15" hidden="false" customHeight="false" outlineLevel="0" collapsed="false">
      <c r="A133" s="62" t="s">
        <v>388</v>
      </c>
      <c r="B133" s="63" t="n">
        <v>1335</v>
      </c>
      <c r="C133" s="64" t="n">
        <v>46306.7579185301</v>
      </c>
      <c r="D133" s="63" t="n">
        <v>18</v>
      </c>
      <c r="E133" s="62" t="s">
        <v>389</v>
      </c>
      <c r="F133" s="62" t="s">
        <v>151</v>
      </c>
      <c r="G133" s="62" t="s">
        <v>389</v>
      </c>
      <c r="H133" s="65" t="n">
        <v>4.4</v>
      </c>
      <c r="I133" s="62" t="s">
        <v>275</v>
      </c>
    </row>
    <row r="134" customFormat="false" ht="15" hidden="false" customHeight="false" outlineLevel="0" collapsed="false">
      <c r="A134" s="62" t="s">
        <v>388</v>
      </c>
      <c r="B134" s="63" t="n">
        <v>1335</v>
      </c>
      <c r="C134" s="64" t="n">
        <v>46306.7597165741</v>
      </c>
      <c r="D134" s="63" t="n">
        <v>18</v>
      </c>
      <c r="E134" s="62" t="s">
        <v>389</v>
      </c>
      <c r="F134" s="62" t="s">
        <v>151</v>
      </c>
      <c r="G134" s="62" t="s">
        <v>389</v>
      </c>
      <c r="H134" s="65" t="n">
        <v>1.8</v>
      </c>
      <c r="I134" s="62" t="s">
        <v>393</v>
      </c>
    </row>
    <row r="135" customFormat="false" ht="15" hidden="false" customHeight="false" outlineLevel="0" collapsed="false">
      <c r="A135" s="62" t="s">
        <v>388</v>
      </c>
      <c r="B135" s="63" t="n">
        <v>1335</v>
      </c>
      <c r="C135" s="64" t="n">
        <v>46306.7620694907</v>
      </c>
      <c r="D135" s="63" t="n">
        <v>18</v>
      </c>
      <c r="E135" s="62" t="s">
        <v>389</v>
      </c>
      <c r="F135" s="62" t="s">
        <v>151</v>
      </c>
      <c r="G135" s="62" t="s">
        <v>389</v>
      </c>
      <c r="H135" s="65" t="n">
        <v>12.7</v>
      </c>
      <c r="I135" s="62" t="s">
        <v>393</v>
      </c>
    </row>
    <row r="136" customFormat="false" ht="15" hidden="false" customHeight="false" outlineLevel="0" collapsed="false">
      <c r="A136" s="62" t="s">
        <v>388</v>
      </c>
      <c r="B136" s="63" t="n">
        <v>1335</v>
      </c>
      <c r="C136" s="64" t="n">
        <v>46306.772548206</v>
      </c>
      <c r="D136" s="63" t="n">
        <v>18</v>
      </c>
      <c r="E136" s="62" t="s">
        <v>389</v>
      </c>
      <c r="F136" s="62" t="s">
        <v>151</v>
      </c>
      <c r="G136" s="62" t="s">
        <v>389</v>
      </c>
      <c r="H136" s="65" t="n">
        <v>3.4</v>
      </c>
      <c r="I136" s="62" t="s">
        <v>275</v>
      </c>
    </row>
    <row r="137" customFormat="false" ht="15" hidden="false" customHeight="false" outlineLevel="0" collapsed="false">
      <c r="A137" s="62" t="s">
        <v>388</v>
      </c>
      <c r="B137" s="63" t="n">
        <v>1335</v>
      </c>
      <c r="C137" s="64" t="n">
        <v>46306.7745337847</v>
      </c>
      <c r="D137" s="63" t="n">
        <v>18</v>
      </c>
      <c r="E137" s="62" t="s">
        <v>389</v>
      </c>
      <c r="F137" s="62" t="s">
        <v>152</v>
      </c>
      <c r="G137" s="62" t="s">
        <v>389</v>
      </c>
      <c r="H137" s="65" t="n">
        <v>0.5</v>
      </c>
      <c r="I137" s="62" t="s">
        <v>393</v>
      </c>
    </row>
    <row r="138" customFormat="false" ht="15" hidden="false" customHeight="false" outlineLevel="0" collapsed="false">
      <c r="A138" s="62" t="s">
        <v>388</v>
      </c>
      <c r="B138" s="63" t="n">
        <v>1335</v>
      </c>
      <c r="C138" s="64" t="n">
        <v>46306.775666088</v>
      </c>
      <c r="D138" s="63" t="n">
        <v>18</v>
      </c>
      <c r="E138" s="62" t="s">
        <v>389</v>
      </c>
      <c r="F138" s="62" t="s">
        <v>152</v>
      </c>
      <c r="G138" s="62" t="s">
        <v>389</v>
      </c>
      <c r="H138" s="65" t="n">
        <v>6.8</v>
      </c>
      <c r="I138" s="62" t="s">
        <v>393</v>
      </c>
    </row>
    <row r="139" customFormat="false" ht="15" hidden="false" customHeight="false" outlineLevel="0" collapsed="false">
      <c r="A139" s="62" t="s">
        <v>388</v>
      </c>
      <c r="B139" s="63" t="n">
        <v>1318</v>
      </c>
      <c r="C139" s="64" t="n">
        <v>46306.8218351389</v>
      </c>
      <c r="D139" s="63" t="n">
        <v>19</v>
      </c>
      <c r="E139" s="62" t="s">
        <v>389</v>
      </c>
      <c r="F139" s="62" t="s">
        <v>151</v>
      </c>
      <c r="G139" s="62" t="s">
        <v>389</v>
      </c>
      <c r="H139" s="65" t="n">
        <v>7.6</v>
      </c>
      <c r="I139" s="62" t="s">
        <v>393</v>
      </c>
    </row>
    <row r="140" customFormat="false" ht="15" hidden="false" customHeight="false" outlineLevel="0" collapsed="false">
      <c r="A140" s="62" t="s">
        <v>388</v>
      </c>
      <c r="B140" s="63" t="n">
        <v>1353</v>
      </c>
      <c r="C140" s="64" t="n">
        <v>46306.8343601042</v>
      </c>
      <c r="D140" s="63" t="n">
        <v>20</v>
      </c>
      <c r="E140" s="62" t="s">
        <v>389</v>
      </c>
      <c r="F140" s="62" t="s">
        <v>418</v>
      </c>
      <c r="G140" s="62" t="s">
        <v>389</v>
      </c>
      <c r="H140" s="65" t="n">
        <v>1.3</v>
      </c>
      <c r="I140" s="62" t="s">
        <v>275</v>
      </c>
    </row>
    <row r="141" customFormat="false" ht="15" hidden="false" customHeight="false" outlineLevel="0" collapsed="false">
      <c r="A141" s="62" t="s">
        <v>388</v>
      </c>
      <c r="B141" s="63" t="n">
        <v>1353</v>
      </c>
      <c r="C141" s="64" t="n">
        <v>46306.8347527315</v>
      </c>
      <c r="D141" s="63" t="n">
        <v>20</v>
      </c>
      <c r="E141" s="62" t="s">
        <v>389</v>
      </c>
      <c r="F141" s="62" t="s">
        <v>419</v>
      </c>
      <c r="G141" s="62" t="s">
        <v>389</v>
      </c>
      <c r="H141" s="65" t="n">
        <v>0.8</v>
      </c>
      <c r="I141" s="62" t="s">
        <v>393</v>
      </c>
    </row>
    <row r="142" customFormat="false" ht="15" hidden="false" customHeight="false" outlineLevel="0" collapsed="false">
      <c r="A142" s="62" t="s">
        <v>388</v>
      </c>
      <c r="B142" s="63" t="n">
        <v>1353</v>
      </c>
      <c r="C142" s="64" t="n">
        <v>46306.8373473495</v>
      </c>
      <c r="D142" s="63" t="n">
        <v>20</v>
      </c>
      <c r="E142" s="62" t="s">
        <v>389</v>
      </c>
      <c r="F142" s="62" t="s">
        <v>419</v>
      </c>
      <c r="G142" s="62" t="s">
        <v>389</v>
      </c>
      <c r="H142" s="65" t="n">
        <v>0.9</v>
      </c>
      <c r="I142" s="62" t="s">
        <v>393</v>
      </c>
    </row>
    <row r="143" customFormat="false" ht="15" hidden="false" customHeight="false" outlineLevel="0" collapsed="false">
      <c r="A143" s="62" t="s">
        <v>388</v>
      </c>
      <c r="B143" s="63" t="n">
        <v>1353</v>
      </c>
      <c r="C143" s="64" t="n">
        <v>46306.8389765857</v>
      </c>
      <c r="D143" s="63" t="n">
        <v>20</v>
      </c>
      <c r="E143" s="62" t="s">
        <v>389</v>
      </c>
      <c r="F143" s="62" t="s">
        <v>419</v>
      </c>
      <c r="G143" s="62" t="s">
        <v>389</v>
      </c>
      <c r="H143" s="65" t="n">
        <v>1</v>
      </c>
      <c r="I143" s="62" t="s">
        <v>393</v>
      </c>
    </row>
    <row r="144" customFormat="false" ht="15" hidden="false" customHeight="false" outlineLevel="0" collapsed="false">
      <c r="A144" s="62" t="s">
        <v>388</v>
      </c>
      <c r="B144" s="63" t="n">
        <v>833</v>
      </c>
      <c r="C144" s="64" t="n">
        <v>46307.410215162</v>
      </c>
      <c r="D144" s="63" t="n">
        <v>9</v>
      </c>
      <c r="E144" s="62" t="s">
        <v>389</v>
      </c>
      <c r="F144" s="62" t="s">
        <v>392</v>
      </c>
      <c r="G144" s="62" t="s">
        <v>390</v>
      </c>
      <c r="H144" s="65"/>
      <c r="I144" s="62" t="s">
        <v>420</v>
      </c>
    </row>
    <row r="145" customFormat="false" ht="15" hidden="false" customHeight="false" outlineLevel="0" collapsed="false">
      <c r="A145" s="62" t="s">
        <v>388</v>
      </c>
      <c r="B145" s="63" t="n">
        <v>1335</v>
      </c>
      <c r="C145" s="64" t="n">
        <v>46307.4822552894</v>
      </c>
      <c r="D145" s="63" t="n">
        <v>11</v>
      </c>
      <c r="E145" s="62" t="s">
        <v>389</v>
      </c>
      <c r="F145" s="62" t="s">
        <v>150</v>
      </c>
      <c r="G145" s="62" t="s">
        <v>389</v>
      </c>
      <c r="H145" s="65" t="n">
        <v>2.3</v>
      </c>
      <c r="I145" s="62" t="s">
        <v>393</v>
      </c>
    </row>
    <row r="146" customFormat="false" ht="15" hidden="false" customHeight="false" outlineLevel="0" collapsed="false">
      <c r="A146" s="62" t="s">
        <v>388</v>
      </c>
      <c r="B146" s="63" t="n">
        <v>1018</v>
      </c>
      <c r="C146" s="64" t="n">
        <v>46307.4872942477</v>
      </c>
      <c r="D146" s="63" t="n">
        <v>11</v>
      </c>
      <c r="E146" s="62" t="s">
        <v>389</v>
      </c>
      <c r="F146" s="62" t="s">
        <v>392</v>
      </c>
      <c r="G146" s="62" t="s">
        <v>389</v>
      </c>
      <c r="H146" s="65" t="n">
        <v>2.7</v>
      </c>
      <c r="I146" s="62" t="s">
        <v>393</v>
      </c>
    </row>
    <row r="147" customFormat="false" ht="15" hidden="false" customHeight="false" outlineLevel="0" collapsed="false">
      <c r="A147" s="62" t="s">
        <v>388</v>
      </c>
      <c r="B147" s="63" t="n">
        <v>1335</v>
      </c>
      <c r="C147" s="64" t="n">
        <v>46307.4879860764</v>
      </c>
      <c r="D147" s="63" t="n">
        <v>11</v>
      </c>
      <c r="E147" s="62" t="s">
        <v>389</v>
      </c>
      <c r="F147" s="62" t="s">
        <v>150</v>
      </c>
      <c r="G147" s="62" t="s">
        <v>389</v>
      </c>
      <c r="H147" s="65" t="n">
        <v>4.7</v>
      </c>
      <c r="I147" s="62" t="s">
        <v>393</v>
      </c>
    </row>
    <row r="148" customFormat="false" ht="15" hidden="false" customHeight="false" outlineLevel="0" collapsed="false">
      <c r="A148" s="62" t="s">
        <v>388</v>
      </c>
      <c r="B148" s="63" t="n">
        <v>1335</v>
      </c>
      <c r="C148" s="64" t="n">
        <v>46307.5004857292</v>
      </c>
      <c r="D148" s="63" t="n">
        <v>12</v>
      </c>
      <c r="E148" s="62" t="s">
        <v>389</v>
      </c>
      <c r="F148" s="62" t="s">
        <v>150</v>
      </c>
      <c r="G148" s="62" t="s">
        <v>389</v>
      </c>
      <c r="H148" s="65" t="n">
        <v>4.1</v>
      </c>
      <c r="I148" s="62" t="s">
        <v>393</v>
      </c>
    </row>
    <row r="149" customFormat="false" ht="15" hidden="false" customHeight="false" outlineLevel="0" collapsed="false">
      <c r="A149" s="62" t="s">
        <v>388</v>
      </c>
      <c r="B149" s="63" t="n">
        <v>1018</v>
      </c>
      <c r="C149" s="64" t="n">
        <v>46307.5053102778</v>
      </c>
      <c r="D149" s="63" t="n">
        <v>12</v>
      </c>
      <c r="E149" s="62" t="s">
        <v>389</v>
      </c>
      <c r="F149" s="62" t="s">
        <v>392</v>
      </c>
      <c r="G149" s="62" t="s">
        <v>389</v>
      </c>
      <c r="H149" s="65" t="n">
        <v>0.2</v>
      </c>
      <c r="I149" s="62" t="s">
        <v>393</v>
      </c>
    </row>
    <row r="150" customFormat="false" ht="15" hidden="false" customHeight="false" outlineLevel="0" collapsed="false">
      <c r="A150" s="62" t="s">
        <v>388</v>
      </c>
      <c r="B150" s="63" t="n">
        <v>1482</v>
      </c>
      <c r="C150" s="64" t="n">
        <v>46307.5711843171</v>
      </c>
      <c r="D150" s="63" t="n">
        <v>13</v>
      </c>
      <c r="E150" s="62" t="s">
        <v>389</v>
      </c>
      <c r="F150" s="62" t="s">
        <v>418</v>
      </c>
      <c r="G150" s="62" t="s">
        <v>389</v>
      </c>
      <c r="H150" s="65" t="n">
        <v>2902.8</v>
      </c>
      <c r="I150" s="62" t="s">
        <v>275</v>
      </c>
    </row>
    <row r="151" customFormat="false" ht="15" hidden="false" customHeight="false" outlineLevel="0" collapsed="false">
      <c r="A151" s="62" t="s">
        <v>388</v>
      </c>
      <c r="B151" s="63" t="n">
        <v>545</v>
      </c>
      <c r="C151" s="64" t="n">
        <v>46307.5749373727</v>
      </c>
      <c r="D151" s="63" t="n">
        <v>13</v>
      </c>
      <c r="E151" s="62" t="s">
        <v>389</v>
      </c>
      <c r="F151" s="62" t="s">
        <v>392</v>
      </c>
      <c r="G151" s="62" t="s">
        <v>389</v>
      </c>
      <c r="H151" s="65" t="n">
        <v>0.7</v>
      </c>
      <c r="I151" s="62" t="s">
        <v>393</v>
      </c>
    </row>
    <row r="152" customFormat="false" ht="15" hidden="false" customHeight="false" outlineLevel="0" collapsed="false">
      <c r="A152" s="62" t="s">
        <v>388</v>
      </c>
      <c r="B152" s="63" t="n">
        <v>545</v>
      </c>
      <c r="C152" s="64" t="n">
        <v>46307.5804800695</v>
      </c>
      <c r="D152" s="63" t="n">
        <v>13</v>
      </c>
      <c r="E152" s="62" t="s">
        <v>389</v>
      </c>
      <c r="F152" s="62" t="s">
        <v>392</v>
      </c>
      <c r="G152" s="62" t="s">
        <v>389</v>
      </c>
      <c r="H152" s="65" t="n">
        <v>1.4</v>
      </c>
      <c r="I152" s="62" t="s">
        <v>393</v>
      </c>
    </row>
    <row r="153" customFormat="false" ht="15" hidden="false" customHeight="false" outlineLevel="0" collapsed="false">
      <c r="A153" s="62" t="s">
        <v>388</v>
      </c>
      <c r="B153" s="63" t="n">
        <v>545</v>
      </c>
      <c r="C153" s="64" t="n">
        <v>46307.6021549074</v>
      </c>
      <c r="D153" s="63" t="n">
        <v>14</v>
      </c>
      <c r="E153" s="62" t="s">
        <v>389</v>
      </c>
      <c r="F153" s="62" t="s">
        <v>152</v>
      </c>
      <c r="G153" s="62" t="s">
        <v>389</v>
      </c>
      <c r="H153" s="65" t="n">
        <v>1.2</v>
      </c>
      <c r="I153" s="62" t="s">
        <v>393</v>
      </c>
    </row>
    <row r="154" customFormat="false" ht="15" hidden="false" customHeight="false" outlineLevel="0" collapsed="false">
      <c r="A154" s="62" t="s">
        <v>388</v>
      </c>
      <c r="B154" s="63" t="n">
        <v>545</v>
      </c>
      <c r="C154" s="64" t="n">
        <v>46307.6035124074</v>
      </c>
      <c r="D154" s="63" t="n">
        <v>14</v>
      </c>
      <c r="E154" s="62" t="s">
        <v>389</v>
      </c>
      <c r="F154" s="62" t="s">
        <v>152</v>
      </c>
      <c r="G154" s="62" t="s">
        <v>389</v>
      </c>
      <c r="H154" s="65" t="n">
        <v>1.7</v>
      </c>
      <c r="I154" s="62" t="s">
        <v>393</v>
      </c>
    </row>
    <row r="155" customFormat="false" ht="15" hidden="false" customHeight="false" outlineLevel="0" collapsed="false">
      <c r="A155" s="62" t="s">
        <v>388</v>
      </c>
      <c r="B155" s="63" t="n">
        <v>545</v>
      </c>
      <c r="C155" s="64" t="n">
        <v>46307.6098623148</v>
      </c>
      <c r="D155" s="63" t="n">
        <v>14</v>
      </c>
      <c r="E155" s="62" t="s">
        <v>389</v>
      </c>
      <c r="F155" s="62" t="s">
        <v>399</v>
      </c>
      <c r="G155" s="62" t="s">
        <v>389</v>
      </c>
      <c r="H155" s="65" t="n">
        <v>0.4</v>
      </c>
      <c r="I155" s="62" t="s">
        <v>393</v>
      </c>
    </row>
    <row r="156" customFormat="false" ht="15" hidden="false" customHeight="false" outlineLevel="0" collapsed="false">
      <c r="A156" s="62" t="s">
        <v>388</v>
      </c>
      <c r="B156" s="63" t="n">
        <v>545</v>
      </c>
      <c r="C156" s="64" t="n">
        <v>46307.6112175232</v>
      </c>
      <c r="D156" s="63" t="n">
        <v>14</v>
      </c>
      <c r="E156" s="62" t="s">
        <v>389</v>
      </c>
      <c r="F156" s="62" t="s">
        <v>399</v>
      </c>
      <c r="G156" s="62" t="s">
        <v>389</v>
      </c>
      <c r="H156" s="65" t="n">
        <v>0.2</v>
      </c>
      <c r="I156" s="62" t="s">
        <v>393</v>
      </c>
    </row>
    <row r="157" customFormat="false" ht="15" hidden="false" customHeight="false" outlineLevel="0" collapsed="false">
      <c r="A157" s="62" t="s">
        <v>388</v>
      </c>
      <c r="B157" s="63" t="n">
        <v>1497</v>
      </c>
      <c r="C157" s="64" t="n">
        <v>46307.6232283218</v>
      </c>
      <c r="D157" s="63" t="n">
        <v>14</v>
      </c>
      <c r="E157" s="62" t="s">
        <v>389</v>
      </c>
      <c r="F157" s="62" t="s">
        <v>418</v>
      </c>
      <c r="G157" s="62" t="s">
        <v>389</v>
      </c>
      <c r="H157" s="65" t="n">
        <v>6.6</v>
      </c>
      <c r="I157" s="62" t="s">
        <v>275</v>
      </c>
    </row>
    <row r="158" customFormat="false" ht="15" hidden="false" customHeight="false" outlineLevel="0" collapsed="false">
      <c r="A158" s="62" t="s">
        <v>388</v>
      </c>
      <c r="B158" s="63" t="n">
        <v>1497</v>
      </c>
      <c r="C158" s="64" t="n">
        <v>46307.6261207523</v>
      </c>
      <c r="D158" s="63" t="n">
        <v>15</v>
      </c>
      <c r="E158" s="62" t="s">
        <v>389</v>
      </c>
      <c r="F158" s="62" t="s">
        <v>419</v>
      </c>
      <c r="G158" s="62" t="s">
        <v>389</v>
      </c>
      <c r="H158" s="65" t="n">
        <v>2.5</v>
      </c>
      <c r="I158" s="62" t="s">
        <v>393</v>
      </c>
    </row>
    <row r="159" customFormat="false" ht="15" hidden="false" customHeight="false" outlineLevel="0" collapsed="false">
      <c r="A159" s="62" t="s">
        <v>388</v>
      </c>
      <c r="B159" s="63" t="n">
        <v>1497</v>
      </c>
      <c r="C159" s="64" t="n">
        <v>46307.6291757986</v>
      </c>
      <c r="D159" s="63" t="n">
        <v>15</v>
      </c>
      <c r="E159" s="62" t="s">
        <v>389</v>
      </c>
      <c r="F159" s="62" t="s">
        <v>419</v>
      </c>
      <c r="G159" s="62" t="s">
        <v>389</v>
      </c>
      <c r="H159" s="65" t="n">
        <v>1.4</v>
      </c>
      <c r="I159" s="62" t="s">
        <v>393</v>
      </c>
    </row>
    <row r="160" customFormat="false" ht="15" hidden="false" customHeight="false" outlineLevel="0" collapsed="false">
      <c r="A160" s="62" t="s">
        <v>388</v>
      </c>
      <c r="B160" s="63" t="n">
        <v>1497</v>
      </c>
      <c r="C160" s="64" t="n">
        <v>46307.6336736111</v>
      </c>
      <c r="D160" s="63" t="n">
        <v>15</v>
      </c>
      <c r="E160" s="62" t="s">
        <v>389</v>
      </c>
      <c r="F160" s="62" t="s">
        <v>151</v>
      </c>
      <c r="G160" s="62" t="s">
        <v>389</v>
      </c>
      <c r="H160" s="65" t="n">
        <v>2.1</v>
      </c>
      <c r="I160" s="62" t="s">
        <v>393</v>
      </c>
    </row>
    <row r="161" customFormat="false" ht="15" hidden="false" customHeight="false" outlineLevel="0" collapsed="false">
      <c r="A161" s="62" t="s">
        <v>388</v>
      </c>
      <c r="B161" s="63" t="n">
        <v>712</v>
      </c>
      <c r="C161" s="64" t="n">
        <v>46307.6371004861</v>
      </c>
      <c r="D161" s="63" t="n">
        <v>15</v>
      </c>
      <c r="E161" s="62" t="s">
        <v>389</v>
      </c>
      <c r="F161" s="62" t="s">
        <v>392</v>
      </c>
      <c r="G161" s="62" t="s">
        <v>389</v>
      </c>
      <c r="H161" s="65" t="n">
        <v>1.5</v>
      </c>
      <c r="I161" s="62" t="s">
        <v>393</v>
      </c>
    </row>
    <row r="162" customFormat="false" ht="15" hidden="false" customHeight="false" outlineLevel="0" collapsed="false">
      <c r="A162" s="62" t="s">
        <v>388</v>
      </c>
      <c r="B162" s="63" t="n">
        <v>712</v>
      </c>
      <c r="C162" s="64" t="n">
        <v>46307.6419224769</v>
      </c>
      <c r="D162" s="63" t="n">
        <v>15</v>
      </c>
      <c r="E162" s="62" t="s">
        <v>389</v>
      </c>
      <c r="F162" s="62" t="s">
        <v>392</v>
      </c>
      <c r="G162" s="62" t="s">
        <v>389</v>
      </c>
      <c r="H162" s="65" t="n">
        <v>2.4</v>
      </c>
      <c r="I162" s="62" t="s">
        <v>393</v>
      </c>
    </row>
    <row r="163" customFormat="false" ht="15" hidden="false" customHeight="false" outlineLevel="0" collapsed="false">
      <c r="A163" s="62" t="s">
        <v>388</v>
      </c>
      <c r="B163" s="63" t="n">
        <v>1554</v>
      </c>
      <c r="C163" s="64" t="n">
        <v>46307.8147712153</v>
      </c>
      <c r="D163" s="63" t="n">
        <v>19</v>
      </c>
      <c r="E163" s="62" t="s">
        <v>389</v>
      </c>
      <c r="F163" s="62" t="s">
        <v>418</v>
      </c>
      <c r="G163" s="62" t="s">
        <v>389</v>
      </c>
      <c r="H163" s="65" t="n">
        <v>10.2</v>
      </c>
      <c r="I163" s="62" t="s">
        <v>275</v>
      </c>
    </row>
    <row r="164" customFormat="false" ht="15" hidden="false" customHeight="false" outlineLevel="0" collapsed="false">
      <c r="A164" s="62" t="s">
        <v>388</v>
      </c>
      <c r="B164" s="63" t="n">
        <v>1554</v>
      </c>
      <c r="C164" s="64" t="n">
        <v>46307.8178487269</v>
      </c>
      <c r="D164" s="63" t="n">
        <v>19</v>
      </c>
      <c r="E164" s="62" t="s">
        <v>389</v>
      </c>
      <c r="F164" s="62" t="s">
        <v>419</v>
      </c>
      <c r="G164" s="62" t="s">
        <v>389</v>
      </c>
      <c r="H164" s="65" t="n">
        <v>5.7</v>
      </c>
      <c r="I164" s="62" t="s">
        <v>393</v>
      </c>
    </row>
    <row r="165" customFormat="false" ht="15" hidden="false" customHeight="false" outlineLevel="0" collapsed="false">
      <c r="A165" s="62" t="s">
        <v>388</v>
      </c>
      <c r="B165" s="63" t="n">
        <v>1576</v>
      </c>
      <c r="C165" s="64" t="n">
        <v>46307.9010986574</v>
      </c>
      <c r="D165" s="63" t="n">
        <v>21</v>
      </c>
      <c r="E165" s="62" t="s">
        <v>390</v>
      </c>
      <c r="F165" s="62" t="s">
        <v>418</v>
      </c>
      <c r="G165" s="62" t="s">
        <v>389</v>
      </c>
      <c r="H165" s="65" t="n">
        <v>14.4</v>
      </c>
      <c r="I165" s="62" t="s">
        <v>275</v>
      </c>
    </row>
    <row r="166" customFormat="false" ht="15" hidden="false" customHeight="false" outlineLevel="0" collapsed="false">
      <c r="A166" s="62" t="s">
        <v>388</v>
      </c>
      <c r="B166" s="63" t="n">
        <v>1576</v>
      </c>
      <c r="C166" s="64" t="n">
        <v>46307.9060778357</v>
      </c>
      <c r="D166" s="63" t="n">
        <v>21</v>
      </c>
      <c r="E166" s="62" t="s">
        <v>390</v>
      </c>
      <c r="F166" s="62" t="s">
        <v>419</v>
      </c>
      <c r="G166" s="62" t="s">
        <v>389</v>
      </c>
      <c r="H166" s="65" t="n">
        <v>7.2</v>
      </c>
      <c r="I166" s="62" t="s">
        <v>393</v>
      </c>
    </row>
    <row r="167" customFormat="false" ht="15" hidden="false" customHeight="false" outlineLevel="0" collapsed="false">
      <c r="A167" s="62" t="s">
        <v>388</v>
      </c>
      <c r="B167" s="63" t="n">
        <v>1576</v>
      </c>
      <c r="C167" s="64" t="n">
        <v>46307.9116023264</v>
      </c>
      <c r="D167" s="63" t="n">
        <v>21</v>
      </c>
      <c r="E167" s="62" t="s">
        <v>390</v>
      </c>
      <c r="F167" s="62" t="s">
        <v>419</v>
      </c>
      <c r="G167" s="62" t="s">
        <v>389</v>
      </c>
      <c r="H167" s="65" t="n">
        <v>0.5</v>
      </c>
      <c r="I167" s="62" t="s">
        <v>393</v>
      </c>
    </row>
    <row r="168" customFormat="false" ht="15" hidden="false" customHeight="false" outlineLevel="0" collapsed="false">
      <c r="A168" s="62" t="s">
        <v>388</v>
      </c>
      <c r="B168" s="63" t="n">
        <v>1576</v>
      </c>
      <c r="C168" s="64" t="n">
        <v>46307.9134890162</v>
      </c>
      <c r="D168" s="63" t="n">
        <v>21</v>
      </c>
      <c r="E168" s="62" t="s">
        <v>390</v>
      </c>
      <c r="F168" s="62" t="s">
        <v>419</v>
      </c>
      <c r="G168" s="62" t="s">
        <v>389</v>
      </c>
      <c r="H168" s="65" t="n">
        <v>0.9</v>
      </c>
      <c r="I168" s="62" t="s">
        <v>393</v>
      </c>
    </row>
    <row r="169" customFormat="false" ht="15" hidden="false" customHeight="false" outlineLevel="0" collapsed="false">
      <c r="A169" s="62" t="s">
        <v>388</v>
      </c>
      <c r="B169" s="63" t="n">
        <v>1584</v>
      </c>
      <c r="C169" s="64" t="n">
        <v>46307.9187766551</v>
      </c>
      <c r="D169" s="63" t="n">
        <v>22</v>
      </c>
      <c r="E169" s="62" t="s">
        <v>390</v>
      </c>
      <c r="F169" s="62" t="s">
        <v>418</v>
      </c>
      <c r="G169" s="62" t="s">
        <v>390</v>
      </c>
      <c r="H169" s="65"/>
      <c r="I169" s="62" t="s">
        <v>275</v>
      </c>
    </row>
    <row r="170" customFormat="false" ht="15" hidden="false" customHeight="false" outlineLevel="0" collapsed="false">
      <c r="A170" s="62" t="s">
        <v>388</v>
      </c>
      <c r="B170" s="63" t="n">
        <v>1576</v>
      </c>
      <c r="C170" s="64" t="n">
        <v>46307.9221112732</v>
      </c>
      <c r="D170" s="63" t="n">
        <v>22</v>
      </c>
      <c r="E170" s="62" t="s">
        <v>390</v>
      </c>
      <c r="F170" s="62" t="s">
        <v>151</v>
      </c>
      <c r="G170" s="62" t="s">
        <v>389</v>
      </c>
      <c r="H170" s="65" t="n">
        <v>57.6</v>
      </c>
      <c r="I170" s="62" t="s">
        <v>275</v>
      </c>
    </row>
    <row r="171" customFormat="false" ht="15" hidden="false" customHeight="false" outlineLevel="0" collapsed="false">
      <c r="A171" s="62" t="s">
        <v>388</v>
      </c>
      <c r="B171" s="63" t="n">
        <v>1576</v>
      </c>
      <c r="C171" s="64" t="n">
        <v>46307.9344132639</v>
      </c>
      <c r="D171" s="63" t="n">
        <v>22</v>
      </c>
      <c r="E171" s="62" t="s">
        <v>390</v>
      </c>
      <c r="F171" s="62" t="s">
        <v>151</v>
      </c>
      <c r="G171" s="62" t="s">
        <v>389</v>
      </c>
      <c r="H171" s="65" t="n">
        <v>39.9</v>
      </c>
      <c r="I171" s="62" t="s">
        <v>275</v>
      </c>
    </row>
    <row r="172" customFormat="false" ht="15" hidden="false" customHeight="false" outlineLevel="0" collapsed="false">
      <c r="A172" s="62" t="s">
        <v>388</v>
      </c>
      <c r="B172" s="63" t="n">
        <v>1592</v>
      </c>
      <c r="C172" s="64" t="n">
        <v>46307.9566147685</v>
      </c>
      <c r="D172" s="63" t="n">
        <v>22</v>
      </c>
      <c r="E172" s="62" t="s">
        <v>390</v>
      </c>
      <c r="F172" s="62" t="s">
        <v>418</v>
      </c>
      <c r="G172" s="62" t="s">
        <v>389</v>
      </c>
      <c r="H172" s="65" t="n">
        <v>494.2</v>
      </c>
      <c r="I172" s="62" t="s">
        <v>275</v>
      </c>
    </row>
    <row r="173" customFormat="false" ht="15" hidden="false" customHeight="false" outlineLevel="0" collapsed="false">
      <c r="A173" s="62" t="s">
        <v>388</v>
      </c>
      <c r="B173" s="63" t="n">
        <v>1592</v>
      </c>
      <c r="C173" s="64" t="n">
        <v>46307.9588202778</v>
      </c>
      <c r="D173" s="63" t="n">
        <v>23</v>
      </c>
      <c r="E173" s="62" t="s">
        <v>390</v>
      </c>
      <c r="F173" s="62" t="s">
        <v>419</v>
      </c>
      <c r="G173" s="62" t="s">
        <v>389</v>
      </c>
      <c r="H173" s="65" t="n">
        <v>491</v>
      </c>
      <c r="I173" s="62" t="s">
        <v>393</v>
      </c>
    </row>
    <row r="174" customFormat="false" ht="15" hidden="false" customHeight="false" outlineLevel="0" collapsed="false">
      <c r="A174" s="62" t="s">
        <v>388</v>
      </c>
      <c r="B174" s="63" t="n">
        <v>1576</v>
      </c>
      <c r="C174" s="64" t="n">
        <v>46307.9609565394</v>
      </c>
      <c r="D174" s="63" t="n">
        <v>23</v>
      </c>
      <c r="E174" s="62" t="s">
        <v>390</v>
      </c>
      <c r="F174" s="62" t="s">
        <v>151</v>
      </c>
      <c r="G174" s="62" t="s">
        <v>389</v>
      </c>
      <c r="H174" s="65" t="n">
        <v>1.7</v>
      </c>
      <c r="I174" s="62" t="s">
        <v>393</v>
      </c>
    </row>
    <row r="175" customFormat="false" ht="15" hidden="false" customHeight="false" outlineLevel="0" collapsed="false">
      <c r="A175" s="62" t="s">
        <v>388</v>
      </c>
      <c r="B175" s="63" t="n">
        <v>1576</v>
      </c>
      <c r="C175" s="64" t="n">
        <v>46307.9778309375</v>
      </c>
      <c r="D175" s="63" t="n">
        <v>23</v>
      </c>
      <c r="E175" s="62" t="s">
        <v>390</v>
      </c>
      <c r="F175" s="62" t="s">
        <v>151</v>
      </c>
      <c r="G175" s="62" t="s">
        <v>389</v>
      </c>
      <c r="H175" s="65" t="n">
        <v>7.1</v>
      </c>
      <c r="I175" s="62" t="s">
        <v>393</v>
      </c>
    </row>
    <row r="176" customFormat="false" ht="15" hidden="false" customHeight="false" outlineLevel="0" collapsed="false">
      <c r="A176" s="62" t="s">
        <v>388</v>
      </c>
      <c r="B176" s="63" t="n">
        <v>1335</v>
      </c>
      <c r="C176" s="64" t="n">
        <v>46308.3644552662</v>
      </c>
      <c r="D176" s="63" t="n">
        <v>8</v>
      </c>
      <c r="E176" s="62" t="s">
        <v>390</v>
      </c>
      <c r="F176" s="62" t="s">
        <v>150</v>
      </c>
      <c r="G176" s="62" t="s">
        <v>389</v>
      </c>
      <c r="H176" s="65" t="n">
        <v>1.4</v>
      </c>
      <c r="I176" s="62" t="s">
        <v>393</v>
      </c>
    </row>
    <row r="177" customFormat="false" ht="15" hidden="false" customHeight="false" outlineLevel="0" collapsed="false">
      <c r="A177" s="62" t="s">
        <v>388</v>
      </c>
      <c r="B177" s="63" t="n">
        <v>1335</v>
      </c>
      <c r="C177" s="64" t="n">
        <v>46308.3662582407</v>
      </c>
      <c r="D177" s="63" t="n">
        <v>8</v>
      </c>
      <c r="E177" s="62" t="s">
        <v>390</v>
      </c>
      <c r="F177" s="62" t="s">
        <v>150</v>
      </c>
      <c r="G177" s="62" t="s">
        <v>389</v>
      </c>
      <c r="H177" s="65" t="n">
        <v>0.6</v>
      </c>
      <c r="I177" s="62" t="s">
        <v>393</v>
      </c>
    </row>
    <row r="178" customFormat="false" ht="15" hidden="false" customHeight="false" outlineLevel="0" collapsed="false">
      <c r="A178" s="62" t="s">
        <v>388</v>
      </c>
      <c r="B178" s="63" t="n">
        <v>1335</v>
      </c>
      <c r="C178" s="64" t="n">
        <v>46308.369501713</v>
      </c>
      <c r="D178" s="63" t="n">
        <v>8</v>
      </c>
      <c r="E178" s="62" t="s">
        <v>390</v>
      </c>
      <c r="F178" s="62" t="s">
        <v>150</v>
      </c>
      <c r="G178" s="62" t="s">
        <v>389</v>
      </c>
      <c r="H178" s="65" t="n">
        <v>1.1</v>
      </c>
      <c r="I178" s="62" t="s">
        <v>393</v>
      </c>
    </row>
    <row r="179" customFormat="false" ht="15" hidden="false" customHeight="false" outlineLevel="0" collapsed="false">
      <c r="A179" s="62" t="s">
        <v>388</v>
      </c>
      <c r="B179" s="63" t="n">
        <v>1619</v>
      </c>
      <c r="C179" s="64" t="n">
        <v>46308.3819081597</v>
      </c>
      <c r="D179" s="63" t="n">
        <v>9</v>
      </c>
      <c r="E179" s="62" t="s">
        <v>389</v>
      </c>
      <c r="F179" s="62" t="s">
        <v>418</v>
      </c>
      <c r="G179" s="62" t="s">
        <v>389</v>
      </c>
      <c r="H179" s="65" t="n">
        <v>3186.6</v>
      </c>
      <c r="I179" s="62" t="s">
        <v>275</v>
      </c>
    </row>
    <row r="180" customFormat="false" ht="15" hidden="false" customHeight="false" outlineLevel="0" collapsed="false">
      <c r="A180" s="62" t="s">
        <v>388</v>
      </c>
      <c r="B180" s="63" t="n">
        <v>1335</v>
      </c>
      <c r="C180" s="64" t="n">
        <v>46308.4141300347</v>
      </c>
      <c r="D180" s="63" t="n">
        <v>9</v>
      </c>
      <c r="E180" s="62" t="s">
        <v>389</v>
      </c>
      <c r="F180" s="62" t="s">
        <v>399</v>
      </c>
      <c r="G180" s="62" t="s">
        <v>389</v>
      </c>
      <c r="H180" s="65" t="n">
        <v>2.8</v>
      </c>
      <c r="I180" s="62" t="s">
        <v>393</v>
      </c>
    </row>
    <row r="181" customFormat="false" ht="15" hidden="false" customHeight="false" outlineLevel="0" collapsed="false">
      <c r="A181" s="62" t="s">
        <v>388</v>
      </c>
      <c r="B181" s="63" t="n">
        <v>1335</v>
      </c>
      <c r="C181" s="64" t="n">
        <v>46308.4169510417</v>
      </c>
      <c r="D181" s="63" t="n">
        <v>10</v>
      </c>
      <c r="E181" s="62" t="s">
        <v>389</v>
      </c>
      <c r="F181" s="62" t="s">
        <v>399</v>
      </c>
      <c r="G181" s="62" t="s">
        <v>389</v>
      </c>
      <c r="H181" s="65" t="n">
        <v>0.8</v>
      </c>
      <c r="I181" s="62" t="s">
        <v>393</v>
      </c>
    </row>
    <row r="182" customFormat="false" ht="15" hidden="false" customHeight="false" outlineLevel="0" collapsed="false">
      <c r="A182" s="62" t="s">
        <v>388</v>
      </c>
      <c r="B182" s="63" t="n">
        <v>1326</v>
      </c>
      <c r="C182" s="64" t="n">
        <v>46308.4192432639</v>
      </c>
      <c r="D182" s="63" t="n">
        <v>10</v>
      </c>
      <c r="E182" s="62" t="s">
        <v>389</v>
      </c>
      <c r="F182" s="62" t="s">
        <v>150</v>
      </c>
      <c r="G182" s="62" t="s">
        <v>389</v>
      </c>
      <c r="H182" s="65" t="n">
        <v>4.3</v>
      </c>
      <c r="I182" s="62" t="s">
        <v>275</v>
      </c>
    </row>
    <row r="183" customFormat="false" ht="15" hidden="false" customHeight="false" outlineLevel="0" collapsed="false">
      <c r="A183" s="62" t="s">
        <v>388</v>
      </c>
      <c r="B183" s="63" t="n">
        <v>1326</v>
      </c>
      <c r="C183" s="64" t="n">
        <v>46308.4206534375</v>
      </c>
      <c r="D183" s="63" t="n">
        <v>10</v>
      </c>
      <c r="E183" s="62" t="s">
        <v>389</v>
      </c>
      <c r="F183" s="62" t="s">
        <v>151</v>
      </c>
      <c r="G183" s="62" t="s">
        <v>389</v>
      </c>
      <c r="H183" s="65" t="n">
        <v>2.3</v>
      </c>
      <c r="I183" s="62" t="s">
        <v>275</v>
      </c>
    </row>
    <row r="184" customFormat="false" ht="15" hidden="false" customHeight="false" outlineLevel="0" collapsed="false">
      <c r="A184" s="62" t="s">
        <v>388</v>
      </c>
      <c r="B184" s="63" t="n">
        <v>1326</v>
      </c>
      <c r="C184" s="64" t="n">
        <v>46308.425872419</v>
      </c>
      <c r="D184" s="63" t="n">
        <v>10</v>
      </c>
      <c r="E184" s="62" t="s">
        <v>389</v>
      </c>
      <c r="F184" s="62" t="s">
        <v>152</v>
      </c>
      <c r="G184" s="62" t="s">
        <v>389</v>
      </c>
      <c r="H184" s="65" t="n">
        <v>2.3</v>
      </c>
      <c r="I184" s="62" t="s">
        <v>393</v>
      </c>
    </row>
    <row r="185" customFormat="false" ht="15" hidden="false" customHeight="false" outlineLevel="0" collapsed="false">
      <c r="A185" s="62" t="s">
        <v>388</v>
      </c>
      <c r="B185" s="63" t="n">
        <v>1637</v>
      </c>
      <c r="C185" s="64" t="n">
        <v>46308.4488627894</v>
      </c>
      <c r="D185" s="63" t="n">
        <v>10</v>
      </c>
      <c r="E185" s="62" t="s">
        <v>389</v>
      </c>
      <c r="F185" s="62" t="s">
        <v>418</v>
      </c>
      <c r="G185" s="62" t="s">
        <v>389</v>
      </c>
      <c r="H185" s="65" t="n">
        <v>8</v>
      </c>
      <c r="I185" s="62" t="s">
        <v>275</v>
      </c>
    </row>
    <row r="186" customFormat="false" ht="15" hidden="false" customHeight="false" outlineLevel="0" collapsed="false">
      <c r="A186" s="62" t="s">
        <v>388</v>
      </c>
      <c r="B186" s="63" t="n">
        <v>1637</v>
      </c>
      <c r="C186" s="64" t="n">
        <v>46308.4531487037</v>
      </c>
      <c r="D186" s="63" t="n">
        <v>10</v>
      </c>
      <c r="E186" s="62" t="s">
        <v>389</v>
      </c>
      <c r="F186" s="62" t="s">
        <v>419</v>
      </c>
      <c r="G186" s="62" t="s">
        <v>389</v>
      </c>
      <c r="H186" s="65" t="n">
        <v>1.8</v>
      </c>
      <c r="I186" s="62" t="s">
        <v>393</v>
      </c>
    </row>
    <row r="187" customFormat="false" ht="15" hidden="false" customHeight="false" outlineLevel="0" collapsed="false">
      <c r="A187" s="62" t="s">
        <v>388</v>
      </c>
      <c r="B187" s="63" t="n">
        <v>1655</v>
      </c>
      <c r="C187" s="64" t="n">
        <v>46308.5279785995</v>
      </c>
      <c r="D187" s="63" t="n">
        <v>12</v>
      </c>
      <c r="E187" s="62" t="s">
        <v>389</v>
      </c>
      <c r="F187" s="62" t="s">
        <v>418</v>
      </c>
      <c r="G187" s="62" t="s">
        <v>389</v>
      </c>
      <c r="H187" s="65" t="n">
        <v>7.8</v>
      </c>
      <c r="I187" s="62" t="s">
        <v>275</v>
      </c>
    </row>
    <row r="188" customFormat="false" ht="15" hidden="false" customHeight="false" outlineLevel="0" collapsed="false">
      <c r="A188" s="62" t="s">
        <v>388</v>
      </c>
      <c r="B188" s="63" t="n">
        <v>1655</v>
      </c>
      <c r="C188" s="64" t="n">
        <v>46308.5318423958</v>
      </c>
      <c r="D188" s="63" t="n">
        <v>12</v>
      </c>
      <c r="E188" s="62" t="s">
        <v>389</v>
      </c>
      <c r="F188" s="62" t="s">
        <v>419</v>
      </c>
      <c r="G188" s="62" t="s">
        <v>389</v>
      </c>
      <c r="H188" s="65" t="n">
        <v>2.2</v>
      </c>
      <c r="I188" s="62" t="s">
        <v>393</v>
      </c>
    </row>
    <row r="189" customFormat="false" ht="15" hidden="false" customHeight="false" outlineLevel="0" collapsed="false">
      <c r="A189" s="62" t="s">
        <v>388</v>
      </c>
      <c r="B189" s="63" t="n">
        <v>1656</v>
      </c>
      <c r="C189" s="64" t="n">
        <v>46308.5360384607</v>
      </c>
      <c r="D189" s="63" t="n">
        <v>12</v>
      </c>
      <c r="E189" s="62" t="s">
        <v>389</v>
      </c>
      <c r="F189" s="62" t="s">
        <v>418</v>
      </c>
      <c r="G189" s="62" t="s">
        <v>389</v>
      </c>
      <c r="H189" s="65" t="n">
        <v>3.2</v>
      </c>
      <c r="I189" s="62" t="s">
        <v>275</v>
      </c>
    </row>
    <row r="190" customFormat="false" ht="15" hidden="false" customHeight="false" outlineLevel="0" collapsed="false">
      <c r="A190" s="62" t="s">
        <v>388</v>
      </c>
      <c r="B190" s="63" t="n">
        <v>1657</v>
      </c>
      <c r="C190" s="64" t="n">
        <v>46308.5361490972</v>
      </c>
      <c r="D190" s="63" t="n">
        <v>12</v>
      </c>
      <c r="E190" s="62" t="s">
        <v>389</v>
      </c>
      <c r="F190" s="62" t="s">
        <v>418</v>
      </c>
      <c r="G190" s="62" t="s">
        <v>389</v>
      </c>
      <c r="H190" s="65" t="n">
        <v>2.3</v>
      </c>
      <c r="I190" s="62" t="s">
        <v>275</v>
      </c>
    </row>
    <row r="191" customFormat="false" ht="15" hidden="false" customHeight="false" outlineLevel="0" collapsed="false">
      <c r="A191" s="62" t="s">
        <v>388</v>
      </c>
      <c r="B191" s="63" t="n">
        <v>1657</v>
      </c>
      <c r="C191" s="64" t="n">
        <v>46308.5371891435</v>
      </c>
      <c r="D191" s="63" t="n">
        <v>12</v>
      </c>
      <c r="E191" s="62" t="s">
        <v>389</v>
      </c>
      <c r="F191" s="62" t="s">
        <v>419</v>
      </c>
      <c r="G191" s="62" t="s">
        <v>389</v>
      </c>
      <c r="H191" s="65" t="n">
        <v>0.8</v>
      </c>
      <c r="I191" s="62" t="s">
        <v>393</v>
      </c>
    </row>
    <row r="192" customFormat="false" ht="15" hidden="false" customHeight="false" outlineLevel="0" collapsed="false">
      <c r="A192" s="62" t="s">
        <v>388</v>
      </c>
      <c r="B192" s="63" t="n">
        <v>1656</v>
      </c>
      <c r="C192" s="64" t="n">
        <v>46308.5380657176</v>
      </c>
      <c r="D192" s="63" t="n">
        <v>12</v>
      </c>
      <c r="E192" s="62" t="s">
        <v>389</v>
      </c>
      <c r="F192" s="62" t="s">
        <v>419</v>
      </c>
      <c r="G192" s="62" t="s">
        <v>389</v>
      </c>
      <c r="H192" s="65" t="n">
        <v>0.3</v>
      </c>
      <c r="I192" s="62" t="s">
        <v>393</v>
      </c>
    </row>
    <row r="193" customFormat="false" ht="15" hidden="false" customHeight="false" outlineLevel="0" collapsed="false">
      <c r="A193" s="62" t="s">
        <v>388</v>
      </c>
      <c r="B193" s="63" t="n">
        <v>1113</v>
      </c>
      <c r="C193" s="64" t="n">
        <v>46308.5695856482</v>
      </c>
      <c r="D193" s="63" t="n">
        <v>13</v>
      </c>
      <c r="E193" s="62" t="s">
        <v>389</v>
      </c>
      <c r="F193" s="62" t="s">
        <v>150</v>
      </c>
      <c r="G193" s="62" t="s">
        <v>389</v>
      </c>
      <c r="H193" s="65" t="n">
        <v>5.6</v>
      </c>
      <c r="I193" s="62" t="s">
        <v>275</v>
      </c>
    </row>
    <row r="194" customFormat="false" ht="15" hidden="false" customHeight="false" outlineLevel="0" collapsed="false">
      <c r="A194" s="62" t="s">
        <v>388</v>
      </c>
      <c r="B194" s="63" t="n">
        <v>1113</v>
      </c>
      <c r="C194" s="64" t="n">
        <v>46308.5710578356</v>
      </c>
      <c r="D194" s="63" t="n">
        <v>13</v>
      </c>
      <c r="E194" s="62" t="s">
        <v>389</v>
      </c>
      <c r="F194" s="62" t="s">
        <v>151</v>
      </c>
      <c r="G194" s="62" t="s">
        <v>389</v>
      </c>
      <c r="H194" s="65" t="n">
        <v>3.5</v>
      </c>
      <c r="I194" s="62" t="s">
        <v>393</v>
      </c>
    </row>
    <row r="195" customFormat="false" ht="15" hidden="false" customHeight="false" outlineLevel="0" collapsed="false">
      <c r="A195" s="62" t="s">
        <v>388</v>
      </c>
      <c r="B195" s="63" t="n">
        <v>1113</v>
      </c>
      <c r="C195" s="64" t="n">
        <v>46308.58026125</v>
      </c>
      <c r="D195" s="63" t="n">
        <v>13</v>
      </c>
      <c r="E195" s="62" t="s">
        <v>389</v>
      </c>
      <c r="F195" s="62" t="s">
        <v>152</v>
      </c>
      <c r="G195" s="62" t="s">
        <v>389</v>
      </c>
      <c r="H195" s="65" t="n">
        <v>1.3</v>
      </c>
      <c r="I195" s="62" t="s">
        <v>393</v>
      </c>
    </row>
    <row r="196" customFormat="false" ht="15" hidden="false" customHeight="false" outlineLevel="0" collapsed="false">
      <c r="A196" s="62" t="s">
        <v>388</v>
      </c>
      <c r="B196" s="63" t="n">
        <v>1113</v>
      </c>
      <c r="C196" s="64" t="n">
        <v>46308.5933089699</v>
      </c>
      <c r="D196" s="63" t="n">
        <v>14</v>
      </c>
      <c r="E196" s="62" t="s">
        <v>389</v>
      </c>
      <c r="F196" s="62" t="s">
        <v>152</v>
      </c>
      <c r="G196" s="62" t="s">
        <v>389</v>
      </c>
      <c r="H196" s="65" t="n">
        <v>1.5</v>
      </c>
      <c r="I196" s="62" t="s">
        <v>393</v>
      </c>
    </row>
    <row r="197" customFormat="false" ht="15" hidden="false" customHeight="false" outlineLevel="0" collapsed="false">
      <c r="A197" s="62" t="s">
        <v>388</v>
      </c>
      <c r="B197" s="63" t="n">
        <v>1113</v>
      </c>
      <c r="C197" s="64" t="n">
        <v>46308.5969858565</v>
      </c>
      <c r="D197" s="63" t="n">
        <v>14</v>
      </c>
      <c r="E197" s="62" t="s">
        <v>389</v>
      </c>
      <c r="F197" s="62" t="s">
        <v>152</v>
      </c>
      <c r="G197" s="62" t="s">
        <v>389</v>
      </c>
      <c r="H197" s="65" t="n">
        <v>3.4</v>
      </c>
      <c r="I197" s="62" t="s">
        <v>393</v>
      </c>
    </row>
    <row r="198" customFormat="false" ht="15" hidden="false" customHeight="false" outlineLevel="0" collapsed="false">
      <c r="A198" s="62" t="s">
        <v>388</v>
      </c>
      <c r="B198" s="63" t="n">
        <v>1113</v>
      </c>
      <c r="C198" s="64" t="n">
        <v>46308.5995946412</v>
      </c>
      <c r="D198" s="63" t="n">
        <v>14</v>
      </c>
      <c r="E198" s="62" t="s">
        <v>389</v>
      </c>
      <c r="F198" s="62" t="s">
        <v>152</v>
      </c>
      <c r="G198" s="62" t="s">
        <v>389</v>
      </c>
      <c r="H198" s="65" t="n">
        <v>7.1</v>
      </c>
      <c r="I198" s="62" t="s">
        <v>275</v>
      </c>
    </row>
    <row r="199" customFormat="false" ht="15" hidden="false" customHeight="false" outlineLevel="0" collapsed="false">
      <c r="A199" s="62" t="s">
        <v>388</v>
      </c>
      <c r="B199" s="63" t="n">
        <v>1113</v>
      </c>
      <c r="C199" s="64" t="n">
        <v>46308.6027271412</v>
      </c>
      <c r="D199" s="63" t="n">
        <v>14</v>
      </c>
      <c r="E199" s="62" t="s">
        <v>389</v>
      </c>
      <c r="F199" s="62" t="s">
        <v>399</v>
      </c>
      <c r="G199" s="62" t="s">
        <v>389</v>
      </c>
      <c r="H199" s="65" t="n">
        <v>2.6</v>
      </c>
      <c r="I199" s="62" t="s">
        <v>393</v>
      </c>
    </row>
    <row r="200" customFormat="false" ht="15" hidden="false" customHeight="false" outlineLevel="0" collapsed="false">
      <c r="A200" s="62" t="s">
        <v>388</v>
      </c>
      <c r="B200" s="63" t="n">
        <v>1313</v>
      </c>
      <c r="C200" s="64" t="n">
        <v>46308.6443563079</v>
      </c>
      <c r="D200" s="63" t="n">
        <v>15</v>
      </c>
      <c r="E200" s="62" t="s">
        <v>389</v>
      </c>
      <c r="F200" s="62" t="s">
        <v>150</v>
      </c>
      <c r="G200" s="62" t="s">
        <v>389</v>
      </c>
      <c r="H200" s="65" t="n">
        <v>1</v>
      </c>
      <c r="I200" s="62" t="s">
        <v>393</v>
      </c>
    </row>
    <row r="201" customFormat="false" ht="15" hidden="false" customHeight="false" outlineLevel="0" collapsed="false">
      <c r="A201" s="62" t="s">
        <v>388</v>
      </c>
      <c r="B201" s="63" t="n">
        <v>1313</v>
      </c>
      <c r="C201" s="64" t="n">
        <v>46308.6455016204</v>
      </c>
      <c r="D201" s="63" t="n">
        <v>15</v>
      </c>
      <c r="E201" s="62" t="s">
        <v>389</v>
      </c>
      <c r="F201" s="62" t="s">
        <v>150</v>
      </c>
      <c r="G201" s="62" t="s">
        <v>389</v>
      </c>
      <c r="H201" s="65" t="n">
        <v>0.3</v>
      </c>
      <c r="I201" s="62" t="s">
        <v>393</v>
      </c>
    </row>
    <row r="202" customFormat="false" ht="15" hidden="false" customHeight="false" outlineLevel="0" collapsed="false">
      <c r="A202" s="62" t="s">
        <v>388</v>
      </c>
      <c r="B202" s="63" t="n">
        <v>1313</v>
      </c>
      <c r="C202" s="64" t="n">
        <v>46308.6460320949</v>
      </c>
      <c r="D202" s="63" t="n">
        <v>15</v>
      </c>
      <c r="E202" s="62" t="s">
        <v>389</v>
      </c>
      <c r="F202" s="62" t="s">
        <v>150</v>
      </c>
      <c r="G202" s="62" t="s">
        <v>389</v>
      </c>
      <c r="H202" s="65" t="n">
        <v>0.2</v>
      </c>
      <c r="I202" s="62" t="s">
        <v>393</v>
      </c>
    </row>
    <row r="203" customFormat="false" ht="15" hidden="false" customHeight="false" outlineLevel="0" collapsed="false">
      <c r="A203" s="62" t="s">
        <v>388</v>
      </c>
      <c r="B203" s="63" t="n">
        <v>1313</v>
      </c>
      <c r="C203" s="64" t="n">
        <v>46308.6464109375</v>
      </c>
      <c r="D203" s="63" t="n">
        <v>15</v>
      </c>
      <c r="E203" s="62" t="s">
        <v>389</v>
      </c>
      <c r="F203" s="62" t="s">
        <v>150</v>
      </c>
      <c r="G203" s="62" t="s">
        <v>389</v>
      </c>
      <c r="H203" s="65" t="n">
        <v>1.1</v>
      </c>
      <c r="I203" s="62" t="s">
        <v>393</v>
      </c>
    </row>
    <row r="204" customFormat="false" ht="15" hidden="false" customHeight="false" outlineLevel="0" collapsed="false">
      <c r="A204" s="62" t="s">
        <v>388</v>
      </c>
      <c r="B204" s="63" t="n">
        <v>1680</v>
      </c>
      <c r="C204" s="64" t="n">
        <v>46308.6601485995</v>
      </c>
      <c r="D204" s="63" t="n">
        <v>15</v>
      </c>
      <c r="E204" s="62" t="s">
        <v>389</v>
      </c>
      <c r="F204" s="62" t="s">
        <v>418</v>
      </c>
      <c r="G204" s="62" t="s">
        <v>389</v>
      </c>
      <c r="H204" s="65" t="n">
        <v>1349.6</v>
      </c>
      <c r="I204" s="62" t="s">
        <v>275</v>
      </c>
    </row>
    <row r="205" customFormat="false" ht="15" hidden="false" customHeight="false" outlineLevel="0" collapsed="false">
      <c r="A205" s="62" t="s">
        <v>388</v>
      </c>
      <c r="B205" s="63" t="n">
        <v>1688</v>
      </c>
      <c r="C205" s="64" t="n">
        <v>46308.6866230787</v>
      </c>
      <c r="D205" s="63" t="n">
        <v>16</v>
      </c>
      <c r="E205" s="62" t="s">
        <v>389</v>
      </c>
      <c r="F205" s="62" t="s">
        <v>418</v>
      </c>
      <c r="G205" s="62" t="s">
        <v>389</v>
      </c>
      <c r="H205" s="65" t="n">
        <v>5.4</v>
      </c>
      <c r="I205" s="62" t="s">
        <v>275</v>
      </c>
    </row>
    <row r="206" customFormat="false" ht="15" hidden="false" customHeight="false" outlineLevel="0" collapsed="false">
      <c r="A206" s="62" t="s">
        <v>388</v>
      </c>
      <c r="B206" s="63" t="n">
        <v>1688</v>
      </c>
      <c r="C206" s="64" t="n">
        <v>46308.6899145486</v>
      </c>
      <c r="D206" s="63" t="n">
        <v>16</v>
      </c>
      <c r="E206" s="62" t="s">
        <v>389</v>
      </c>
      <c r="F206" s="62" t="s">
        <v>419</v>
      </c>
      <c r="G206" s="62" t="s">
        <v>389</v>
      </c>
      <c r="H206" s="65" t="n">
        <v>0.6</v>
      </c>
      <c r="I206" s="62" t="s">
        <v>393</v>
      </c>
    </row>
    <row r="207" customFormat="false" ht="15" hidden="false" customHeight="false" outlineLevel="0" collapsed="false">
      <c r="A207" s="62" t="s">
        <v>388</v>
      </c>
      <c r="B207" s="63" t="n">
        <v>1688</v>
      </c>
      <c r="C207" s="64" t="n">
        <v>46308.6909322917</v>
      </c>
      <c r="D207" s="63" t="n">
        <v>16</v>
      </c>
      <c r="E207" s="62" t="s">
        <v>389</v>
      </c>
      <c r="F207" s="62" t="s">
        <v>419</v>
      </c>
      <c r="G207" s="62" t="s">
        <v>389</v>
      </c>
      <c r="H207" s="65" t="n">
        <v>2</v>
      </c>
      <c r="I207" s="62" t="s">
        <v>393</v>
      </c>
    </row>
    <row r="208" customFormat="false" ht="15" hidden="false" customHeight="false" outlineLevel="0" collapsed="false">
      <c r="A208" s="62" t="s">
        <v>388</v>
      </c>
      <c r="B208" s="63" t="n">
        <v>1694</v>
      </c>
      <c r="C208" s="64" t="n">
        <v>46308.695415</v>
      </c>
      <c r="D208" s="63" t="n">
        <v>16</v>
      </c>
      <c r="E208" s="62" t="s">
        <v>389</v>
      </c>
      <c r="F208" s="62" t="s">
        <v>418</v>
      </c>
      <c r="G208" s="62" t="s">
        <v>389</v>
      </c>
      <c r="H208" s="65" t="n">
        <v>1285</v>
      </c>
      <c r="I208" s="62" t="s">
        <v>275</v>
      </c>
    </row>
    <row r="209" customFormat="false" ht="15" hidden="false" customHeight="false" outlineLevel="0" collapsed="false">
      <c r="A209" s="62" t="s">
        <v>388</v>
      </c>
      <c r="B209" s="63" t="n">
        <v>1688</v>
      </c>
      <c r="C209" s="64" t="n">
        <v>46308.6969796991</v>
      </c>
      <c r="D209" s="63" t="n">
        <v>16</v>
      </c>
      <c r="E209" s="62" t="s">
        <v>389</v>
      </c>
      <c r="F209" s="62" t="s">
        <v>151</v>
      </c>
      <c r="G209" s="62" t="s">
        <v>389</v>
      </c>
      <c r="H209" s="65" t="n">
        <v>2.4</v>
      </c>
      <c r="I209" s="62" t="s">
        <v>275</v>
      </c>
    </row>
    <row r="210" customFormat="false" ht="15" hidden="false" customHeight="false" outlineLevel="0" collapsed="false">
      <c r="A210" s="62" t="s">
        <v>388</v>
      </c>
      <c r="B210" s="63" t="n">
        <v>1688</v>
      </c>
      <c r="C210" s="64" t="n">
        <v>46308.6974157639</v>
      </c>
      <c r="D210" s="63" t="n">
        <v>16</v>
      </c>
      <c r="E210" s="62" t="s">
        <v>389</v>
      </c>
      <c r="F210" s="62" t="s">
        <v>151</v>
      </c>
      <c r="G210" s="62" t="s">
        <v>389</v>
      </c>
      <c r="H210" s="65" t="n">
        <v>1.8</v>
      </c>
      <c r="I210" s="62" t="s">
        <v>393</v>
      </c>
    </row>
    <row r="211" customFormat="false" ht="15" hidden="false" customHeight="false" outlineLevel="0" collapsed="false">
      <c r="A211" s="62" t="s">
        <v>388</v>
      </c>
      <c r="B211" s="63" t="n">
        <v>1688</v>
      </c>
      <c r="C211" s="64" t="n">
        <v>46308.7027293403</v>
      </c>
      <c r="D211" s="63" t="n">
        <v>16</v>
      </c>
      <c r="E211" s="62" t="s">
        <v>389</v>
      </c>
      <c r="F211" s="62" t="s">
        <v>151</v>
      </c>
      <c r="G211" s="62" t="s">
        <v>389</v>
      </c>
      <c r="H211" s="65" t="n">
        <v>2.3</v>
      </c>
      <c r="I211" s="62" t="s">
        <v>393</v>
      </c>
    </row>
    <row r="212" customFormat="false" ht="15" hidden="false" customHeight="false" outlineLevel="0" collapsed="false">
      <c r="A212" s="62" t="s">
        <v>388</v>
      </c>
      <c r="B212" s="63" t="n">
        <v>1688</v>
      </c>
      <c r="C212" s="64" t="n">
        <v>46308.7051703125</v>
      </c>
      <c r="D212" s="63" t="n">
        <v>16</v>
      </c>
      <c r="E212" s="62" t="s">
        <v>389</v>
      </c>
      <c r="F212" s="62" t="s">
        <v>151</v>
      </c>
      <c r="G212" s="62" t="s">
        <v>389</v>
      </c>
      <c r="H212" s="65" t="n">
        <v>0.5</v>
      </c>
      <c r="I212" s="62" t="s">
        <v>393</v>
      </c>
    </row>
    <row r="213" customFormat="false" ht="15" hidden="false" customHeight="false" outlineLevel="0" collapsed="false">
      <c r="A213" s="62" t="s">
        <v>388</v>
      </c>
      <c r="B213" s="63" t="n">
        <v>1726</v>
      </c>
      <c r="C213" s="64" t="n">
        <v>46308.8292441088</v>
      </c>
      <c r="D213" s="63" t="n">
        <v>19</v>
      </c>
      <c r="E213" s="62" t="s">
        <v>389</v>
      </c>
      <c r="F213" s="62" t="s">
        <v>418</v>
      </c>
      <c r="G213" s="62" t="s">
        <v>389</v>
      </c>
      <c r="H213" s="65" t="n">
        <v>1145.4</v>
      </c>
      <c r="I213" s="62" t="s">
        <v>275</v>
      </c>
    </row>
    <row r="214" customFormat="false" ht="15" hidden="false" customHeight="false" outlineLevel="0" collapsed="false">
      <c r="A214" s="62" t="s">
        <v>388</v>
      </c>
      <c r="B214" s="63" t="n">
        <v>1744</v>
      </c>
      <c r="C214" s="64" t="n">
        <v>46308.8698180787</v>
      </c>
      <c r="D214" s="63" t="n">
        <v>20</v>
      </c>
      <c r="E214" s="62" t="s">
        <v>389</v>
      </c>
      <c r="F214" s="62" t="s">
        <v>418</v>
      </c>
      <c r="G214" s="62" t="s">
        <v>389</v>
      </c>
      <c r="H214" s="65" t="n">
        <v>9.8</v>
      </c>
      <c r="I214" s="62" t="s">
        <v>275</v>
      </c>
    </row>
    <row r="215" customFormat="false" ht="15" hidden="false" customHeight="false" outlineLevel="0" collapsed="false">
      <c r="A215" s="62" t="s">
        <v>388</v>
      </c>
      <c r="B215" s="63" t="n">
        <v>1744</v>
      </c>
      <c r="C215" s="64" t="n">
        <v>46308.8743241551</v>
      </c>
      <c r="D215" s="63" t="n">
        <v>20</v>
      </c>
      <c r="E215" s="62" t="s">
        <v>389</v>
      </c>
      <c r="F215" s="62" t="s">
        <v>419</v>
      </c>
      <c r="G215" s="62" t="s">
        <v>389</v>
      </c>
      <c r="H215" s="65" t="n">
        <v>3.3</v>
      </c>
      <c r="I215" s="62" t="s">
        <v>393</v>
      </c>
    </row>
    <row r="216" customFormat="false" ht="15" hidden="false" customHeight="false" outlineLevel="0" collapsed="false">
      <c r="A216" s="62" t="s">
        <v>388</v>
      </c>
      <c r="B216" s="63" t="n">
        <v>1744</v>
      </c>
      <c r="C216" s="64" t="n">
        <v>46308.8832687616</v>
      </c>
      <c r="D216" s="63" t="n">
        <v>21</v>
      </c>
      <c r="E216" s="62" t="s">
        <v>390</v>
      </c>
      <c r="F216" s="62" t="s">
        <v>151</v>
      </c>
      <c r="G216" s="62" t="s">
        <v>389</v>
      </c>
      <c r="H216" s="65" t="n">
        <v>3.2</v>
      </c>
      <c r="I216" s="62" t="s">
        <v>393</v>
      </c>
    </row>
    <row r="217" customFormat="false" ht="15" hidden="false" customHeight="false" outlineLevel="0" collapsed="false">
      <c r="A217" s="62" t="s">
        <v>388</v>
      </c>
      <c r="B217" s="63" t="n">
        <v>1744</v>
      </c>
      <c r="C217" s="64" t="n">
        <v>46308.8858130787</v>
      </c>
      <c r="D217" s="63" t="n">
        <v>21</v>
      </c>
      <c r="E217" s="62" t="s">
        <v>390</v>
      </c>
      <c r="F217" s="62" t="s">
        <v>151</v>
      </c>
      <c r="G217" s="62" t="s">
        <v>389</v>
      </c>
      <c r="H217" s="65" t="n">
        <v>1</v>
      </c>
      <c r="I217" s="62" t="s">
        <v>393</v>
      </c>
    </row>
    <row r="218" customFormat="false" ht="15" hidden="false" customHeight="false" outlineLevel="0" collapsed="false">
      <c r="A218" s="62" t="s">
        <v>388</v>
      </c>
      <c r="B218" s="63" t="n">
        <v>1756</v>
      </c>
      <c r="C218" s="64" t="n">
        <v>46308.9281935995</v>
      </c>
      <c r="D218" s="63" t="n">
        <v>22</v>
      </c>
      <c r="E218" s="62" t="s">
        <v>390</v>
      </c>
      <c r="F218" s="62" t="s">
        <v>418</v>
      </c>
      <c r="G218" s="62" t="s">
        <v>390</v>
      </c>
      <c r="H218" s="65"/>
      <c r="I218" s="62" t="s">
        <v>275</v>
      </c>
    </row>
    <row r="219" customFormat="false" ht="15" hidden="false" customHeight="false" outlineLevel="0" collapsed="false">
      <c r="A219" s="62" t="s">
        <v>388</v>
      </c>
      <c r="B219" s="63" t="n">
        <v>1775</v>
      </c>
      <c r="C219" s="64" t="n">
        <v>46309.1370421181</v>
      </c>
      <c r="D219" s="63" t="n">
        <v>3</v>
      </c>
      <c r="E219" s="62" t="s">
        <v>390</v>
      </c>
      <c r="F219" s="62" t="s">
        <v>418</v>
      </c>
      <c r="G219" s="62" t="s">
        <v>390</v>
      </c>
      <c r="H219" s="65"/>
      <c r="I219" s="62" t="s">
        <v>275</v>
      </c>
    </row>
    <row r="220" customFormat="false" ht="15" hidden="false" customHeight="false" outlineLevel="0" collapsed="false">
      <c r="A220" s="62" t="s">
        <v>388</v>
      </c>
      <c r="B220" s="63" t="n">
        <v>1807</v>
      </c>
      <c r="C220" s="64" t="n">
        <v>46309.3904915278</v>
      </c>
      <c r="D220" s="63" t="n">
        <v>9</v>
      </c>
      <c r="E220" s="62" t="s">
        <v>389</v>
      </c>
      <c r="F220" s="62" t="s">
        <v>418</v>
      </c>
      <c r="G220" s="62" t="s">
        <v>389</v>
      </c>
      <c r="H220" s="65" t="n">
        <v>261.4</v>
      </c>
      <c r="I220" s="62" t="s">
        <v>275</v>
      </c>
    </row>
    <row r="221" customFormat="false" ht="15" hidden="false" customHeight="false" outlineLevel="0" collapsed="false">
      <c r="A221" s="62" t="s">
        <v>388</v>
      </c>
      <c r="B221" s="63" t="n">
        <v>1812</v>
      </c>
      <c r="C221" s="64" t="n">
        <v>46309.4002719329</v>
      </c>
      <c r="D221" s="63" t="n">
        <v>9</v>
      </c>
      <c r="E221" s="62" t="s">
        <v>389</v>
      </c>
      <c r="F221" s="62" t="s">
        <v>418</v>
      </c>
      <c r="G221" s="62" t="s">
        <v>390</v>
      </c>
      <c r="H221" s="65"/>
      <c r="I221" s="62" t="s">
        <v>275</v>
      </c>
    </row>
    <row r="222" customFormat="false" ht="15" hidden="false" customHeight="false" outlineLevel="0" collapsed="false">
      <c r="A222" s="62" t="s">
        <v>388</v>
      </c>
      <c r="B222" s="63" t="n">
        <v>1841</v>
      </c>
      <c r="C222" s="64" t="n">
        <v>46309.4922951157</v>
      </c>
      <c r="D222" s="63" t="n">
        <v>11</v>
      </c>
      <c r="E222" s="62" t="s">
        <v>389</v>
      </c>
      <c r="F222" s="62" t="s">
        <v>418</v>
      </c>
      <c r="G222" s="62" t="s">
        <v>390</v>
      </c>
      <c r="H222" s="65"/>
      <c r="I222" s="62" t="s">
        <v>275</v>
      </c>
    </row>
    <row r="223" customFormat="false" ht="15" hidden="false" customHeight="false" outlineLevel="0" collapsed="false">
      <c r="A223" s="62" t="s">
        <v>388</v>
      </c>
      <c r="B223" s="63" t="n">
        <v>1807</v>
      </c>
      <c r="C223" s="64" t="n">
        <v>46309.5710546181</v>
      </c>
      <c r="D223" s="63" t="n">
        <v>13</v>
      </c>
      <c r="E223" s="62" t="s">
        <v>389</v>
      </c>
      <c r="F223" s="62" t="s">
        <v>150</v>
      </c>
      <c r="G223" s="62" t="s">
        <v>389</v>
      </c>
      <c r="H223" s="65" t="n">
        <v>1.4</v>
      </c>
      <c r="I223" s="62" t="s">
        <v>393</v>
      </c>
    </row>
    <row r="224" customFormat="false" ht="15" hidden="false" customHeight="false" outlineLevel="0" collapsed="false">
      <c r="A224" s="62" t="s">
        <v>388</v>
      </c>
      <c r="B224" s="63" t="n">
        <v>1318</v>
      </c>
      <c r="C224" s="64" t="n">
        <v>46309.7363413079</v>
      </c>
      <c r="D224" s="63" t="n">
        <v>17</v>
      </c>
      <c r="E224" s="62" t="s">
        <v>389</v>
      </c>
      <c r="F224" s="62" t="s">
        <v>150</v>
      </c>
      <c r="G224" s="62" t="s">
        <v>389</v>
      </c>
      <c r="H224" s="65" t="n">
        <v>0.5</v>
      </c>
      <c r="I224" s="62" t="s">
        <v>393</v>
      </c>
    </row>
    <row r="225" customFormat="false" ht="15" hidden="false" customHeight="false" outlineLevel="0" collapsed="false">
      <c r="A225" s="62" t="s">
        <v>388</v>
      </c>
      <c r="B225" s="63" t="n">
        <v>1318</v>
      </c>
      <c r="C225" s="64" t="n">
        <v>46309.7372096528</v>
      </c>
      <c r="D225" s="63" t="n">
        <v>17</v>
      </c>
      <c r="E225" s="62" t="s">
        <v>389</v>
      </c>
      <c r="F225" s="62" t="s">
        <v>150</v>
      </c>
      <c r="G225" s="62" t="s">
        <v>389</v>
      </c>
      <c r="H225" s="65" t="n">
        <v>0.2</v>
      </c>
      <c r="I225" s="62" t="s">
        <v>393</v>
      </c>
    </row>
    <row r="226" customFormat="false" ht="15" hidden="false" customHeight="false" outlineLevel="0" collapsed="false">
      <c r="A226" s="62" t="s">
        <v>388</v>
      </c>
      <c r="B226" s="63" t="n">
        <v>1893</v>
      </c>
      <c r="C226" s="64" t="n">
        <v>46309.7448586343</v>
      </c>
      <c r="D226" s="63" t="n">
        <v>17</v>
      </c>
      <c r="E226" s="62" t="s">
        <v>389</v>
      </c>
      <c r="F226" s="62" t="s">
        <v>418</v>
      </c>
      <c r="G226" s="62" t="s">
        <v>389</v>
      </c>
      <c r="H226" s="65" t="n">
        <v>1353.8</v>
      </c>
      <c r="I226" s="62" t="s">
        <v>275</v>
      </c>
    </row>
    <row r="227" customFormat="false" ht="15" hidden="false" customHeight="false" outlineLevel="0" collapsed="false">
      <c r="A227" s="62" t="s">
        <v>388</v>
      </c>
      <c r="B227" s="63" t="n">
        <v>1898</v>
      </c>
      <c r="C227" s="64" t="n">
        <v>46309.7672776389</v>
      </c>
      <c r="D227" s="63" t="n">
        <v>18</v>
      </c>
      <c r="E227" s="62" t="s">
        <v>389</v>
      </c>
      <c r="F227" s="62" t="s">
        <v>418</v>
      </c>
      <c r="G227" s="62" t="s">
        <v>390</v>
      </c>
      <c r="H227" s="65"/>
      <c r="I227" s="62" t="s">
        <v>275</v>
      </c>
    </row>
    <row r="228" customFormat="false" ht="15" hidden="false" customHeight="false" outlineLevel="0" collapsed="false">
      <c r="A228" s="62" t="s">
        <v>388</v>
      </c>
      <c r="B228" s="63" t="n">
        <v>1353</v>
      </c>
      <c r="C228" s="64" t="n">
        <v>46309.7845165741</v>
      </c>
      <c r="D228" s="63" t="n">
        <v>18</v>
      </c>
      <c r="E228" s="62" t="s">
        <v>389</v>
      </c>
      <c r="F228" s="62" t="s">
        <v>150</v>
      </c>
      <c r="G228" s="62" t="s">
        <v>389</v>
      </c>
      <c r="H228" s="65" t="n">
        <v>2.4</v>
      </c>
      <c r="I228" s="62" t="s">
        <v>393</v>
      </c>
    </row>
    <row r="229" customFormat="false" ht="15" hidden="false" customHeight="false" outlineLevel="0" collapsed="false">
      <c r="A229" s="62" t="s">
        <v>388</v>
      </c>
      <c r="B229" s="63" t="n">
        <v>1908</v>
      </c>
      <c r="C229" s="64" t="n">
        <v>46309.8228203357</v>
      </c>
      <c r="D229" s="63" t="n">
        <v>19</v>
      </c>
      <c r="E229" s="62" t="s">
        <v>389</v>
      </c>
      <c r="F229" s="62" t="s">
        <v>418</v>
      </c>
      <c r="G229" s="62" t="s">
        <v>389</v>
      </c>
      <c r="H229" s="65" t="n">
        <v>1.4</v>
      </c>
      <c r="I229" s="62" t="s">
        <v>275</v>
      </c>
    </row>
    <row r="230" customFormat="false" ht="15" hidden="false" customHeight="false" outlineLevel="0" collapsed="false">
      <c r="A230" s="62" t="s">
        <v>388</v>
      </c>
      <c r="B230" s="63" t="n">
        <v>1908</v>
      </c>
      <c r="C230" s="64" t="n">
        <v>46309.825006956</v>
      </c>
      <c r="D230" s="63" t="n">
        <v>19</v>
      </c>
      <c r="E230" s="62" t="s">
        <v>389</v>
      </c>
      <c r="F230" s="62" t="s">
        <v>419</v>
      </c>
      <c r="G230" s="62" t="s">
        <v>389</v>
      </c>
      <c r="H230" s="65" t="n">
        <v>1.1</v>
      </c>
      <c r="I230" s="62" t="s">
        <v>393</v>
      </c>
    </row>
    <row r="231" customFormat="false" ht="15" hidden="false" customHeight="false" outlineLevel="0" collapsed="false">
      <c r="A231" s="62" t="s">
        <v>388</v>
      </c>
      <c r="B231" s="63" t="n">
        <v>1774</v>
      </c>
      <c r="C231" s="64" t="n">
        <v>46309.8767848495</v>
      </c>
      <c r="D231" s="63" t="n">
        <v>21</v>
      </c>
      <c r="E231" s="62" t="s">
        <v>390</v>
      </c>
      <c r="F231" s="62" t="s">
        <v>150</v>
      </c>
      <c r="G231" s="62" t="s">
        <v>389</v>
      </c>
      <c r="H231" s="65" t="n">
        <v>2</v>
      </c>
      <c r="I231" s="62" t="s">
        <v>393</v>
      </c>
    </row>
    <row r="232" customFormat="false" ht="15" hidden="false" customHeight="false" outlineLevel="0" collapsed="false">
      <c r="A232" s="62" t="s">
        <v>388</v>
      </c>
      <c r="B232" s="63" t="n">
        <v>1912</v>
      </c>
      <c r="C232" s="64" t="n">
        <v>46309.8810111227</v>
      </c>
      <c r="D232" s="63" t="n">
        <v>21</v>
      </c>
      <c r="E232" s="62" t="s">
        <v>390</v>
      </c>
      <c r="F232" s="62" t="s">
        <v>419</v>
      </c>
      <c r="G232" s="62" t="s">
        <v>389</v>
      </c>
      <c r="H232" s="65" t="n">
        <v>2.4</v>
      </c>
      <c r="I232" s="62" t="s">
        <v>393</v>
      </c>
    </row>
    <row r="233" customFormat="false" ht="15" hidden="false" customHeight="false" outlineLevel="0" collapsed="false">
      <c r="A233" s="62" t="s">
        <v>388</v>
      </c>
      <c r="B233" s="63" t="n">
        <v>1912</v>
      </c>
      <c r="C233" s="64" t="n">
        <v>46309.8834478935</v>
      </c>
      <c r="D233" s="63" t="n">
        <v>21</v>
      </c>
      <c r="E233" s="62" t="s">
        <v>390</v>
      </c>
      <c r="F233" s="62" t="s">
        <v>419</v>
      </c>
      <c r="G233" s="62" t="s">
        <v>389</v>
      </c>
      <c r="H233" s="65" t="n">
        <v>5.6</v>
      </c>
      <c r="I233" s="62" t="s">
        <v>393</v>
      </c>
    </row>
    <row r="234" customFormat="false" ht="15" hidden="false" customHeight="false" outlineLevel="0" collapsed="false">
      <c r="A234" s="62" t="s">
        <v>388</v>
      </c>
      <c r="B234" s="63" t="n">
        <v>1927</v>
      </c>
      <c r="C234" s="64" t="n">
        <v>46309.9175590394</v>
      </c>
      <c r="D234" s="63" t="n">
        <v>22</v>
      </c>
      <c r="E234" s="62" t="s">
        <v>390</v>
      </c>
      <c r="F234" s="62" t="s">
        <v>418</v>
      </c>
      <c r="G234" s="62" t="s">
        <v>389</v>
      </c>
      <c r="H234" s="65" t="n">
        <v>11</v>
      </c>
      <c r="I234" s="62" t="s">
        <v>275</v>
      </c>
    </row>
    <row r="235" customFormat="false" ht="15" hidden="false" customHeight="false" outlineLevel="0" collapsed="false">
      <c r="A235" s="62" t="s">
        <v>388</v>
      </c>
      <c r="B235" s="63" t="n">
        <v>1927</v>
      </c>
      <c r="C235" s="64" t="n">
        <v>46309.9213893866</v>
      </c>
      <c r="D235" s="63" t="n">
        <v>22</v>
      </c>
      <c r="E235" s="62" t="s">
        <v>390</v>
      </c>
      <c r="F235" s="62" t="s">
        <v>419</v>
      </c>
      <c r="G235" s="62" t="s">
        <v>389</v>
      </c>
      <c r="H235" s="65" t="n">
        <v>5.5</v>
      </c>
      <c r="I235" s="62" t="s">
        <v>393</v>
      </c>
    </row>
    <row r="236" customFormat="false" ht="15" hidden="false" customHeight="false" outlineLevel="0" collapsed="false">
      <c r="A236" s="62" t="s">
        <v>388</v>
      </c>
      <c r="B236" s="63" t="n">
        <v>1927</v>
      </c>
      <c r="C236" s="64" t="n">
        <v>46309.9254114236</v>
      </c>
      <c r="D236" s="63" t="n">
        <v>22</v>
      </c>
      <c r="E236" s="62" t="s">
        <v>390</v>
      </c>
      <c r="F236" s="62" t="s">
        <v>419</v>
      </c>
      <c r="G236" s="62" t="s">
        <v>389</v>
      </c>
      <c r="H236" s="65" t="n">
        <v>527.5</v>
      </c>
      <c r="I236" s="62" t="s">
        <v>393</v>
      </c>
    </row>
    <row r="237" customFormat="false" ht="15" hidden="false" customHeight="false" outlineLevel="0" collapsed="false">
      <c r="A237" s="62" t="s">
        <v>388</v>
      </c>
      <c r="B237" s="63" t="n">
        <v>1933</v>
      </c>
      <c r="C237" s="64" t="n">
        <v>46309.9600273958</v>
      </c>
      <c r="D237" s="63" t="n">
        <v>23</v>
      </c>
      <c r="E237" s="62" t="s">
        <v>390</v>
      </c>
      <c r="F237" s="62" t="s">
        <v>418</v>
      </c>
      <c r="G237" s="62" t="s">
        <v>390</v>
      </c>
      <c r="H237" s="65"/>
      <c r="I237" s="62" t="s">
        <v>275</v>
      </c>
    </row>
    <row r="238" customFormat="false" ht="15" hidden="false" customHeight="false" outlineLevel="0" collapsed="false">
      <c r="A238" s="62" t="s">
        <v>388</v>
      </c>
      <c r="B238" s="63" t="n">
        <v>1947</v>
      </c>
      <c r="C238" s="64" t="n">
        <v>46310.2996703588</v>
      </c>
      <c r="D238" s="63" t="n">
        <v>7</v>
      </c>
      <c r="E238" s="62" t="s">
        <v>390</v>
      </c>
      <c r="F238" s="62" t="s">
        <v>418</v>
      </c>
      <c r="G238" s="62" t="s">
        <v>389</v>
      </c>
      <c r="H238" s="65" t="n">
        <v>25.4</v>
      </c>
      <c r="I238" s="62" t="s">
        <v>275</v>
      </c>
    </row>
    <row r="239" customFormat="false" ht="15" hidden="false" customHeight="false" outlineLevel="0" collapsed="false">
      <c r="A239" s="62" t="s">
        <v>388</v>
      </c>
      <c r="B239" s="63" t="n">
        <v>1912</v>
      </c>
      <c r="C239" s="64" t="n">
        <v>46310.3045191088</v>
      </c>
      <c r="D239" s="63" t="n">
        <v>7</v>
      </c>
      <c r="E239" s="62" t="s">
        <v>390</v>
      </c>
      <c r="F239" s="62" t="s">
        <v>150</v>
      </c>
      <c r="G239" s="62" t="s">
        <v>389</v>
      </c>
      <c r="H239" s="65" t="n">
        <v>0.6</v>
      </c>
      <c r="I239" s="62" t="s">
        <v>393</v>
      </c>
    </row>
    <row r="240" customFormat="false" ht="15" hidden="false" customHeight="false" outlineLevel="0" collapsed="false">
      <c r="A240" s="62" t="s">
        <v>388</v>
      </c>
      <c r="B240" s="63" t="n">
        <v>1947</v>
      </c>
      <c r="C240" s="64" t="n">
        <v>46310.3169346065</v>
      </c>
      <c r="D240" s="63" t="n">
        <v>7</v>
      </c>
      <c r="E240" s="62" t="s">
        <v>390</v>
      </c>
      <c r="F240" s="62" t="s">
        <v>419</v>
      </c>
      <c r="G240" s="62" t="s">
        <v>389</v>
      </c>
      <c r="H240" s="65" t="n">
        <v>0.5</v>
      </c>
      <c r="I240" s="62" t="s">
        <v>393</v>
      </c>
    </row>
    <row r="241" customFormat="false" ht="15" hidden="false" customHeight="false" outlineLevel="0" collapsed="false">
      <c r="A241" s="62" t="s">
        <v>388</v>
      </c>
      <c r="B241" s="63" t="n">
        <v>1947</v>
      </c>
      <c r="C241" s="64" t="n">
        <v>46310.3386184259</v>
      </c>
      <c r="D241" s="63" t="n">
        <v>8</v>
      </c>
      <c r="E241" s="62" t="s">
        <v>390</v>
      </c>
      <c r="F241" s="62" t="s">
        <v>151</v>
      </c>
      <c r="G241" s="62" t="s">
        <v>389</v>
      </c>
      <c r="H241" s="65" t="n">
        <v>0.5</v>
      </c>
      <c r="I241" s="62" t="s">
        <v>393</v>
      </c>
    </row>
    <row r="242" customFormat="false" ht="15" hidden="false" customHeight="false" outlineLevel="0" collapsed="false">
      <c r="A242" s="62" t="s">
        <v>388</v>
      </c>
      <c r="B242" s="63" t="n">
        <v>1947</v>
      </c>
      <c r="C242" s="64" t="n">
        <v>46310.3463149884</v>
      </c>
      <c r="D242" s="63" t="n">
        <v>8</v>
      </c>
      <c r="E242" s="62" t="s">
        <v>390</v>
      </c>
      <c r="F242" s="62" t="s">
        <v>151</v>
      </c>
      <c r="G242" s="62" t="s">
        <v>389</v>
      </c>
      <c r="H242" s="65" t="n">
        <v>1.8</v>
      </c>
      <c r="I242" s="62" t="s">
        <v>393</v>
      </c>
    </row>
    <row r="243" customFormat="false" ht="15" hidden="false" customHeight="false" outlineLevel="0" collapsed="false">
      <c r="A243" s="62" t="s">
        <v>388</v>
      </c>
      <c r="B243" s="63" t="n">
        <v>1947</v>
      </c>
      <c r="C243" s="64" t="n">
        <v>46310.3477708102</v>
      </c>
      <c r="D243" s="63" t="n">
        <v>8</v>
      </c>
      <c r="E243" s="62" t="s">
        <v>390</v>
      </c>
      <c r="F243" s="62" t="s">
        <v>151</v>
      </c>
      <c r="G243" s="62" t="s">
        <v>389</v>
      </c>
      <c r="H243" s="65" t="n">
        <v>0.1</v>
      </c>
      <c r="I243" s="62" t="s">
        <v>393</v>
      </c>
    </row>
    <row r="244" customFormat="false" ht="15" hidden="false" customHeight="false" outlineLevel="0" collapsed="false">
      <c r="A244" s="62" t="s">
        <v>388</v>
      </c>
      <c r="B244" s="63" t="n">
        <v>1947</v>
      </c>
      <c r="C244" s="64" t="n">
        <v>46310.3480215046</v>
      </c>
      <c r="D244" s="63" t="n">
        <v>8</v>
      </c>
      <c r="E244" s="62" t="s">
        <v>390</v>
      </c>
      <c r="F244" s="62" t="s">
        <v>151</v>
      </c>
      <c r="G244" s="62" t="s">
        <v>389</v>
      </c>
      <c r="H244" s="65" t="n">
        <v>2</v>
      </c>
      <c r="I244" s="62" t="s">
        <v>393</v>
      </c>
    </row>
    <row r="245" customFormat="false" ht="15" hidden="false" customHeight="false" outlineLevel="0" collapsed="false">
      <c r="A245" s="62" t="s">
        <v>388</v>
      </c>
      <c r="B245" s="63" t="n">
        <v>1947</v>
      </c>
      <c r="C245" s="64" t="n">
        <v>46310.3530308218</v>
      </c>
      <c r="D245" s="63" t="n">
        <v>8</v>
      </c>
      <c r="E245" s="62" t="s">
        <v>390</v>
      </c>
      <c r="F245" s="62" t="s">
        <v>151</v>
      </c>
      <c r="G245" s="62" t="s">
        <v>389</v>
      </c>
      <c r="H245" s="65" t="n">
        <v>0.9</v>
      </c>
      <c r="I245" s="62" t="s">
        <v>393</v>
      </c>
    </row>
    <row r="246" customFormat="false" ht="15" hidden="false" customHeight="false" outlineLevel="0" collapsed="false">
      <c r="A246" s="62" t="s">
        <v>388</v>
      </c>
      <c r="B246" s="63" t="n">
        <v>1972</v>
      </c>
      <c r="C246" s="64" t="n">
        <v>46310.4310673958</v>
      </c>
      <c r="D246" s="63" t="n">
        <v>10</v>
      </c>
      <c r="E246" s="62" t="s">
        <v>389</v>
      </c>
      <c r="F246" s="62" t="s">
        <v>418</v>
      </c>
      <c r="G246" s="62" t="s">
        <v>390</v>
      </c>
      <c r="H246" s="65"/>
      <c r="I246" s="62" t="s">
        <v>275</v>
      </c>
    </row>
    <row r="247" customFormat="false" ht="15" hidden="false" customHeight="false" outlineLevel="0" collapsed="false">
      <c r="A247" s="62" t="s">
        <v>388</v>
      </c>
      <c r="B247" s="63" t="n">
        <v>1992</v>
      </c>
      <c r="C247" s="64" t="n">
        <v>46310.5088240278</v>
      </c>
      <c r="D247" s="63" t="n">
        <v>12</v>
      </c>
      <c r="E247" s="62" t="s">
        <v>389</v>
      </c>
      <c r="F247" s="62" t="s">
        <v>418</v>
      </c>
      <c r="G247" s="62" t="s">
        <v>389</v>
      </c>
      <c r="H247" s="65" t="n">
        <v>7</v>
      </c>
      <c r="I247" s="62" t="s">
        <v>275</v>
      </c>
    </row>
    <row r="248" customFormat="false" ht="15" hidden="false" customHeight="false" outlineLevel="0" collapsed="false">
      <c r="A248" s="62" t="s">
        <v>388</v>
      </c>
      <c r="B248" s="63" t="n">
        <v>1992</v>
      </c>
      <c r="C248" s="64" t="n">
        <v>46310.5116997454</v>
      </c>
      <c r="D248" s="63" t="n">
        <v>12</v>
      </c>
      <c r="E248" s="62" t="s">
        <v>389</v>
      </c>
      <c r="F248" s="62" t="s">
        <v>419</v>
      </c>
      <c r="G248" s="62" t="s">
        <v>389</v>
      </c>
      <c r="H248" s="65" t="n">
        <v>2.9</v>
      </c>
      <c r="I248" s="62" t="s">
        <v>393</v>
      </c>
    </row>
    <row r="249" customFormat="false" ht="15" hidden="false" customHeight="false" outlineLevel="0" collapsed="false">
      <c r="A249" s="62" t="s">
        <v>388</v>
      </c>
      <c r="B249" s="63" t="n">
        <v>2005</v>
      </c>
      <c r="C249" s="64" t="n">
        <v>46310.5667599306</v>
      </c>
      <c r="D249" s="63" t="n">
        <v>13</v>
      </c>
      <c r="E249" s="62" t="s">
        <v>389</v>
      </c>
      <c r="F249" s="62" t="s">
        <v>418</v>
      </c>
      <c r="G249" s="62" t="s">
        <v>389</v>
      </c>
      <c r="H249" s="65" t="n">
        <v>6.7</v>
      </c>
      <c r="I249" s="62" t="s">
        <v>275</v>
      </c>
    </row>
    <row r="250" customFormat="false" ht="15" hidden="false" customHeight="false" outlineLevel="0" collapsed="false">
      <c r="A250" s="62" t="s">
        <v>388</v>
      </c>
      <c r="B250" s="63" t="n">
        <v>2005</v>
      </c>
      <c r="C250" s="64" t="n">
        <v>46310.5705206597</v>
      </c>
      <c r="D250" s="63" t="n">
        <v>13</v>
      </c>
      <c r="E250" s="62" t="s">
        <v>389</v>
      </c>
      <c r="F250" s="62" t="s">
        <v>419</v>
      </c>
      <c r="G250" s="62" t="s">
        <v>389</v>
      </c>
      <c r="H250" s="65" t="n">
        <v>1.3</v>
      </c>
      <c r="I250" s="62" t="s">
        <v>393</v>
      </c>
    </row>
    <row r="251" customFormat="false" ht="15" hidden="false" customHeight="false" outlineLevel="0" collapsed="false">
      <c r="A251" s="62" t="s">
        <v>388</v>
      </c>
      <c r="B251" s="63" t="n">
        <v>2005</v>
      </c>
      <c r="C251" s="64" t="n">
        <v>46310.5718837732</v>
      </c>
      <c r="D251" s="63" t="n">
        <v>13</v>
      </c>
      <c r="E251" s="62" t="s">
        <v>389</v>
      </c>
      <c r="F251" s="62" t="s">
        <v>419</v>
      </c>
      <c r="G251" s="62" t="s">
        <v>389</v>
      </c>
      <c r="H251" s="65" t="n">
        <v>3.4</v>
      </c>
      <c r="I251" s="62" t="s">
        <v>393</v>
      </c>
    </row>
    <row r="252" customFormat="false" ht="15" hidden="false" customHeight="false" outlineLevel="0" collapsed="false">
      <c r="A252" s="62" t="s">
        <v>388</v>
      </c>
      <c r="B252" s="63" t="n">
        <v>1893</v>
      </c>
      <c r="C252" s="64" t="n">
        <v>46310.6804701968</v>
      </c>
      <c r="D252" s="63" t="n">
        <v>16</v>
      </c>
      <c r="E252" s="62" t="s">
        <v>389</v>
      </c>
      <c r="F252" s="62" t="s">
        <v>150</v>
      </c>
      <c r="G252" s="62" t="s">
        <v>389</v>
      </c>
      <c r="H252" s="65" t="n">
        <v>6.6</v>
      </c>
      <c r="I252" s="62" t="s">
        <v>393</v>
      </c>
    </row>
    <row r="253" customFormat="false" ht="15" hidden="false" customHeight="false" outlineLevel="0" collapsed="false">
      <c r="A253" s="62" t="s">
        <v>388</v>
      </c>
      <c r="B253" s="63" t="n">
        <v>1893</v>
      </c>
      <c r="C253" s="64" t="n">
        <v>46310.6885219676</v>
      </c>
      <c r="D253" s="63" t="n">
        <v>16</v>
      </c>
      <c r="E253" s="62" t="s">
        <v>389</v>
      </c>
      <c r="F253" s="62" t="s">
        <v>150</v>
      </c>
      <c r="G253" s="62" t="s">
        <v>389</v>
      </c>
      <c r="H253" s="65" t="n">
        <v>3.5</v>
      </c>
      <c r="I253" s="62" t="s">
        <v>393</v>
      </c>
    </row>
    <row r="254" customFormat="false" ht="15" hidden="false" customHeight="false" outlineLevel="0" collapsed="false">
      <c r="A254" s="62" t="s">
        <v>388</v>
      </c>
      <c r="B254" s="63" t="n">
        <v>1893</v>
      </c>
      <c r="C254" s="64" t="n">
        <v>46310.6917615972</v>
      </c>
      <c r="D254" s="63" t="n">
        <v>16</v>
      </c>
      <c r="E254" s="62" t="s">
        <v>389</v>
      </c>
      <c r="F254" s="62" t="s">
        <v>150</v>
      </c>
      <c r="G254" s="62" t="s">
        <v>389</v>
      </c>
      <c r="H254" s="65" t="n">
        <v>3.2</v>
      </c>
      <c r="I254" s="62" t="s">
        <v>393</v>
      </c>
    </row>
    <row r="255" customFormat="false" ht="15" hidden="false" customHeight="false" outlineLevel="0" collapsed="false">
      <c r="A255" s="62" t="s">
        <v>388</v>
      </c>
      <c r="B255" s="63" t="n">
        <v>2076</v>
      </c>
      <c r="C255" s="64" t="n">
        <v>46310.8440082407</v>
      </c>
      <c r="D255" s="63" t="n">
        <v>20</v>
      </c>
      <c r="E255" s="62" t="s">
        <v>389</v>
      </c>
      <c r="F255" s="62" t="s">
        <v>418</v>
      </c>
      <c r="G255" s="62" t="s">
        <v>390</v>
      </c>
      <c r="H255" s="65"/>
      <c r="I255" s="62" t="s">
        <v>275</v>
      </c>
    </row>
    <row r="256" customFormat="false" ht="15" hidden="false" customHeight="false" outlineLevel="0" collapsed="false">
      <c r="A256" s="62" t="s">
        <v>388</v>
      </c>
      <c r="B256" s="63" t="n">
        <v>1893</v>
      </c>
      <c r="C256" s="64" t="n">
        <v>46310.8883923611</v>
      </c>
      <c r="D256" s="63" t="n">
        <v>21</v>
      </c>
      <c r="E256" s="62" t="s">
        <v>390</v>
      </c>
      <c r="F256" s="62" t="s">
        <v>150</v>
      </c>
      <c r="G256" s="62" t="s">
        <v>389</v>
      </c>
      <c r="H256" s="65" t="n">
        <v>0.7</v>
      </c>
      <c r="I256" s="62" t="s">
        <v>393</v>
      </c>
    </row>
    <row r="257" customFormat="false" ht="15" hidden="false" customHeight="false" outlineLevel="0" collapsed="false">
      <c r="A257" s="62" t="s">
        <v>388</v>
      </c>
      <c r="B257" s="63" t="n">
        <v>1893</v>
      </c>
      <c r="C257" s="64" t="n">
        <v>46310.8904310648</v>
      </c>
      <c r="D257" s="63" t="n">
        <v>21</v>
      </c>
      <c r="E257" s="62" t="s">
        <v>390</v>
      </c>
      <c r="F257" s="62" t="s">
        <v>150</v>
      </c>
      <c r="G257" s="62" t="s">
        <v>389</v>
      </c>
      <c r="H257" s="65" t="n">
        <v>1</v>
      </c>
      <c r="I257" s="62" t="s">
        <v>393</v>
      </c>
    </row>
    <row r="258" customFormat="false" ht="15" hidden="false" customHeight="false" outlineLevel="0" collapsed="false">
      <c r="A258" s="62" t="s">
        <v>388</v>
      </c>
      <c r="B258" s="63" t="n">
        <v>1893</v>
      </c>
      <c r="C258" s="64" t="n">
        <v>46310.8914123148</v>
      </c>
      <c r="D258" s="63" t="n">
        <v>21</v>
      </c>
      <c r="E258" s="62" t="s">
        <v>390</v>
      </c>
      <c r="F258" s="62" t="s">
        <v>152</v>
      </c>
      <c r="G258" s="62" t="s">
        <v>389</v>
      </c>
      <c r="H258" s="65" t="n">
        <v>0.3</v>
      </c>
      <c r="I258" s="62" t="s">
        <v>393</v>
      </c>
    </row>
    <row r="259" customFormat="false" ht="15" hidden="false" customHeight="false" outlineLevel="0" collapsed="false">
      <c r="A259" s="62" t="s">
        <v>388</v>
      </c>
      <c r="B259" s="63" t="n">
        <v>1893</v>
      </c>
      <c r="C259" s="64" t="n">
        <v>46310.8920354861</v>
      </c>
      <c r="D259" s="63" t="n">
        <v>21</v>
      </c>
      <c r="E259" s="62" t="s">
        <v>390</v>
      </c>
      <c r="F259" s="62" t="s">
        <v>152</v>
      </c>
      <c r="G259" s="62" t="s">
        <v>389</v>
      </c>
      <c r="H259" s="65" t="n">
        <v>0.1</v>
      </c>
      <c r="I259" s="62" t="s">
        <v>393</v>
      </c>
    </row>
  </sheetData>
  <autoFilter ref="A1:I25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8AAA"/>
    <pageSetUpPr fitToPage="true"/>
  </sheetPr>
  <dimension ref="A1:C1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  <col collapsed="false" customWidth="true" hidden="false" outlineLevel="0" max="3" min="3" style="0" width="12"/>
  </cols>
  <sheetData>
    <row r="1" customFormat="false" ht="25.5" hidden="false" customHeight="true" outlineLevel="0" collapsed="false">
      <c r="A1" s="2" t="s">
        <v>0</v>
      </c>
      <c r="B1" s="1"/>
      <c r="C1" s="1"/>
    </row>
    <row r="2" customFormat="false" ht="30" hidden="false" customHeight="true" outlineLevel="0" collapsed="false">
      <c r="A2" s="4" t="s">
        <v>421</v>
      </c>
      <c r="B2" s="3"/>
      <c r="C2" s="3"/>
    </row>
    <row r="3" customFormat="false" ht="15" hidden="false" customHeight="false" outlineLevel="0" collapsed="false">
      <c r="A3" s="6" t="s">
        <v>422</v>
      </c>
      <c r="B3" s="5"/>
      <c r="C3" s="5"/>
    </row>
    <row r="5" customFormat="false" ht="30" hidden="false" customHeight="true" outlineLevel="0" collapsed="false">
      <c r="A5" s="67" t="s">
        <v>423</v>
      </c>
      <c r="B5" s="68" t="s">
        <v>424</v>
      </c>
    </row>
    <row r="6" customFormat="false" ht="30" hidden="false" customHeight="true" outlineLevel="0" collapsed="false">
      <c r="A6" s="69" t="s">
        <v>425</v>
      </c>
      <c r="B6" s="70" t="s">
        <v>426</v>
      </c>
    </row>
    <row r="7" customFormat="false" ht="18" hidden="false" customHeight="true" outlineLevel="0" collapsed="false">
      <c r="A7" s="67" t="s">
        <v>427</v>
      </c>
      <c r="B7" s="68" t="s">
        <v>428</v>
      </c>
    </row>
    <row r="8" customFormat="false" ht="30" hidden="false" customHeight="true" outlineLevel="0" collapsed="false">
      <c r="A8" s="69" t="s">
        <v>429</v>
      </c>
      <c r="B8" s="70" t="s">
        <v>430</v>
      </c>
    </row>
    <row r="9" customFormat="false" ht="30" hidden="false" customHeight="true" outlineLevel="0" collapsed="false">
      <c r="A9" s="67" t="s">
        <v>431</v>
      </c>
      <c r="B9" s="68" t="s">
        <v>432</v>
      </c>
    </row>
    <row r="10" customFormat="false" ht="45" hidden="false" customHeight="true" outlineLevel="0" collapsed="false">
      <c r="A10" s="69" t="s">
        <v>291</v>
      </c>
      <c r="B10" s="70" t="s">
        <v>433</v>
      </c>
    </row>
    <row r="11" customFormat="false" ht="18" hidden="false" customHeight="true" outlineLevel="0" collapsed="false">
      <c r="A11" s="67" t="s">
        <v>434</v>
      </c>
      <c r="B11" s="68" t="s">
        <v>435</v>
      </c>
    </row>
    <row r="12" customFormat="false" ht="30" hidden="false" customHeight="true" outlineLevel="0" collapsed="false">
      <c r="A12" s="69" t="s">
        <v>436</v>
      </c>
      <c r="B12" s="70" t="s">
        <v>437</v>
      </c>
    </row>
    <row r="13" customFormat="false" ht="18" hidden="false" customHeight="true" outlineLevel="0" collapsed="false">
      <c r="A13" s="67" t="s">
        <v>438</v>
      </c>
      <c r="B13" s="68" t="s">
        <v>439</v>
      </c>
    </row>
    <row r="14" customFormat="false" ht="30" hidden="false" customHeight="true" outlineLevel="0" collapsed="false">
      <c r="A14" s="69" t="s">
        <v>319</v>
      </c>
      <c r="B14" s="70" t="s">
        <v>440</v>
      </c>
    </row>
    <row r="15" customFormat="false" ht="18" hidden="false" customHeight="true" outlineLevel="0" collapsed="false">
      <c r="A15" s="67" t="s">
        <v>441</v>
      </c>
      <c r="B15" s="68" t="s">
        <v>442</v>
      </c>
    </row>
    <row r="16" customFormat="false" ht="18" hidden="false" customHeight="true" outlineLevel="0" collapsed="false">
      <c r="A16" s="69" t="s">
        <v>357</v>
      </c>
      <c r="B16" s="70" t="s">
        <v>443</v>
      </c>
    </row>
    <row r="17" customFormat="false" ht="30" hidden="false" customHeight="true" outlineLevel="0" collapsed="false">
      <c r="A17" s="67" t="s">
        <v>300</v>
      </c>
      <c r="B17" s="68" t="s">
        <v>444</v>
      </c>
    </row>
    <row r="18" customFormat="false" ht="30" hidden="false" customHeight="true" outlineLevel="0" collapsed="false">
      <c r="A18" s="69" t="s">
        <v>445</v>
      </c>
      <c r="B18" s="70" t="s">
        <v>446</v>
      </c>
    </row>
    <row r="19" customFormat="false" ht="18" hidden="false" customHeight="true" outlineLevel="0" collapsed="false">
      <c r="A19" s="67" t="s">
        <v>323</v>
      </c>
      <c r="B19" s="68" t="s">
        <v>447</v>
      </c>
    </row>
    <row r="20" customFormat="false" ht="30" hidden="false" customHeight="true" outlineLevel="0" collapsed="false">
      <c r="A20" s="69" t="s">
        <v>448</v>
      </c>
      <c r="B20" s="70" t="s">
        <v>449</v>
      </c>
    </row>
    <row r="21" customFormat="false" ht="30" hidden="false" customHeight="true" outlineLevel="0" collapsed="false">
      <c r="A21" s="67" t="s">
        <v>450</v>
      </c>
      <c r="B21" s="68" t="s">
        <v>451</v>
      </c>
    </row>
    <row r="22" customFormat="false" ht="30" hidden="false" customHeight="true" outlineLevel="0" collapsed="false">
      <c r="A22" s="69" t="s">
        <v>452</v>
      </c>
      <c r="B22" s="70" t="s">
        <v>453</v>
      </c>
    </row>
    <row r="23" customFormat="false" ht="30" hidden="false" customHeight="true" outlineLevel="0" collapsed="false">
      <c r="A23" s="67" t="s">
        <v>377</v>
      </c>
      <c r="B23" s="68" t="s">
        <v>454</v>
      </c>
    </row>
    <row r="24" customFormat="false" ht="30" hidden="false" customHeight="true" outlineLevel="0" collapsed="false">
      <c r="A24" s="69" t="s">
        <v>379</v>
      </c>
      <c r="B24" s="70" t="s">
        <v>455</v>
      </c>
    </row>
    <row r="25" customFormat="false" ht="30" hidden="false" customHeight="true" outlineLevel="0" collapsed="false">
      <c r="A25" s="67" t="s">
        <v>456</v>
      </c>
      <c r="B25" s="68" t="s">
        <v>457</v>
      </c>
    </row>
    <row r="26" customFormat="false" ht="30" hidden="false" customHeight="true" outlineLevel="0" collapsed="false">
      <c r="A26" s="69" t="s">
        <v>392</v>
      </c>
      <c r="B26" s="70" t="s">
        <v>458</v>
      </c>
    </row>
    <row r="27" customFormat="false" ht="30" hidden="false" customHeight="true" outlineLevel="0" collapsed="false">
      <c r="A27" s="67" t="s">
        <v>459</v>
      </c>
      <c r="B27" s="68" t="s">
        <v>460</v>
      </c>
    </row>
    <row r="28" customFormat="false" ht="45" hidden="false" customHeight="true" outlineLevel="0" collapsed="false">
      <c r="A28" s="69" t="s">
        <v>461</v>
      </c>
      <c r="B28" s="70" t="s">
        <v>462</v>
      </c>
    </row>
    <row r="29" customFormat="false" ht="45" hidden="false" customHeight="true" outlineLevel="0" collapsed="false">
      <c r="A29" s="67" t="s">
        <v>463</v>
      </c>
      <c r="B29" s="68" t="s">
        <v>464</v>
      </c>
    </row>
    <row r="31" customFormat="false" ht="21.75" hidden="false" customHeight="true" outlineLevel="0" collapsed="false">
      <c r="A31" s="7" t="s">
        <v>465</v>
      </c>
    </row>
    <row r="32" customFormat="false" ht="30" hidden="false" customHeight="true" outlineLevel="0" collapsed="false">
      <c r="A32" s="8" t="s">
        <v>179</v>
      </c>
      <c r="B32" s="9" t="s">
        <v>466</v>
      </c>
      <c r="C32" s="9" t="s">
        <v>467</v>
      </c>
    </row>
    <row r="33" customFormat="false" ht="36" hidden="false" customHeight="true" outlineLevel="0" collapsed="false">
      <c r="A33" s="71" t="s">
        <v>418</v>
      </c>
      <c r="B33" s="71" t="s">
        <v>468</v>
      </c>
      <c r="C33" s="72"/>
    </row>
    <row r="34" customFormat="false" ht="15" hidden="false" customHeight="true" outlineLevel="0" collapsed="false">
      <c r="A34" s="73" t="s">
        <v>418</v>
      </c>
      <c r="B34" s="73" t="s">
        <v>469</v>
      </c>
      <c r="C34" s="74" t="s">
        <v>470</v>
      </c>
    </row>
    <row r="35" customFormat="false" ht="24" hidden="false" customHeight="true" outlineLevel="0" collapsed="false">
      <c r="A35" s="71" t="s">
        <v>418</v>
      </c>
      <c r="B35" s="71" t="s">
        <v>471</v>
      </c>
      <c r="C35" s="72"/>
    </row>
    <row r="36" customFormat="false" ht="15" hidden="false" customHeight="true" outlineLevel="0" collapsed="false">
      <c r="A36" s="73" t="s">
        <v>418</v>
      </c>
      <c r="B36" s="73" t="s">
        <v>472</v>
      </c>
      <c r="C36" s="74" t="s">
        <v>473</v>
      </c>
    </row>
    <row r="37" customFormat="false" ht="15" hidden="false" customHeight="true" outlineLevel="0" collapsed="false">
      <c r="A37" s="71" t="s">
        <v>418</v>
      </c>
      <c r="B37" s="71" t="s">
        <v>469</v>
      </c>
      <c r="C37" s="72" t="s">
        <v>474</v>
      </c>
    </row>
    <row r="38" customFormat="false" ht="15" hidden="false" customHeight="true" outlineLevel="0" collapsed="false">
      <c r="A38" s="73" t="s">
        <v>418</v>
      </c>
      <c r="B38" s="73" t="s">
        <v>475</v>
      </c>
      <c r="C38" s="74"/>
    </row>
    <row r="39" customFormat="false" ht="15" hidden="false" customHeight="true" outlineLevel="0" collapsed="false">
      <c r="A39" s="71" t="s">
        <v>418</v>
      </c>
      <c r="B39" s="71" t="s">
        <v>476</v>
      </c>
      <c r="C39" s="72"/>
    </row>
    <row r="40" customFormat="false" ht="48" hidden="false" customHeight="true" outlineLevel="0" collapsed="false">
      <c r="A40" s="73" t="s">
        <v>418</v>
      </c>
      <c r="B40" s="73" t="s">
        <v>477</v>
      </c>
      <c r="C40" s="74"/>
    </row>
    <row r="41" customFormat="false" ht="15" hidden="false" customHeight="true" outlineLevel="0" collapsed="false">
      <c r="A41" s="71" t="s">
        <v>418</v>
      </c>
      <c r="B41" s="71" t="s">
        <v>478</v>
      </c>
      <c r="C41" s="72"/>
    </row>
    <row r="42" customFormat="false" ht="15" hidden="false" customHeight="true" outlineLevel="0" collapsed="false">
      <c r="A42" s="73" t="s">
        <v>418</v>
      </c>
      <c r="B42" s="73" t="s">
        <v>469</v>
      </c>
      <c r="C42" s="74" t="s">
        <v>479</v>
      </c>
    </row>
    <row r="43" customFormat="false" ht="15" hidden="false" customHeight="true" outlineLevel="0" collapsed="false">
      <c r="A43" s="71" t="s">
        <v>418</v>
      </c>
      <c r="B43" s="71" t="s">
        <v>480</v>
      </c>
      <c r="C43" s="72"/>
    </row>
    <row r="44" customFormat="false" ht="108" hidden="false" customHeight="true" outlineLevel="0" collapsed="false">
      <c r="A44" s="73" t="s">
        <v>185</v>
      </c>
      <c r="B44" s="73" t="s">
        <v>481</v>
      </c>
      <c r="C44" s="74"/>
    </row>
    <row r="45" customFormat="false" ht="15" hidden="false" customHeight="true" outlineLevel="0" collapsed="false">
      <c r="A45" s="71" t="s">
        <v>185</v>
      </c>
      <c r="B45" s="71" t="s">
        <v>469</v>
      </c>
      <c r="C45" s="72" t="s">
        <v>479</v>
      </c>
    </row>
    <row r="46" customFormat="false" ht="15" hidden="false" customHeight="true" outlineLevel="0" collapsed="false">
      <c r="A46" s="73" t="s">
        <v>185</v>
      </c>
      <c r="B46" s="73" t="s">
        <v>482</v>
      </c>
      <c r="C46" s="74"/>
    </row>
    <row r="47" customFormat="false" ht="24" hidden="false" customHeight="true" outlineLevel="0" collapsed="false">
      <c r="A47" s="71" t="s">
        <v>149</v>
      </c>
      <c r="B47" s="71" t="s">
        <v>483</v>
      </c>
      <c r="C47" s="72"/>
    </row>
    <row r="48" customFormat="false" ht="15" hidden="false" customHeight="true" outlineLevel="0" collapsed="false">
      <c r="A48" s="73" t="s">
        <v>149</v>
      </c>
      <c r="B48" s="73" t="s">
        <v>469</v>
      </c>
      <c r="C48" s="74" t="s">
        <v>484</v>
      </c>
    </row>
    <row r="49" customFormat="false" ht="36" hidden="false" customHeight="true" outlineLevel="0" collapsed="false">
      <c r="A49" s="71" t="s">
        <v>149</v>
      </c>
      <c r="B49" s="71" t="s">
        <v>485</v>
      </c>
      <c r="C49" s="72"/>
    </row>
    <row r="50" customFormat="false" ht="15" hidden="false" customHeight="true" outlineLevel="0" collapsed="false">
      <c r="A50" s="73" t="s">
        <v>149</v>
      </c>
      <c r="B50" s="73" t="s">
        <v>469</v>
      </c>
      <c r="C50" s="74" t="s">
        <v>484</v>
      </c>
    </row>
    <row r="51" customFormat="false" ht="84" hidden="false" customHeight="true" outlineLevel="0" collapsed="false">
      <c r="A51" s="71" t="s">
        <v>149</v>
      </c>
      <c r="B51" s="71" t="s">
        <v>486</v>
      </c>
      <c r="C51" s="72"/>
    </row>
    <row r="52" customFormat="false" ht="15" hidden="false" customHeight="true" outlineLevel="0" collapsed="false">
      <c r="A52" s="73" t="s">
        <v>149</v>
      </c>
      <c r="B52" s="73" t="s">
        <v>469</v>
      </c>
      <c r="C52" s="74" t="s">
        <v>487</v>
      </c>
    </row>
    <row r="53" customFormat="false" ht="48" hidden="false" customHeight="true" outlineLevel="0" collapsed="false">
      <c r="A53" s="71" t="s">
        <v>149</v>
      </c>
      <c r="B53" s="71" t="s">
        <v>488</v>
      </c>
      <c r="C53" s="72"/>
    </row>
    <row r="54" customFormat="false" ht="15" hidden="false" customHeight="true" outlineLevel="0" collapsed="false">
      <c r="A54" s="73" t="s">
        <v>149</v>
      </c>
      <c r="B54" s="73" t="s">
        <v>469</v>
      </c>
      <c r="C54" s="74" t="s">
        <v>489</v>
      </c>
    </row>
    <row r="55" customFormat="false" ht="15" hidden="false" customHeight="true" outlineLevel="0" collapsed="false">
      <c r="A55" s="71" t="s">
        <v>149</v>
      </c>
      <c r="B55" s="71" t="s">
        <v>490</v>
      </c>
      <c r="C55" s="72"/>
    </row>
    <row r="56" customFormat="false" ht="15" hidden="false" customHeight="true" outlineLevel="0" collapsed="false">
      <c r="A56" s="73" t="s">
        <v>491</v>
      </c>
      <c r="B56" s="73" t="s">
        <v>492</v>
      </c>
      <c r="C56" s="74"/>
    </row>
    <row r="57" customFormat="false" ht="15" hidden="false" customHeight="true" outlineLevel="0" collapsed="false">
      <c r="A57" s="71" t="s">
        <v>491</v>
      </c>
      <c r="B57" s="71" t="s">
        <v>493</v>
      </c>
      <c r="C57" s="72"/>
    </row>
    <row r="58" customFormat="false" ht="15" hidden="false" customHeight="true" outlineLevel="0" collapsed="false">
      <c r="A58" s="73" t="s">
        <v>491</v>
      </c>
      <c r="B58" s="73" t="s">
        <v>494</v>
      </c>
      <c r="C58" s="74"/>
    </row>
    <row r="59" customFormat="false" ht="15" hidden="false" customHeight="true" outlineLevel="0" collapsed="false">
      <c r="A59" s="71" t="s">
        <v>491</v>
      </c>
      <c r="B59" s="71" t="s">
        <v>495</v>
      </c>
      <c r="C59" s="72"/>
    </row>
    <row r="60" customFormat="false" ht="15" hidden="false" customHeight="true" outlineLevel="0" collapsed="false">
      <c r="A60" s="73" t="s">
        <v>491</v>
      </c>
      <c r="B60" s="73" t="s">
        <v>469</v>
      </c>
      <c r="C60" s="74" t="s">
        <v>470</v>
      </c>
    </row>
    <row r="61" customFormat="false" ht="15" hidden="false" customHeight="true" outlineLevel="0" collapsed="false">
      <c r="A61" s="71" t="s">
        <v>491</v>
      </c>
      <c r="B61" s="71" t="s">
        <v>495</v>
      </c>
      <c r="C61" s="72"/>
    </row>
    <row r="62" customFormat="false" ht="15" hidden="false" customHeight="true" outlineLevel="0" collapsed="false">
      <c r="A62" s="73" t="s">
        <v>491</v>
      </c>
      <c r="B62" s="73" t="s">
        <v>469</v>
      </c>
      <c r="C62" s="74" t="s">
        <v>479</v>
      </c>
    </row>
    <row r="63" customFormat="false" ht="72" hidden="false" customHeight="true" outlineLevel="0" collapsed="false">
      <c r="A63" s="71" t="s">
        <v>491</v>
      </c>
      <c r="B63" s="71" t="s">
        <v>496</v>
      </c>
      <c r="C63" s="72"/>
    </row>
    <row r="64" customFormat="false" ht="15" hidden="false" customHeight="true" outlineLevel="0" collapsed="false">
      <c r="A64" s="73" t="s">
        <v>491</v>
      </c>
      <c r="B64" s="73" t="s">
        <v>497</v>
      </c>
      <c r="C64" s="74"/>
    </row>
    <row r="65" customFormat="false" ht="15" hidden="false" customHeight="true" outlineLevel="0" collapsed="false">
      <c r="A65" s="71" t="s">
        <v>491</v>
      </c>
      <c r="B65" s="71" t="s">
        <v>469</v>
      </c>
      <c r="C65" s="72" t="s">
        <v>489</v>
      </c>
    </row>
    <row r="66" customFormat="false" ht="108" hidden="false" customHeight="true" outlineLevel="0" collapsed="false">
      <c r="A66" s="73" t="s">
        <v>491</v>
      </c>
      <c r="B66" s="73" t="s">
        <v>498</v>
      </c>
      <c r="C66" s="74"/>
    </row>
    <row r="67" customFormat="false" ht="15" hidden="false" customHeight="true" outlineLevel="0" collapsed="false">
      <c r="A67" s="71" t="s">
        <v>491</v>
      </c>
      <c r="B67" s="71" t="s">
        <v>469</v>
      </c>
      <c r="C67" s="72" t="s">
        <v>479</v>
      </c>
    </row>
    <row r="68" customFormat="false" ht="15" hidden="false" customHeight="true" outlineLevel="0" collapsed="false">
      <c r="A68" s="73" t="s">
        <v>491</v>
      </c>
      <c r="B68" s="73" t="s">
        <v>499</v>
      </c>
      <c r="C68" s="74"/>
    </row>
    <row r="69" customFormat="false" ht="15" hidden="false" customHeight="true" outlineLevel="0" collapsed="false">
      <c r="A69" s="71" t="s">
        <v>491</v>
      </c>
      <c r="B69" s="71" t="s">
        <v>500</v>
      </c>
      <c r="C69" s="72"/>
    </row>
    <row r="70" customFormat="false" ht="15" hidden="false" customHeight="true" outlineLevel="0" collapsed="false">
      <c r="A70" s="73" t="s">
        <v>491</v>
      </c>
      <c r="B70" s="73" t="s">
        <v>469</v>
      </c>
      <c r="C70" s="74" t="s">
        <v>501</v>
      </c>
    </row>
    <row r="71" customFormat="false" ht="15" hidden="false" customHeight="true" outlineLevel="0" collapsed="false">
      <c r="A71" s="71" t="s">
        <v>491</v>
      </c>
      <c r="B71" s="71" t="s">
        <v>502</v>
      </c>
      <c r="C71" s="72"/>
    </row>
    <row r="72" customFormat="false" ht="15" hidden="false" customHeight="true" outlineLevel="0" collapsed="false">
      <c r="A72" s="73" t="s">
        <v>491</v>
      </c>
      <c r="B72" s="73" t="s">
        <v>469</v>
      </c>
      <c r="C72" s="74" t="s">
        <v>479</v>
      </c>
    </row>
    <row r="73" customFormat="false" ht="36" hidden="false" customHeight="true" outlineLevel="0" collapsed="false">
      <c r="A73" s="71" t="s">
        <v>491</v>
      </c>
      <c r="B73" s="71" t="s">
        <v>503</v>
      </c>
      <c r="C73" s="72"/>
    </row>
    <row r="74" customFormat="false" ht="15" hidden="false" customHeight="true" outlineLevel="0" collapsed="false">
      <c r="A74" s="73" t="s">
        <v>491</v>
      </c>
      <c r="B74" s="73" t="s">
        <v>469</v>
      </c>
      <c r="C74" s="74" t="s">
        <v>479</v>
      </c>
    </row>
    <row r="75" customFormat="false" ht="72" hidden="false" customHeight="true" outlineLevel="0" collapsed="false">
      <c r="A75" s="71" t="s">
        <v>491</v>
      </c>
      <c r="B75" s="71" t="s">
        <v>504</v>
      </c>
      <c r="C75" s="72"/>
    </row>
    <row r="76" customFormat="false" ht="15" hidden="false" customHeight="true" outlineLevel="0" collapsed="false">
      <c r="A76" s="73" t="s">
        <v>491</v>
      </c>
      <c r="B76" s="73" t="s">
        <v>469</v>
      </c>
      <c r="C76" s="74" t="s">
        <v>505</v>
      </c>
    </row>
    <row r="77" customFormat="false" ht="15" hidden="false" customHeight="true" outlineLevel="0" collapsed="false">
      <c r="A77" s="71" t="s">
        <v>491</v>
      </c>
      <c r="B77" s="71" t="s">
        <v>506</v>
      </c>
      <c r="C77" s="72"/>
    </row>
    <row r="78" customFormat="false" ht="15" hidden="false" customHeight="true" outlineLevel="0" collapsed="false">
      <c r="A78" s="73" t="s">
        <v>491</v>
      </c>
      <c r="B78" s="73" t="s">
        <v>469</v>
      </c>
      <c r="C78" s="74" t="s">
        <v>507</v>
      </c>
    </row>
    <row r="79" customFormat="false" ht="144" hidden="false" customHeight="true" outlineLevel="0" collapsed="false">
      <c r="A79" s="71" t="s">
        <v>491</v>
      </c>
      <c r="B79" s="71" t="s">
        <v>508</v>
      </c>
      <c r="C79" s="72"/>
    </row>
    <row r="80" customFormat="false" ht="15" hidden="false" customHeight="true" outlineLevel="0" collapsed="false">
      <c r="A80" s="73" t="s">
        <v>491</v>
      </c>
      <c r="B80" s="73" t="s">
        <v>472</v>
      </c>
      <c r="C80" s="74" t="s">
        <v>501</v>
      </c>
    </row>
    <row r="81" customFormat="false" ht="15" hidden="false" customHeight="true" outlineLevel="0" collapsed="false">
      <c r="A81" s="71" t="s">
        <v>491</v>
      </c>
      <c r="B81" s="71" t="s">
        <v>509</v>
      </c>
      <c r="C81" s="72"/>
    </row>
    <row r="82" customFormat="false" ht="15" hidden="false" customHeight="true" outlineLevel="0" collapsed="false">
      <c r="A82" s="73" t="s">
        <v>491</v>
      </c>
      <c r="B82" s="73" t="s">
        <v>510</v>
      </c>
      <c r="C82" s="74"/>
    </row>
    <row r="83" customFormat="false" ht="15" hidden="false" customHeight="true" outlineLevel="0" collapsed="false">
      <c r="A83" s="71" t="s">
        <v>491</v>
      </c>
      <c r="B83" s="71" t="s">
        <v>511</v>
      </c>
      <c r="C83" s="72"/>
    </row>
    <row r="84" customFormat="false" ht="15" hidden="false" customHeight="true" outlineLevel="0" collapsed="false">
      <c r="A84" s="73" t="s">
        <v>491</v>
      </c>
      <c r="B84" s="73" t="s">
        <v>469</v>
      </c>
      <c r="C84" s="74" t="s">
        <v>501</v>
      </c>
    </row>
    <row r="85" customFormat="false" ht="204" hidden="false" customHeight="true" outlineLevel="0" collapsed="false">
      <c r="A85" s="71" t="s">
        <v>491</v>
      </c>
      <c r="B85" s="71" t="s">
        <v>512</v>
      </c>
      <c r="C85" s="72"/>
    </row>
    <row r="86" customFormat="false" ht="15" hidden="false" customHeight="true" outlineLevel="0" collapsed="false">
      <c r="A86" s="73" t="s">
        <v>491</v>
      </c>
      <c r="B86" s="73" t="s">
        <v>469</v>
      </c>
      <c r="C86" s="74" t="s">
        <v>507</v>
      </c>
    </row>
    <row r="87" customFormat="false" ht="24" hidden="false" customHeight="true" outlineLevel="0" collapsed="false">
      <c r="A87" s="71" t="s">
        <v>491</v>
      </c>
      <c r="B87" s="71" t="s">
        <v>513</v>
      </c>
      <c r="C87" s="72"/>
    </row>
    <row r="88" customFormat="false" ht="15" hidden="false" customHeight="true" outlineLevel="0" collapsed="false">
      <c r="A88" s="73" t="s">
        <v>491</v>
      </c>
      <c r="B88" s="73" t="s">
        <v>469</v>
      </c>
      <c r="C88" s="74" t="s">
        <v>479</v>
      </c>
    </row>
    <row r="89" customFormat="false" ht="15" hidden="false" customHeight="true" outlineLevel="0" collapsed="false">
      <c r="A89" s="71" t="s">
        <v>491</v>
      </c>
      <c r="B89" s="71" t="s">
        <v>514</v>
      </c>
      <c r="C89" s="72"/>
    </row>
    <row r="90" customFormat="false" ht="15" hidden="false" customHeight="true" outlineLevel="0" collapsed="false">
      <c r="A90" s="73" t="s">
        <v>491</v>
      </c>
      <c r="B90" s="73" t="s">
        <v>469</v>
      </c>
      <c r="C90" s="74" t="s">
        <v>515</v>
      </c>
    </row>
    <row r="91" customFormat="false" ht="36" hidden="false" customHeight="true" outlineLevel="0" collapsed="false">
      <c r="A91" s="71" t="s">
        <v>491</v>
      </c>
      <c r="B91" s="71" t="s">
        <v>516</v>
      </c>
      <c r="C91" s="72"/>
    </row>
    <row r="92" customFormat="false" ht="15" hidden="false" customHeight="true" outlineLevel="0" collapsed="false">
      <c r="A92" s="73" t="s">
        <v>491</v>
      </c>
      <c r="B92" s="73" t="s">
        <v>469</v>
      </c>
      <c r="C92" s="74" t="s">
        <v>515</v>
      </c>
    </row>
    <row r="93" customFormat="false" ht="15" hidden="false" customHeight="true" outlineLevel="0" collapsed="false">
      <c r="A93" s="71" t="s">
        <v>491</v>
      </c>
      <c r="B93" s="71" t="s">
        <v>517</v>
      </c>
      <c r="C93" s="72"/>
    </row>
    <row r="94" customFormat="false" ht="15" hidden="false" customHeight="true" outlineLevel="0" collapsed="false">
      <c r="A94" s="73" t="s">
        <v>491</v>
      </c>
      <c r="B94" s="73" t="s">
        <v>469</v>
      </c>
      <c r="C94" s="74" t="s">
        <v>518</v>
      </c>
    </row>
    <row r="95" customFormat="false" ht="15" hidden="false" customHeight="true" outlineLevel="0" collapsed="false">
      <c r="A95" s="71" t="s">
        <v>491</v>
      </c>
      <c r="B95" s="71" t="s">
        <v>519</v>
      </c>
      <c r="C95" s="72"/>
    </row>
    <row r="96" customFormat="false" ht="15" hidden="false" customHeight="true" outlineLevel="0" collapsed="false">
      <c r="A96" s="73" t="s">
        <v>520</v>
      </c>
      <c r="B96" s="73" t="s">
        <v>469</v>
      </c>
      <c r="C96" s="74" t="s">
        <v>521</v>
      </c>
    </row>
    <row r="97" customFormat="false" ht="15" hidden="false" customHeight="true" outlineLevel="0" collapsed="false">
      <c r="A97" s="71" t="s">
        <v>520</v>
      </c>
      <c r="B97" s="71" t="s">
        <v>522</v>
      </c>
      <c r="C97" s="72"/>
    </row>
    <row r="98" customFormat="false" ht="15" hidden="false" customHeight="true" outlineLevel="0" collapsed="false">
      <c r="A98" s="73" t="s">
        <v>520</v>
      </c>
      <c r="B98" s="73" t="s">
        <v>469</v>
      </c>
      <c r="C98" s="74" t="s">
        <v>523</v>
      </c>
    </row>
    <row r="99" customFormat="false" ht="36" hidden="false" customHeight="true" outlineLevel="0" collapsed="false">
      <c r="A99" s="71" t="s">
        <v>520</v>
      </c>
      <c r="B99" s="71" t="s">
        <v>524</v>
      </c>
      <c r="C99" s="72"/>
    </row>
    <row r="100" customFormat="false" ht="15" hidden="false" customHeight="true" outlineLevel="0" collapsed="false">
      <c r="A100" s="73" t="s">
        <v>520</v>
      </c>
      <c r="B100" s="73" t="s">
        <v>469</v>
      </c>
      <c r="C100" s="74" t="s">
        <v>507</v>
      </c>
    </row>
    <row r="101" customFormat="false" ht="15" hidden="false" customHeight="true" outlineLevel="0" collapsed="false">
      <c r="A101" s="71" t="s">
        <v>520</v>
      </c>
      <c r="B101" s="71" t="s">
        <v>490</v>
      </c>
      <c r="C101" s="72"/>
    </row>
    <row r="102" customFormat="false" ht="72" hidden="false" customHeight="true" outlineLevel="0" collapsed="false">
      <c r="A102" s="73" t="s">
        <v>525</v>
      </c>
      <c r="B102" s="73" t="s">
        <v>526</v>
      </c>
      <c r="C102" s="74"/>
    </row>
    <row r="103" customFormat="false" ht="15" hidden="false" customHeight="true" outlineLevel="0" collapsed="false">
      <c r="A103" s="71" t="s">
        <v>525</v>
      </c>
      <c r="B103" s="71" t="s">
        <v>469</v>
      </c>
      <c r="C103" s="72" t="s">
        <v>474</v>
      </c>
    </row>
    <row r="104" customFormat="false" ht="15" hidden="false" customHeight="true" outlineLevel="0" collapsed="false">
      <c r="A104" s="73" t="s">
        <v>525</v>
      </c>
      <c r="B104" s="73" t="s">
        <v>527</v>
      </c>
      <c r="C104" s="74"/>
    </row>
    <row r="105" customFormat="false" ht="15" hidden="false" customHeight="true" outlineLevel="0" collapsed="false">
      <c r="A105" s="71" t="s">
        <v>525</v>
      </c>
      <c r="B105" s="71" t="s">
        <v>469</v>
      </c>
      <c r="C105" s="72" t="s">
        <v>507</v>
      </c>
    </row>
    <row r="106" customFormat="false" ht="15" hidden="false" customHeight="true" outlineLevel="0" collapsed="false">
      <c r="A106" s="73" t="s">
        <v>525</v>
      </c>
      <c r="B106" s="73" t="s">
        <v>490</v>
      </c>
      <c r="C106" s="74"/>
    </row>
    <row r="107" customFormat="false" ht="96" hidden="false" customHeight="true" outlineLevel="0" collapsed="false">
      <c r="A107" s="71" t="s">
        <v>528</v>
      </c>
      <c r="B107" s="71" t="s">
        <v>529</v>
      </c>
      <c r="C107" s="72"/>
    </row>
    <row r="108" customFormat="false" ht="15" hidden="false" customHeight="true" outlineLevel="0" collapsed="false">
      <c r="A108" s="73" t="s">
        <v>528</v>
      </c>
      <c r="B108" s="73" t="s">
        <v>469</v>
      </c>
      <c r="C108" s="74" t="s">
        <v>530</v>
      </c>
    </row>
    <row r="109" customFormat="false" ht="15" hidden="false" customHeight="true" outlineLevel="0" collapsed="false">
      <c r="A109" s="71" t="s">
        <v>528</v>
      </c>
      <c r="B109" s="71" t="s">
        <v>490</v>
      </c>
      <c r="C109" s="72"/>
    </row>
    <row r="110" customFormat="false" ht="15" hidden="false" customHeight="true" outlineLevel="0" collapsed="false">
      <c r="A110" s="73" t="s">
        <v>531</v>
      </c>
      <c r="B110" s="73" t="s">
        <v>532</v>
      </c>
      <c r="C110" s="74"/>
    </row>
    <row r="111" customFormat="false" ht="15" hidden="false" customHeight="true" outlineLevel="0" collapsed="false">
      <c r="A111" s="71" t="s">
        <v>531</v>
      </c>
      <c r="B111" s="71" t="s">
        <v>469</v>
      </c>
      <c r="C111" s="72" t="s">
        <v>470</v>
      </c>
    </row>
    <row r="112" customFormat="false" ht="108" hidden="false" customHeight="true" outlineLevel="0" collapsed="false">
      <c r="A112" s="73" t="s">
        <v>531</v>
      </c>
      <c r="B112" s="73" t="s">
        <v>533</v>
      </c>
      <c r="C112" s="74"/>
    </row>
    <row r="113" customFormat="false" ht="15" hidden="false" customHeight="true" outlineLevel="0" collapsed="false">
      <c r="A113" s="71" t="s">
        <v>531</v>
      </c>
      <c r="B113" s="71" t="s">
        <v>469</v>
      </c>
      <c r="C113" s="72" t="s">
        <v>507</v>
      </c>
    </row>
    <row r="114" customFormat="false" ht="15" hidden="false" customHeight="true" outlineLevel="0" collapsed="false">
      <c r="A114" s="73" t="s">
        <v>531</v>
      </c>
      <c r="B114" s="73" t="s">
        <v>490</v>
      </c>
      <c r="C114" s="74"/>
    </row>
    <row r="115" customFormat="false" ht="36" hidden="false" customHeight="true" outlineLevel="0" collapsed="false">
      <c r="A115" s="71" t="s">
        <v>534</v>
      </c>
      <c r="B115" s="71" t="s">
        <v>535</v>
      </c>
      <c r="C115" s="72"/>
    </row>
    <row r="116" customFormat="false" ht="15" hidden="false" customHeight="true" outlineLevel="0" collapsed="false">
      <c r="A116" s="73" t="s">
        <v>534</v>
      </c>
      <c r="B116" s="73" t="s">
        <v>469</v>
      </c>
      <c r="C116" s="74" t="s">
        <v>507</v>
      </c>
    </row>
    <row r="117" customFormat="false" ht="15" hidden="false" customHeight="true" outlineLevel="0" collapsed="false">
      <c r="A117" s="71" t="s">
        <v>534</v>
      </c>
      <c r="B117" s="71" t="s">
        <v>490</v>
      </c>
      <c r="C117" s="72"/>
    </row>
    <row r="118" customFormat="false" ht="15" hidden="false" customHeight="true" outlineLevel="0" collapsed="false">
      <c r="A118" s="73" t="s">
        <v>536</v>
      </c>
      <c r="B118" s="73" t="s">
        <v>537</v>
      </c>
      <c r="C118" s="74"/>
    </row>
    <row r="119" customFormat="false" ht="15" hidden="false" customHeight="true" outlineLevel="0" collapsed="false">
      <c r="A119" s="71" t="s">
        <v>536</v>
      </c>
      <c r="B119" s="71" t="s">
        <v>469</v>
      </c>
      <c r="C119" s="72" t="s">
        <v>474</v>
      </c>
    </row>
    <row r="120" customFormat="false" ht="108" hidden="false" customHeight="true" outlineLevel="0" collapsed="false">
      <c r="A120" s="73" t="s">
        <v>536</v>
      </c>
      <c r="B120" s="73" t="s">
        <v>538</v>
      </c>
      <c r="C120" s="74"/>
    </row>
    <row r="121" customFormat="false" ht="15" hidden="false" customHeight="true" outlineLevel="0" collapsed="false">
      <c r="A121" s="71" t="s">
        <v>536</v>
      </c>
      <c r="B121" s="71" t="s">
        <v>469</v>
      </c>
      <c r="C121" s="72" t="s">
        <v>518</v>
      </c>
    </row>
    <row r="122" customFormat="false" ht="15" hidden="false" customHeight="true" outlineLevel="0" collapsed="false">
      <c r="A122" s="73" t="s">
        <v>536</v>
      </c>
      <c r="B122" s="73" t="s">
        <v>539</v>
      </c>
      <c r="C122" s="74"/>
    </row>
    <row r="123" customFormat="false" ht="15" hidden="false" customHeight="true" outlineLevel="0" collapsed="false">
      <c r="A123" s="71" t="s">
        <v>536</v>
      </c>
      <c r="B123" s="71" t="s">
        <v>469</v>
      </c>
      <c r="C123" s="72" t="s">
        <v>540</v>
      </c>
    </row>
    <row r="124" customFormat="false" ht="72" hidden="false" customHeight="true" outlineLevel="0" collapsed="false">
      <c r="A124" s="73" t="s">
        <v>536</v>
      </c>
      <c r="B124" s="73" t="s">
        <v>541</v>
      </c>
      <c r="C124" s="74"/>
    </row>
    <row r="125" customFormat="false" ht="15" hidden="false" customHeight="true" outlineLevel="0" collapsed="false">
      <c r="A125" s="71" t="s">
        <v>536</v>
      </c>
      <c r="B125" s="71" t="s">
        <v>469</v>
      </c>
      <c r="C125" s="72" t="s">
        <v>507</v>
      </c>
    </row>
    <row r="126" customFormat="false" ht="15" hidden="false" customHeight="true" outlineLevel="0" collapsed="false">
      <c r="A126" s="73" t="s">
        <v>536</v>
      </c>
      <c r="B126" s="73" t="s">
        <v>490</v>
      </c>
      <c r="C126" s="74"/>
    </row>
    <row r="127" customFormat="false" ht="24" hidden="false" customHeight="true" outlineLevel="0" collapsed="false">
      <c r="A127" s="71" t="s">
        <v>542</v>
      </c>
      <c r="B127" s="71" t="s">
        <v>543</v>
      </c>
      <c r="C127" s="72"/>
    </row>
    <row r="128" customFormat="false" ht="15" hidden="false" customHeight="true" outlineLevel="0" collapsed="false">
      <c r="A128" s="73" t="s">
        <v>542</v>
      </c>
      <c r="B128" s="73" t="s">
        <v>469</v>
      </c>
      <c r="C128" s="74" t="s">
        <v>474</v>
      </c>
    </row>
    <row r="129" customFormat="false" ht="132" hidden="false" customHeight="true" outlineLevel="0" collapsed="false">
      <c r="A129" s="71" t="s">
        <v>542</v>
      </c>
      <c r="B129" s="71" t="s">
        <v>544</v>
      </c>
      <c r="C129" s="72"/>
    </row>
    <row r="130" customFormat="false" ht="15" hidden="false" customHeight="true" outlineLevel="0" collapsed="false">
      <c r="A130" s="73" t="s">
        <v>542</v>
      </c>
      <c r="B130" s="73" t="s">
        <v>469</v>
      </c>
      <c r="C130" s="74" t="s">
        <v>474</v>
      </c>
    </row>
    <row r="131" customFormat="false" ht="15" hidden="false" customHeight="true" outlineLevel="0" collapsed="false">
      <c r="A131" s="71" t="s">
        <v>542</v>
      </c>
      <c r="B131" s="71" t="s">
        <v>545</v>
      </c>
      <c r="C131" s="72"/>
    </row>
    <row r="132" customFormat="false" ht="15" hidden="false" customHeight="true" outlineLevel="0" collapsed="false">
      <c r="A132" s="73" t="s">
        <v>542</v>
      </c>
      <c r="B132" s="73" t="s">
        <v>469</v>
      </c>
      <c r="C132" s="74" t="s">
        <v>540</v>
      </c>
    </row>
    <row r="133" customFormat="false" ht="72" hidden="false" customHeight="true" outlineLevel="0" collapsed="false">
      <c r="A133" s="71" t="s">
        <v>542</v>
      </c>
      <c r="B133" s="71" t="s">
        <v>546</v>
      </c>
      <c r="C133" s="72"/>
    </row>
    <row r="134" customFormat="false" ht="15" hidden="false" customHeight="true" outlineLevel="0" collapsed="false">
      <c r="A134" s="73" t="s">
        <v>542</v>
      </c>
      <c r="B134" s="73" t="s">
        <v>469</v>
      </c>
      <c r="C134" s="74" t="s">
        <v>489</v>
      </c>
    </row>
    <row r="135" customFormat="false" ht="15" hidden="false" customHeight="true" outlineLevel="0" collapsed="false">
      <c r="A135" s="71" t="s">
        <v>542</v>
      </c>
      <c r="B135" s="71" t="s">
        <v>490</v>
      </c>
      <c r="C135" s="72"/>
    </row>
    <row r="136" customFormat="false" ht="108" hidden="false" customHeight="true" outlineLevel="0" collapsed="false">
      <c r="A136" s="73" t="s">
        <v>547</v>
      </c>
      <c r="B136" s="73" t="s">
        <v>548</v>
      </c>
      <c r="C136" s="74"/>
    </row>
    <row r="137" customFormat="false" ht="15" hidden="false" customHeight="true" outlineLevel="0" collapsed="false">
      <c r="A137" s="71" t="s">
        <v>547</v>
      </c>
      <c r="B137" s="71" t="s">
        <v>469</v>
      </c>
      <c r="C137" s="72" t="s">
        <v>474</v>
      </c>
    </row>
    <row r="138" customFormat="false" ht="15" hidden="false" customHeight="true" outlineLevel="0" collapsed="false">
      <c r="A138" s="73" t="s">
        <v>547</v>
      </c>
      <c r="B138" s="73" t="s">
        <v>545</v>
      </c>
      <c r="C138" s="74"/>
    </row>
    <row r="139" customFormat="false" ht="15" hidden="false" customHeight="true" outlineLevel="0" collapsed="false">
      <c r="A139" s="71" t="s">
        <v>547</v>
      </c>
      <c r="B139" s="71" t="s">
        <v>469</v>
      </c>
      <c r="C139" s="72" t="s">
        <v>540</v>
      </c>
    </row>
    <row r="140" customFormat="false" ht="48" hidden="false" customHeight="true" outlineLevel="0" collapsed="false">
      <c r="A140" s="73" t="s">
        <v>547</v>
      </c>
      <c r="B140" s="73" t="s">
        <v>549</v>
      </c>
      <c r="C140" s="74"/>
    </row>
    <row r="141" customFormat="false" ht="15" hidden="false" customHeight="true" outlineLevel="0" collapsed="false">
      <c r="A141" s="71" t="s">
        <v>547</v>
      </c>
      <c r="B141" s="71" t="s">
        <v>469</v>
      </c>
      <c r="C141" s="72" t="s">
        <v>489</v>
      </c>
    </row>
    <row r="142" customFormat="false" ht="15" hidden="false" customHeight="true" outlineLevel="0" collapsed="false">
      <c r="A142" s="73" t="s">
        <v>547</v>
      </c>
      <c r="B142" s="73" t="s">
        <v>490</v>
      </c>
      <c r="C142" s="74"/>
    </row>
    <row r="143" customFormat="false" ht="36" hidden="false" customHeight="true" outlineLevel="0" collapsed="false">
      <c r="A143" s="71" t="s">
        <v>550</v>
      </c>
      <c r="B143" s="71" t="s">
        <v>551</v>
      </c>
      <c r="C143" s="72"/>
    </row>
    <row r="144" customFormat="false" ht="15" hidden="false" customHeight="true" outlineLevel="0" collapsed="false">
      <c r="A144" s="73" t="s">
        <v>550</v>
      </c>
      <c r="B144" s="73" t="s">
        <v>469</v>
      </c>
      <c r="C144" s="74" t="s">
        <v>474</v>
      </c>
    </row>
    <row r="145" customFormat="false" ht="15" hidden="false" customHeight="true" outlineLevel="0" collapsed="false">
      <c r="A145" s="71" t="s">
        <v>550</v>
      </c>
      <c r="B145" s="71" t="s">
        <v>545</v>
      </c>
      <c r="C145" s="72"/>
    </row>
    <row r="146" customFormat="false" ht="15" hidden="false" customHeight="true" outlineLevel="0" collapsed="false">
      <c r="A146" s="73" t="s">
        <v>550</v>
      </c>
      <c r="B146" s="73" t="s">
        <v>469</v>
      </c>
      <c r="C146" s="74" t="s">
        <v>540</v>
      </c>
    </row>
    <row r="147" customFormat="false" ht="72" hidden="false" customHeight="true" outlineLevel="0" collapsed="false">
      <c r="A147" s="71" t="s">
        <v>550</v>
      </c>
      <c r="B147" s="71" t="s">
        <v>546</v>
      </c>
      <c r="C147" s="72"/>
    </row>
    <row r="148" customFormat="false" ht="15" hidden="false" customHeight="true" outlineLevel="0" collapsed="false">
      <c r="A148" s="73" t="s">
        <v>550</v>
      </c>
      <c r="B148" s="73" t="s">
        <v>469</v>
      </c>
      <c r="C148" s="74" t="s">
        <v>489</v>
      </c>
    </row>
    <row r="149" customFormat="false" ht="15" hidden="false" customHeight="true" outlineLevel="0" collapsed="false">
      <c r="A149" s="71" t="s">
        <v>550</v>
      </c>
      <c r="B149" s="71" t="s">
        <v>490</v>
      </c>
      <c r="C149" s="72"/>
    </row>
    <row r="150" customFormat="false" ht="15" hidden="false" customHeight="true" outlineLevel="0" collapsed="false">
      <c r="A150" s="73" t="s">
        <v>552</v>
      </c>
      <c r="B150" s="73" t="s">
        <v>553</v>
      </c>
      <c r="C150" s="74"/>
    </row>
    <row r="151" customFormat="false" ht="216" hidden="false" customHeight="true" outlineLevel="0" collapsed="false">
      <c r="A151" s="71" t="s">
        <v>399</v>
      </c>
      <c r="B151" s="71" t="s">
        <v>554</v>
      </c>
      <c r="C151" s="72"/>
    </row>
    <row r="152" customFormat="false" ht="15" hidden="false" customHeight="true" outlineLevel="0" collapsed="false">
      <c r="A152" s="73" t="s">
        <v>399</v>
      </c>
      <c r="B152" s="73" t="s">
        <v>469</v>
      </c>
      <c r="C152" s="74" t="s">
        <v>555</v>
      </c>
    </row>
    <row r="153" customFormat="false" ht="72" hidden="false" customHeight="true" outlineLevel="0" collapsed="false">
      <c r="A153" s="71" t="s">
        <v>399</v>
      </c>
      <c r="B153" s="71" t="s">
        <v>556</v>
      </c>
      <c r="C153" s="72"/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2026-10-16T20:58:50Z</dcterms:created>
  <dc:creator>openpyxl</dc:creator>
  <dc:description/>
  <dc:language>en-US</dc:language>
  <cp:lastModifiedBy/>
  <dcterms:modified xsi:type="dcterms:W3CDTF">2026-10-16T20:59:05Z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