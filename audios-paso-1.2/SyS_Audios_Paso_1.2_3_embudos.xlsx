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el SyS" sheetId="1" state="visible" r:id="rId3"/>
    <sheet name="Resumen" sheetId="2" state="visible" r:id="rId4"/>
    <sheet name="Tiempos" sheetId="3" state="visible" r:id="rId5"/>
    <sheet name="Por persona" sheetId="4" state="visible" r:id="rId6"/>
    <sheet name="Audios del equipo" sheetId="5" state="visible" r:id="rId7"/>
    <sheet name="Detalle por lead" sheetId="6" state="visible" r:id="rId8"/>
    <sheet name="Detalle de audios" sheetId="7" state="visible" r:id="rId9"/>
    <sheet name="Notas" sheetId="8" state="visible" r:id="rId10"/>
    <sheet name="Fuente de datos" sheetId="9" state="visible" r:id="rId11"/>
  </sheets>
  <definedNames>
    <definedName function="false" hidden="true" localSheetId="6" name="_xlnm._FilterDatabase" vbProcedure="false">'Detalle de audios'!$A$1:$Q$810</definedName>
    <definedName function="false" hidden="true" localSheetId="5" name="_xlnm._FilterDatabase" vbProcedure="false">'Detalle por lead'!$A$1:$AK$616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<sst xmlns="http://schemas.openxmlformats.org/spreadsheetml/2006/main" count="16707" uniqueCount="923">
  <si>
    <t xml:space="preserve">DESARROLLO PROFESIONAL SyS · AUDIOS DEL EQUIPO</t>
  </si>
  <si>
    <t xml:space="preserve">Audios del equipo en el paso 1.2 · tres embudos</t>
  </si>
  <si>
    <t xml:space="preserve">ISO + Calidad, Manufactura y Calidad y Core Tools Premium · preguntas del 5 al 15 de octubre de 2026 · corte: 15 oct 2026, 23:59 h (Monterrey)</t>
  </si>
  <si>
    <t xml:space="preserve">615 leads recibieron la pregunta «¿en qué área trabajas?». Lectura del CRM en solo lectura; los casos del 15 de octubre todavía pueden cambiar.</t>
  </si>
  <si>
    <t xml:space="preserve">Leads con la pregunta</t>
  </si>
  <si>
    <t xml:space="preserve">Informaron su perfil</t>
  </si>
  <si>
    <t xml:space="preserve">Recibieron audio</t>
  </si>
  <si>
    <t xml:space="preserve">Minutos al audio (mediana)</t>
  </si>
  <si>
    <t xml:space="preserve">Respondieron después</t>
  </si>
  <si>
    <t xml:space="preserve">Bot a Negativo después</t>
  </si>
  <si>
    <t xml:space="preserve">•  De 236 que informaron su perfil, 235 recibieron recomendación y 220 con audio (93%). 155 volvieron a responder y el bot pasó a 85 de ellos a Negativo (55%), a las 4.0 h (mediana) de su último mensaje.</t>
  </si>
  <si>
    <t xml:space="preserve">•  La pregunta es el cuello de botella: solo 38% dice su perfil; 214 de los 342 que no contestaron sí la vieron (palomitas azules). Entre 8:00 y 22:00 contestaron 208 de 500 (42%); fuera, 28 de 115 (24%).</t>
  </si>
  <si>
    <t xml:space="preserve">•  El audio llega en 6.4 min (mediana), dura 105 s y el 71% lo ve. Con audio en menos de 4 min respondió el 76%; con más espera, el 63% (p = 0.10).</t>
  </si>
  <si>
    <t xml:space="preserve">•  Después de una nota de voz de una persona, el lead escribe en 24 h el 60% de las veces; después del audio automático del bot, el 11%.</t>
  </si>
  <si>
    <t xml:space="preserve">Tiempo a la recomendación</t>
  </si>
  <si>
    <t xml:space="preserve">Rango</t>
  </si>
  <si>
    <t xml:space="preserve">Leads</t>
  </si>
  <si>
    <t xml:space="preserve">Respondieron</t>
  </si>
  <si>
    <t xml:space="preserve">Tasa</t>
  </si>
  <si>
    <t xml:space="preserve">Por embudo</t>
  </si>
  <si>
    <t xml:space="preserve">Embudo</t>
  </si>
  <si>
    <t xml:space="preserve">Con la pregunta</t>
  </si>
  <si>
    <t xml:space="preserve">Informaron perfil</t>
  </si>
  <si>
    <t xml:space="preserve">Con audio</t>
  </si>
  <si>
    <t xml:space="preserve">Min. al audio</t>
  </si>
  <si>
    <t xml:space="preserve">Bot a Negativo</t>
  </si>
  <si>
    <t xml:space="preserve">Ganados (perfil)</t>
  </si>
  <si>
    <t xml:space="preserve">ISO + Calidad</t>
  </si>
  <si>
    <t xml:space="preserve">Manufactura y Calidad</t>
  </si>
  <si>
    <t xml:space="preserve">Core Tools Premium</t>
  </si>
  <si>
    <t xml:space="preserve">Tres embudos</t>
  </si>
  <si>
    <t xml:space="preserve">Hora de Monterrey (central de México). «Respondieron» = escribieron después de la recomendación, hasta el corte. Detalle en las demás pestañas.</t>
  </si>
  <si>
    <t xml:space="preserve">DESARROLLO PROFESIONAL SyS</t>
  </si>
  <si>
    <t xml:space="preserve">Paso 1.2: respuesta del lead y recomendación con audio del equipo</t>
  </si>
  <si>
    <t xml:space="preserve">ISO + Calidad, Manufactura y Calidad y Core Tools Premium · preguntas del 5 al 15 de octubre de 2026 · corte: 15 oct 2026, 23:59 h (Monterrey) · hora de Monterrey (central de México)</t>
  </si>
  <si>
    <t xml:space="preserve">El equipo manda el audio rápido (mediana de 6.4 min) y 66% de los leads vuelve a escribir. Lo que más se pierde: la pregunta que nadie contesta (56%) y los leads que el bot pasa a Negativo cuando ya estaban conversando (55%).</t>
  </si>
  <si>
    <t xml:space="preserve">Indicador</t>
  </si>
  <si>
    <t xml:space="preserve">Muestra anterior</t>
  </si>
  <si>
    <t xml:space="preserve">Valor</t>
  </si>
  <si>
    <t xml:space="preserve">%</t>
  </si>
  <si>
    <t xml:space="preserve">La pregunta del bot (paso 1.2)</t>
  </si>
  <si>
    <t xml:space="preserve">Leads que recibieron la pregunta</t>
  </si>
  <si>
    <t xml:space="preserve">Contestaron la pregunta (dijeron su área o que estudian)</t>
  </si>
  <si>
    <t xml:space="preserve">Respondieron otra cosa</t>
  </si>
  <si>
    <t xml:space="preserve">No contestaron</t>
  </si>
  <si>
    <t xml:space="preserve">   De ellos, vieron la pregunta (palomitas azules) y no contestaron</t>
  </si>
  <si>
    <t xml:space="preserve">La respuesta del equipo (leads que contestaron la pregunta)</t>
  </si>
  <si>
    <t xml:space="preserve">Recibieron respuesta de una persona</t>
  </si>
  <si>
    <t xml:space="preserve">Recibieron el paquete completo: aviso + audio + cursos</t>
  </si>
  <si>
    <t xml:space="preserve">—</t>
  </si>
  <si>
    <t xml:space="preserve">Mediana de minutos al primer mensaje del equipo</t>
  </si>
  <si>
    <t xml:space="preserve">Mediana de minutos a la recomendación (audio)</t>
  </si>
  <si>
    <t xml:space="preserve">Percentil 90 de minutos a la recomendación</t>
  </si>
  <si>
    <t xml:space="preserve">Máximo de minutos a la recomendación</t>
  </si>
  <si>
    <t xml:space="preserve">Recomendaciones en menos de 10 min</t>
  </si>
  <si>
    <t xml:space="preserve">Mediana de minutos del aviso al audio (grabarlo y mandarlo)</t>
  </si>
  <si>
    <t xml:space="preserve">Duración mediana del audio (s)</t>
  </si>
  <si>
    <t xml:space="preserve">Vieron el audio (palomitas azules)</t>
  </si>
  <si>
    <t xml:space="preserve">Cursos recomendados por lead (promedio)</t>
  </si>
  <si>
    <t xml:space="preserve">Lo que pasó después</t>
  </si>
  <si>
    <t xml:space="preserve">Respondieron después de la recomendación</t>
  </si>
  <si>
    <t xml:space="preserve">Mediana de minutos del lead en responder</t>
  </si>
  <si>
    <t xml:space="preserve">Mediana de minutos del equipo en volver a contestarles</t>
  </si>
  <si>
    <t xml:space="preserve">Respondieron y luego el bot los pasó a Negativo</t>
  </si>
  <si>
    <t xml:space="preserve">Horas desde su último mensaje hasta que el bot los pasó a Negativo (mediana)</t>
  </si>
  <si>
    <t xml:space="preserve">Recibieron la recomendación y el bot los pasó a Negativo</t>
  </si>
  <si>
    <t xml:space="preserve">Ganados (de los que contestaron la pregunta)</t>
  </si>
  <si>
    <t xml:space="preserve">Ganados (todos los leads)</t>
  </si>
  <si>
    <t xml:space="preserve">Con audio contra sin audio (de los que contestaron la pregunta)</t>
  </si>
  <si>
    <t xml:space="preserve">Con audio: leads</t>
  </si>
  <si>
    <t xml:space="preserve">Con audio: respondieron después</t>
  </si>
  <si>
    <t xml:space="preserve">Solo texto: leads</t>
  </si>
  <si>
    <t xml:space="preserve">Solo texto: respondieron después</t>
  </si>
  <si>
    <t xml:space="preserve">Vieron el audio: respondieron después</t>
  </si>
  <si>
    <t xml:space="preserve">No vieron el audio: leads</t>
  </si>
  <si>
    <t xml:space="preserve">No vieron el audio: respondieron después</t>
  </si>
  <si>
    <t xml:space="preserve">La hora de la pregunta</t>
  </si>
  <si>
    <t xml:space="preserve">Pregunta entre 8:00 y 22:00: leads</t>
  </si>
  <si>
    <t xml:space="preserve">Pregunta entre 8:00 y 22:00: contestaron</t>
  </si>
  <si>
    <t xml:space="preserve">Pregunta antes de las 8:00 o desde las 22:00: leads</t>
  </si>
  <si>
    <t xml:space="preserve">Pregunta antes de las 8:00 o desde las 22:00: contestaron</t>
  </si>
  <si>
    <t xml:space="preserve">Muestra anterior: valores de la hoja «Analisis_Muestra_SyS» (Manufactura y Calidad, preguntas del 5 al 12 oct, leída el 13 oct), escritos tal cual en gris. Esos leads están incluidos en la columna Manufactura y Calidad, medidos de nuevo al corte del 15 oct.</t>
  </si>
  <si>
    <t xml:space="preserve">Todo lo demás son fórmulas sobre la pestaña Detalle por lead. Los % se calculan contra el renglón de arriba que les corresponde (por ejemplo, «Recibieron audio» contra «Contestaron la pregunta»).</t>
  </si>
  <si>
    <t xml:space="preserve">Minutos a la recomendación y si después el lead volvió a escribir</t>
  </si>
  <si>
    <t xml:space="preserve">Solo los 236 leads que contestaron la pregunta · corte: 15 oct 2026, 23:59 h (Monterrey)</t>
  </si>
  <si>
    <t xml:space="preserve">Rangos (desde, en minutos). Puedes cambiar los límites de la columna A y todo se recalcula.</t>
  </si>
  <si>
    <t xml:space="preserve">Desde (min)</t>
  </si>
  <si>
    <t xml:space="preserve">% que respondió</t>
  </si>
  <si>
    <t xml:space="preserve">Ganados</t>
  </si>
  <si>
    <t xml:space="preserve">ISO: leads</t>
  </si>
  <si>
    <t xml:space="preserve">ISO: % respondió</t>
  </si>
  <si>
    <t xml:space="preserve">Manufactura: leads</t>
  </si>
  <si>
    <t xml:space="preserve">Manufactura: % respondió</t>
  </si>
  <si>
    <t xml:space="preserve">Core Tools: leads</t>
  </si>
  <si>
    <t xml:space="preserve">Core Tools: % respondió</t>
  </si>
  <si>
    <t xml:space="preserve">Menos de 4 min</t>
  </si>
  <si>
    <t xml:space="preserve">4 a 6 min</t>
  </si>
  <si>
    <t xml:space="preserve">6 a 10 min</t>
  </si>
  <si>
    <t xml:space="preserve">10 a 30 min</t>
  </si>
  <si>
    <t xml:space="preserve">30 min o más</t>
  </si>
  <si>
    <t xml:space="preserve">Total</t>
  </si>
  <si>
    <t xml:space="preserve">Con recomendación en menos de 4 min respondió el 75.9% (41 de 54); con más espera, el 63.0% (114 de 181). Prueba exacta de Fisher: p = 0.10. La diferencia se repite en los tres embudos, pero todavía no es concluyente.</t>
  </si>
  <si>
    <t xml:space="preserve">Medida</t>
  </si>
  <si>
    <t xml:space="preserve">Primer mensaje del equipo</t>
  </si>
  <si>
    <t xml:space="preserve">Recomendación (audio)</t>
  </si>
  <si>
    <t xml:space="preserve">Del aviso al audio</t>
  </si>
  <si>
    <t xml:space="preserve">Lead en responder la recomendación</t>
  </si>
  <si>
    <t xml:space="preserve">Equipo en volver a contestar</t>
  </si>
  <si>
    <t xml:space="preserve">Mediana</t>
  </si>
  <si>
    <t xml:space="preserve">Promedio</t>
  </si>
  <si>
    <t xml:space="preserve">Percentil 75</t>
  </si>
  <si>
    <t xml:space="preserve">Percentil 90</t>
  </si>
  <si>
    <t xml:space="preserve">Mínimo</t>
  </si>
  <si>
    <t xml:space="preserve">Máximo</t>
  </si>
  <si>
    <t xml:space="preserve">Leads medidos</t>
  </si>
  <si>
    <t xml:space="preserve">Minutos de reloj desde la respuesta del lead. «Del aviso al audio» = del «te mando un audio» al audio (grabarlo y subirlo).</t>
  </si>
  <si>
    <t xml:space="preserve">Quién dio la recomendación</t>
  </si>
  <si>
    <t xml:space="preserve">Solo leads que contestaron la pregunta. Minutos desde la respuesta del lead hasta la recomendación · corte: 15 oct 2026, 23:59 h (Monterrey)</t>
  </si>
  <si>
    <t xml:space="preserve">Persona</t>
  </si>
  <si>
    <t xml:space="preserve">Recomendaciones</t>
  </si>
  <si>
    <t xml:space="preserve">Mediana de minutos</t>
  </si>
  <si>
    <t xml:space="preserve">Promedio de minutos</t>
  </si>
  <si>
    <t xml:space="preserve">Máximo de minutos</t>
  </si>
  <si>
    <t xml:space="preserve">Duración media del audio (s)</t>
  </si>
  <si>
    <t xml:space="preserve">% que vio el audio</t>
  </si>
  <si>
    <t xml:space="preserve">Cursos por recomendación</t>
  </si>
  <si>
    <t xml:space="preserve">El bot los pasó a Negativo después de que respondieron</t>
  </si>
  <si>
    <t xml:space="preserve">Salma</t>
  </si>
  <si>
    <t xml:space="preserve">Alexander</t>
  </si>
  <si>
    <t xml:space="preserve">Victoria</t>
  </si>
  <si>
    <t xml:space="preserve">Joceline</t>
  </si>
  <si>
    <t xml:space="preserve">Joceline es auxiliar (apoya el chat); los demás son asesores. Con pocos casos por persona, un solo lead mueve mucho los porcentajes.</t>
  </si>
  <si>
    <t xml:space="preserve">Recomendaciones por persona y embudo</t>
  </si>
  <si>
    <t xml:space="preserve">ISO + Calidad: recomendaciones</t>
  </si>
  <si>
    <t xml:space="preserve">Manufactura y Calidad: recomendaciones</t>
  </si>
  <si>
    <t xml:space="preserve">Core Tools Premium: recomendaciones</t>
  </si>
  <si>
    <t xml:space="preserve">ISO + Calidad: mediana de min</t>
  </si>
  <si>
    <t xml:space="preserve">Manufactura y Calidad: mediana de min</t>
  </si>
  <si>
    <t xml:space="preserve">Core Tools Premium: mediana de min</t>
  </si>
  <si>
    <t xml:space="preserve">Todos los audios que mandó el equipo</t>
  </si>
  <si>
    <t xml:space="preserve">Notas de voz de las personas y audio automático del bot, del 5 al 15 de octubre · tres embudos · corte: 15 oct 2026, 23:59 h (Monterrey)</t>
  </si>
  <si>
    <t xml:space="preserve">Audio de una persona contra audio automático del bot</t>
  </si>
  <si>
    <t xml:space="preserve">Quién lo mandó</t>
  </si>
  <si>
    <t xml:space="preserve">Audios</t>
  </si>
  <si>
    <t xml:space="preserve">% de los audios</t>
  </si>
  <si>
    <t xml:space="preserve">Duración mediana (s)</t>
  </si>
  <si>
    <t xml:space="preserve">% que el lead vio</t>
  </si>
  <si>
    <t xml:space="preserve">Min. hasta que lo vio (mediana)</t>
  </si>
  <si>
    <t xml:space="preserve">% en que el lead escribió en 24 h</t>
  </si>
  <si>
    <t xml:space="preserve">Min. hasta que escribió (mediana)</t>
  </si>
  <si>
    <t xml:space="preserve">Persona (nota de voz)</t>
  </si>
  <si>
    <t xml:space="preserve">Bot (audio automático en Negativo)</t>
  </si>
  <si>
    <t xml:space="preserve">Por persona</t>
  </si>
  <si>
    <t xml:space="preserve">Para qué se mandó (audios de personas)</t>
  </si>
  <si>
    <t xml:space="preserve">Uso</t>
  </si>
  <si>
    <t xml:space="preserve">Recomendación del paso 1.2</t>
  </si>
  <si>
    <t xml:space="preserve">Otro momento de la conversación</t>
  </si>
  <si>
    <t xml:space="preserve">Por duración (audios de personas)</t>
  </si>
  <si>
    <t xml:space="preserve">Duración</t>
  </si>
  <si>
    <t xml:space="preserve">Menos de 60 s</t>
  </si>
  <si>
    <t xml:space="preserve">60 a 90 s</t>
  </si>
  <si>
    <t xml:space="preserve">90 a 120 s</t>
  </si>
  <si>
    <t xml:space="preserve">120 s o más</t>
  </si>
  <si>
    <t xml:space="preserve">Según la hora (audios de personas)</t>
  </si>
  <si>
    <t xml:space="preserve">Hora</t>
  </si>
  <si>
    <t xml:space="preserve">De 8:00 a 22:00</t>
  </si>
  <si>
    <t xml:space="preserve">Antes de 8:00 o desde 22:00</t>
  </si>
  <si>
    <t xml:space="preserve">Por embudo (audios de personas)</t>
  </si>
  <si>
    <t xml:space="preserve">Por embudo (audio automático del bot)</t>
  </si>
  <si>
    <t xml:space="preserve">Audio grabado para el lead o reutilizado (audios de personas)</t>
  </si>
  <si>
    <t xml:space="preserve">Audio</t>
  </si>
  <si>
    <t xml:space="preserve">Grabado para ese lead</t>
  </si>
  <si>
    <t xml:space="preserve">El mismo archivo mandado a varios leads</t>
  </si>
  <si>
    <t xml:space="preserve">«Lo vio» = palomitas azules en WhatsApp antes del corte (no garantiza que lo haya escuchado completo). «Escribió en 24 h» = el lead mandó cualquier mensaje en las 24 h siguientes al audio.</t>
  </si>
  <si>
    <t xml:space="preserve">Ojo al comparar persona contra bot: el audio de una persona casi siempre llega en plena conversación y el del bot cuando el lead ya no contesta. Relación, no causa.</t>
  </si>
  <si>
    <t xml:space="preserve">Lead # (CRM)</t>
  </si>
  <si>
    <t xml:space="preserve">Asesor</t>
  </si>
  <si>
    <t xml:space="preserve">Contestó la pregunta</t>
  </si>
  <si>
    <t xml:space="preserve">Perfil</t>
  </si>
  <si>
    <t xml:space="preserve">Hora en que el bot hizo la pregunta</t>
  </si>
  <si>
    <t xml:space="preserve">¿Pregunta fuera de 8 a 22 h?</t>
  </si>
  <si>
    <t xml:space="preserve">¿Vio la pregunta? (palomitas azules)</t>
  </si>
  <si>
    <t xml:space="preserve">Lo que contestó a la pregunta</t>
  </si>
  <si>
    <t xml:space="preserve">Hora en la que respondió la pregunta</t>
  </si>
  <si>
    <t xml:space="preserve">Hora del primer mensaje del equipo</t>
  </si>
  <si>
    <t xml:space="preserve">Minutos al primer mensaje del equipo</t>
  </si>
  <si>
    <t xml:space="preserve">Hora de la recomendación</t>
  </si>
  <si>
    <t xml:space="preserve">Minutos a la recomendación</t>
  </si>
  <si>
    <t xml:space="preserve">Rango de minutos a la recomendación</t>
  </si>
  <si>
    <t xml:space="preserve">Qué se envió</t>
  </si>
  <si>
    <t xml:space="preserve">¿Recibió audio?</t>
  </si>
  <si>
    <t xml:space="preserve">¿Quién dio la recomendación?</t>
  </si>
  <si>
    <t xml:space="preserve">Rol de quien recomendó</t>
  </si>
  <si>
    <t xml:space="preserve">Duración del audio (s)</t>
  </si>
  <si>
    <t xml:space="preserve">¿Vio el audio? (palomitas azules)</t>
  </si>
  <si>
    <t xml:space="preserve">Minutos del aviso al audio</t>
  </si>
  <si>
    <t xml:space="preserve">Cursos recomendados</t>
  </si>
  <si>
    <t xml:space="preserve">Núm. de cursos recomendados</t>
  </si>
  <si>
    <t xml:space="preserve">¿Respondió después de la recomendación?</t>
  </si>
  <si>
    <t xml:space="preserve">Hora en que respondió a la recomendación</t>
  </si>
  <si>
    <t xml:space="preserve">Minutos que tardó el lead en responder</t>
  </si>
  <si>
    <t xml:space="preserve">Lo que respondió a la recomendación</t>
  </si>
  <si>
    <t xml:space="preserve">Hora en que el equipo le volvió a contestar</t>
  </si>
  <si>
    <t xml:space="preserve">Minutos del equipo en volver a contestarle</t>
  </si>
  <si>
    <t xml:space="preserve">Paso al que se mandó después de su respuesta</t>
  </si>
  <si>
    <t xml:space="preserve">¿El bot lo pasó a Negativo después de la recomendación?</t>
  </si>
  <si>
    <t xml:space="preserve">¿El bot lo pasó a Negativo después de que respondió?</t>
  </si>
  <si>
    <t xml:space="preserve">Horas desde su último mensaje hasta que el bot lo pasó a Negativo</t>
  </si>
  <si>
    <t xml:space="preserve">Mensajes del lead antes de la pregunta</t>
  </si>
  <si>
    <t xml:space="preserve">Etapa al corte</t>
  </si>
  <si>
    <t xml:space="preserve">Ganado</t>
  </si>
  <si>
    <t xml:space="preserve">Respondió otra cosa</t>
  </si>
  <si>
    <t xml:space="preserve">No</t>
  </si>
  <si>
    <t xml:space="preserve">Oigan, una duda. En la publicidad de Facebook vi que el paquete tiene el 80% de descuento, pero en la información que me mandan el precio de $3,999 solo tiene $200 de diferencia contra el precio anterior ($4,199). ¿Cuál es el precio real aplicando el 80% de descuento de la publicidad? / También me i</t>
  </si>
  <si>
    <t xml:space="preserve">Sí</t>
  </si>
  <si>
    <t xml:space="preserve">auxiliar</t>
  </si>
  <si>
    <t xml:space="preserve">Perdido</t>
  </si>
  <si>
    <t xml:space="preserve">Producción u operaciones</t>
  </si>
  <si>
    <t xml:space="preserve">En industria petrolera / Vale gracias</t>
  </si>
  <si>
    <t xml:space="preserve">Texto (aviso del audio) + Audio + Cursos (4)</t>
  </si>
  <si>
    <t xml:space="preserve">asesor</t>
  </si>
  <si>
    <t xml:space="preserve">AMEF, Plan de Control, Solución de Problemas para Ingenieros, Liderazgo para Líderes y Supervisores</t>
  </si>
  <si>
    <t xml:space="preserve">Me puede contar un poco mas de las facilidades de pago?</t>
  </si>
  <si>
    <t xml:space="preserve">1.4 Facilidades de pago (lo pasó Victoria)</t>
  </si>
  <si>
    <t xml:space="preserve">Supervisión o jefatura</t>
  </si>
  <si>
    <t xml:space="preserve">Sup de producción</t>
  </si>
  <si>
    <t xml:space="preserve">Texto</t>
  </si>
  <si>
    <t xml:space="preserve">Esta promoción aplicaría entonces?</t>
  </si>
  <si>
    <t xml:space="preserve">Trabajo en inyeccion de plastico</t>
  </si>
  <si>
    <t xml:space="preserve">Texto (aviso del audio) + Audio + Cursos (2)</t>
  </si>
  <si>
    <t xml:space="preserve">7 Herramientas de la Calidad, Poka Yoke</t>
  </si>
  <si>
    <t xml:space="preserve">Si me interesa, que otros cursos hay que deriven en la inyeccion de plastico?</t>
  </si>
  <si>
    <t xml:space="preserve">Negativo 1 (lo pasó el bot)</t>
  </si>
  <si>
    <t xml:space="preserve">Calidad</t>
  </si>
  <si>
    <t xml:space="preserve">Audio + Cursos (2)</t>
  </si>
  <si>
    <t xml:space="preserve">Yellow Belt – Six Sigma, Liderazgo para Líderes y Supervisores</t>
  </si>
  <si>
    <t xml:space="preserve">Disculpa, veo que también tienen un plan de un mes, ese plan también incluye las certificaciones dc3</t>
  </si>
  <si>
    <t xml:space="preserve">Perdido (lo pasó Alexander)</t>
  </si>
  <si>
    <t xml:space="preserve">Estoy estudiando Ingeniería Industrial y actualmente soy supervisor de Logística en embarques y recibos</t>
  </si>
  <si>
    <t xml:space="preserve">Audio + Cursos (4)</t>
  </si>
  <si>
    <t xml:space="preserve">AMEF, Kaizen – Mejora Continua, Yellow Belt – Six Sigma, Microsoft Excel Completo</t>
  </si>
  <si>
    <t xml:space="preserve">Hola Victoria mucho gusto, si me interesa iniciar con estos cursos.  / Justo mi Jefe me solicitó cotizar algunos cursos de corte tools, para que sean pagados por mi compañía</t>
  </si>
  <si>
    <t xml:space="preserve">Estudiante o recién egresado</t>
  </si>
  <si>
    <t xml:space="preserve">Aún me encuentro estudiando / Seré ingeniero industrial / Por lo que me interesa conocer más de Lean / No gracias jaja, es algo tarde, sin embargo sí quería info / Es algo que he estado alargando / Y quiero comenzar</t>
  </si>
  <si>
    <t xml:space="preserve">Texto (aviso del audio) + Audio + Cursos (3)</t>
  </si>
  <si>
    <t xml:space="preserve">AMEF, Kaizen – Mejora Continua, Comunicación Efectiva</t>
  </si>
  <si>
    <t xml:space="preserve">Buenos días, Muéstreme las formas de pago por favor</t>
  </si>
  <si>
    <t xml:space="preserve">Perdido (lo pasó Salma)</t>
  </si>
  <si>
    <t xml:space="preserve">Costo de membresía ISO+Calidad / Estoy trabajando en el depto de calidad, auditando proveedores y liberando material metal mecanico</t>
  </si>
  <si>
    <t xml:space="preserve">Microsoft Excel Completo, Yellow Belt – Six Sigma</t>
  </si>
  <si>
    <t xml:space="preserve">Me puedes dar más información de las modalidad de pago porfavor</t>
  </si>
  <si>
    <t xml:space="preserve">En el sector automotriz / Estudiando Ingeniería Industrial / [imagen] / Aun cuentan con dicho descuento? / Ok va</t>
  </si>
  <si>
    <t xml:space="preserve">Cómo hablar en una entrevista de trabajo, PPAP – Proceso de Aprobación de Piezas de Producción</t>
  </si>
  <si>
    <t xml:space="preserve">Si, solo dime oportunidad que entrare a unas juntas y de ahi me vuelvo a comunicar</t>
  </si>
  <si>
    <t xml:space="preserve">Estoy estudiando</t>
  </si>
  <si>
    <t xml:space="preserve">Estoy como ingeniero de manufactura de SMT / Una duda, es que aquí aparece una promoción del 80%</t>
  </si>
  <si>
    <t xml:space="preserve">AMEF, Kaizen – Mejora Continua, Microsoft Excel Completo</t>
  </si>
  <si>
    <t xml:space="preserve">Hola buenas</t>
  </si>
  <si>
    <t xml:space="preserve">Perdido (lo pasó Joceline)</t>
  </si>
  <si>
    <t xml:space="preserve">Soy recién egresado y me quiero dedicar a un área de supply chain</t>
  </si>
  <si>
    <t xml:space="preserve">Gestión de Inventarios, Metodología Kanban, Value Stream Mapping</t>
  </si>
  <si>
    <t xml:space="preserve">Me parece super bien las certificaciones!</t>
  </si>
  <si>
    <t xml:space="preserve">Buenas noches gracias por la información, actualmente me desempeño como Supervisor de Producción , mi nombre es Armando Sanchez Guerrero</t>
  </si>
  <si>
    <t xml:space="preserve">Liderazgo para Líderes y Supervisores, Lean Manufacturing</t>
  </si>
  <si>
    <t xml:space="preserve">Soy tecnico de calidad</t>
  </si>
  <si>
    <t xml:space="preserve">7 Herramientas de la Calidad, Liderazgo para Líderes y Supervisores</t>
  </si>
  <si>
    <t xml:space="preserve">Gerente de Linea de Producción de una empresa Metalmecanica que procesa, Rollos de acero, Fabricación de / Chasis para camiones de carga / claro</t>
  </si>
  <si>
    <t xml:space="preserve">Yellow Belt – Six Sigma, Lean Manufacturing</t>
  </si>
  <si>
    <t xml:space="preserve">ya tengo lean manufacturing y me certifique en green belt con una empresa de saltillo, coahuila.</t>
  </si>
  <si>
    <t xml:space="preserve">Es solo un pago o es anual? Si solo quiero cuidarlo una vez y ya?. / O como funciona?. / Mmm entonces ya seria como aun subscripcion como Netflix ,pero y si quiero cancelar?</t>
  </si>
  <si>
    <t xml:space="preserve">Mmm entonces ya seria como aun subscripcion como Netflix ,pero y si quiero cancelar?</t>
  </si>
  <si>
    <t xml:space="preserve">Trabajo ahorita en proceso como inspector en una fábrica de medicamentos y quiero meterme a trabajar en una fábrica donde fabrican las tarjetas electrónicas / Como calidad también</t>
  </si>
  <si>
    <t xml:space="preserve">Audio + Cursos (3)</t>
  </si>
  <si>
    <t xml:space="preserve">Control Estadístico de Procesos (SPC), Solución de Problemas 8 D's, Poka Yoke</t>
  </si>
  <si>
    <t xml:space="preserve">Vale / Ing mecatrónica, para entrar en manufactura / La membresía expert 12 meses acepta MSI?</t>
  </si>
  <si>
    <t xml:space="preserve">Lean Manufacturing, TPM – Mantenimiento Total Productivo, Solución de Problemas 8 D's</t>
  </si>
  <si>
    <t xml:space="preserve">La membresía expert 12 meses acepta MSI?</t>
  </si>
  <si>
    <t xml:space="preserve">1.4 Facilidades de pago (lo pasó Alexander)</t>
  </si>
  <si>
    <t xml:space="preserve">Ingeniería</t>
  </si>
  <si>
    <t xml:space="preserve">Soy ingeniera Industrial / Solo tengo una pregunta, tienen un horario para tomar las clases del curso, ya que actualmente me encuentro trabajando.</t>
  </si>
  <si>
    <t xml:space="preserve">Liderazgo para Líderes y Supervisores, Comunicación Efectiva</t>
  </si>
  <si>
    <t xml:space="preserve">Ok gracias</t>
  </si>
  <si>
    <t xml:space="preserve">Estoy en el área de PE / Ingeniería de procesos / En una planta de componentes automotrices</t>
  </si>
  <si>
    <t xml:space="preserve">Liderazgo para Líderes y Supervisores, Yellow Belt – Six Sigma</t>
  </si>
  <si>
    <t xml:space="preserve">Si me interesa</t>
  </si>
  <si>
    <t xml:space="preserve">Soy ingeniero industrial recién egresado, estoy en el área de producción, igual apoyo en una actividades de manufactura / Gracias</t>
  </si>
  <si>
    <t xml:space="preserve">Microsoft Excel Completo, Lean Manufacturing</t>
  </si>
  <si>
    <t xml:space="preserve">Muy bien Salma , permíteme un momento, para revisar he estado algo ocupado  / Cuando lo revise te comento</t>
  </si>
  <si>
    <t xml:space="preserve">Negativo 1</t>
  </si>
  <si>
    <t xml:space="preserve">Sin empleo o buscando</t>
  </si>
  <si>
    <t xml:space="preserve">Desempleado / Conozco casi todo solo quería una refrescada</t>
  </si>
  <si>
    <t xml:space="preserve">AMEF, Plan de Control, Liderazgo para Líderes y Supervisores, Inteligencia Emocional</t>
  </si>
  <si>
    <t xml:space="preserve">Cómo serían las facilidades de pago?</t>
  </si>
  <si>
    <t xml:space="preserve">1.4 Facilidades de pago (lo pasó Salma)</t>
  </si>
  <si>
    <t xml:space="preserve">2. MSI 3999</t>
  </si>
  <si>
    <t xml:space="preserve">Estudié ingeniería industrial y actualmente estoy en área de calidad y laboratorio de Metrologia / Perfecto / Lo revisaré me llama mucho la atención / El pago es inmediato o se divide en cada sección de las 8 certificaciones? / Si me gustaría analizarlas para organizarme / El de las tres parcialidad</t>
  </si>
  <si>
    <t xml:space="preserve">AMEF, Plan de Control, Inteligencia Emocional, Comunicación Efectiva</t>
  </si>
  <si>
    <t xml:space="preserve">Perfecto / Lo revisaré me llama mucho la atención</t>
  </si>
  <si>
    <t xml:space="preserve">Área de innovación / Por esa cantidad tengo acceso al resto de las rutas que se muestran? / [imagen]</t>
  </si>
  <si>
    <t xml:space="preserve">Los cursos son videos grabados? En vivo? O como funciona?</t>
  </si>
  <si>
    <t xml:space="preserve">Existe becas ? / Si me interesaría ver una demostración y soy ingeniero industrial en una planta automotriz</t>
  </si>
  <si>
    <t xml:space="preserve">Q plazo tengo para aprovecharla ? S2</t>
  </si>
  <si>
    <t xml:space="preserve">Sin cambio de etapa</t>
  </si>
  <si>
    <t xml:space="preserve">Sin asignar</t>
  </si>
  <si>
    <t xml:space="preserve">Estoy estudiando manufactura avanzada / La carrera es manufactura avanzada</t>
  </si>
  <si>
    <t xml:space="preserve">TPM – Mantenimiento Total Productivo, Control Estadístico de Procesos (SPC), Solución de Problemas 8 D's</t>
  </si>
  <si>
    <t xml:space="preserve">Oke deja lo checo y te aviso muchas gtacias</t>
  </si>
  <si>
    <t xml:space="preserve">1.3 Llamadita y facilidad pago</t>
  </si>
  <si>
    <t xml:space="preserve">Ahorita estoy en área de mantenimiento</t>
  </si>
  <si>
    <t xml:space="preserve">TPM – Mantenimiento Total Productivo, OEE, Solución de Problemas para Ingenieros</t>
  </si>
  <si>
    <t xml:space="preserve">Trabajo en el área de calidad, me gradué en el 2022 y he trabajado también en área de ingeniería y producción, más que nada estandarización de procesos y operaciones también capacitación de personal / El paquete de core tools es de clases pregravadas o las imparte un instructor?</t>
  </si>
  <si>
    <t xml:space="preserve">SMED, TPM – Mantenimiento Total Productivo, Solución de Problemas 8 D's, Trabajo Estándar</t>
  </si>
  <si>
    <t xml:space="preserve">Entonces con el pago de 3900 se tiene acceso a todas las certificaciones, no hay necesidad de pagar más? por ejemplo si quisiera tomar también la de 8d's y TPM</t>
  </si>
  <si>
    <t xml:space="preserve">Soy supervisor de Calidad industrial, en refinería</t>
  </si>
  <si>
    <t xml:space="preserve">ISO 9001:2015 Auditor Interno, Liderazgo para Líderes y Supervisores</t>
  </si>
  <si>
    <t xml:space="preserve">Estoy estudiando una ingeniería mecánica</t>
  </si>
  <si>
    <t xml:space="preserve">Curriculum Vitae de Alto Impacto, Cómo hablar en una entrevista de trabajo</t>
  </si>
  <si>
    <t xml:space="preserve">Hay curso de IATF O ISO ? / Trabajo en el área automotriz de ingeniera  / Bueno, ahora estoy desempleada / Pero tengo tres años de experiencia en esa área</t>
  </si>
  <si>
    <t xml:space="preserve">Green Belt – Six Sigma, Lean Manufacturing</t>
  </si>
  <si>
    <t xml:space="preserve">Trabajando actualmente, en produccion de maquinados</t>
  </si>
  <si>
    <t xml:space="preserve">Lean Manufacturing, Yellow Belt – Six Sigma</t>
  </si>
  <si>
    <t xml:space="preserve">Estoy en el ramo automotriz, área de mantenimiento pero busco crecer como Ing P0 procesos industriales / Por favor</t>
  </si>
  <si>
    <t xml:space="preserve">AMEF, FODA, Kaizen – Mejora Continua, Liderazgo para Ingenieros</t>
  </si>
  <si>
    <t xml:space="preserve">Me podrías brindar información respecto a las facilidades de pago que manejas ?</t>
  </si>
  <si>
    <t xml:space="preserve">Empezando ramo automotriz</t>
  </si>
  <si>
    <t xml:space="preserve">Solución de Problemas 8 D's, Trabajo Estándar, Poka Yoke</t>
  </si>
  <si>
    <t xml:space="preserve">Me interesa pero mañana acabo de entrar a trabajar</t>
  </si>
  <si>
    <t xml:space="preserve">Gracias, lo estaré checando</t>
  </si>
  <si>
    <t xml:space="preserve">Ok</t>
  </si>
  <si>
    <t xml:space="preserve">Buenas tardds / Yo solo quiero yellowbelt / Y greenbelt / Se.puede?</t>
  </si>
  <si>
    <t xml:space="preserve">Me habian ofrecido este</t>
  </si>
  <si>
    <t xml:space="preserve">3 Transferencia / OXXO (lo pasó Alexander)</t>
  </si>
  <si>
    <t xml:space="preserve">3 Transferencia / OXXO</t>
  </si>
  <si>
    <t xml:space="preserve">Hola buenas noches soy Daniela, actualmente estoy trabajando / Estoy trabajando en el área de calidad y sistema de gestión / Si gracias</t>
  </si>
  <si>
    <t xml:space="preserve">ISO 9001:2015 Auditor Interno, ISO 19011:2018 Auditorías de Sistemas de Gestión, Solución de Problemas 8 D's</t>
  </si>
  <si>
    <t xml:space="preserve">Hola buenos días! Disculpa una duda son clases grabadas o son en vivo y cuáles son los precios que manejan?</t>
  </si>
  <si>
    <t xml:space="preserve">Estudiante / Ingeniería industrial</t>
  </si>
  <si>
    <t xml:space="preserve">Microsoft Excel Completo, Curriculum Vitae de Alto Impacto</t>
  </si>
  <si>
    <t xml:space="preserve">Soy Ingeniero Mecatrónico, actualmente estoy en area de Producción</t>
  </si>
  <si>
    <t xml:space="preserve">Porfavor</t>
  </si>
  <si>
    <t xml:space="preserve">Soy auditor de calidad en una empresa que fabrica diferentes tipos de arnés automotriz</t>
  </si>
  <si>
    <t xml:space="preserve">En el área de Ingeniería / Claro señorita</t>
  </si>
  <si>
    <t xml:space="preserve">Actualmente soy supervisor de calidad enfocado al área de construcción específicamente metal mecánica / ¿Qué documentación otorgar? / Constancia DC3 y Certificado?</t>
  </si>
  <si>
    <t xml:space="preserve">Texto (aviso del audio) + Audio</t>
  </si>
  <si>
    <t xml:space="preserve">Soy auditor de calidad y soy ingeniero recién egresado / Audio no disponible / Audio no disponible</t>
  </si>
  <si>
    <t xml:space="preserve">Audio no disponible</t>
  </si>
  <si>
    <t xml:space="preserve">1 Negativo (lo pasó el bot)</t>
  </si>
  <si>
    <t xml:space="preserve">1 Negativo</t>
  </si>
  <si>
    <t xml:space="preserve">Buenas tardes, me llamo Rodrigo / Estoy en el área de calidad ...abarcamos Soldadura en tuberías y estructuras metálicas, área civil, pintura, recubrimientos</t>
  </si>
  <si>
    <t xml:space="preserve">Área de fisicoquímicos y pronto adicional en área de microbiología sanitaria / No. Me comunico después con uds. Estoy área de proceso . Gracias</t>
  </si>
  <si>
    <t xml:space="preserve">Gracias por información. Será para otra ocasión.</t>
  </si>
  <si>
    <t xml:space="preserve">Soy estudiante de tiempo completo / Ingeniería industrial</t>
  </si>
  <si>
    <t xml:space="preserve">Cómo hablar en una entrevista de trabajo, Microsoft Excel Completo</t>
  </si>
  <si>
    <t xml:space="preserve">Estoy estudiando / Ing. Industrial / Estos son los horarios en los que se impartirán. O son las horas que durara cada curso ?? / Me interesa. Solo dame chance en lo que me detenga a leer bien la info.</t>
  </si>
  <si>
    <t xml:space="preserve">Ing. Industrial</t>
  </si>
  <si>
    <t xml:space="preserve">Estoy estudiando Ingeniería Química industrial actualmente estoy en trámites de titulación de TSU de química industrial / Si estoy interesado, mi única duda es a qué hora se toman los cursos y cuántas horas por día son además de los costos ? / Si de favor</t>
  </si>
  <si>
    <t xml:space="preserve">Curriculum Vitae de Alto Impacto, Microsoft Excel Completo</t>
  </si>
  <si>
    <t xml:space="preserve">Si estoy interesado, mi única duda es a qué hora se toman los cursos y cuántas horas por día son además de los costos ?</t>
  </si>
  <si>
    <t xml:space="preserve">Ya lo leí / No soy ING soy Administrador y estoy en el área de Gestión Sanitaria</t>
  </si>
  <si>
    <t xml:space="preserve">Lean Manufacturing, NOM-035</t>
  </si>
  <si>
    <t xml:space="preserve">Si muestrame, por ahora no puedo tomar la llamada pero que te parece mañana a las 10??</t>
  </si>
  <si>
    <t xml:space="preserve">No trabajo / Termine la Lic en ingeniería industrial / Trabajé hace 2 años pero como operadora  / Estuve en el área de calidad</t>
  </si>
  <si>
    <t xml:space="preserve">Ocupo cursos para auditorías internas y externas, matrices de riesgos, normatividad / Y si se puede usar la metodología coso / Cual sería el costo / Y entregan algún documento que avale? / Cual es la duración del curso? / Okkkk / Y horarios en que se puede tomar</t>
  </si>
  <si>
    <t xml:space="preserve">Cual sería el costo</t>
  </si>
  <si>
    <t xml:space="preserve">Estoy en el sistema de gestión de calidad en una empresa aeroespacial</t>
  </si>
  <si>
    <t xml:space="preserve">Si he visto varios de sus cursos, estoy en uno de sus grupos, sólo que cuando transmiten todavía estoy trabajando</t>
  </si>
  <si>
    <t xml:space="preserve">MSI 2799 (lo pasó Salma)</t>
  </si>
  <si>
    <t xml:space="preserve">Carlos / Soy coordinador del área de proveedores SQE, en una empresa de giro electrónico</t>
  </si>
  <si>
    <t xml:space="preserve">Yellow Belt – Six Sigma, Metodología 5'S</t>
  </si>
  <si>
    <t xml:space="preserve">Sip muchas gracias</t>
  </si>
  <si>
    <t xml:space="preserve">Soy egresada de la universidad</t>
  </si>
  <si>
    <t xml:space="preserve">Cómo hablar en una entrevista de trabajo, Comunicación Efectiva</t>
  </si>
  <si>
    <t xml:space="preserve">Si</t>
  </si>
  <si>
    <t xml:space="preserve">Ingeniería química, pero igual me interesa más el área de procesos y mejora continua</t>
  </si>
  <si>
    <t xml:space="preserve">Green Belt – Six Sigma, Liderazgo para Ingenieros</t>
  </si>
  <si>
    <t xml:space="preserve">Si por favor</t>
  </si>
  <si>
    <t xml:space="preserve">Trabajo como auditor de calidad  pero busco el puesto de técnico de calidad / Ok</t>
  </si>
  <si>
    <t xml:space="preserve">Esos ya los tome de echo esos cursos  / Menos los de six sigma y lideres y supervisores</t>
  </si>
  <si>
    <t xml:space="preserve">Ingeniería industrial / Egresada</t>
  </si>
  <si>
    <t xml:space="preserve">Comunicación Efectiva, Lean Manufacturing</t>
  </si>
  <si>
    <t xml:space="preserve">Trabajo en una empresa de servicios para laboratorio y equipo medico, también mantenimiento</t>
  </si>
  <si>
    <t xml:space="preserve">TPM – Mantenimiento Total Productivo, Lean Manufacturing</t>
  </si>
  <si>
    <t xml:space="preserve">Estudio gestión empresarial,  trabajo en el área de calidad y de momento estoy realizando residencias en el área de compras en una empresa manufacturera de 5 naves</t>
  </si>
  <si>
    <t xml:space="preserve">Gestión de calidad ISO 17025 , laboratorio de metrología / Muchas gracias por la información</t>
  </si>
  <si>
    <t xml:space="preserve">Power BI, Poka Yoke, SQL Server</t>
  </si>
  <si>
    <t xml:space="preserve">Muchas gracias por la información</t>
  </si>
  <si>
    <t xml:space="preserve">Estoy laborando en el área de ingeneria de procesos</t>
  </si>
  <si>
    <t xml:space="preserve">Microsoft Excel Completo, SQL Server, Power BI</t>
  </si>
  <si>
    <t xml:space="preserve">Soy de calidad visual</t>
  </si>
  <si>
    <t xml:space="preserve">NO más INFO</t>
  </si>
  <si>
    <t xml:space="preserve">Muchas gracias por la información. Y estoy trabajando en industria cosmética / Pero justamente quiero ampliar el cv con las certificaciones / Gracias!</t>
  </si>
  <si>
    <t xml:space="preserve">ISO 9001:2015 Auditor Interno, Solución de Problemas para Ingenieros, Liderazgo para Ingenieros</t>
  </si>
  <si>
    <t xml:space="preserve">Trabajo en el área de laboratorio. Pero me interesa el área de calidad</t>
  </si>
  <si>
    <t xml:space="preserve">ISO 9001:2015 Auditor Interno, Plan de Control, Kaizen – Mejora Continua</t>
  </si>
  <si>
    <t xml:space="preserve">Me encuentro en el área de sgc y mejora continua / No estoy estudiando ya tengo tiempo trabajando en esto de hecho ya soy auditor interno en iso9001:2015</t>
  </si>
  <si>
    <t xml:space="preserve">Green Belt – Six Sigma, DMAIC, Lean Thinking</t>
  </si>
  <si>
    <t xml:space="preserve">Estudio una ingeniería del agua</t>
  </si>
  <si>
    <t xml:space="preserve">Power BI, Microsoft Excel Completo, AutoCAD Completo</t>
  </si>
  <si>
    <t xml:space="preserve">Estoy en calidad automotriz</t>
  </si>
  <si>
    <t xml:space="preserve">PPAP – Proceso de Aprobación de Piezas de Producción, OEE, DMAIC</t>
  </si>
  <si>
    <t xml:space="preserve">Crees que lo podamos revisar el lunes?</t>
  </si>
  <si>
    <t xml:space="preserve">No estoy trabajando actualmente</t>
  </si>
  <si>
    <t xml:space="preserve">Power BI, AMEF, Control Estadístico de Procesos (SPC)</t>
  </si>
  <si>
    <t xml:space="preserve">Ok gracias , voy a checarlo</t>
  </si>
  <si>
    <t xml:space="preserve">Trabajo en el área de calidad de una Facultad en NL</t>
  </si>
  <si>
    <t xml:space="preserve">Power BI, SQL Server, NOM-035</t>
  </si>
  <si>
    <t xml:space="preserve">Recién egresada / Soy biotecnóloga / Si</t>
  </si>
  <si>
    <t xml:space="preserve">SQL Server, Microsoft Excel Completo, Solución de Problemas para Ingenieros</t>
  </si>
  <si>
    <t xml:space="preserve">Estoy en busca de trabajo en las áreas de calidad, mejora continua y procesos / Tendrán la certificación de la AS/EN9100?</t>
  </si>
  <si>
    <t xml:space="preserve">ISO 9001:2015 Auditor Interno, 7 Herramientas de la Calidad, Gestión de Inventarios, Kaizen – Mejora Continua</t>
  </si>
  <si>
    <t xml:space="preserve">Licenciatura en ingeniería automotriz / Si</t>
  </si>
  <si>
    <t xml:space="preserve">Microsoft Excel Completo, Cómo hablar en una entrevista de trabajo</t>
  </si>
  <si>
    <t xml:space="preserve">Otra área</t>
  </si>
  <si>
    <t xml:space="preserve">Derecho</t>
  </si>
  <si>
    <t xml:space="preserve">Si claro me gustaría saber sobre el método de pago</t>
  </si>
  <si>
    <t xml:space="preserve">1.4 Facilidades de pago (lo pasó Joceline)</t>
  </si>
  <si>
    <t xml:space="preserve">Ingeniera bioquímica industrial / Ok</t>
  </si>
  <si>
    <t xml:space="preserve">Los cursos son por alguna plataforma vía zoom, meet, etc.?</t>
  </si>
  <si>
    <t xml:space="preserve">Buenas, acabo de revisar toda la información y la verdad si me llama mucho la atención, en cuanto tenga las posibilidades de registrarme y solventar el coste me pondré en comunicación, muchísimas gracias, linda tarde</t>
  </si>
  <si>
    <t xml:space="preserve">Estoy estudiando aún / Ingeniería industrial / Okey</t>
  </si>
  <si>
    <t xml:space="preserve">Metrologia, Gestión de calidad</t>
  </si>
  <si>
    <t xml:space="preserve">Yellow Belt – Six Sigma, Microsoft Excel Completo</t>
  </si>
  <si>
    <t xml:space="preserve">Tengo una Ingeniería en Software, y me encuentro trabajando como supervisor en el área de HelpDesk</t>
  </si>
  <si>
    <t xml:space="preserve">Power BI, Microsoft Excel Completo</t>
  </si>
  <si>
    <t xml:space="preserve">Por el momento no puedo recibir llamadas, Pero si me gustaría saber cómo quedaría mi caso y las formas de pago, también me preocupa un poco que esta información sea verídica.</t>
  </si>
  <si>
    <t xml:space="preserve">Trabajo actualmente en la industria Mezcalera. / Cómo se podrían hacer los pagos?y en proceso de inscripción? / En producción,pero también estoy involucrada al área de calidad,seguridad / Y la obtención de los certificados,es un cobro aparte?,como se obtienen?</t>
  </si>
  <si>
    <t xml:space="preserve">Me interesa para inocuidad alimentaria</t>
  </si>
  <si>
    <t xml:space="preserve">ISO 9001:2015 Auditor Interno, 7 Herramientas de la Calidad, Inteligencia Emocional, Liderazgo para Ingenieros</t>
  </si>
  <si>
    <t xml:space="preserve">¿Qué facilidades de pago tienen? / ¿Y los certificados se entregan cada que termine cada curso?</t>
  </si>
  <si>
    <t xml:space="preserve">Ingeniero industrial</t>
  </si>
  <si>
    <t xml:space="preserve">Lean Manufacturing, OEE</t>
  </si>
  <si>
    <t xml:space="preserve">Ingeniero en Sistemas Computacionales</t>
  </si>
  <si>
    <t xml:space="preserve">SQL Server, Power BI</t>
  </si>
  <si>
    <t xml:space="preserve">Dejame lo checo</t>
  </si>
  <si>
    <t xml:space="preserve">Acabo de temrinar la carrera, trabajo de operador de produccion pero quiero capacitarme en todo el ramo de calidad y produccion</t>
  </si>
  <si>
    <t xml:space="preserve">Si, una disculpa por pa demora, estoy trabajando ahora mismo</t>
  </si>
  <si>
    <t xml:space="preserve">Actualmente estoy en el área de ingeniería de equipos, también me interesa el tema de lean manufacturing y liderazgo / Gracias / Muchas gracias</t>
  </si>
  <si>
    <t xml:space="preserve">ISO 9001:2015 Auditor Interno, Liderazgo para Ingenieros, Lean Manufacturing</t>
  </si>
  <si>
    <t xml:space="preserve">Muchas gracias</t>
  </si>
  <si>
    <t xml:space="preserve">Trabajo en almacén y logística / Pero en si me interesa todo lo que tienes que ver producción y calidad</t>
  </si>
  <si>
    <t xml:space="preserve">Gestión de Inventarios, Lean Manufacturing</t>
  </si>
  <si>
    <t xml:space="preserve">Estoy por comenzar a desarrollarme laboralmente.  / Quisiera agregar más a mi CV  / ¿Tienen certificaciones enfocadas en alimentos? / Buenoo, lo checo y les aviso.  / Muchísimas gracias.</t>
  </si>
  <si>
    <t xml:space="preserve">Buenoo, lo checo y les aviso.  / Muchísimas gracias.</t>
  </si>
  <si>
    <t xml:space="preserve">Ambas / Ing Industrial  / Ing en Sistemas / Ing Gestión Empresarial y Logística / En una empresa,que justo llevo ISO9001 ,LOGISTICA,PRODUCCION DE TODO UN POCO</t>
  </si>
  <si>
    <t xml:space="preserve">Lean Manufacturing, OEE, Gestión de Inventarios</t>
  </si>
  <si>
    <t xml:space="preserve">Me encanta</t>
  </si>
  <si>
    <t xml:space="preserve">Estoy estudiando una ingeniera en procesos industriales, pero me interesa más el área de calidad y logística</t>
  </si>
  <si>
    <t xml:space="preserve">Trabajo</t>
  </si>
  <si>
    <t xml:space="preserve">Hola qué tal buen día / Me podría hablar de precios, si me interesan estos cursos / De favor si</t>
  </si>
  <si>
    <t xml:space="preserve">De favor si</t>
  </si>
  <si>
    <t xml:space="preserve">acabo de terminar ingeniería biomédica</t>
  </si>
  <si>
    <t xml:space="preserve">ISO 9001:2015 Auditor Interno, AMEF, Inteligencia Emocional, 7 Herramientas de la Calidad</t>
  </si>
  <si>
    <t xml:space="preserve">el DC3 en que es específicamente?</t>
  </si>
  <si>
    <t xml:space="preserve">Trabajo como ingeniero de calidad, pero soy junior y me gustaría conocer estos temas y que me ayuden en mi cv / Si me interesa</t>
  </si>
  <si>
    <t xml:space="preserve">ISO 9001:2015 Auditor Interno, 7 Herramientas de la Calidad, Liderazgo para Ingenieros, Inteligencia Emocional</t>
  </si>
  <si>
    <t xml:space="preserve">Estoy trabajando de inspector de calidad en área de reciba y voy en el primer tetra en administración de empresas</t>
  </si>
  <si>
    <t xml:space="preserve">PPAP – Proceso de Aprobación de Piezas de Producción, Gestión de Inventarios, Metodología 5'S</t>
  </si>
  <si>
    <t xml:space="preserve">Si me interesa el ISO+ Calidad</t>
  </si>
  <si>
    <t xml:space="preserve">Estoy trabajando en un comedor ISS así se llama la empresa</t>
  </si>
  <si>
    <t xml:space="preserve">Yellow Belt – Six Sigma, Kaizen – Mejora Continua</t>
  </si>
  <si>
    <t xml:space="preserve">Entonces, que cursos debo tener? Los costos son individual o el total ya es de $3,999.  / Así como el contenido es solo digital o tiene reuniones por meet o temas</t>
  </si>
  <si>
    <t xml:space="preserve">Dispositivos médicos</t>
  </si>
  <si>
    <t xml:space="preserve">Lean Manufacturing, Poka Yoke</t>
  </si>
  <si>
    <t xml:space="preserve">Si me ayudas el día de mañana con esa llamada te agradezco mucho</t>
  </si>
  <si>
    <t xml:space="preserve">3 Transferencia / OXXO (lo pasó Salma)</t>
  </si>
  <si>
    <t xml:space="preserve">Buen día / El costo de 3999 es por todo el curso? / Es por tipo de educación autogestiva?</t>
  </si>
  <si>
    <t xml:space="preserve">Es por tipo de educación autogestiva?</t>
  </si>
  <si>
    <t xml:space="preserve">Buenos días, son. Para mi hijo pero aún sigue estudiando. / Ingeniería industrial / No se, esque hay tanta información en las redes que a veces uno se confunde / Otra pregunta, lo que ustedes dan es un certificado cierto? Que no es lo mismo que certificación.</t>
  </si>
  <si>
    <t xml:space="preserve">Ingeniería industrial</t>
  </si>
  <si>
    <t xml:space="preserve">Soy ingeniero industrial y estoy haciendo una maestría en administración y liderazgo no trabajo / Bien</t>
  </si>
  <si>
    <t xml:space="preserve">Microsoft Excel Completo, Comunicación Efectiva</t>
  </si>
  <si>
    <t xml:space="preserve">Podría ser a las 12?</t>
  </si>
  <si>
    <t xml:space="preserve">Trabajo en el área de calidad, estoy buscando ISO 9001 en su nueva versión 2026 / Ok</t>
  </si>
  <si>
    <t xml:space="preserve">1.3 Llamadita y facilidades de pago</t>
  </si>
  <si>
    <t xml:space="preserve">Actualmente me encuentro estudiando. Me interesa la participación en este tipo de cursos para tener un panorama más general y específico acorde a mi carrera / Igualmente me interesa saber más sobre las modalidades de pago y formas de realizarlo. Si es necesario hacer un único pago o se puede dividir</t>
  </si>
  <si>
    <t xml:space="preserve">Cómo hablar en una entrevista de trabajo, Curriculum Vitae de Alto Impacto</t>
  </si>
  <si>
    <t xml:space="preserve">Entiendo. Me interesa los cursos adjuntos que me mencionó dentro de la ruta establecida</t>
  </si>
  <si>
    <t xml:space="preserve">1.2 Lista de cursos</t>
  </si>
  <si>
    <t xml:space="preserve">Son Lic en nutrición</t>
  </si>
  <si>
    <t xml:space="preserve">Gracias</t>
  </si>
  <si>
    <t xml:space="preserve">Estoy buscando ISO 9001 2026</t>
  </si>
  <si>
    <t xml:space="preserve">Perfecto! / Deje lo comento con mi jefe y me comunico con usted!</t>
  </si>
  <si>
    <t xml:space="preserve">Mi nombre es Jimena  / Estudio ingeniería industrial  / Y trabajo en el sector automotriz</t>
  </si>
  <si>
    <t xml:space="preserve">Si me interesa mucho</t>
  </si>
  <si>
    <t xml:space="preserve">En laboratorio / Ok</t>
  </si>
  <si>
    <t xml:space="preserve">Texto (aviso del audio) + Audio + Cursos (1)</t>
  </si>
  <si>
    <t xml:space="preserve">Green Belt – Six Sigma</t>
  </si>
  <si>
    <t xml:space="preserve">Disculpe el curso es en linea?</t>
  </si>
  <si>
    <t xml:space="preserve">Me encuentro trabajando en una empresa en área de embalaje operador b</t>
  </si>
  <si>
    <t xml:space="preserve">OEE, Lean Manufacturing</t>
  </si>
  <si>
    <t xml:space="preserve">Estoy como jefa del sistema de gestión</t>
  </si>
  <si>
    <t xml:space="preserve">Kaizen – Mejora Continua, FODA, Solución de Problemas para Ingenieros</t>
  </si>
  <si>
    <t xml:space="preserve">Vale y si requieres el curso para 4 personas</t>
  </si>
  <si>
    <t xml:space="preserve">Soy ingeniero en sistemas de producción / Tengo 10 años de experiencia,  pero me faltan certicaciones / Perfecto</t>
  </si>
  <si>
    <t xml:space="preserve">Yellow Belt – Six Sigma, AMEF</t>
  </si>
  <si>
    <t xml:space="preserve">Suena muy interesante muchas gracias pero se sale un poco de mi presupuesto, espero pronto contactarlos ya que trabajo en el área de calidad</t>
  </si>
  <si>
    <t xml:space="preserve">Un poco si limitado a mis demás gastos</t>
  </si>
  <si>
    <t xml:space="preserve">Estoy estudiando ingeniera mecánica / Entendido</t>
  </si>
  <si>
    <t xml:space="preserve">Por favor</t>
  </si>
  <si>
    <t xml:space="preserve">Estoy trabajando en una maquila en DAWS / Y si estoy estudiando / ??</t>
  </si>
  <si>
    <t xml:space="preserve">Me interesa</t>
  </si>
  <si>
    <t xml:space="preserve">Estudio ingeniería Mecatronica y soy inspector de calidad en kromberg and Schubert, empresa fabricante de arneses automotriz</t>
  </si>
  <si>
    <t xml:space="preserve">PPAP – Proceso de Aprobación de Piezas de Producción, Solución de Problemas 8 D's, Poka Yoke</t>
  </si>
  <si>
    <t xml:space="preserve">Estudie ingeniería textil y Trabaje 2 años en la industria textil, actualmente llevo emprendí en un negocio propio, pero me quiero seguir preparando por si necesito regresar a mi rubro de trabajo.</t>
  </si>
  <si>
    <t xml:space="preserve">Control Estadístico de Procesos (SPC), Solución de Problemas 8 D's, Gestión de Inventarios, Microsoft Excel Completo</t>
  </si>
  <si>
    <t xml:space="preserve">De hecho ya lo había contratado con anterioridad, y si me vuelve a interesar, ya que no le di el interés en su momento y si quisiera retomarlo, pero lo quiero pensar bien...</t>
  </si>
  <si>
    <t xml:space="preserve">Calidad y estoy certificado en la 2015 / Facilidades de pago</t>
  </si>
  <si>
    <t xml:space="preserve">FODA, Kaizen – Mejora Continua, Poka Yoke</t>
  </si>
  <si>
    <t xml:space="preserve">Facilidades de pago</t>
  </si>
  <si>
    <t xml:space="preserve">Es virtual? / Ya vi que si / Está muy bien, pero tendrá un paquete de menor precio, me interesa tomar el de las 7 herramientas de de calidad / Porque el del ISO ya de esta en transición de la 2026 / Si tuviera otra promoción más accesible. Porque si me interesa</t>
  </si>
  <si>
    <t xml:space="preserve">Porque el del ISO ya de esta en transición de la 2026</t>
  </si>
  <si>
    <t xml:space="preserve">Auditor de calidad en una planta de inyección de.plasticos</t>
  </si>
  <si>
    <t xml:space="preserve">Hola, estaba viendo la pagina de la ruta ISO + Calidad y tengo una duda:</t>
  </si>
  <si>
    <t xml:space="preserve">Si, nada mas esperame que salga del trabajo, y en la noche lo reviso y mañana platicamos, va? Muchas gracias</t>
  </si>
  <si>
    <t xml:space="preserve">Estoy trbajandl y ya termine mi ingenieria / Entre como calidad en bader mexico y quiero subir a otro puesto mejor</t>
  </si>
  <si>
    <t xml:space="preserve">Gravcias si me interesa de hecho</t>
  </si>
  <si>
    <t xml:space="preserve">Estudié ingeniería en mecatrónica, actualmente trabajo en ingeniería de producto</t>
  </si>
  <si>
    <t xml:space="preserve">Gracias, lo considero</t>
  </si>
  <si>
    <t xml:space="preserve">Estudio / Ingeniero químico</t>
  </si>
  <si>
    <t xml:space="preserve">ISO 9001:2015 Auditor Interno, 7 Herramientas de la Calidad, NOM-035, Plan de Control</t>
  </si>
  <si>
    <t xml:space="preserve">Muchas gracias por la información deme chance de revisarlo</t>
  </si>
  <si>
    <t xml:space="preserve">Estoy en el sector gasolinero trabajando con la ISO 17025 y 17020 / Muchas gracias / Muchas gracias deje los reviso y le hago el comentario sobre los cursos y el tema de pago o pagos / Ok de favor</t>
  </si>
  <si>
    <t xml:space="preserve">ISO 9001:2015 Auditor Interno, 7 Herramientas de la Calidad, Plan de Control, Kaizen – Mejora Continua</t>
  </si>
  <si>
    <t xml:space="preserve">Muchas gracias deje los reviso y le hago el comentario sobre los cursos y el tema de pago o pagos</t>
  </si>
  <si>
    <t xml:space="preserve">Trabajo como inspector de procesos, área química y alimentos</t>
  </si>
  <si>
    <t xml:space="preserve">Gracias por la información</t>
  </si>
  <si>
    <t xml:space="preserve">Soy ing en sistemas / Necesito tener conocimientos precious / Previos / O experiencia?</t>
  </si>
  <si>
    <t xml:space="preserve">ISO 9001:2015 Auditor Interno, 7 Herramientas de la Calidad, Microsoft Excel Completo, Liderazgo para Ingenieros</t>
  </si>
  <si>
    <t xml:space="preserve">Para entrar</t>
  </si>
  <si>
    <t xml:space="preserve">Necesito ser ingeniero para tomar los cursos?</t>
  </si>
  <si>
    <t xml:space="preserve">Estoy en el área de producción / [imagen] / Cuáles 64 cursos??</t>
  </si>
  <si>
    <t xml:space="preserve">Ver métodos pago</t>
  </si>
  <si>
    <t xml:space="preserve">Por el momento estoy como lider de producción  / Pero tambien he trabajado en el departamento de calidad / Cual es la mecánica de inscripción</t>
  </si>
  <si>
    <t xml:space="preserve">La membresía es anual?</t>
  </si>
  <si>
    <t xml:space="preserve">1.3 Llamadita y facilidades de pago (lo pasó Alexander)</t>
  </si>
  <si>
    <t xml:space="preserve">Inspector CTPAC en una yarda de tracto camiones</t>
  </si>
  <si>
    <t xml:space="preserve">Liderazgo para Líderes y Supervisores, Metodología 5'S</t>
  </si>
  <si>
    <t xml:space="preserve">Una pregunta, ¿hay algún curso enfocado a la actualización de la norma 9001:2026? / Estoy en el área de Gestión y Calidad</t>
  </si>
  <si>
    <t xml:space="preserve">Control de calidad sector motos</t>
  </si>
  <si>
    <t xml:space="preserve">Vale si me interesa</t>
  </si>
  <si>
    <t xml:space="preserve">Soy auditor operativo en tiendas de autoservicio</t>
  </si>
  <si>
    <t xml:space="preserve">Microsoft Excel Completo, Power BI, Solución de Problemas 8 D's</t>
  </si>
  <si>
    <t xml:space="preserve">estoy en un trabajo administrativo,pero tengo una licenciatura en ingeniería industrial / como funciona el curso?es online o con clases pregrabadas?</t>
  </si>
  <si>
    <t xml:space="preserve">Lean Manufacturing, Liderazgo para Líderes y Supervisores</t>
  </si>
  <si>
    <t xml:space="preserve">Buen día, lo comunicaré con la encargada de desarrollo humano de la empresa en donde trabajo,ya q es ella la que puede autorizarme el curso como parte del plan de capacitación</t>
  </si>
  <si>
    <t xml:space="preserve">Area de calidad enfocada en materia prima, atención a proveedores y auditoría</t>
  </si>
  <si>
    <t xml:space="preserve">Sistemas contra incendio</t>
  </si>
  <si>
    <t xml:space="preserve">ISO 19011:2018 Auditorías de Sistemas de Gestión, Metodología 5'S</t>
  </si>
  <si>
    <t xml:space="preserve">Las facilidades de pago cuales son disculpe</t>
  </si>
  <si>
    <t xml:space="preserve">¡Muchas gracias por la información!  /  / En realidad, estoy buscando cotizar tres capacitaciones para la empresa donde trabajo: Excel, comunicación efectiva y formación de instructores internos. /  / Lo que necesitamos es que los cursos cuenten con emisión de constancias DC-3 ante la STPS para los </t>
  </si>
  <si>
    <t xml:space="preserve">Anahí Minjares Naranjo  / [correo]  / Fecha estimada noviembre 2026  / Podría cotizarme costo por persona? Ya que aún no tenemos el número exacto de participantes y variaría para cada curso</t>
  </si>
  <si>
    <t xml:space="preserve">En Sistema de gestión de calidad / Entiendo que los cursos se toman al ritmo, son cursos pre grabados? / Gracias</t>
  </si>
  <si>
    <t xml:space="preserve">Si me interesa por favor</t>
  </si>
  <si>
    <t xml:space="preserve">Por el momento estudio Ingeniería Industrial / Disculpa. Por algunas labores no revise bien el mensaje. Mi nombre Jose Luis</t>
  </si>
  <si>
    <t xml:space="preserve">No me interesa</t>
  </si>
  <si>
    <t xml:space="preserve">Hola soy egresada de ingeniería en gestión empresarial, me gusta mucho el tema financiero ¿tienen algo para mi relacionado? / Gracias</t>
  </si>
  <si>
    <t xml:space="preserve">ISO 9001:2015 Auditor Interno, 7 Herramientas de la Calidad, Hoshin Kanri – Planeación Estratégica, Lean Manufacturing</t>
  </si>
  <si>
    <t xml:space="preserve">Los reviso. Muchas gracias</t>
  </si>
  <si>
    <t xml:space="preserve">Okey lo voy a revisar mas tarde</t>
  </si>
  <si>
    <t xml:space="preserve">Producción</t>
  </si>
  <si>
    <t xml:space="preserve">Liderazgo para Líderes y Supervisores, AMEF</t>
  </si>
  <si>
    <t xml:space="preserve">ING industrial,  estoy interesado en temas de calidad</t>
  </si>
  <si>
    <t xml:space="preserve">PPAP – Proceso de Aprobación de Piezas de Producción, Poka Yoke, DMAIC</t>
  </si>
  <si>
    <t xml:space="preserve">Es un único pago ? De cuanto , y que es Loque obtengo por ese pago?  /  / Pregunto porque no quiero caer en las letras pequeñas de diferencia entre (membresía y pago por curso con sus documentaciones)</t>
  </si>
  <si>
    <t xml:space="preserve">Mi último trabajo es de supervisor de producción  / También estuve de asesor de calidad  / Me interesa actualizarme en ambos / Claro</t>
  </si>
  <si>
    <t xml:space="preserve">Metodología 5'S, Liderazgo para Líderes y Supervisores</t>
  </si>
  <si>
    <t xml:space="preserve">Me interesa más de de liderazgo para líderes y supervisores  / Pero parece que sale mejor pagar las 9 certificaciones 😅</t>
  </si>
  <si>
    <t xml:space="preserve">Estudiando ingeniería industrial / bueno ya terminé, ya solo me faltan mis prácticas / Si gracias</t>
  </si>
  <si>
    <t xml:space="preserve">Microsoft Excel Completo, Power BI, AMEF, Lean Manufacturing</t>
  </si>
  <si>
    <t xml:space="preserve">ando un poco ocupada igual cualquier duda le mando mensaje</t>
  </si>
  <si>
    <t xml:space="preserve">Trabajo servicio técnico en plantas y osmosis inversa</t>
  </si>
  <si>
    <t xml:space="preserve">AMEF, Metodología 5'S, Poka Yoke</t>
  </si>
  <si>
    <t xml:space="preserve">Estoy revizando lo que me mandaste</t>
  </si>
  <si>
    <t xml:space="preserve">De cuanto es el costo</t>
  </si>
  <si>
    <t xml:space="preserve">A qué cuenta hago el depósito</t>
  </si>
  <si>
    <t xml:space="preserve">Ganado (lo pasó Joceline)</t>
  </si>
  <si>
    <t xml:space="preserve">Si gracias</t>
  </si>
  <si>
    <t xml:space="preserve">Lo checare después con más calma</t>
  </si>
  <si>
    <t xml:space="preserve">Muchas gracias, en un momento los reviso y sigo en contacto con ustedes</t>
  </si>
  <si>
    <t xml:space="preserve">No ya no</t>
  </si>
  <si>
    <t xml:space="preserve">Actualmente soy gerente de seguridad y me encargo de procesos y CTPAT, una certificación de impo-expo. Quiero desarrollarme mas allá de transporte para abrir mis opciones de empleo</t>
  </si>
  <si>
    <t xml:space="preserve">Liderazgo Efectivo, Comunicación Efectiva</t>
  </si>
  <si>
    <t xml:space="preserve">Si, pasame como quedaría en mi caso porfa</t>
  </si>
  <si>
    <t xml:space="preserve">Los 4000 es solo un pago único, o son mensuales? / Actualmente ando estudiando Químico Bacteriólogo Parasitólogo, ya en octavo semestre / Sisi, muchas gracias</t>
  </si>
  <si>
    <t xml:space="preserve">Bueno, ahorita ando ocupado como para hacer una llamada, pero si me interesan los cursos, solo ando viéndolos</t>
  </si>
  <si>
    <t xml:space="preserve">Estudiando / Ingeniería química / Sipi</t>
  </si>
  <si>
    <t xml:space="preserve">Así está bien gracias</t>
  </si>
  <si>
    <t xml:space="preserve">Estoy trabajando como supervisor de producción</t>
  </si>
  <si>
    <t xml:space="preserve">Muchas gracias no me interesa</t>
  </si>
  <si>
    <t xml:space="preserve">buenas noches, trabajo en la construcción Metal Mecánico, actualmente me estoy dedicado al Diseño, Montaje, Arranque y estabilización de plantas de proceso Industriales. / Mantto General  a todo tipo de Empresas</t>
  </si>
  <si>
    <t xml:space="preserve">ISO 9001:2015 Auditor Interno, 7 Herramientas de la Calidad, Microsoft Excel Completo, Liderazgo para Líderes y Supervisores</t>
  </si>
  <si>
    <t xml:space="preserve">ok</t>
  </si>
  <si>
    <t xml:space="preserve">estoy trabando en el área de producción</t>
  </si>
  <si>
    <t xml:space="preserve">ISO 9001:2015 Auditor Interno, 7 Herramientas de la Calidad, Yellow Belt – Six Sigma, Liderazgo para Líderes y Supervisores</t>
  </si>
  <si>
    <t xml:space="preserve">Soy supervisora de calidad</t>
  </si>
  <si>
    <t xml:space="preserve">ISO 9001:2015 Auditor Interno, 7 Herramientas de la Calidad, Kaizen – Mejora Continua, Yellow Belt – Six Sigma</t>
  </si>
  <si>
    <t xml:space="preserve">Estoy en mantenimiento</t>
  </si>
  <si>
    <t xml:space="preserve">No me interesó</t>
  </si>
  <si>
    <t xml:space="preserve">Estudio Ing en alimentos / Me parece bien / Aaa me parece perfecto, pues la verdad si me interesa, pero entonces son clases en línea y un único pago o como es?</t>
  </si>
  <si>
    <t xml:space="preserve">Aaa me parece perfecto, pues la verdad si me interesa, pero entonces son clases en línea y un único pago o como es?</t>
  </si>
  <si>
    <t xml:space="preserve">Y los cursos son en línea como son ? / Si estoy interesado y acerca del costo ya es un costo fijo o tienen descuentos</t>
  </si>
  <si>
    <t xml:space="preserve">Si estoy interesado y acerca del costo ya es un costo fijo o tienen descuentos</t>
  </si>
  <si>
    <t xml:space="preserve">Y si solo quiero una certificación? / Actualmente no trabajo, ando buscando, soy recién Titulado en Ing. En Administración / Pues me gustaría saber el precio de:  / •Liderazgo para líderes y supervisores  / •AMEF  / • Hoshin Kari</t>
  </si>
  <si>
    <t xml:space="preserve">Texto (aviso del audio) + Audio + Cursos (5)</t>
  </si>
  <si>
    <t xml:space="preserve">Microsoft Excel Completo, Comunicación Efectiva, Hoshin Kanri – Planeación Estratégica, AMEF, Liderazgo para Líderes y Supervisores</t>
  </si>
  <si>
    <t xml:space="preserve">Pues me gustaría saber el precio de:  / •Liderazgo para líderes y supervisores  / •AMEF  / • Hoshin Kari</t>
  </si>
  <si>
    <t xml:space="preserve">Estoy estudiando la prepa y trabajo en la industria</t>
  </si>
  <si>
    <t xml:space="preserve">Comunicación Efectiva, Microsoft Excel Completo</t>
  </si>
  <si>
    <t xml:space="preserve">sigo estudiando / ingeniería industrial</t>
  </si>
  <si>
    <t xml:space="preserve">cómo son los cursos virtuales?</t>
  </si>
  <si>
    <t xml:space="preserve">Ahorita no tengo un empleo formal pero soy Ing. Biomédica / Por cuánto tiempo se quedan las otras rutas abiertas? / Administración, calidad o manufactura</t>
  </si>
  <si>
    <t xml:space="preserve">Gracias, dejame checo un poquito más la página y cualquier cosa, le hago saber</t>
  </si>
  <si>
    <t xml:space="preserve">Estudiando ingeniería en mecatronica / Si / Pregunta si estoy por entrar de técnico de calidad en metalmecanica ?? Cuál recomendarías</t>
  </si>
  <si>
    <t xml:space="preserve">Pregunta si estoy por entrar de técnico de calidad en metalmecanica ?? Cuál recomendarías</t>
  </si>
  <si>
    <t xml:space="preserve">Hola me gustaría un curso completo en pdf para estudiar y repasar ingeniería industrial</t>
  </si>
  <si>
    <t xml:space="preserve">Siiiii</t>
  </si>
  <si>
    <t xml:space="preserve">1.1 Informes (lo pasó Alexander)</t>
  </si>
  <si>
    <t xml:space="preserve">Me encuentro estudiando metalurgia para el área automotriz / Gracias aún lo estoy revisando / No es necesario</t>
  </si>
  <si>
    <t xml:space="preserve">Green Belt – Six Sigma, PPAP – Proceso de Aprobación de Piezas de Producción</t>
  </si>
  <si>
    <t xml:space="preserve">Gracias aún lo estoy revisando</t>
  </si>
  <si>
    <t xml:space="preserve">Coordinador de control de calidad</t>
  </si>
  <si>
    <t xml:space="preserve">Acabado de terminar mi carrera hace 2 meses, estoy en los trámites de titulación, aún no trabajo / Acabo de terminar*</t>
  </si>
  <si>
    <t xml:space="preserve">Power BI, Lean Manufacturing, Curriculum Vitae de Alto Impacto, Cómo hablar en una entrevista de trabajo</t>
  </si>
  <si>
    <t xml:space="preserve">Soy coordinador de calidad y a la vez estudio la Ingeniera / Me puedes decir las facilidades de pago que tienes? / Si, solo dame oportunidad de salir a comer, me encuentro trabajando ahorita</t>
  </si>
  <si>
    <t xml:space="preserve">Poka Yoke, Lean Manufacturing, Manejo del Personal</t>
  </si>
  <si>
    <t xml:space="preserve">Me puedes decir las facilidades de pago que tienes?</t>
  </si>
  <si>
    <t xml:space="preserve">Estoy como ingeniera química / Cómo analista de laboratorio en mina / Me gustaría otros cursos como de calidad y de desechos tóxicos / Cuáles son los cursos que tienes disponibles o cuales son los que me recomiendas tomar?</t>
  </si>
  <si>
    <t xml:space="preserve">Poka Yoke, Lean Manufacturing</t>
  </si>
  <si>
    <t xml:space="preserve">Cuáles son los cursos que tienes disponibles o cuales son los que me recomiendas tomar?</t>
  </si>
  <si>
    <t xml:space="preserve">Si.  / Estoy como Ing de calidad  / Por lo pronto Con un horario de 10am-7 pm / Tienen horarios en fin de semana?</t>
  </si>
  <si>
    <t xml:space="preserve">ISO 9001:2015 Auditor Interno, Kaizen – Mejora Continua, Liderazgo para Ingenieros</t>
  </si>
  <si>
    <t xml:space="preserve">Tiene horarios de fin de semana?</t>
  </si>
  <si>
    <t xml:space="preserve">Estoy en departamento de calidad en giro de construcción</t>
  </si>
  <si>
    <t xml:space="preserve">Solución de Problemas 8 D's, Metodología 5'S, Control Estadístico de Procesos (SPC)</t>
  </si>
  <si>
    <t xml:space="preserve">Ok, gracias / La primera información  si ya la vi por la tarde veo la clase que me acabas de enviar</t>
  </si>
  <si>
    <t xml:space="preserve">La primera información  si ya la vi por la tarde veo la clase que me acabas de enviar</t>
  </si>
  <si>
    <t xml:space="preserve">Ganado (lo pasó Alexander)</t>
  </si>
  <si>
    <t xml:space="preserve">Buen día / Si déjeme leer y ya le informo</t>
  </si>
  <si>
    <t xml:space="preserve">Perdona estaba manejando / Soy Lic. En enfermería y actualmente estoy laborando en investigación clínica farmacológica, desarrollo una jefatura en conducción de protocolos de investigación / Tengo contacto directo con, big pharma, sponsors, COFEPRIS y comites de Ética y combioética, y Comites Únicos</t>
  </si>
  <si>
    <t xml:space="preserve">ISO 9001:2015 Auditor Interno, Liderazgo para Líderes y Supervisores, Inteligencia Emocional</t>
  </si>
  <si>
    <t xml:space="preserve">Soy estudiante</t>
  </si>
  <si>
    <t xml:space="preserve">Soy ingeniero Mecatronico, trabajando en el área de pruebas de eléctricas / Va</t>
  </si>
  <si>
    <t xml:space="preserve">Solución de Problemas para Ingenieros, Control Estadístico de Procesos (SPC), Poka Yoke</t>
  </si>
  <si>
    <t xml:space="preserve">Entonces es una membresía donde me dan acceso a diferentes cursos</t>
  </si>
  <si>
    <t xml:space="preserve">Soy técnico de calidad / Cuáles son los costos / ?</t>
  </si>
  <si>
    <t xml:space="preserve">Solución de Problemas para Ingenieros, PPAP – Proceso de Aprobación de Piezas de Producción, Poka Yoke</t>
  </si>
  <si>
    <t xml:space="preserve">Estoy estudiando como ingeniera industrial y estoy trabajando como auditora de calidad.</t>
  </si>
  <si>
    <t xml:space="preserve">Danna Guadalupe Ortega Reyes</t>
  </si>
  <si>
    <t xml:space="preserve">Cómo sería el seguimiento disculpe?</t>
  </si>
  <si>
    <t xml:space="preserve">Me encuentroo en SeH pero me gustaría buscar en calidad</t>
  </si>
  <si>
    <t xml:space="preserve">Ok, los voy a checar, ando cotizando varios cursos, y voy a checar los temas</t>
  </si>
  <si>
    <t xml:space="preserve">Estoy laborando en el área de aseguramiento de calidad / Sí, por favor</t>
  </si>
  <si>
    <t xml:space="preserve">Sí, muchas gracias.</t>
  </si>
  <si>
    <t xml:space="preserve">2 Una sola exhibición (lo pasó Salma)</t>
  </si>
  <si>
    <t xml:space="preserve">Trabajo como inspectora de calidad.</t>
  </si>
  <si>
    <t xml:space="preserve">Una pregunta en qué horario se toman los cursos...</t>
  </si>
  <si>
    <t xml:space="preserve">Trabajando en industria automotriz</t>
  </si>
  <si>
    <t xml:space="preserve">PPAP – Proceso de Aprobación de Piezas de Producción, Lean Manufacturing</t>
  </si>
  <si>
    <t xml:space="preserve">Estoy terminando ingeniería industrial / Gracias</t>
  </si>
  <si>
    <t xml:space="preserve">Si claro</t>
  </si>
  <si>
    <t xml:space="preserve">Aux de calidad / Estudio</t>
  </si>
  <si>
    <t xml:space="preserve">AMEF, Control Estadístico de Procesos (SPC), PPAP – Proceso de Aprobación de Piezas de Producción</t>
  </si>
  <si>
    <t xml:space="preserve">Ok / Gracias</t>
  </si>
  <si>
    <t xml:space="preserve">Ingenieria industrial y de sistemas</t>
  </si>
  <si>
    <t xml:space="preserve">Power BI, Microsoft Excel Completo, Lean Manufacturing</t>
  </si>
  <si>
    <t xml:space="preserve">Estoy trabajando  / Estoy en el área de calidad  / Como staff / Gracias</t>
  </si>
  <si>
    <t xml:space="preserve">A ver cómo quedaría?</t>
  </si>
  <si>
    <t xml:space="preserve">2 MSI 3999 (lo pasó Alexander)</t>
  </si>
  <si>
    <t xml:space="preserve">Estoy estudiando gestión de la calidad, pero la carrera es ingeniería en administración de empresas</t>
  </si>
  <si>
    <t xml:space="preserve">Estoy en el departamento de calidad moldeo por inyección</t>
  </si>
  <si>
    <t xml:space="preserve">ISO 9001:2015 Auditor Interno, Liderazgo para Ingenieros, 7 Herramientas de la Calidad</t>
  </si>
  <si>
    <t xml:space="preserve">En estos momentos no me es posible ya que ando en el trabajo</t>
  </si>
  <si>
    <t xml:space="preserve">Supervisor de inventarios</t>
  </si>
  <si>
    <t xml:space="preserve">ISO 9001:2015 Auditor Interno, Gestión de Inventarios, Microsoft Excel Completo</t>
  </si>
  <si>
    <t xml:space="preserve">Sería ahorita ?</t>
  </si>
  <si>
    <t xml:space="preserve">1.4 Facilidades de pago</t>
  </si>
  <si>
    <t xml:space="preserve">Actualmente estoy como analista de calidad</t>
  </si>
  <si>
    <t xml:space="preserve">ISO 9001:2015 Auditor Interno, Inteligencia Emocional, Microsoft Excel Completo</t>
  </si>
  <si>
    <t xml:space="preserve">Estoy cursando la carrera de comercio exterior</t>
  </si>
  <si>
    <t xml:space="preserve">ISO 9001:2015 Auditor Interno, Liderazgo para Ingenieros, Kaizen – Mejora Continua</t>
  </si>
  <si>
    <t xml:space="preserve">Una duda, como serían las clases? Bajo que horarios</t>
  </si>
  <si>
    <t xml:space="preserve">Estoy estudiando Ingenieria Industrial, y trabajo en Jabil como soporte de calidad</t>
  </si>
  <si>
    <t xml:space="preserve">Sii, me interesa</t>
  </si>
  <si>
    <t xml:space="preserve">Actualmente estoy estudiando la carrera de Ingeniería en Industrias Alimentarias / Va / Apenas estoy en tercer semestre por eso me interesaba empezar a tomar cursos 😅 / Pero si, suenan bastante bien las opciones de los cursos</t>
  </si>
  <si>
    <t xml:space="preserve">Apenas estoy en tercer semestre por eso me interesaba empezar a tomar cursos 😅</t>
  </si>
  <si>
    <t xml:space="preserve">Soy ingeniero de mantenimiento, pero gustaría aprender por nuevas oportunidades</t>
  </si>
  <si>
    <t xml:space="preserve">Me parece interesate, como son los medios de pago?</t>
  </si>
  <si>
    <t xml:space="preserve">2 MSI 3999 (lo pasó Salma)</t>
  </si>
  <si>
    <t xml:space="preserve">2 MSI 3999</t>
  </si>
  <si>
    <t xml:space="preserve">Soy ingeniera aeronáutica</t>
  </si>
  <si>
    <t xml:space="preserve">Hoshin Kanri – Planeación Estratégica, Poka Yoke</t>
  </si>
  <si>
    <t xml:space="preserve">Deje escuchar los audios</t>
  </si>
  <si>
    <t xml:space="preserve">Soy ingeniero de calidad en una empresa que está próximo a cerrar operaciones y quiero estar mejor preparada para buscar un mejor trabajo</t>
  </si>
  <si>
    <t xml:space="preserve">Trabajo en maquila</t>
  </si>
  <si>
    <t xml:space="preserve">Quisiera ser auditor de ISO</t>
  </si>
  <si>
    <t xml:space="preserve">Si, me gustaría saber más acerca de las certificaciones y facilidades de pago.</t>
  </si>
  <si>
    <t xml:space="preserve">2 MSI 3999 (lo pasó Joceline)</t>
  </si>
  <si>
    <t xml:space="preserve">gracias por la información, la reviso</t>
  </si>
  <si>
    <t xml:space="preserve">Farmacéutica</t>
  </si>
  <si>
    <t xml:space="preserve">Metodología 5'S, Microsoft Excel Completo</t>
  </si>
  <si>
    <t xml:space="preserve">Costos por favor</t>
  </si>
  <si>
    <t xml:space="preserve">Estoy en un departamento de ventas. / Y soy egresado de Administración. / Tengo solo un par de preguntas. / Que certificaciones manejan? / Para áreas de ventas que cursos manejan  / Y para departamentos de recursos humanos / No tengo duda de que el que solicitó información no vaya a funcionar, ya qu</t>
  </si>
  <si>
    <t xml:space="preserve">Texto (aviso del audio) + Audio + Cursos (7)</t>
  </si>
  <si>
    <t xml:space="preserve">ISO 9001:2015 Auditor Interno, Gestión de Inventarios, Microsoft Excel Completo, Kaizen – Mejora Continua, Lean Manufacturing, AMEF, Solución de Problemas 8 D's</t>
  </si>
  <si>
    <t xml:space="preserve">Claro si gusta a las 16:00 con gusto podría tomarla</t>
  </si>
  <si>
    <t xml:space="preserve">me gustaría trabajar, aparte de calidad, en ingeniería de proyectos y operaciones</t>
  </si>
  <si>
    <t xml:space="preserve">Metodología SCRUM, Hoshin Kanri – Planeación Estratégica</t>
  </si>
  <si>
    <t xml:space="preserve">Centros de distribución / Analista de sistemas / Wms / Ok</t>
  </si>
  <si>
    <t xml:space="preserve">Power BI, SQL Server</t>
  </si>
  <si>
    <t xml:space="preserve">Dame la oportunidad de revisar, porque en este momento me encuentro en el trabajo</t>
  </si>
  <si>
    <t xml:space="preserve">Trabajé 2 años como / Inge de calidad actualmente no trabajo</t>
  </si>
  <si>
    <t xml:space="preserve">Solución de Problemas para Ingenieros, Poka Yoke, Green Belt – Six Sigma</t>
  </si>
  <si>
    <t xml:space="preserve">muchas gracias por la información, sigo revisando y evaluando las opciones para ver cuál se adapta mejor a lo que busco y a mis posibilidades. Por el momento sigo analizando todo</t>
  </si>
  <si>
    <t xml:space="preserve">Trabajo en el área de calidad</t>
  </si>
  <si>
    <t xml:space="preserve">Poka Yoke, Green Belt – Six Sigma, Solución de Problemas para Ingenieros</t>
  </si>
  <si>
    <t xml:space="preserve">Estudié biotecnología genómica / Y si dios quiere quiero trabajar en una industria de carnes / Si claro</t>
  </si>
  <si>
    <t xml:space="preserve">Power BI, Green Belt – Six Sigma</t>
  </si>
  <si>
    <t xml:space="preserve">Si estoy interesada</t>
  </si>
  <si>
    <t xml:space="preserve">estoy trabajando como inspector de calidad</t>
  </si>
  <si>
    <t xml:space="preserve">Ok actualmente trabajo como responsable de laboratorio en una empresa de alimentos / Ok gracias</t>
  </si>
  <si>
    <t xml:space="preserve">Green Belt – Six Sigma, Kaizen – Mejora Continua</t>
  </si>
  <si>
    <t xml:space="preserve">También me gustaría un curso sobre auditor interno, debido a que también soy auditor en planta.</t>
  </si>
  <si>
    <t xml:space="preserve">Ingeniería en Biotecnología / Si</t>
  </si>
  <si>
    <t xml:space="preserve">Egrese de la carrera hace 2 meses. / Ingeniería industrial</t>
  </si>
  <si>
    <t xml:space="preserve">Soy supervisor de sistemas de gestión integral / Ok / Me interesa pero tambien me gustaría ver si tienen algo de Seguridad, higiene, ambienta, project manager y analista de datos que son otras áreas que llevo</t>
  </si>
  <si>
    <t xml:space="preserve">Me interesa pero tambien me gustaría ver si tienen algo de Seguridad, higiene, ambienta, project manager y analista de datos que son otras áreas que llevo</t>
  </si>
  <si>
    <t xml:space="preserve">Soy recién egresado en Ingeniería Biomédica, actualmente trabajo en una empresa que ofrece servicios de compra, renta e insumos de torres de Laparoscopia / Realmente me interesa obtener certificados ISO debido a que profesores de mi área que me impartieron clased, tienen algunas de manera externa o</t>
  </si>
  <si>
    <t xml:space="preserve">Power BI, TPM – Mantenimiento Total Productivo</t>
  </si>
  <si>
    <t xml:space="preserve">Estoy estudiando actualmente / Ingeniería Industrial y Administración, / Si esta bien! Gracias</t>
  </si>
  <si>
    <t xml:space="preserve">Metodología SCRUM, Power BI, Liderazgo para Ingenieros</t>
  </si>
  <si>
    <t xml:space="preserve">Inspector de calidad y buscando puesto de ingenierío de calidad</t>
  </si>
  <si>
    <t xml:space="preserve">Para poder registrarme o inscribirme como sería? / Estoy estudiando ingeniería industrial</t>
  </si>
  <si>
    <t xml:space="preserve">Quisiera saber sobre las facilidades de pago</t>
  </si>
  <si>
    <t xml:space="preserve">Me encuentro en el área de calidad, con estudios concluidos</t>
  </si>
  <si>
    <t xml:space="preserve">Estoy en el área de manufactura, y calidad</t>
  </si>
  <si>
    <t xml:space="preserve">Estoy en maquiladora como Ing en diseñado mecánico / Mi plan es cambiarme a Sr operaciones</t>
  </si>
  <si>
    <t xml:space="preserve">1.4 Facilidad de pago (lo pasó Salma)</t>
  </si>
  <si>
    <t xml:space="preserve">Buena tarde  / Reviso la info gracias / Y le paso mis dudas gracias</t>
  </si>
  <si>
    <t xml:space="preserve">Por el momento trabajo como residente de calidad , soy ingeniero mecánico administrador / Solo una pregunta es como una clase por horas o seria solo el acceso al catálogo / ??</t>
  </si>
  <si>
    <t xml:space="preserve">Solo una pregunta es como una clase por horas o seria solo el acceso al catálogo</t>
  </si>
  <si>
    <t xml:space="preserve">1.2.1 Negativo (lo pasó el bot)</t>
  </si>
  <si>
    <t xml:space="preserve">estoy estudiando / estoy en 8º cuatri / estoy estudiando ingeniería industrial en manufactura / me parece perfecto, muchas gracias / me parece excelente la recomendación y la explicación / empezaría con los que me dices, y ya después podría tomarlos los que me mandaste primero ?</t>
  </si>
  <si>
    <t xml:space="preserve">me parece excelente la recomendación y la explicación</t>
  </si>
  <si>
    <t xml:space="preserve">Tengo una duda, dice que es membresía anual, La certificación se tiene que renovar? O la renovación es por si quiero mas cursos y certificaciones</t>
  </si>
  <si>
    <t xml:space="preserve">Y en lapso de los 12 meses puedo tomar algún otro curso e igual se me entregaría certificado?</t>
  </si>
  <si>
    <t xml:space="preserve">Es la única promo que manejan?</t>
  </si>
  <si>
    <t xml:space="preserve">Preguntaba porque me salio esta oferta</t>
  </si>
  <si>
    <t xml:space="preserve">MSI 2799</t>
  </si>
  <si>
    <t xml:space="preserve">[audio]</t>
  </si>
  <si>
    <t xml:space="preserve">soy estudiante de la carrera ingeniería en manufactura avanzada</t>
  </si>
  <si>
    <t xml:space="preserve">me parece muy bien pero tengo duda , por ejemplo pago un curso o pago un plan ? Esq apenas voy en 4to cuatrimestre pero ya para enero o por esas fechas pudiera iniciar mis prácticas profesionales y ya queda muy poco tiempo para mejorar mi CV</t>
  </si>
  <si>
    <t xml:space="preserve">Estudiando, ingeniería Mecánica / Ok ok gracias / Si, por favor.</t>
  </si>
  <si>
    <t xml:space="preserve">Trabajo como técnico de mantenimiento</t>
  </si>
  <si>
    <t xml:space="preserve">Solución de Problemas 8 D's, Microsoft Excel Completo</t>
  </si>
  <si>
    <t xml:space="preserve">3. Transferencias / OXXO (lo pasó Salma)</t>
  </si>
  <si>
    <t xml:space="preserve">Estoy estudiando pero me interesa la parte de calidad y Metrologia.</t>
  </si>
  <si>
    <t xml:space="preserve">White Belt – Six Sigma, Kaizen – Mejora Continua, ISO 9001:2015 Auditor Interno</t>
  </si>
  <si>
    <t xml:space="preserve">Estoy estudiando mecatronica y trabajando de becario en logistica</t>
  </si>
  <si>
    <t xml:space="preserve">Lean Manufacturing, Microsoft Excel Completo, Comunicación Efectiva</t>
  </si>
  <si>
    <t xml:space="preserve">En el área de calidad / Auditora</t>
  </si>
  <si>
    <t xml:space="preserve">ISO 19011:2018 Auditorías de Sistemas de Gestión, Solución de Problemas 8 D's, Control Estadístico de Procesos (SPC)</t>
  </si>
  <si>
    <t xml:space="preserve">Trabajo en logística</t>
  </si>
  <si>
    <t xml:space="preserve">White Belt – Six Sigma, Lean Manufacturing, Gestión de Inventarios, Liderazgo para Ingenieros</t>
  </si>
  <si>
    <t xml:space="preserve">Si me interesa pero señora no puedo tomarle la llamada</t>
  </si>
  <si>
    <t xml:space="preserve">1.4 Facilidad de pago (lo pasó Victoria)</t>
  </si>
  <si>
    <t xml:space="preserve">Control Estadístico de Procesos (SPC), AMEF, Plan de Control</t>
  </si>
  <si>
    <t xml:space="preserve">Estoy en Industria Alimenticia, en la parte de proyectos.</t>
  </si>
  <si>
    <t xml:space="preserve">Microsoft Excel Completo, Metodología SCRUM, Hoshin Kanri – Planeación Estratégica</t>
  </si>
  <si>
    <t xml:space="preserve">¿Estas incluyen DC-3, Reconocimiento y Diplomado del curso?</t>
  </si>
  <si>
    <t xml:space="preserve">Buenas noches / Me presento soy  / Mayela / Son ingeniera en Gestión Empresarial  / Actualmente trabajo como supervisora de calidad</t>
  </si>
  <si>
    <t xml:space="preserve">Control Estadístico de Procesos (SPC), Solución de Problemas 8 D's, AMEF</t>
  </si>
  <si>
    <t xml:space="preserve">1.2.1 Negativo</t>
  </si>
  <si>
    <t xml:space="preserve">ingeniería y diseño</t>
  </si>
  <si>
    <t xml:space="preserve">PPAP – Proceso de Aprobación de Piezas de Producción, Power BI</t>
  </si>
  <si>
    <t xml:space="preserve">trabajo en el area de calidad</t>
  </si>
  <si>
    <t xml:space="preserve">Liderazgo para Líderes y Supervisores</t>
  </si>
  <si>
    <t xml:space="preserve">Si me gustaría saber</t>
  </si>
  <si>
    <t xml:space="preserve">Trabajo en el área de mantenimiento, actualmente estoy como técnico pero busco crecer y pasar a puesto de ingeniería / Gracias / Cuantas horas totales son del curso? / Las 144? / O si agregas esos cursos aumentan?</t>
  </si>
  <si>
    <t xml:space="preserve">White Belt – Six Sigma, Lean Manufacturing, Liderazgo para Ingenieros, Manejo del Personal</t>
  </si>
  <si>
    <t xml:space="preserve">Cuantas horas totales son del curso?</t>
  </si>
  <si>
    <t xml:space="preserve">1.3 Llamadita y facilidad de pago</t>
  </si>
  <si>
    <t xml:space="preserve">Trabajo en calidad / En la industria metalúrgica</t>
  </si>
  <si>
    <t xml:space="preserve">AMEF, ISO 9001:2015 Auditor Interno</t>
  </si>
  <si>
    <t xml:space="preserve">Sabes que ando ocupado</t>
  </si>
  <si>
    <t xml:space="preserve">Estoy trabajando como almacenista, pero me gusta mucho lo que es calidad en esa área tengo 4 años de experiencia y quiero seguir aprendiendo</t>
  </si>
  <si>
    <t xml:space="preserve">Gestión de Inventarios, ISO 9001:2015 Auditor Interno</t>
  </si>
  <si>
    <t xml:space="preserve">Claro que me gusta , todo está súper bien, como sería el  año y los pagos</t>
  </si>
  <si>
    <t xml:space="preserve">Estoy en el área de Ingeniería y a también estudio Ing industrial</t>
  </si>
  <si>
    <t xml:space="preserve">White Belt – Six Sigma, Lean Manufacturing, ISO 9001:2015 Auditor Interno, Microsoft Excel Completo</t>
  </si>
  <si>
    <t xml:space="preserve">Si por favor,me interesa</t>
  </si>
  <si>
    <t xml:space="preserve">Estudie control y automatización y soy recién egresada / Si gracias / Aún no / Muchas gracias permítame analizarlo</t>
  </si>
  <si>
    <t xml:space="preserve">Muchas gracias permítame analizarlo</t>
  </si>
  <si>
    <t xml:space="preserve">1.3 Llamadita y facilidad de pago (lo pasó Alexander)</t>
  </si>
  <si>
    <t xml:space="preserve">Estoy estudiando ingeniería química / manejan un solo pago?</t>
  </si>
  <si>
    <t xml:space="preserve">White Belt – Six Sigma, Lean Manufacturing, Yellow Belt – Six Sigma, Microsoft Excel Completo</t>
  </si>
  <si>
    <t xml:space="preserve">yo le aviso cuando, es que me encuentro fuera de mi casa y se me complica tomar la llamada</t>
  </si>
  <si>
    <t xml:space="preserve">Estoy trabajando en area de empaque (producción) y estoy estudiando ingeniería industrial / Bien, como se manejan los cursos?</t>
  </si>
  <si>
    <t xml:space="preserve">Microsoft Excel Completo, Metodología 5'S, SMED, Trabajo Estándar</t>
  </si>
  <si>
    <t xml:space="preserve">Bien, como se manejan los cursos?</t>
  </si>
  <si>
    <t xml:space="preserve">Tengo varias ramas, soy pedagogo, pero también estoy en el sector ambiental y de seguridad e higiene / Preferiría en otro momento</t>
  </si>
  <si>
    <t xml:space="preserve">Lean Manufacturing, Kaizen – Mejora Continua, ISO 9001:2015 Auditor Interno</t>
  </si>
  <si>
    <t xml:space="preserve">Preferiría en otro momento</t>
  </si>
  <si>
    <t xml:space="preserve">Soy ingeniero en mantenimiento industrial y trabajo en esa área</t>
  </si>
  <si>
    <t xml:space="preserve">Solución de Problemas 8 D's, Liderazgo para Líderes y Supervisores</t>
  </si>
  <si>
    <t xml:space="preserve">Quiero ser ingeniero de proyectos Sr, actualmente me están capacitando en lean y soy ingeniero en robótica de profesión / ok</t>
  </si>
  <si>
    <t xml:space="preserve">pregunta: / -El curso tiene un  valor, sin embargo la certificación u obtener el papel que te avala tiene un costo aparte? / -Tengo que hacer mi cuenta y se queda guardado mi perfil para obtener el acceso al curso y durante cuanto tiempo. / -Los meses sin intereses con que tarjetas aplica.</t>
  </si>
  <si>
    <t xml:space="preserve">Coordinador de inventarios en un cedis de congelados y estoy estudiando administración de empresas / Me interesa el lean six sigma green belt  / Como se aprueba? Con un examen ? Con la entrega de un proyecto?</t>
  </si>
  <si>
    <t xml:space="preserve">Gestión de Inventarios, Cómo hablar en una entrevista de trabajo</t>
  </si>
  <si>
    <t xml:space="preserve">Me interesa el lean six sigma green belt  / Como se aprueba? Con un examen ? Con la entrega de un proyecto?</t>
  </si>
  <si>
    <t xml:space="preserve">Estoy como asistente de manufactura y quiero dedicarme más a calidad</t>
  </si>
  <si>
    <t xml:space="preserve">ISO 9001:2015 Auditor Interno, AMEF</t>
  </si>
  <si>
    <t xml:space="preserve">Soy ingeniero en procesos pero actualmente tengo el puesto de técnico en lean</t>
  </si>
  <si>
    <t xml:space="preserve">Poka Yoke, Microsoft Excel Completo</t>
  </si>
  <si>
    <t xml:space="preserve">En el área de calidad</t>
  </si>
  <si>
    <t xml:space="preserve">Buenos días, si por favor</t>
  </si>
  <si>
    <t xml:space="preserve">Estudié administración y trabajo en ventas</t>
  </si>
  <si>
    <t xml:space="preserve">Experto en Ventas, El Arte de la Persuasión</t>
  </si>
  <si>
    <t xml:space="preserve">1.4 Facilidad de pago (lo pasó el bot)</t>
  </si>
  <si>
    <t xml:space="preserve">1.4 Facilidad de pago</t>
  </si>
  <si>
    <t xml:space="preserve">Actualmente no me encuentro trabajando, tengo 2 meses que me sali de donde me encontraba. Pero tengo experiencia en el sector automotriz como supervisor de producción / El costo de 3999 es de todo el curso? / o sea, es como un costo anual? / que mantiene esas certificaciones?</t>
  </si>
  <si>
    <t xml:space="preserve">o sea, es como un costo anual?</t>
  </si>
  <si>
    <t xml:space="preserve">Acabo de terminar mi carrera de ingeniera en tecnologías de manufactura actualmente no estoy trabajando, e tenido 2 trabajos, 1 fue de pintora en el área metal mecánica y el segundo de asistente administrativo en el departamento de jigs &amp; fixtures también en una empresa metal mecánica las dos empres</t>
  </si>
  <si>
    <t xml:space="preserve">AMEF, Control Estadístico de Procesos (SPC), Microsoft Excel Completo</t>
  </si>
  <si>
    <t xml:space="preserve">Okay dame un momento para revisarlas 1 por 1</t>
  </si>
  <si>
    <t xml:space="preserve">Mande / Solo soy ama de cada pero siempre me gusta aprender algo nuevo</t>
  </si>
  <si>
    <t xml:space="preserve">White Belt – Six Sigma, Lean Manufacturing, Microsoft Excel Completo, Kaizen – Mejora Continua</t>
  </si>
  <si>
    <t xml:space="preserve">Trabajo en una empresa electrónica en el área de Ingeniería Industrial que eso fue lo que estudié / Ese nos interesa / si por favor / Meses sin intereses</t>
  </si>
  <si>
    <t xml:space="preserve">AMEF, Control Estadístico de Procesos (SPC)</t>
  </si>
  <si>
    <t xml:space="preserve">si nos interesa</t>
  </si>
  <si>
    <t xml:space="preserve">Estoy trabajando como auditor de calidad</t>
  </si>
  <si>
    <t xml:space="preserve">Si muy amable, me gustaría cln</t>
  </si>
  <si>
    <t xml:space="preserve">En qué horarios serían las sesiones?</t>
  </si>
  <si>
    <t xml:space="preserve">Estoy como operador de ensamble  / Pero me genera curiosidad el área de calidad  / Y así mismo me gustaría saber acerca de seguridad / Claro , gracias</t>
  </si>
  <si>
    <t xml:space="preserve">Procesos y calidad / Ok</t>
  </si>
  <si>
    <t xml:space="preserve">AMEF, 7 Herramientas de la Calidad</t>
  </si>
  <si>
    <t xml:space="preserve">Cuál es el costo del curso</t>
  </si>
  <si>
    <t xml:space="preserve">Me encuentro en el departamento de calidad / Si está bien gracias</t>
  </si>
  <si>
    <t xml:space="preserve">AMEF, Control Estadístico de Procesos (SPC), Solución de Problemas 8 D's</t>
  </si>
  <si>
    <t xml:space="preserve">Si está bien gracias</t>
  </si>
  <si>
    <t xml:space="preserve">Ya tengo las primeras 2 certificaciones white belt y yellow belt</t>
  </si>
  <si>
    <t xml:space="preserve">Trabajo en el area de calidad, como Auditor de calidad de Procesos Sheet Metal, en una empresa Metalmecanica / Okey lic gracias</t>
  </si>
  <si>
    <t xml:space="preserve">Estoy terminando la carrera de ingeniería industrial</t>
  </si>
  <si>
    <t xml:space="preserve">Estoy trabajando en el área de electromecánica / Le agradecería</t>
  </si>
  <si>
    <t xml:space="preserve">excelente, es un solo pago y puedo terminar los cursos en el tiempo que quiera o tengo un tiempo o fecha limite? / trabajo en el area de produccion, especificamente de playo / seria a msi, y una pregunta mas, las certificaciones al final cada curso que termine, tiene un costo a parte o ya viene incl</t>
  </si>
  <si>
    <t xml:space="preserve">OEE, Control Estadístico de Procesos (SPC), Solución de Problemas 8 D's</t>
  </si>
  <si>
    <t xml:space="preserve">Enviado</t>
  </si>
  <si>
    <t xml:space="preserve">¿De 8 a 22 h?</t>
  </si>
  <si>
    <t xml:space="preserve">Lo mandó</t>
  </si>
  <si>
    <t xml:space="preserve">Tipo</t>
  </si>
  <si>
    <t xml:space="preserve">Rol</t>
  </si>
  <si>
    <t xml:space="preserve">Etapa del lead</t>
  </si>
  <si>
    <t xml:space="preserve">Etapa (grupo)</t>
  </si>
  <si>
    <t xml:space="preserve">Duración (s)</t>
  </si>
  <si>
    <t xml:space="preserve">¿Audio reutilizado?</t>
  </si>
  <si>
    <t xml:space="preserve">¿Es la recomendación del paso 1.2?</t>
  </si>
  <si>
    <t xml:space="preserve">¿Lo vio? (palomitas azules)</t>
  </si>
  <si>
    <t xml:space="preserve">Minutos hasta que lo vio</t>
  </si>
  <si>
    <t xml:space="preserve">¿El lead escribió en las 24 h siguientes?</t>
  </si>
  <si>
    <t xml:space="preserve">Minutos hasta que el lead escribió</t>
  </si>
  <si>
    <t xml:space="preserve">Bot</t>
  </si>
  <si>
    <t xml:space="preserve">Bot (automático)</t>
  </si>
  <si>
    <t xml:space="preserve">bot</t>
  </si>
  <si>
    <t xml:space="preserve">Negativo</t>
  </si>
  <si>
    <t xml:space="preserve">Sí (el mismo para todos)</t>
  </si>
  <si>
    <t xml:space="preserve">1.1 / 1.2 Informes y lista</t>
  </si>
  <si>
    <t xml:space="preserve">Facilidades de pago (1.3 y 1.4)</t>
  </si>
  <si>
    <t xml:space="preserve">Leads entrantes</t>
  </si>
  <si>
    <t xml:space="preserve">Otra</t>
  </si>
  <si>
    <t xml:space="preserve">Forma o medio de pago</t>
  </si>
  <si>
    <t xml:space="preserve">Notas y definiciones</t>
  </si>
  <si>
    <t xml:space="preserve">Cómo se midió cada dato</t>
  </si>
  <si>
    <t xml:space="preserve">Período y corte</t>
  </si>
  <si>
    <t xml:space="preserve">Leads de ISO + Calidad, Manufactura y Calidad y Core Tools Premium a los que el bot les hizo la pregunta del paso 1.2 entre el 5 y el 15 de octubre de 2026. Todo se mide hasta el 15 de octubre a las 23:59 h (Monterrey). Son los mismos leads de los libros de línea base (As Is).</t>
  </si>
  <si>
    <t xml:space="preserve">La pregunta</t>
  </si>
  <si>
    <t xml:space="preserve">«Solo una pregunta, ¿en qué área trabajas actualmente? o ¿estás estudiando?», que manda el bot en 1.2 Lista de cursos. Si nadie mueve al lead, el bot lo pasa a Negativo 2 h después.</t>
  </si>
  <si>
    <t xml:space="preserve">«Sí» = en 24 h dijo su área o que estudia (agrupado por palabras en la columna Perfil). «Respondió otra cosa» = escribió en 24 h pero no su perfil (una duda, el precio, «gracias»). «No» = no escribió en 24 h. En la muestra anterior «Respondió otra cosa» se contaba dentro de «No».</t>
  </si>
  <si>
    <t xml:space="preserve">Vio la pregunta o el audio</t>
  </si>
  <si>
    <t xml:space="preserve">Palomitas azules de WhatsApp antes del corte. En un audio no garantiza que lo haya escuchado completo.</t>
  </si>
  <si>
    <t xml:space="preserve">Recomendación</t>
  </si>
  <si>
    <t xml:space="preserve">La primera nota de voz de una persona en las 24 h siguientes a la respuesta del lead. Si no hubo audio, el primer mensaje de una persona. «Qué se envió» resume los mensajes de las personas hasta 30 min después: aviso («te mando un audio»), audio y cursos (links a academy.dpsys.com.mx).</t>
  </si>
  <si>
    <t xml:space="preserve">Minutos</t>
  </si>
  <si>
    <t xml:space="preserve">Minutos de reloj, con fórmula sobre las horas de la pestaña Detalle por lead. «Del aviso al audio» = del «te mando un audio» al audio (grabarlo y subirlo).</t>
  </si>
  <si>
    <t xml:space="preserve">Respondió después</t>
  </si>
  <si>
    <t xml:space="preserve">El lead escribió algo después de la recomendación, hasta el corte. «Paso al que se mandó» = el primer cambio de etapa después de esa respuesta y quién lo hizo.</t>
  </si>
  <si>
    <t xml:space="preserve">El bot lo pasó a Negativo</t>
  </si>
  <si>
    <t xml:space="preserve">Movimiento automático (no manual) a la etapa Negativo del embudo después de la recomendación o después de que el lead respondió. «Horas desde su último mensaje» se mide contra el último mensaje del lead antes de ese movimiento.</t>
  </si>
  <si>
    <t xml:space="preserve">Duración del audio</t>
  </si>
  <si>
    <t xml:space="preserve">Medida sobre cada archivo de audio (ffprobe). «Reutilizado» = el mismo archivo se mandó a más de un lead.</t>
  </si>
  <si>
    <t xml:space="preserve">Audios del equipo</t>
  </si>
  <si>
    <t xml:space="preserve">Todas las notas de voz de personas y el audio automático del bot (uno por embudo, al entrar a Negativo) del período, con lo que hizo el lead en las 24 h siguientes.</t>
  </si>
  <si>
    <t xml:space="preserve">Hora de Monterrey (central de México). Se usa la ventana de 8:00 a antes de 22:00 de la muestra anterior.</t>
  </si>
  <si>
    <t xml:space="preserve">Lead en la etapa Ganado al corte.</t>
  </si>
  <si>
    <t xml:space="preserve">Privacidad</t>
  </si>
  <si>
    <t xml:space="preserve">Sin nombres ni teléfonos de los leads (se identifican por su número en el CRM). En los textos de los leads se ocultan correos y teléfonos.</t>
  </si>
  <si>
    <t xml:space="preserve">Fórmulas</t>
  </si>
  <si>
    <t xml:space="preserve">Todo lo que no está en gris en Resumen es fórmula sobre Detalle por lead o Detalle de audios. Los límites de los rangos de minutos (Tiempos, columna A, en azul) se pueden cambiar.</t>
  </si>
  <si>
    <t xml:space="preserve">Límites</t>
  </si>
  <si>
    <t xml:space="preserve">Pocos ganados: un solo caso mueve mucho los porcentajes. Las diferencias por tiempo de respuesta todavía no son concluyentes. Las relaciones entre audio y respuesta no prueban causa.</t>
  </si>
  <si>
    <t xml:space="preserve">Escrito en</t>
  </si>
  <si>
    <t xml:space="preserve">Fuente</t>
  </si>
  <si>
    <t xml:space="preserve">Objeto</t>
  </si>
  <si>
    <t xml:space="preserve">Obtenido con</t>
  </si>
  <si>
    <t xml:space="preserve">Consulta</t>
  </si>
  <si>
    <t xml:space="preserve">Parámetros</t>
  </si>
  <si>
    <t xml:space="preserve">Leído</t>
  </si>
  <si>
    <t xml:space="preserve">Pedido por</t>
  </si>
  <si>
    <t xml:space="preserve">Renglones</t>
  </si>
  <si>
    <t xml:space="preserve">Cambios después de leerlo</t>
  </si>
  <si>
    <t xml:space="preserve">Notas</t>
  </si>
  <si>
    <t xml:space="preserve">'Detalle por lead'!A1:AK616</t>
  </si>
  <si>
    <t xml:space="preserve">CRM SyS</t>
  </si>
  <si>
    <t xml:space="preserve">crm-web-production-3b33.up.railway.app: /embudos, /embudos/:id/tablero, /conversaciones/:id, /conversaciones/:id/mensajes, /conversaciones/:id/movimientos, /equipo, /archivos/:id</t>
  </si>
  <si>
    <t xml:space="preserve">Leído por Claude con la API del CRM, solo consultas de lectura (GET), con la cuenta de Joceline (vendedor, eje Cursos)</t>
  </si>
  <si>
    <t xml:space="preserve">Paso 1.2 de los tres embudos: respuesta a «¿en qué área trabajas?», recomendación con audio del equipo y lo que pasó después</t>
  </si>
  <si>
    <t xml:space="preserve">Embudos ISO + Calidad, Manufactura y Calidad y Core Tools Premium; leads con la pregunta del 5 al 15 de oct 2026; corte 15 oct 23:59 h</t>
  </si>
  <si>
    <t xml:space="preserve">16 oct 2026 (hora de Monterrey)</t>
  </si>
  <si>
    <t xml:space="preserve">Rosbel</t>
  </si>
  <si>
    <t xml:space="preserve">Una fila por lead; perfil agrupado por palabras; textos con correos y teléfonos ocultos; duración de audios con ffprobe</t>
  </si>
  <si>
    <t xml:space="preserve">Actualiza la hoja «Analisis_Muestra_SyS» (Manufactura, 5 al 12 oct, 70 leads).</t>
  </si>
  <si>
    <t xml:space="preserve">'Detalle de audios'!A1:Q810</t>
  </si>
  <si>
    <t xml:space="preserve">Todas las notas de voz de personas y el audio automático del bot en los tres embudos</t>
  </si>
  <si>
    <t xml:space="preserve">Mismos leads y corte</t>
  </si>
  <si>
    <t xml:space="preserve">Una fila por audio; duración con ffprobe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</si>
</sst>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"/>
    <numFmt numFmtId="167" formatCode="0%"/>
    <numFmt numFmtId="168" formatCode="0.0%"/>
    <numFmt numFmtId="169" formatCode="0"/>
    <numFmt numFmtId="170" formatCode="dd/mm/yyyy\ hh:mm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7"/>
      <color rgb="FF330A28"/>
      <name val="Arial"/>
      <family val="0"/>
      <charset val="1"/>
    </font>
    <font>
      <i val="true"/>
      <sz val="9"/>
      <color rgb="FF6F6270"/>
      <name val="Arial"/>
      <family val="0"/>
      <charset val="1"/>
    </font>
    <font>
      <b val="true"/>
      <sz val="22"/>
      <color rgb="FF800E64"/>
      <name val="Arial"/>
      <family val="0"/>
      <charset val="1"/>
    </font>
    <font>
      <b val="true"/>
      <sz val="9"/>
      <color rgb="FF330A28"/>
      <name val="Arial"/>
      <family val="0"/>
      <charset val="1"/>
    </font>
    <font>
      <sz val="10"/>
      <color rgb="FF4A3540"/>
      <name val="Arial"/>
      <family val="0"/>
      <charset val="1"/>
    </font>
    <font>
      <b val="true"/>
      <sz val="12"/>
      <color rgb="FF800E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800E64"/>
      <name val="Arial"/>
      <family val="0"/>
      <charset val="1"/>
    </font>
    <font>
      <b val="true"/>
      <sz val="10"/>
      <color rgb="FF4A354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330A2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6F6270"/>
      <name val="Arial"/>
      <family val="0"/>
      <charset val="1"/>
    </font>
    <font>
      <sz val="10"/>
      <color rgb="FF6F627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4A354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800E64"/>
        <bgColor rgb="FF800080"/>
      </patternFill>
    </fill>
    <fill>
      <patternFill patternType="solid">
        <fgColor rgb="FFFFFFFF"/>
        <bgColor rgb="FFFBF8FA"/>
      </patternFill>
    </fill>
    <fill>
      <patternFill patternType="solid">
        <fgColor rgb="FFFBF1F6"/>
        <bgColor rgb="FFFBF8FA"/>
      </patternFill>
    </fill>
    <fill>
      <patternFill patternType="solid">
        <fgColor rgb="FFFBF8FA"/>
        <bgColor rgb="FFFBF1F6"/>
      </patternFill>
    </fill>
    <fill>
      <patternFill patternType="solid">
        <fgColor rgb="FF6F6270"/>
        <bgColor rgb="FF878787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00E64"/>
      </bottom>
      <diagonal/>
    </border>
    <border diagonalUp="false" diagonalDown="false">
      <left style="thin">
        <color rgb="FFE6DCE3"/>
      </left>
      <right style="thin">
        <color rgb="FFE6DCE3"/>
      </right>
      <top style="thin">
        <color rgb="FFE6DCE3"/>
      </top>
      <bottom style="thin">
        <color rgb="FFE6DCE3"/>
      </bottom>
      <diagonal/>
    </border>
    <border diagonalUp="false" diagonalDown="false">
      <left/>
      <right/>
      <top/>
      <bottom style="thin">
        <color rgb="FFE6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800E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A354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E64"/>
      <rgbColor rgb="FF008080"/>
      <rgbColor rgb="FFC0C0C0"/>
      <rgbColor rgb="FF878787"/>
      <rgbColor rgb="FF9999FF"/>
      <rgbColor rgb="FFC94F9B"/>
      <rgbColor rgb="FFFBF8FA"/>
      <rgbColor rgb="FFFBF1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6DCE3"/>
      <rgbColor rgb="FF3366FF"/>
      <rgbColor rgb="FF33CCCC"/>
      <rgbColor rgb="FF99CC00"/>
      <rgbColor rgb="FFFFCC00"/>
      <rgbColor rgb="FFFF9900"/>
      <rgbColor rgb="FFFF6600"/>
      <rgbColor rgb="FF6F6270"/>
      <rgbColor rgb="FFB98AAA"/>
      <rgbColor rgb="FF003366"/>
      <rgbColor rgb="FF339966"/>
      <rgbColor rgb="FF003300"/>
      <rgbColor rgb="FF330A28"/>
      <rgbColor rgb="FF993300"/>
      <rgbColor rgb="FF993366"/>
      <rgbColor rgb="FF333399"/>
      <rgbColor rgb="FF4A3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Tasa de respuesta según el tiempo a la recomendación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800e64"/>
            </a:solidFill>
            <a:ln w="9360">
              <a:solidFill>
                <a:srgbClr val="800e64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'Panel SyS'!$A$17:$A$21</c:f>
              <c:strCache>
                <c:ptCount val="5"/>
                <c:pt idx="0">
                  <c:v>Menos de 4 min</c:v>
                </c:pt>
                <c:pt idx="1">
                  <c:v>4 a 6 min</c:v>
                </c:pt>
                <c:pt idx="2">
                  <c:v>6 a 10 min</c:v>
                </c:pt>
                <c:pt idx="3">
                  <c:v>10 a 30 min</c:v>
                </c:pt>
                <c:pt idx="4">
                  <c:v>30 min o más</c:v>
                </c:pt>
              </c:strCache>
            </c:strRef>
          </c:cat>
          <c:val>
            <c:numRef>
              <c:f>'Panel SyS'!$E$17:$E$21</c:f>
              <c:numCache>
                <c:formatCode>0%</c:formatCode>
                <c:ptCount val="5"/>
                <c:pt idx="0">
                  <c:v>0.759259259259259</c:v>
                </c:pt>
                <c:pt idx="1">
                  <c:v>0.60377358490566</c:v>
                </c:pt>
                <c:pt idx="2">
                  <c:v>0.653846153846154</c:v>
                </c:pt>
                <c:pt idx="3">
                  <c:v>0.660714285714286</c:v>
                </c:pt>
                <c:pt idx="4">
                  <c:v>0.55</c:v>
                </c:pt>
              </c:numCache>
            </c:numRef>
          </c:val>
        </c:ser>
        <c:gapWidth val="150"/>
        <c:overlap val="0"/>
        <c:axId val="77416148"/>
        <c:axId val="33738917"/>
      </c:barChart>
      <c:catAx>
        <c:axId val="774161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38917"/>
        <c:crosses val="autoZero"/>
        <c:auto val="1"/>
        <c:lblAlgn val="ctr"/>
        <c:lblOffset val="100"/>
        <c:noMultiLvlLbl val="0"/>
      </c:catAx>
      <c:valAx>
        <c:axId val="3373891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416148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que respondió según los minutos a la recomendación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800e64"/>
            </a:solidFill>
            <a:ln w="9360">
              <a:solidFill>
                <a:srgbClr val="800e64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Tiempos!$B$6:$B$10</c:f>
              <c:strCache>
                <c:ptCount val="5"/>
                <c:pt idx="0">
                  <c:v>Menos de 4 min</c:v>
                </c:pt>
                <c:pt idx="1">
                  <c:v>4 a 6 min</c:v>
                </c:pt>
                <c:pt idx="2">
                  <c:v>6 a 10 min</c:v>
                </c:pt>
                <c:pt idx="3">
                  <c:v>10 a 30 min</c:v>
                </c:pt>
                <c:pt idx="4">
                  <c:v>30 min o más</c:v>
                </c:pt>
              </c:strCache>
            </c:strRef>
          </c:cat>
          <c:val>
            <c:numRef>
              <c:f>Tiempos!$E$6:$E$10</c:f>
              <c:numCache>
                <c:formatCode>0.0%</c:formatCode>
                <c:ptCount val="5"/>
                <c:pt idx="0">
                  <c:v>0.759259259259259</c:v>
                </c:pt>
                <c:pt idx="1">
                  <c:v>0.60377358490566</c:v>
                </c:pt>
                <c:pt idx="2">
                  <c:v>0.653846153846154</c:v>
                </c:pt>
                <c:pt idx="3">
                  <c:v>0.660714285714286</c:v>
                </c:pt>
                <c:pt idx="4">
                  <c:v>0.55</c:v>
                </c:pt>
              </c:numCache>
            </c:numRef>
          </c:val>
        </c:ser>
        <c:gapWidth val="150"/>
        <c:overlap val="0"/>
        <c:axId val="57997592"/>
        <c:axId val="65372675"/>
      </c:barChart>
      <c:catAx>
        <c:axId val="57997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72675"/>
        <c:crosses val="autoZero"/>
        <c:auto val="1"/>
        <c:lblAlgn val="ctr"/>
        <c:lblOffset val="100"/>
        <c:noMultiLvlLbl val="0"/>
      </c:catAx>
      <c:valAx>
        <c:axId val="65372675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997592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14</xdr:row>
      <xdr:rowOff>0</xdr:rowOff>
    </xdr:from>
    <xdr:to>
      <xdr:col>12</xdr:col>
      <xdr:colOff>534240</xdr:colOff>
      <xdr:row>25</xdr:row>
      <xdr:rowOff>147960</xdr:rowOff>
    </xdr:to>
    <xdr:graphicFrame>
      <xdr:nvGraphicFramePr>
        <xdr:cNvPr id="0" name="Chart 1"/>
        <xdr:cNvGraphicFramePr/>
      </xdr:nvGraphicFramePr>
      <xdr:xfrm>
        <a:off x="4865400" y="3924360"/>
        <a:ext cx="53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0</xdr:rowOff>
    </xdr:from>
    <xdr:to>
      <xdr:col>8</xdr:col>
      <xdr:colOff>276840</xdr:colOff>
      <xdr:row>39</xdr:row>
      <xdr:rowOff>21960</xdr:rowOff>
    </xdr:to>
    <xdr:graphicFrame>
      <xdr:nvGraphicFramePr>
        <xdr:cNvPr id="1" name="Chart 1"/>
        <xdr:cNvGraphicFramePr/>
      </xdr:nvGraphicFramePr>
      <xdr:xfrm>
        <a:off x="986760" y="56577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0E64"/>
    <pageSetUpPr fitToPage="true"/>
  </sheetPr>
  <dimension ref="A1:L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1.5"/>
  </cols>
  <sheetData>
    <row r="1" customFormat="false" ht="25.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5" hidden="false" customHeight="false" outlineLevel="0" collapsed="false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customFormat="false" ht="15" hidden="false" customHeight="false" outlineLevel="0" collapsed="false">
      <c r="A4" s="7" t="s">
        <v>3</v>
      </c>
    </row>
    <row r="6" customFormat="false" ht="24" hidden="false" customHeight="true" outlineLevel="0" collapsed="false">
      <c r="A6" s="8" t="n">
        <f aca="false">Resumen!H10</f>
        <v>615</v>
      </c>
      <c r="B6" s="8"/>
      <c r="C6" s="8" t="n">
        <f aca="false">Resumen!H11</f>
        <v>236</v>
      </c>
      <c r="D6" s="8"/>
      <c r="E6" s="8" t="n">
        <f aca="false">Resumen!H18</f>
        <v>220</v>
      </c>
      <c r="F6" s="8"/>
      <c r="G6" s="9" t="n">
        <f aca="false">Resumen!H21</f>
        <v>6.4108166762</v>
      </c>
      <c r="H6" s="9"/>
      <c r="I6" s="8" t="n">
        <f aca="false">Resumen!H31</f>
        <v>155</v>
      </c>
      <c r="J6" s="8"/>
      <c r="K6" s="8" t="n">
        <f aca="false">Resumen!H34</f>
        <v>85</v>
      </c>
      <c r="L6" s="8"/>
    </row>
    <row r="7" customFormat="false" ht="19.5" hidden="false" customHeight="true" outlineLevel="0" collapsed="false">
      <c r="A7" s="8"/>
      <c r="B7" s="8"/>
      <c r="C7" s="8"/>
      <c r="D7" s="8"/>
      <c r="E7" s="8"/>
      <c r="F7" s="8"/>
      <c r="G7" s="9"/>
      <c r="H7" s="9"/>
      <c r="I7" s="8"/>
      <c r="J7" s="8"/>
      <c r="K7" s="8"/>
      <c r="L7" s="8"/>
    </row>
    <row r="8" customFormat="false" ht="15" hidden="false" customHeight="true" outlineLevel="0" collapsed="false">
      <c r="A8" s="10" t="s">
        <v>4</v>
      </c>
      <c r="B8" s="10"/>
      <c r="C8" s="10" t="s">
        <v>5</v>
      </c>
      <c r="D8" s="10"/>
      <c r="E8" s="10" t="s">
        <v>6</v>
      </c>
      <c r="F8" s="10"/>
      <c r="G8" s="10" t="s">
        <v>7</v>
      </c>
      <c r="H8" s="10"/>
      <c r="I8" s="10" t="s">
        <v>8</v>
      </c>
      <c r="J8" s="10"/>
      <c r="K8" s="10" t="s">
        <v>9</v>
      </c>
      <c r="L8" s="10"/>
    </row>
    <row r="10" customFormat="false" ht="30" hidden="false" customHeight="true" outlineLevel="0" collapsed="false">
      <c r="A10" s="11" t="s">
        <v>10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customFormat="false" ht="30" hidden="false" customHeight="true" outlineLevel="0" collapsed="false">
      <c r="A11" s="11" t="s">
        <v>11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customFormat="false" ht="30" hidden="false" customHeight="true" outlineLevel="0" collapsed="false">
      <c r="A12" s="11" t="s">
        <v>12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customFormat="false" ht="30" hidden="false" customHeight="true" outlineLevel="0" collapsed="false">
      <c r="A13" s="11" t="s">
        <v>13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5" customFormat="false" ht="21.75" hidden="false" customHeight="true" outlineLevel="0" collapsed="false">
      <c r="A15" s="12" t="s">
        <v>14</v>
      </c>
    </row>
    <row r="16" customFormat="false" ht="30" hidden="false" customHeight="true" outlineLevel="0" collapsed="false">
      <c r="A16" s="13" t="s">
        <v>15</v>
      </c>
      <c r="B16" s="13"/>
      <c r="C16" s="14" t="s">
        <v>16</v>
      </c>
      <c r="D16" s="14" t="s">
        <v>17</v>
      </c>
      <c r="E16" s="14" t="s">
        <v>18</v>
      </c>
    </row>
    <row r="17" customFormat="false" ht="15" hidden="false" customHeight="false" outlineLevel="0" collapsed="false">
      <c r="A17" s="15" t="str">
        <f aca="false">Tiempos!B6</f>
        <v>Menos de 4 min</v>
      </c>
      <c r="B17" s="15"/>
      <c r="C17" s="16" t="n">
        <f aca="false">Tiempos!C6</f>
        <v>54</v>
      </c>
      <c r="D17" s="16" t="n">
        <f aca="false">Tiempos!D6</f>
        <v>41</v>
      </c>
      <c r="E17" s="17" t="n">
        <f aca="false">IFERROR(D17/C17,0)</f>
        <v>0.759259259259259</v>
      </c>
    </row>
    <row r="18" customFormat="false" ht="15" hidden="false" customHeight="false" outlineLevel="0" collapsed="false">
      <c r="A18" s="18" t="str">
        <f aca="false">Tiempos!B7</f>
        <v>4 a 6 min</v>
      </c>
      <c r="B18" s="18"/>
      <c r="C18" s="19" t="n">
        <f aca="false">Tiempos!C7</f>
        <v>53</v>
      </c>
      <c r="D18" s="19" t="n">
        <f aca="false">Tiempos!D7</f>
        <v>32</v>
      </c>
      <c r="E18" s="20" t="n">
        <f aca="false">IFERROR(D18/C18,0)</f>
        <v>0.60377358490566</v>
      </c>
    </row>
    <row r="19" customFormat="false" ht="15" hidden="false" customHeight="false" outlineLevel="0" collapsed="false">
      <c r="A19" s="15" t="str">
        <f aca="false">Tiempos!B8</f>
        <v>6 a 10 min</v>
      </c>
      <c r="B19" s="15"/>
      <c r="C19" s="16" t="n">
        <f aca="false">Tiempos!C8</f>
        <v>52</v>
      </c>
      <c r="D19" s="16" t="n">
        <f aca="false">Tiempos!D8</f>
        <v>34</v>
      </c>
      <c r="E19" s="17" t="n">
        <f aca="false">IFERROR(D19/C19,0)</f>
        <v>0.653846153846154</v>
      </c>
    </row>
    <row r="20" customFormat="false" ht="15" hidden="false" customHeight="false" outlineLevel="0" collapsed="false">
      <c r="A20" s="18" t="str">
        <f aca="false">Tiempos!B9</f>
        <v>10 a 30 min</v>
      </c>
      <c r="B20" s="18"/>
      <c r="C20" s="19" t="n">
        <f aca="false">Tiempos!C9</f>
        <v>56</v>
      </c>
      <c r="D20" s="19" t="n">
        <f aca="false">Tiempos!D9</f>
        <v>37</v>
      </c>
      <c r="E20" s="20" t="n">
        <f aca="false">IFERROR(D20/C20,0)</f>
        <v>0.660714285714286</v>
      </c>
    </row>
    <row r="21" customFormat="false" ht="15" hidden="false" customHeight="false" outlineLevel="0" collapsed="false">
      <c r="A21" s="15" t="str">
        <f aca="false">Tiempos!B10</f>
        <v>30 min o más</v>
      </c>
      <c r="B21" s="15"/>
      <c r="C21" s="16" t="n">
        <f aca="false">Tiempos!C10</f>
        <v>20</v>
      </c>
      <c r="D21" s="16" t="n">
        <f aca="false">Tiempos!D10</f>
        <v>11</v>
      </c>
      <c r="E21" s="17" t="n">
        <f aca="false">IFERROR(D21/C21,0)</f>
        <v>0.55</v>
      </c>
    </row>
    <row r="31" customFormat="false" ht="21.75" hidden="false" customHeight="true" outlineLevel="0" collapsed="false">
      <c r="A31" s="12" t="s">
        <v>19</v>
      </c>
    </row>
    <row r="32" customFormat="false" ht="30" hidden="false" customHeight="true" outlineLevel="0" collapsed="false">
      <c r="A32" s="13" t="s">
        <v>20</v>
      </c>
      <c r="B32" s="13"/>
      <c r="C32" s="14" t="s">
        <v>21</v>
      </c>
      <c r="D32" s="14" t="s">
        <v>22</v>
      </c>
      <c r="E32" s="14" t="s">
        <v>23</v>
      </c>
      <c r="F32" s="14" t="s">
        <v>24</v>
      </c>
      <c r="G32" s="14" t="s">
        <v>17</v>
      </c>
      <c r="H32" s="14" t="s">
        <v>25</v>
      </c>
      <c r="I32" s="14" t="s">
        <v>26</v>
      </c>
    </row>
    <row r="33" customFormat="false" ht="15" hidden="false" customHeight="true" outlineLevel="0" collapsed="false">
      <c r="A33" s="21" t="s">
        <v>27</v>
      </c>
      <c r="B33" s="21"/>
      <c r="C33" s="16" t="n">
        <f aca="false">Resumen!B10</f>
        <v>398</v>
      </c>
      <c r="D33" s="16" t="n">
        <f aca="false">Resumen!B11</f>
        <v>158</v>
      </c>
      <c r="E33" s="16" t="n">
        <f aca="false">Resumen!B18</f>
        <v>147</v>
      </c>
      <c r="F33" s="22" t="n">
        <f aca="false">Resumen!B21</f>
        <v>6.87499998835</v>
      </c>
      <c r="G33" s="16" t="n">
        <f aca="false">Resumen!B31</f>
        <v>101</v>
      </c>
      <c r="H33" s="16" t="n">
        <f aca="false">Resumen!B34</f>
        <v>58</v>
      </c>
      <c r="I33" s="16" t="n">
        <f aca="false">Resumen!B37</f>
        <v>3</v>
      </c>
    </row>
    <row r="34" customFormat="false" ht="15" hidden="false" customHeight="true" outlineLevel="0" collapsed="false">
      <c r="A34" s="23" t="s">
        <v>28</v>
      </c>
      <c r="B34" s="23"/>
      <c r="C34" s="19" t="n">
        <f aca="false">Resumen!D10</f>
        <v>110</v>
      </c>
      <c r="D34" s="19" t="n">
        <f aca="false">Resumen!D11</f>
        <v>41</v>
      </c>
      <c r="E34" s="19" t="n">
        <f aca="false">Resumen!D18</f>
        <v>39</v>
      </c>
      <c r="F34" s="24" t="n">
        <f aca="false">Resumen!D21</f>
        <v>5.02881666411667</v>
      </c>
      <c r="G34" s="19" t="n">
        <f aca="false">Resumen!D31</f>
        <v>30</v>
      </c>
      <c r="H34" s="19" t="n">
        <f aca="false">Resumen!D34</f>
        <v>14</v>
      </c>
      <c r="I34" s="19" t="n">
        <f aca="false">Resumen!D37</f>
        <v>2</v>
      </c>
    </row>
    <row r="35" customFormat="false" ht="15" hidden="false" customHeight="true" outlineLevel="0" collapsed="false">
      <c r="A35" s="21" t="s">
        <v>29</v>
      </c>
      <c r="B35" s="21"/>
      <c r="C35" s="16" t="n">
        <f aca="false">Resumen!F10</f>
        <v>107</v>
      </c>
      <c r="D35" s="16" t="n">
        <f aca="false">Resumen!F11</f>
        <v>37</v>
      </c>
      <c r="E35" s="16" t="n">
        <f aca="false">Resumen!F18</f>
        <v>34</v>
      </c>
      <c r="F35" s="22" t="n">
        <f aca="false">Resumen!F21</f>
        <v>6.37309999786667</v>
      </c>
      <c r="G35" s="16" t="n">
        <f aca="false">Resumen!F31</f>
        <v>24</v>
      </c>
      <c r="H35" s="16" t="n">
        <f aca="false">Resumen!F34</f>
        <v>13</v>
      </c>
      <c r="I35" s="16" t="n">
        <f aca="false">Resumen!F37</f>
        <v>3</v>
      </c>
    </row>
    <row r="36" customFormat="false" ht="15" hidden="false" customHeight="true" outlineLevel="0" collapsed="false">
      <c r="A36" s="23" t="s">
        <v>30</v>
      </c>
      <c r="B36" s="23"/>
      <c r="C36" s="25" t="n">
        <f aca="false">Resumen!H10</f>
        <v>615</v>
      </c>
      <c r="D36" s="25" t="n">
        <f aca="false">Resumen!H11</f>
        <v>236</v>
      </c>
      <c r="E36" s="25" t="n">
        <f aca="false">Resumen!H18</f>
        <v>220</v>
      </c>
      <c r="F36" s="26" t="n">
        <f aca="false">Resumen!H21</f>
        <v>6.4108166762</v>
      </c>
      <c r="G36" s="25" t="n">
        <f aca="false">Resumen!H31</f>
        <v>155</v>
      </c>
      <c r="H36" s="25" t="n">
        <f aca="false">Resumen!H34</f>
        <v>85</v>
      </c>
      <c r="I36" s="25" t="n">
        <f aca="false">Resumen!H37</f>
        <v>8</v>
      </c>
    </row>
    <row r="38" customFormat="false" ht="15" hidden="false" customHeight="false" outlineLevel="0" collapsed="false">
      <c r="A38" s="27" t="s">
        <v>31</v>
      </c>
    </row>
  </sheetData>
  <mergeCells count="27">
    <mergeCell ref="A6:B7"/>
    <mergeCell ref="C6:D7"/>
    <mergeCell ref="E6:F7"/>
    <mergeCell ref="G6:H7"/>
    <mergeCell ref="I6:J7"/>
    <mergeCell ref="K6:L7"/>
    <mergeCell ref="A8:B8"/>
    <mergeCell ref="C8:D8"/>
    <mergeCell ref="E8:F8"/>
    <mergeCell ref="G8:H8"/>
    <mergeCell ref="I8:J8"/>
    <mergeCell ref="K8:L8"/>
    <mergeCell ref="A10:L10"/>
    <mergeCell ref="A11:L11"/>
    <mergeCell ref="A12:L12"/>
    <mergeCell ref="A13:L13"/>
    <mergeCell ref="A16:B16"/>
    <mergeCell ref="A17:B17"/>
    <mergeCell ref="A18:B18"/>
    <mergeCell ref="A19:B19"/>
    <mergeCell ref="A20:B20"/>
    <mergeCell ref="A21:B21"/>
    <mergeCell ref="A32:B32"/>
    <mergeCell ref="A33:B33"/>
    <mergeCell ref="A34:B34"/>
    <mergeCell ref="A35:B35"/>
    <mergeCell ref="A36:B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K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9"/>
  </cols>
  <sheetData>
    <row r="1" customFormat="false" ht="25.5" hidden="false" customHeight="true" outlineLevel="0" collapsed="false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0" hidden="false" customHeight="true" outlineLevel="0" collapsed="false">
      <c r="A2" s="3" t="s">
        <v>33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customFormat="false" ht="15" hidden="false" customHeight="false" outlineLevel="0" collapsed="false">
      <c r="A3" s="5" t="s">
        <v>34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customFormat="false" ht="15" hidden="false" customHeight="false" outlineLevel="0" collapsed="false">
      <c r="A4" s="28" t="s">
        <v>35</v>
      </c>
    </row>
    <row r="6" customFormat="false" ht="30" hidden="false" customHeight="true" outlineLevel="0" collapsed="false">
      <c r="A6" s="29" t="s">
        <v>36</v>
      </c>
      <c r="B6" s="30" t="s">
        <v>27</v>
      </c>
      <c r="C6" s="30"/>
      <c r="D6" s="30" t="s">
        <v>28</v>
      </c>
      <c r="E6" s="30"/>
      <c r="F6" s="30" t="s">
        <v>29</v>
      </c>
      <c r="G6" s="30"/>
      <c r="H6" s="30" t="s">
        <v>30</v>
      </c>
      <c r="I6" s="30"/>
      <c r="J6" s="31" t="s">
        <v>37</v>
      </c>
      <c r="K6" s="31"/>
    </row>
    <row r="7" customFormat="false" ht="15" hidden="false" customHeight="false" outlineLevel="0" collapsed="false">
      <c r="B7" s="32" t="s">
        <v>38</v>
      </c>
      <c r="C7" s="32" t="s">
        <v>39</v>
      </c>
      <c r="D7" s="32" t="s">
        <v>38</v>
      </c>
      <c r="E7" s="32" t="s">
        <v>39</v>
      </c>
      <c r="F7" s="32" t="s">
        <v>38</v>
      </c>
      <c r="G7" s="32" t="s">
        <v>39</v>
      </c>
      <c r="H7" s="32" t="s">
        <v>38</v>
      </c>
      <c r="I7" s="32" t="s">
        <v>39</v>
      </c>
      <c r="J7" s="32" t="s">
        <v>38</v>
      </c>
      <c r="K7" s="32" t="s">
        <v>39</v>
      </c>
    </row>
    <row r="9" customFormat="false" ht="15" hidden="false" customHeight="false" outlineLevel="0" collapsed="false">
      <c r="A9" s="33" t="s">
        <v>40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customFormat="false" ht="15" hidden="false" customHeight="false" outlineLevel="0" collapsed="false">
      <c r="A10" s="15" t="s">
        <v>41</v>
      </c>
      <c r="B10" s="16" t="n">
        <f aca="false">COUNTIFS('Detalle por lead'!$A$2:$A$616,B$6)</f>
        <v>398</v>
      </c>
      <c r="C10" s="35"/>
      <c r="D10" s="16" t="n">
        <f aca="false">COUNTIFS('Detalle por lead'!$A$2:$A$616,D$6)</f>
        <v>110</v>
      </c>
      <c r="E10" s="35"/>
      <c r="F10" s="16" t="n">
        <f aca="false">COUNTIFS('Detalle por lead'!$A$2:$A$616,F$6)</f>
        <v>107</v>
      </c>
      <c r="G10" s="35"/>
      <c r="H10" s="36" t="n">
        <f aca="false">COUNT('Detalle por lead'!$B$2:$B$616)</f>
        <v>615</v>
      </c>
      <c r="I10" s="35"/>
      <c r="J10" s="37" t="n">
        <v>70</v>
      </c>
      <c r="K10" s="35"/>
    </row>
    <row r="11" customFormat="false" ht="15" hidden="false" customHeight="false" outlineLevel="0" collapsed="false">
      <c r="A11" s="18" t="s">
        <v>42</v>
      </c>
      <c r="B11" s="19" t="n">
        <f aca="false">COUNTIFS('Detalle por lead'!$A$2:$A$616,B$6,'Detalle por lead'!$D$2:$D$616,"Sí")</f>
        <v>158</v>
      </c>
      <c r="C11" s="38" t="n">
        <f aca="false">IFERROR(B11/B10,"—")</f>
        <v>0.396984924623116</v>
      </c>
      <c r="D11" s="19" t="n">
        <f aca="false">COUNTIFS('Detalle por lead'!$A$2:$A$616,D$6,'Detalle por lead'!$D$2:$D$616,"Sí")</f>
        <v>41</v>
      </c>
      <c r="E11" s="38" t="n">
        <f aca="false">IFERROR(D11/D10,"—")</f>
        <v>0.372727272727273</v>
      </c>
      <c r="F11" s="19" t="n">
        <f aca="false">COUNTIFS('Detalle por lead'!$A$2:$A$616,F$6,'Detalle por lead'!$D$2:$D$616,"Sí")</f>
        <v>37</v>
      </c>
      <c r="G11" s="38" t="n">
        <f aca="false">IFERROR(F11/F10,"—")</f>
        <v>0.345794392523364</v>
      </c>
      <c r="H11" s="25" t="n">
        <f aca="false">COUNTIFS('Detalle por lead'!$D$2:$D$616,"Sí")</f>
        <v>236</v>
      </c>
      <c r="I11" s="38" t="n">
        <f aca="false">IFERROR(H11/H10,"—")</f>
        <v>0.383739837398374</v>
      </c>
      <c r="J11" s="39" t="n">
        <v>28</v>
      </c>
      <c r="K11" s="38" t="n">
        <v>0.4</v>
      </c>
    </row>
    <row r="12" customFormat="false" ht="15" hidden="false" customHeight="false" outlineLevel="0" collapsed="false">
      <c r="A12" s="15" t="s">
        <v>43</v>
      </c>
      <c r="B12" s="16" t="n">
        <f aca="false">COUNTIFS('Detalle por lead'!$A$2:$A$616,B$6,'Detalle por lead'!$D$2:$D$616,"Respondió otra cosa")</f>
        <v>24</v>
      </c>
      <c r="C12" s="35" t="n">
        <f aca="false">IFERROR(B12/B10,"—")</f>
        <v>0.0603015075376884</v>
      </c>
      <c r="D12" s="16" t="n">
        <f aca="false">COUNTIFS('Detalle por lead'!$A$2:$A$616,D$6,'Detalle por lead'!$D$2:$D$616,"Respondió otra cosa")</f>
        <v>7</v>
      </c>
      <c r="E12" s="35" t="n">
        <f aca="false">IFERROR(D12/D10,"—")</f>
        <v>0.0636363636363636</v>
      </c>
      <c r="F12" s="16" t="n">
        <f aca="false">COUNTIFS('Detalle por lead'!$A$2:$A$616,F$6,'Detalle por lead'!$D$2:$D$616,"Respondió otra cosa")</f>
        <v>6</v>
      </c>
      <c r="G12" s="35" t="n">
        <f aca="false">IFERROR(F12/F10,"—")</f>
        <v>0.0560747663551402</v>
      </c>
      <c r="H12" s="36" t="n">
        <f aca="false">COUNTIFS('Detalle por lead'!$D$2:$D$616,"Respondió otra cosa")</f>
        <v>37</v>
      </c>
      <c r="I12" s="35" t="n">
        <f aca="false">IFERROR(H12/H10,"—")</f>
        <v>0.0601626016260163</v>
      </c>
      <c r="J12" s="37" t="n">
        <v>0</v>
      </c>
      <c r="K12" s="35" t="n">
        <v>0</v>
      </c>
    </row>
    <row r="13" customFormat="false" ht="15" hidden="false" customHeight="false" outlineLevel="0" collapsed="false">
      <c r="A13" s="18" t="s">
        <v>44</v>
      </c>
      <c r="B13" s="19" t="n">
        <f aca="false">COUNTIFS('Detalle por lead'!$A$2:$A$616,B$6,'Detalle por lead'!$D$2:$D$616,"No")</f>
        <v>216</v>
      </c>
      <c r="C13" s="38" t="n">
        <f aca="false">IFERROR(B13/B10,"—")</f>
        <v>0.542713567839196</v>
      </c>
      <c r="D13" s="19" t="n">
        <f aca="false">COUNTIFS('Detalle por lead'!$A$2:$A$616,D$6,'Detalle por lead'!$D$2:$D$616,"No")</f>
        <v>62</v>
      </c>
      <c r="E13" s="38" t="n">
        <f aca="false">IFERROR(D13/D10,"—")</f>
        <v>0.563636363636364</v>
      </c>
      <c r="F13" s="19" t="n">
        <f aca="false">COUNTIFS('Detalle por lead'!$A$2:$A$616,F$6,'Detalle por lead'!$D$2:$D$616,"No")</f>
        <v>64</v>
      </c>
      <c r="G13" s="38" t="n">
        <f aca="false">IFERROR(F13/F10,"—")</f>
        <v>0.598130841121495</v>
      </c>
      <c r="H13" s="25" t="n">
        <f aca="false">COUNTIFS('Detalle por lead'!$D$2:$D$616,"No")</f>
        <v>342</v>
      </c>
      <c r="I13" s="38" t="n">
        <f aca="false">IFERROR(H13/H10,"—")</f>
        <v>0.55609756097561</v>
      </c>
      <c r="J13" s="39" t="n">
        <v>42</v>
      </c>
      <c r="K13" s="38" t="n">
        <v>0.6</v>
      </c>
    </row>
    <row r="14" customFormat="false" ht="15" hidden="false" customHeight="false" outlineLevel="0" collapsed="false">
      <c r="A14" s="15" t="s">
        <v>45</v>
      </c>
      <c r="B14" s="16" t="n">
        <f aca="false">COUNTIFS('Detalle por lead'!$A$2:$A$616,B$6,'Detalle por lead'!$D$2:$D$616,"No",'Detalle por lead'!$H$2:$H$616,"Sí")</f>
        <v>138</v>
      </c>
      <c r="C14" s="35" t="n">
        <f aca="false">IFERROR(B14/B13,"—")</f>
        <v>0.638888888888889</v>
      </c>
      <c r="D14" s="16" t="n">
        <f aca="false">COUNTIFS('Detalle por lead'!$A$2:$A$616,D$6,'Detalle por lead'!$D$2:$D$616,"No",'Detalle por lead'!$H$2:$H$616,"Sí")</f>
        <v>40</v>
      </c>
      <c r="E14" s="35" t="n">
        <f aca="false">IFERROR(D14/D13,"—")</f>
        <v>0.645161290322581</v>
      </c>
      <c r="F14" s="16" t="n">
        <f aca="false">COUNTIFS('Detalle por lead'!$A$2:$A$616,F$6,'Detalle por lead'!$D$2:$D$616,"No",'Detalle por lead'!$H$2:$H$616,"Sí")</f>
        <v>36</v>
      </c>
      <c r="G14" s="35" t="n">
        <f aca="false">IFERROR(F14/F13,"—")</f>
        <v>0.5625</v>
      </c>
      <c r="H14" s="36" t="n">
        <f aca="false">COUNTIFS('Detalle por lead'!$D$2:$D$616,"No",'Detalle por lead'!$H$2:$H$616,"Sí")</f>
        <v>214</v>
      </c>
      <c r="I14" s="35" t="n">
        <f aca="false">IFERROR(H14/H13,"—")</f>
        <v>0.625730994152047</v>
      </c>
      <c r="J14" s="37" t="n">
        <v>28</v>
      </c>
      <c r="K14" s="35" t="n">
        <v>0.666666666666667</v>
      </c>
    </row>
    <row r="16" customFormat="false" ht="15" hidden="false" customHeight="false" outlineLevel="0" collapsed="false">
      <c r="A16" s="33" t="s">
        <v>46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customFormat="false" ht="15" hidden="false" customHeight="false" outlineLevel="0" collapsed="false">
      <c r="A17" s="18" t="s">
        <v>47</v>
      </c>
      <c r="B17" s="19" t="n">
        <f aca="false">COUNTIFS('Detalle por lead'!$A$2:$A$616,B$6,'Detalle por lead'!$D$2:$D$616,"Sí",'Detalle por lead'!$K$2:$K$616,"&lt;&gt;")</f>
        <v>157</v>
      </c>
      <c r="C17" s="38" t="n">
        <f aca="false">IFERROR(B17/B11,"—")</f>
        <v>0.993670886075949</v>
      </c>
      <c r="D17" s="19" t="n">
        <f aca="false">COUNTIFS('Detalle por lead'!$A$2:$A$616,D$6,'Detalle por lead'!$D$2:$D$616,"Sí",'Detalle por lead'!$K$2:$K$616,"&lt;&gt;")</f>
        <v>41</v>
      </c>
      <c r="E17" s="38" t="n">
        <f aca="false">IFERROR(D17/D11,"—")</f>
        <v>1</v>
      </c>
      <c r="F17" s="19" t="n">
        <f aca="false">COUNTIFS('Detalle por lead'!$A$2:$A$616,F$6,'Detalle por lead'!$D$2:$D$616,"Sí",'Detalle por lead'!$K$2:$K$616,"&lt;&gt;")</f>
        <v>37</v>
      </c>
      <c r="G17" s="38" t="n">
        <f aca="false">IFERROR(F17/F11,"—")</f>
        <v>1</v>
      </c>
      <c r="H17" s="25" t="n">
        <f aca="false">COUNTIFS('Detalle por lead'!$D$2:$D$616,"Sí",'Detalle por lead'!$K$2:$K$616,"&lt;&gt;")</f>
        <v>235</v>
      </c>
      <c r="I17" s="38" t="n">
        <f aca="false">IFERROR(H17/H11,"—")</f>
        <v>0.995762711864407</v>
      </c>
      <c r="J17" s="39" t="n">
        <v>28</v>
      </c>
      <c r="K17" s="38" t="n">
        <v>1</v>
      </c>
    </row>
    <row r="18" customFormat="false" ht="15" hidden="false" customHeight="false" outlineLevel="0" collapsed="false">
      <c r="A18" s="15" t="s">
        <v>6</v>
      </c>
      <c r="B18" s="16" t="n">
        <f aca="false">COUNTIFS('Detalle por lead'!$A$2:$A$616,B$6,'Detalle por lead'!$D$2:$D$616,"Sí",'Detalle por lead'!$Q$2:$Q$616,"Sí")</f>
        <v>147</v>
      </c>
      <c r="C18" s="35" t="n">
        <f aca="false">IFERROR(B18/B11,"—")</f>
        <v>0.930379746835443</v>
      </c>
      <c r="D18" s="16" t="n">
        <f aca="false">COUNTIFS('Detalle por lead'!$A$2:$A$616,D$6,'Detalle por lead'!$D$2:$D$616,"Sí",'Detalle por lead'!$Q$2:$Q$616,"Sí")</f>
        <v>39</v>
      </c>
      <c r="E18" s="35" t="n">
        <f aca="false">IFERROR(D18/D11,"—")</f>
        <v>0.951219512195122</v>
      </c>
      <c r="F18" s="16" t="n">
        <f aca="false">COUNTIFS('Detalle por lead'!$A$2:$A$616,F$6,'Detalle por lead'!$D$2:$D$616,"Sí",'Detalle por lead'!$Q$2:$Q$616,"Sí")</f>
        <v>34</v>
      </c>
      <c r="G18" s="35" t="n">
        <f aca="false">IFERROR(F18/F11,"—")</f>
        <v>0.918918918918919</v>
      </c>
      <c r="H18" s="36" t="n">
        <f aca="false">COUNTIFS('Detalle por lead'!$D$2:$D$616,"Sí",'Detalle por lead'!$Q$2:$Q$616,"Sí")</f>
        <v>220</v>
      </c>
      <c r="I18" s="35" t="n">
        <f aca="false">IFERROR(H18/H11,"—")</f>
        <v>0.932203389830508</v>
      </c>
      <c r="J18" s="37" t="n">
        <v>27</v>
      </c>
      <c r="K18" s="35" t="n">
        <v>0.964285714285714</v>
      </c>
    </row>
    <row r="19" customFormat="false" ht="15" hidden="false" customHeight="false" outlineLevel="0" collapsed="false">
      <c r="A19" s="18" t="s">
        <v>48</v>
      </c>
      <c r="B19" s="19" t="n">
        <f aca="false">COUNTIFS('Detalle por lead'!$A$2:$A$616,B$6,'Detalle por lead'!$D$2:$D$616,"Sí",'Detalle por lead'!$P$2:$P$616,"Texto (aviso del audio) + Audio + Cursos*")</f>
        <v>132</v>
      </c>
      <c r="C19" s="38" t="n">
        <f aca="false">IFERROR(B19/B11,"—")</f>
        <v>0.835443037974684</v>
      </c>
      <c r="D19" s="19" t="n">
        <f aca="false">COUNTIFS('Detalle por lead'!$A$2:$A$616,D$6,'Detalle por lead'!$D$2:$D$616,"Sí",'Detalle por lead'!$P$2:$P$616,"Texto (aviso del audio) + Audio + Cursos*")</f>
        <v>38</v>
      </c>
      <c r="E19" s="38" t="n">
        <f aca="false">IFERROR(D19/D11,"—")</f>
        <v>0.926829268292683</v>
      </c>
      <c r="F19" s="19" t="n">
        <f aca="false">COUNTIFS('Detalle por lead'!$A$2:$A$616,F$6,'Detalle por lead'!$D$2:$D$616,"Sí",'Detalle por lead'!$P$2:$P$616,"Texto (aviso del audio) + Audio + Cursos*")</f>
        <v>29</v>
      </c>
      <c r="G19" s="38" t="n">
        <f aca="false">IFERROR(F19/F11,"—")</f>
        <v>0.783783783783784</v>
      </c>
      <c r="H19" s="25" t="n">
        <f aca="false">COUNTIFS('Detalle por lead'!$D$2:$D$616,"Sí",'Detalle por lead'!$P$2:$P$616,"Texto (aviso del audio) + Audio + Cursos*")</f>
        <v>199</v>
      </c>
      <c r="I19" s="38" t="n">
        <f aca="false">IFERROR(H19/H11,"—")</f>
        <v>0.843220338983051</v>
      </c>
      <c r="J19" s="39" t="s">
        <v>49</v>
      </c>
      <c r="K19" s="38"/>
    </row>
    <row r="20" customFormat="false" ht="15" hidden="false" customHeight="false" outlineLevel="0" collapsed="false">
      <c r="A20" s="15" t="s">
        <v>50</v>
      </c>
      <c r="B20" s="22" t="n">
        <f aca="false" t="array" ref="B20:B20">IFERROR(MEDIAN(IF(('Detalle por lead'!$A$2:$A$616=B$6)*('Detalle por lead'!$D$2:$D$616="Sí")*ISNUMBER('Detalle por lead'!$L$2:$L$616),'Detalle por lead'!$L$2:$L$616)),"—")</f>
        <v>2.56256667198333</v>
      </c>
      <c r="C20" s="35"/>
      <c r="D20" s="22" t="n">
        <f aca="false" t="array" ref="D20:D20">IFERROR(MEDIAN(IF(('Detalle por lead'!$A$2:$A$616=D$6)*('Detalle por lead'!$D$2:$D$616="Sí")*ISNUMBER('Detalle por lead'!$L$2:$L$616),'Detalle por lead'!$L$2:$L$616)),"—")</f>
        <v>1.34296664151667</v>
      </c>
      <c r="E20" s="35"/>
      <c r="F20" s="22" t="n">
        <f aca="false" t="array" ref="F20:F20">IFERROR(MEDIAN(IF(('Detalle por lead'!$A$2:$A$616=F$6)*('Detalle por lead'!$D$2:$D$616="Sí")*ISNUMBER('Detalle por lead'!$L$2:$L$616),'Detalle por lead'!$L$2:$L$616)),"—")</f>
        <v>2.45788333355</v>
      </c>
      <c r="G20" s="35"/>
      <c r="H20" s="40" t="n">
        <f aca="false" t="array" ref="H20:H20">IFERROR(MEDIAN(IF(('Detalle por lead'!$D$2:$D$616="Sí")*ISNUMBER('Detalle por lead'!$L$2:$L$616),'Detalle por lead'!$L$2:$L$616)),"—")</f>
        <v>2.16335002448333</v>
      </c>
      <c r="I20" s="35"/>
      <c r="J20" s="41" t="n">
        <v>1.318</v>
      </c>
      <c r="K20" s="35"/>
    </row>
    <row r="21" customFormat="false" ht="15" hidden="false" customHeight="false" outlineLevel="0" collapsed="false">
      <c r="A21" s="18" t="s">
        <v>51</v>
      </c>
      <c r="B21" s="24" t="n">
        <f aca="false" t="array" ref="B21:B21">IFERROR(MEDIAN(IF(('Detalle por lead'!$A$2:$A$616=B$6)*('Detalle por lead'!$D$2:$D$616="Sí")*ISNUMBER('Detalle por lead'!$N$2:$N$616),'Detalle por lead'!$N$2:$N$616)),"—")</f>
        <v>6.87499998835</v>
      </c>
      <c r="C21" s="38"/>
      <c r="D21" s="24" t="n">
        <f aca="false" t="array" ref="D21:D21">IFERROR(MEDIAN(IF(('Detalle por lead'!$A$2:$A$616=D$6)*('Detalle por lead'!$D$2:$D$616="Sí")*ISNUMBER('Detalle por lead'!$N$2:$N$616),'Detalle por lead'!$N$2:$N$616)),"—")</f>
        <v>5.02881666411667</v>
      </c>
      <c r="E21" s="38"/>
      <c r="F21" s="24" t="n">
        <f aca="false" t="array" ref="F21:F21">IFERROR(MEDIAN(IF(('Detalle por lead'!$A$2:$A$616=F$6)*('Detalle por lead'!$D$2:$D$616="Sí")*ISNUMBER('Detalle por lead'!$N$2:$N$616),'Detalle por lead'!$N$2:$N$616)),"—")</f>
        <v>6.37309999786667</v>
      </c>
      <c r="G21" s="38"/>
      <c r="H21" s="26" t="n">
        <f aca="false" t="array" ref="H21:H21">IFERROR(MEDIAN(IF(('Detalle por lead'!$D$2:$D$616="Sí")*ISNUMBER('Detalle por lead'!$N$2:$N$616),'Detalle por lead'!$N$2:$N$616)),"—")</f>
        <v>6.4108166762</v>
      </c>
      <c r="I21" s="38"/>
      <c r="J21" s="42" t="n">
        <v>5.257</v>
      </c>
      <c r="K21" s="38"/>
    </row>
    <row r="22" customFormat="false" ht="15" hidden="false" customHeight="false" outlineLevel="0" collapsed="false">
      <c r="A22" s="15" t="s">
        <v>52</v>
      </c>
      <c r="B22" s="22" t="n">
        <f aca="false" t="array" ref="B22:B22">IFERROR(PERCENTILE(IF(('Detalle por lead'!$A$2:$A$616=B$6)*('Detalle por lead'!$D$2:$D$616="Sí")*ISNUMBER('Detalle por lead'!$N$2:$N$616),'Detalle por lead'!$N$2:$N$616),0.9),"—")</f>
        <v>22.07633667275</v>
      </c>
      <c r="C22" s="35"/>
      <c r="D22" s="22" t="n">
        <f aca="false" t="array" ref="D22:D22">IFERROR(PERCENTILE(IF(('Detalle por lead'!$A$2:$A$616=D$6)*('Detalle por lead'!$D$2:$D$616="Sí")*ISNUMBER('Detalle por lead'!$N$2:$N$616),'Detalle por lead'!$N$2:$N$616),0.9),"—")</f>
        <v>12.5550500024</v>
      </c>
      <c r="E22" s="35"/>
      <c r="F22" s="22" t="n">
        <f aca="false" t="array" ref="F22:F22">IFERROR(PERCENTILE(IF(('Detalle por lead'!$A$2:$A$616=F$6)*('Detalle por lead'!$D$2:$D$616="Sí")*ISNUMBER('Detalle por lead'!$N$2:$N$616),'Detalle por lead'!$N$2:$N$616),0.9),"—")</f>
        <v>37.6771766678367</v>
      </c>
      <c r="G22" s="35"/>
      <c r="H22" s="40" t="n">
        <f aca="false" t="array" ref="H22:H22">IFERROR(PERCENTILE(IF(('Detalle por lead'!$D$2:$D$616="Sí")*ISNUMBER('Detalle por lead'!$N$2:$N$616),'Detalle por lead'!$N$2:$N$616),0.9),"—")</f>
        <v>22.0620233346633</v>
      </c>
      <c r="I22" s="35"/>
      <c r="J22" s="41" t="n">
        <v>12.174</v>
      </c>
      <c r="K22" s="35"/>
    </row>
    <row r="23" customFormat="false" ht="15" hidden="false" customHeight="false" outlineLevel="0" collapsed="false">
      <c r="A23" s="18" t="s">
        <v>53</v>
      </c>
      <c r="B23" s="24" t="n">
        <f aca="false" t="array" ref="B23:B23">IFERROR(MAX(IF(('Detalle por lead'!$A$2:$A$616=B$6)*('Detalle por lead'!$D$2:$D$616="Sí")*ISNUMBER('Detalle por lead'!$N$2:$N$616),'Detalle por lead'!$N$2:$N$616)),"—")</f>
        <v>1204.0597666637</v>
      </c>
      <c r="C23" s="38"/>
      <c r="D23" s="24" t="n">
        <f aca="false" t="array" ref="D23:D23">IFERROR(MAX(IF(('Detalle por lead'!$A$2:$A$616=D$6)*('Detalle por lead'!$D$2:$D$616="Sí")*ISNUMBER('Detalle por lead'!$N$2:$N$616),'Detalle por lead'!$N$2:$N$616)),"—")</f>
        <v>843.733666656767</v>
      </c>
      <c r="E23" s="38"/>
      <c r="F23" s="24" t="n">
        <f aca="false" t="array" ref="F23:F23">IFERROR(MAX(IF(('Detalle por lead'!$A$2:$A$616=F$6)*('Detalle por lead'!$D$2:$D$616="Sí")*ISNUMBER('Detalle por lead'!$N$2:$N$616),'Detalle por lead'!$N$2:$N$616)),"—")</f>
        <v>537.8431333357</v>
      </c>
      <c r="G23" s="38"/>
      <c r="H23" s="26" t="n">
        <f aca="false" t="array" ref="H23:H23">IFERROR(MAX(IF(('Detalle por lead'!$D$2:$D$616="Sí")*ISNUMBER('Detalle por lead'!$N$2:$N$616),'Detalle por lead'!$N$2:$N$616)),"—")</f>
        <v>1204.0597666637</v>
      </c>
      <c r="I23" s="38"/>
      <c r="J23" s="42" t="n">
        <v>23.946</v>
      </c>
      <c r="K23" s="38"/>
    </row>
    <row r="24" customFormat="false" ht="15" hidden="false" customHeight="false" outlineLevel="0" collapsed="false">
      <c r="A24" s="15" t="s">
        <v>54</v>
      </c>
      <c r="B24" s="16" t="n">
        <f aca="false">COUNTIFS('Detalle por lead'!$A$2:$A$616,B$6,'Detalle por lead'!$D$2:$D$616,"Sí",'Detalle por lead'!$N$2:$N$616,"&lt;10")</f>
        <v>104</v>
      </c>
      <c r="C24" s="35" t="n">
        <f aca="false">IFERROR(B24/B17,"—")</f>
        <v>0.662420382165605</v>
      </c>
      <c r="D24" s="16" t="n">
        <f aca="false">COUNTIFS('Detalle por lead'!$A$2:$A$616,D$6,'Detalle por lead'!$D$2:$D$616,"Sí",'Detalle por lead'!$N$2:$N$616,"&lt;10")</f>
        <v>30</v>
      </c>
      <c r="E24" s="35" t="n">
        <f aca="false">IFERROR(D24/D17,"—")</f>
        <v>0.731707317073171</v>
      </c>
      <c r="F24" s="16" t="n">
        <f aca="false">COUNTIFS('Detalle por lead'!$A$2:$A$616,F$6,'Detalle por lead'!$D$2:$D$616,"Sí",'Detalle por lead'!$N$2:$N$616,"&lt;10")</f>
        <v>25</v>
      </c>
      <c r="G24" s="35" t="n">
        <f aca="false">IFERROR(F24/F17,"—")</f>
        <v>0.675675675675676</v>
      </c>
      <c r="H24" s="36" t="n">
        <f aca="false">COUNTIFS('Detalle por lead'!$D$2:$D$616,"Sí",'Detalle por lead'!$N$2:$N$616,"&lt;10")</f>
        <v>159</v>
      </c>
      <c r="I24" s="35" t="n">
        <f aca="false">IFERROR(H24/H17,"—")</f>
        <v>0.676595744680851</v>
      </c>
      <c r="J24" s="37" t="n">
        <v>20</v>
      </c>
      <c r="K24" s="35" t="n">
        <v>0.714285714285714</v>
      </c>
    </row>
    <row r="25" customFormat="false" ht="15" hidden="false" customHeight="false" outlineLevel="0" collapsed="false">
      <c r="A25" s="18" t="s">
        <v>55</v>
      </c>
      <c r="B25" s="24" t="n">
        <f aca="false" t="array" ref="B25:B25">IFERROR(MEDIAN(IF(('Detalle por lead'!$A$2:$A$616=B$6)*('Detalle por lead'!$D$2:$D$616="Sí")*ISNUMBER('Detalle por lead'!$V$2:$V$616),'Detalle por lead'!$V$2:$V$616)),"—")</f>
        <v>3.84</v>
      </c>
      <c r="C25" s="38"/>
      <c r="D25" s="24" t="n">
        <f aca="false" t="array" ref="D25:D25">IFERROR(MEDIAN(IF(('Detalle por lead'!$A$2:$A$616=D$6)*('Detalle por lead'!$D$2:$D$616="Sí")*ISNUMBER('Detalle por lead'!$V$2:$V$616),'Detalle por lead'!$V$2:$V$616)),"—")</f>
        <v>3.63</v>
      </c>
      <c r="E25" s="38"/>
      <c r="F25" s="24" t="n">
        <f aca="false" t="array" ref="F25:F25">IFERROR(MEDIAN(IF(('Detalle por lead'!$A$2:$A$616=F$6)*('Detalle por lead'!$D$2:$D$616="Sí")*ISNUMBER('Detalle por lead'!$V$2:$V$616),'Detalle por lead'!$V$2:$V$616)),"—")</f>
        <v>3.32</v>
      </c>
      <c r="G25" s="38"/>
      <c r="H25" s="26" t="n">
        <f aca="false" t="array" ref="H25:H25">IFERROR(MEDIAN(IF(('Detalle por lead'!$D$2:$D$616="Sí")*ISNUMBER('Detalle por lead'!$V$2:$V$616),'Detalle por lead'!$V$2:$V$616)),"—")</f>
        <v>3.78</v>
      </c>
      <c r="I25" s="38"/>
      <c r="J25" s="42" t="s">
        <v>49</v>
      </c>
      <c r="K25" s="38"/>
    </row>
    <row r="26" customFormat="false" ht="15" hidden="false" customHeight="false" outlineLevel="0" collapsed="false">
      <c r="A26" s="15" t="s">
        <v>56</v>
      </c>
      <c r="B26" s="22" t="n">
        <f aca="false" t="array" ref="B26:B26">IFERROR(MEDIAN(IF(('Detalle por lead'!$A$2:$A$616=B$6)*('Detalle por lead'!$D$2:$D$616="Sí")*ISNUMBER('Detalle por lead'!$T$2:$T$616),'Detalle por lead'!$T$2:$T$616)),"—")</f>
        <v>104.7</v>
      </c>
      <c r="C26" s="35"/>
      <c r="D26" s="22" t="n">
        <f aca="false" t="array" ref="D26:D26">IFERROR(MEDIAN(IF(('Detalle por lead'!$A$2:$A$616=D$6)*('Detalle por lead'!$D$2:$D$616="Sí")*ISNUMBER('Detalle por lead'!$T$2:$T$616),'Detalle por lead'!$T$2:$T$616)),"—")</f>
        <v>105.1</v>
      </c>
      <c r="E26" s="35"/>
      <c r="F26" s="22" t="n">
        <f aca="false" t="array" ref="F26:F26">IFERROR(MEDIAN(IF(('Detalle por lead'!$A$2:$A$616=F$6)*('Detalle por lead'!$D$2:$D$616="Sí")*ISNUMBER('Detalle por lead'!$T$2:$T$616),'Detalle por lead'!$T$2:$T$616)),"—")</f>
        <v>103.95</v>
      </c>
      <c r="G26" s="35"/>
      <c r="H26" s="40" t="n">
        <f aca="false" t="array" ref="H26:H26">IFERROR(MEDIAN(IF(('Detalle por lead'!$D$2:$D$616="Sí")*ISNUMBER('Detalle por lead'!$T$2:$T$616),'Detalle por lead'!$T$2:$T$616)),"—")</f>
        <v>104.8</v>
      </c>
      <c r="I26" s="35"/>
      <c r="J26" s="41" t="n">
        <v>106.4</v>
      </c>
      <c r="K26" s="35"/>
    </row>
    <row r="27" customFormat="false" ht="15" hidden="false" customHeight="false" outlineLevel="0" collapsed="false">
      <c r="A27" s="18" t="s">
        <v>57</v>
      </c>
      <c r="B27" s="19" t="n">
        <f aca="false">COUNTIFS('Detalle por lead'!$A$2:$A$616,B$6,'Detalle por lead'!$D$2:$D$616,"Sí",'Detalle por lead'!$U$2:$U$616,"Sí")</f>
        <v>111</v>
      </c>
      <c r="C27" s="38" t="n">
        <f aca="false">IFERROR(B27/B18,"—")</f>
        <v>0.755102040816327</v>
      </c>
      <c r="D27" s="19" t="n">
        <f aca="false">COUNTIFS('Detalle por lead'!$A$2:$A$616,D$6,'Detalle por lead'!$D$2:$D$616,"Sí",'Detalle por lead'!$U$2:$U$616,"Sí")</f>
        <v>21</v>
      </c>
      <c r="E27" s="38" t="n">
        <f aca="false">IFERROR(D27/D18,"—")</f>
        <v>0.538461538461538</v>
      </c>
      <c r="F27" s="19" t="n">
        <f aca="false">COUNTIFS('Detalle por lead'!$A$2:$A$616,F$6,'Detalle por lead'!$D$2:$D$616,"Sí",'Detalle por lead'!$U$2:$U$616,"Sí")</f>
        <v>24</v>
      </c>
      <c r="G27" s="38" t="n">
        <f aca="false">IFERROR(F27/F18,"—")</f>
        <v>0.705882352941177</v>
      </c>
      <c r="H27" s="25" t="n">
        <f aca="false">COUNTIFS('Detalle por lead'!$D$2:$D$616,"Sí",'Detalle por lead'!$U$2:$U$616,"Sí")</f>
        <v>156</v>
      </c>
      <c r="I27" s="38" t="n">
        <f aca="false">IFERROR(H27/H18,"—")</f>
        <v>0.709090909090909</v>
      </c>
      <c r="J27" s="39" t="s">
        <v>49</v>
      </c>
      <c r="K27" s="38"/>
    </row>
    <row r="28" customFormat="false" ht="15" hidden="false" customHeight="false" outlineLevel="0" collapsed="false">
      <c r="A28" s="15" t="s">
        <v>58</v>
      </c>
      <c r="B28" s="22" t="n">
        <f aca="false" t="array" ref="B28:B28">IFERROR(AVERAGE(IF(('Detalle por lead'!$A$2:$A$616=B$6)*('Detalle por lead'!$D$2:$D$616="Sí")*ISNUMBER('Detalle por lead'!$X$2:$X$616),'Detalle por lead'!$X$2:$X$616)),"—")</f>
        <v>2.35668789808917</v>
      </c>
      <c r="C28" s="35"/>
      <c r="D28" s="22" t="n">
        <f aca="false" t="array" ref="D28:D28">IFERROR(AVERAGE(IF(('Detalle por lead'!$A$2:$A$616=D$6)*('Detalle por lead'!$D$2:$D$616="Sí")*ISNUMBER('Detalle por lead'!$X$2:$X$616),'Detalle por lead'!$X$2:$X$616)),"—")</f>
        <v>2.4390243902439</v>
      </c>
      <c r="E28" s="35"/>
      <c r="F28" s="22" t="n">
        <f aca="false" t="array" ref="F28:F28">IFERROR(AVERAGE(IF(('Detalle por lead'!$A$2:$A$616=F$6)*('Detalle por lead'!$D$2:$D$616="Sí")*ISNUMBER('Detalle por lead'!$X$2:$X$616),'Detalle por lead'!$X$2:$X$616)),"—")</f>
        <v>2.40540540540541</v>
      </c>
      <c r="G28" s="35"/>
      <c r="H28" s="40" t="n">
        <f aca="false" t="array" ref="H28:H28">IFERROR(AVERAGE(IF(('Detalle por lead'!$D$2:$D$616="Sí")*ISNUMBER('Detalle por lead'!$X$2:$X$616),'Detalle por lead'!$X$2:$X$616)),"—")</f>
        <v>2.37872340425532</v>
      </c>
      <c r="I28" s="35"/>
      <c r="J28" s="41" t="s">
        <v>49</v>
      </c>
      <c r="K28" s="35"/>
    </row>
    <row r="30" customFormat="false" ht="15" hidden="false" customHeight="false" outlineLevel="0" collapsed="false">
      <c r="A30" s="33" t="s">
        <v>59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</row>
    <row r="31" customFormat="false" ht="15" hidden="false" customHeight="false" outlineLevel="0" collapsed="false">
      <c r="A31" s="18" t="s">
        <v>60</v>
      </c>
      <c r="B31" s="19" t="n">
        <f aca="false">COUNTIFS('Detalle por lead'!$A$2:$A$616,B$6,'Detalle por lead'!$D$2:$D$616,"Sí",'Detalle por lead'!$Y$2:$Y$616,"Sí")</f>
        <v>101</v>
      </c>
      <c r="C31" s="38" t="n">
        <f aca="false">IFERROR(B31/B17,"—")</f>
        <v>0.643312101910828</v>
      </c>
      <c r="D31" s="19" t="n">
        <f aca="false">COUNTIFS('Detalle por lead'!$A$2:$A$616,D$6,'Detalle por lead'!$D$2:$D$616,"Sí",'Detalle por lead'!$Y$2:$Y$616,"Sí")</f>
        <v>30</v>
      </c>
      <c r="E31" s="38" t="n">
        <f aca="false">IFERROR(D31/D17,"—")</f>
        <v>0.731707317073171</v>
      </c>
      <c r="F31" s="19" t="n">
        <f aca="false">COUNTIFS('Detalle por lead'!$A$2:$A$616,F$6,'Detalle por lead'!$D$2:$D$616,"Sí",'Detalle por lead'!$Y$2:$Y$616,"Sí")</f>
        <v>24</v>
      </c>
      <c r="G31" s="38" t="n">
        <f aca="false">IFERROR(F31/F17,"—")</f>
        <v>0.648648648648649</v>
      </c>
      <c r="H31" s="25" t="n">
        <f aca="false">COUNTIFS('Detalle por lead'!$D$2:$D$616,"Sí",'Detalle por lead'!$Y$2:$Y$616,"Sí")</f>
        <v>155</v>
      </c>
      <c r="I31" s="38" t="n">
        <f aca="false">IFERROR(H31/H17,"—")</f>
        <v>0.659574468085106</v>
      </c>
      <c r="J31" s="39" t="n">
        <v>20</v>
      </c>
      <c r="K31" s="38" t="n">
        <v>0.714285714285714</v>
      </c>
    </row>
    <row r="32" customFormat="false" ht="15" hidden="false" customHeight="false" outlineLevel="0" collapsed="false">
      <c r="A32" s="15" t="s">
        <v>61</v>
      </c>
      <c r="B32" s="22" t="n">
        <f aca="false" t="array" ref="B32:B32">IFERROR(MEDIAN(IF(('Detalle por lead'!$A$2:$A$616=B$6)*('Detalle por lead'!$D$2:$D$616="Sí")*ISNUMBER('Detalle por lead'!$AA$2:$AA$616),'Detalle por lead'!$AA$2:$AA$616)),"—")</f>
        <v>10.6724499911</v>
      </c>
      <c r="C32" s="35"/>
      <c r="D32" s="22" t="n">
        <f aca="false" t="array" ref="D32:D32">IFERROR(MEDIAN(IF(('Detalle por lead'!$A$2:$A$616=D$6)*('Detalle por lead'!$D$2:$D$616="Sí")*ISNUMBER('Detalle por lead'!$AA$2:$AA$616),'Detalle por lead'!$AA$2:$AA$616)),"—")</f>
        <v>8.06626667151667</v>
      </c>
      <c r="E32" s="35"/>
      <c r="F32" s="22" t="n">
        <f aca="false" t="array" ref="F32:F32">IFERROR(MEDIAN(IF(('Detalle por lead'!$A$2:$A$616=F$6)*('Detalle por lead'!$D$2:$D$616="Sí")*ISNUMBER('Detalle por lead'!$AA$2:$AA$616),'Detalle por lead'!$AA$2:$AA$616)),"—")</f>
        <v>23.277525004225</v>
      </c>
      <c r="G32" s="35"/>
      <c r="H32" s="40" t="n">
        <f aca="false" t="array" ref="H32:H32">IFERROR(MEDIAN(IF(('Detalle por lead'!$D$2:$D$616="Sí")*ISNUMBER('Detalle por lead'!$AA$2:$AA$616),'Detalle por lead'!$AA$2:$AA$616)),"—")</f>
        <v>10.9852666722</v>
      </c>
      <c r="I32" s="35"/>
      <c r="J32" s="41" t="s">
        <v>49</v>
      </c>
      <c r="K32" s="35"/>
    </row>
    <row r="33" customFormat="false" ht="15" hidden="false" customHeight="false" outlineLevel="0" collapsed="false">
      <c r="A33" s="18" t="s">
        <v>62</v>
      </c>
      <c r="B33" s="24" t="n">
        <f aca="false" t="array" ref="B33:B33">IFERROR(MEDIAN(IF(('Detalle por lead'!$A$2:$A$616=B$6)*('Detalle por lead'!$D$2:$D$616="Sí")*ISNUMBER('Detalle por lead'!$AD$2:$AD$616),'Detalle por lead'!$AD$2:$AD$616)),"—")</f>
        <v>1.64713333476667</v>
      </c>
      <c r="C33" s="38"/>
      <c r="D33" s="24" t="n">
        <f aca="false" t="array" ref="D33:D33">IFERROR(MEDIAN(IF(('Detalle por lead'!$A$2:$A$616=D$6)*('Detalle por lead'!$D$2:$D$616="Sí")*ISNUMBER('Detalle por lead'!$AD$2:$AD$616),'Detalle por lead'!$AD$2:$AD$616)),"—")</f>
        <v>1.95890000438333</v>
      </c>
      <c r="E33" s="38"/>
      <c r="F33" s="24" t="n">
        <f aca="false" t="array" ref="F33:F33">IFERROR(MEDIAN(IF(('Detalle por lead'!$A$2:$A$616=F$6)*('Detalle por lead'!$D$2:$D$616="Sí")*ISNUMBER('Detalle por lead'!$AD$2:$AD$616),'Detalle por lead'!$AD$2:$AD$616)),"—")</f>
        <v>2.37948333843333</v>
      </c>
      <c r="G33" s="38"/>
      <c r="H33" s="26" t="n">
        <f aca="false" t="array" ref="H33:H33">IFERROR(MEDIAN(IF(('Detalle por lead'!$D$2:$D$616="Sí")*ISNUMBER('Detalle por lead'!$AD$2:$AD$616),'Detalle por lead'!$AD$2:$AD$616)),"—")</f>
        <v>1.87284999293333</v>
      </c>
      <c r="I33" s="38"/>
      <c r="J33" s="42" t="n">
        <v>1.784</v>
      </c>
      <c r="K33" s="38"/>
    </row>
    <row r="34" customFormat="false" ht="15" hidden="false" customHeight="false" outlineLevel="0" collapsed="false">
      <c r="A34" s="15" t="s">
        <v>63</v>
      </c>
      <c r="B34" s="16" t="n">
        <f aca="false">COUNTIFS('Detalle por lead'!$A$2:$A$616,B$6,'Detalle por lead'!$D$2:$D$616,"Sí",'Detalle por lead'!$AG$2:$AG$616,"Sí")</f>
        <v>58</v>
      </c>
      <c r="C34" s="35" t="n">
        <f aca="false">IFERROR(B34/B31,"—")</f>
        <v>0.574257425742574</v>
      </c>
      <c r="D34" s="16" t="n">
        <f aca="false">COUNTIFS('Detalle por lead'!$A$2:$A$616,D$6,'Detalle por lead'!$D$2:$D$616,"Sí",'Detalle por lead'!$AG$2:$AG$616,"Sí")</f>
        <v>14</v>
      </c>
      <c r="E34" s="35" t="n">
        <f aca="false">IFERROR(D34/D31,"—")</f>
        <v>0.466666666666667</v>
      </c>
      <c r="F34" s="16" t="n">
        <f aca="false">COUNTIFS('Detalle por lead'!$A$2:$A$616,F$6,'Detalle por lead'!$D$2:$D$616,"Sí",'Detalle por lead'!$AG$2:$AG$616,"Sí")</f>
        <v>13</v>
      </c>
      <c r="G34" s="35" t="n">
        <f aca="false">IFERROR(F34/F31,"—")</f>
        <v>0.541666666666667</v>
      </c>
      <c r="H34" s="36" t="n">
        <f aca="false">COUNTIFS('Detalle por lead'!$D$2:$D$616,"Sí",'Detalle por lead'!$AG$2:$AG$616,"Sí")</f>
        <v>85</v>
      </c>
      <c r="I34" s="35" t="n">
        <f aca="false">IFERROR(H34/H31,"—")</f>
        <v>0.548387096774194</v>
      </c>
      <c r="J34" s="37" t="n">
        <v>10</v>
      </c>
      <c r="K34" s="35" t="n">
        <v>0.5</v>
      </c>
    </row>
    <row r="35" customFormat="false" ht="23.85" hidden="false" customHeight="false" outlineLevel="0" collapsed="false">
      <c r="A35" s="18" t="s">
        <v>64</v>
      </c>
      <c r="B35" s="24" t="n">
        <f aca="false" t="array" ref="B35:B35">IFERROR(MEDIAN(IF(('Detalle por lead'!$A$2:$A$616=B$6)*('Detalle por lead'!$D$2:$D$616="Sí")*ISNUMBER('Detalle por lead'!$AH$2:$AH$616),'Detalle por lead'!$AH$2:$AH$616)),"—")</f>
        <v>4</v>
      </c>
      <c r="C35" s="38"/>
      <c r="D35" s="24" t="n">
        <f aca="false" t="array" ref="D35:D35">IFERROR(MEDIAN(IF(('Detalle por lead'!$A$2:$A$616=D$6)*('Detalle por lead'!$D$2:$D$616="Sí")*ISNUMBER('Detalle por lead'!$AH$2:$AH$616),'Detalle por lead'!$AH$2:$AH$616)),"—")</f>
        <v>4.05</v>
      </c>
      <c r="E35" s="38"/>
      <c r="F35" s="24" t="n">
        <f aca="false" t="array" ref="F35:F35">IFERROR(MEDIAN(IF(('Detalle por lead'!$A$2:$A$616=F$6)*('Detalle por lead'!$D$2:$D$616="Sí")*ISNUMBER('Detalle por lead'!$AH$2:$AH$616),'Detalle por lead'!$AH$2:$AH$616)),"—")</f>
        <v>3.9</v>
      </c>
      <c r="G35" s="38"/>
      <c r="H35" s="26" t="n">
        <f aca="false" t="array" ref="H35:H35">IFERROR(MEDIAN(IF(('Detalle por lead'!$D$2:$D$616="Sí")*ISNUMBER('Detalle por lead'!$AH$2:$AH$616),'Detalle por lead'!$AH$2:$AH$616)),"—")</f>
        <v>4</v>
      </c>
      <c r="I35" s="38"/>
      <c r="J35" s="42" t="s">
        <v>49</v>
      </c>
      <c r="K35" s="38"/>
    </row>
    <row r="36" customFormat="false" ht="15" hidden="false" customHeight="false" outlineLevel="0" collapsed="false">
      <c r="A36" s="15" t="s">
        <v>65</v>
      </c>
      <c r="B36" s="16" t="n">
        <f aca="false">COUNTIFS('Detalle por lead'!$A$2:$A$616,B$6,'Detalle por lead'!$D$2:$D$616,"Sí",'Detalle por lead'!$AF$2:$AF$616,"Sí")</f>
        <v>124</v>
      </c>
      <c r="C36" s="35" t="n">
        <f aca="false">IFERROR(B36/B17,"—")</f>
        <v>0.789808917197452</v>
      </c>
      <c r="D36" s="16" t="n">
        <f aca="false">COUNTIFS('Detalle por lead'!$A$2:$A$616,D$6,'Detalle por lead'!$D$2:$D$616,"Sí",'Detalle por lead'!$AF$2:$AF$616,"Sí")</f>
        <v>28</v>
      </c>
      <c r="E36" s="35" t="n">
        <f aca="false">IFERROR(D36/D17,"—")</f>
        <v>0.682926829268293</v>
      </c>
      <c r="F36" s="16" t="n">
        <f aca="false">COUNTIFS('Detalle por lead'!$A$2:$A$616,F$6,'Detalle por lead'!$D$2:$D$616,"Sí",'Detalle por lead'!$AF$2:$AF$616,"Sí")</f>
        <v>33</v>
      </c>
      <c r="G36" s="35" t="n">
        <f aca="false">IFERROR(F36/F17,"—")</f>
        <v>0.891891891891892</v>
      </c>
      <c r="H36" s="36" t="n">
        <f aca="false">COUNTIFS('Detalle por lead'!$D$2:$D$616,"Sí",'Detalle por lead'!$AF$2:$AF$616,"Sí")</f>
        <v>185</v>
      </c>
      <c r="I36" s="35" t="n">
        <f aca="false">IFERROR(H36/H17,"—")</f>
        <v>0.787234042553192</v>
      </c>
      <c r="J36" s="37" t="s">
        <v>49</v>
      </c>
      <c r="K36" s="35"/>
    </row>
    <row r="37" customFormat="false" ht="15" hidden="false" customHeight="false" outlineLevel="0" collapsed="false">
      <c r="A37" s="18" t="s">
        <v>66</v>
      </c>
      <c r="B37" s="19" t="n">
        <f aca="false">COUNTIFS('Detalle por lead'!$A$2:$A$616,B$6,'Detalle por lead'!$D$2:$D$616,"Sí",'Detalle por lead'!$AK$2:$AK$616,"Sí")</f>
        <v>3</v>
      </c>
      <c r="C37" s="38" t="n">
        <f aca="false">IFERROR(B37/B11,"—")</f>
        <v>0.0189873417721519</v>
      </c>
      <c r="D37" s="19" t="n">
        <f aca="false">COUNTIFS('Detalle por lead'!$A$2:$A$616,D$6,'Detalle por lead'!$D$2:$D$616,"Sí",'Detalle por lead'!$AK$2:$AK$616,"Sí")</f>
        <v>2</v>
      </c>
      <c r="E37" s="38" t="n">
        <f aca="false">IFERROR(D37/D11,"—")</f>
        <v>0.0487804878048781</v>
      </c>
      <c r="F37" s="19" t="n">
        <f aca="false">COUNTIFS('Detalle por lead'!$A$2:$A$616,F$6,'Detalle por lead'!$D$2:$D$616,"Sí",'Detalle por lead'!$AK$2:$AK$616,"Sí")</f>
        <v>3</v>
      </c>
      <c r="G37" s="38" t="n">
        <f aca="false">IFERROR(F37/F11,"—")</f>
        <v>0.0810810810810811</v>
      </c>
      <c r="H37" s="25" t="n">
        <f aca="false">COUNTIFS('Detalle por lead'!$D$2:$D$616,"Sí",'Detalle por lead'!$AK$2:$AK$616,"Sí")</f>
        <v>8</v>
      </c>
      <c r="I37" s="38" t="n">
        <f aca="false">IFERROR(H37/H11,"—")</f>
        <v>0.0338983050847458</v>
      </c>
      <c r="J37" s="39" t="n">
        <v>1</v>
      </c>
      <c r="K37" s="38" t="n">
        <v>0.0357142857142857</v>
      </c>
    </row>
    <row r="38" customFormat="false" ht="15" hidden="false" customHeight="false" outlineLevel="0" collapsed="false">
      <c r="A38" s="15" t="s">
        <v>67</v>
      </c>
      <c r="B38" s="16" t="n">
        <f aca="false">COUNTIFS('Detalle por lead'!$A$2:$A$616,B$6,'Detalle por lead'!$AK$2:$AK$616,"Sí")</f>
        <v>6</v>
      </c>
      <c r="C38" s="35" t="n">
        <f aca="false">IFERROR(B38/B10,"—")</f>
        <v>0.0150753768844221</v>
      </c>
      <c r="D38" s="16" t="n">
        <f aca="false">COUNTIFS('Detalle por lead'!$A$2:$A$616,D$6,'Detalle por lead'!$AK$2:$AK$616,"Sí")</f>
        <v>5</v>
      </c>
      <c r="E38" s="35" t="n">
        <f aca="false">IFERROR(D38/D10,"—")</f>
        <v>0.0454545454545455</v>
      </c>
      <c r="F38" s="16" t="n">
        <f aca="false">COUNTIFS('Detalle por lead'!$A$2:$A$616,F$6,'Detalle por lead'!$AK$2:$AK$616,"Sí")</f>
        <v>4</v>
      </c>
      <c r="G38" s="35" t="n">
        <f aca="false">IFERROR(F38/F10,"—")</f>
        <v>0.0373831775700935</v>
      </c>
      <c r="H38" s="36" t="n">
        <f aca="false">COUNTIFS('Detalle por lead'!$AK$2:$AK$616,"Sí")</f>
        <v>15</v>
      </c>
      <c r="I38" s="35" t="n">
        <f aca="false">IFERROR(H38/H10,"—")</f>
        <v>0.024390243902439</v>
      </c>
      <c r="J38" s="37" t="n">
        <v>2</v>
      </c>
      <c r="K38" s="35" t="n">
        <v>0.0285714285714286</v>
      </c>
    </row>
    <row r="40" customFormat="false" ht="15" hidden="false" customHeight="false" outlineLevel="0" collapsed="false">
      <c r="A40" s="33" t="s">
        <v>68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</row>
    <row r="41" customFormat="false" ht="15" hidden="false" customHeight="false" outlineLevel="0" collapsed="false">
      <c r="A41" s="18" t="s">
        <v>69</v>
      </c>
      <c r="B41" s="19" t="n">
        <f aca="false">COUNTIFS('Detalle por lead'!$A$2:$A$616,B$6,'Detalle por lead'!$D$2:$D$616,"Sí",'Detalle por lead'!$Q$2:$Q$616,"Sí")</f>
        <v>147</v>
      </c>
      <c r="C41" s="38"/>
      <c r="D41" s="19" t="n">
        <f aca="false">COUNTIFS('Detalle por lead'!$A$2:$A$616,D$6,'Detalle por lead'!$D$2:$D$616,"Sí",'Detalle por lead'!$Q$2:$Q$616,"Sí")</f>
        <v>39</v>
      </c>
      <c r="E41" s="38"/>
      <c r="F41" s="19" t="n">
        <f aca="false">COUNTIFS('Detalle por lead'!$A$2:$A$616,F$6,'Detalle por lead'!$D$2:$D$616,"Sí",'Detalle por lead'!$Q$2:$Q$616,"Sí")</f>
        <v>34</v>
      </c>
      <c r="G41" s="38"/>
      <c r="H41" s="25" t="n">
        <f aca="false">COUNTIFS('Detalle por lead'!$D$2:$D$616,"Sí",'Detalle por lead'!$Q$2:$Q$616,"Sí")</f>
        <v>220</v>
      </c>
      <c r="I41" s="38"/>
      <c r="J41" s="39" t="s">
        <v>49</v>
      </c>
      <c r="K41" s="38"/>
    </row>
    <row r="42" customFormat="false" ht="15" hidden="false" customHeight="false" outlineLevel="0" collapsed="false">
      <c r="A42" s="15" t="s">
        <v>70</v>
      </c>
      <c r="B42" s="16" t="n">
        <f aca="false">COUNTIFS('Detalle por lead'!$A$2:$A$616,B$6,'Detalle por lead'!$D$2:$D$616,"Sí",'Detalle por lead'!$Q$2:$Q$616,"Sí",'Detalle por lead'!$Y$2:$Y$616,"Sí")</f>
        <v>94</v>
      </c>
      <c r="C42" s="35" t="n">
        <f aca="false">IFERROR(B42/B41,"—")</f>
        <v>0.639455782312925</v>
      </c>
      <c r="D42" s="16" t="n">
        <f aca="false">COUNTIFS('Detalle por lead'!$A$2:$A$616,D$6,'Detalle por lead'!$D$2:$D$616,"Sí",'Detalle por lead'!$Q$2:$Q$616,"Sí",'Detalle por lead'!$Y$2:$Y$616,"Sí")</f>
        <v>28</v>
      </c>
      <c r="E42" s="35" t="n">
        <f aca="false">IFERROR(D42/D41,"—")</f>
        <v>0.717948717948718</v>
      </c>
      <c r="F42" s="16" t="n">
        <f aca="false">COUNTIFS('Detalle por lead'!$A$2:$A$616,F$6,'Detalle por lead'!$D$2:$D$616,"Sí",'Detalle por lead'!$Q$2:$Q$616,"Sí",'Detalle por lead'!$Y$2:$Y$616,"Sí")</f>
        <v>22</v>
      </c>
      <c r="G42" s="35" t="n">
        <f aca="false">IFERROR(F42/F41,"—")</f>
        <v>0.647058823529412</v>
      </c>
      <c r="H42" s="36" t="n">
        <f aca="false">COUNTIFS('Detalle por lead'!$D$2:$D$616,"Sí",'Detalle por lead'!$Q$2:$Q$616,"Sí",'Detalle por lead'!$Y$2:$Y$616,"Sí")</f>
        <v>144</v>
      </c>
      <c r="I42" s="35" t="n">
        <f aca="false">IFERROR(H42/H41,"—")</f>
        <v>0.654545454545455</v>
      </c>
      <c r="J42" s="37" t="s">
        <v>49</v>
      </c>
      <c r="K42" s="35"/>
    </row>
    <row r="43" customFormat="false" ht="15" hidden="false" customHeight="false" outlineLevel="0" collapsed="false">
      <c r="A43" s="18" t="s">
        <v>71</v>
      </c>
      <c r="B43" s="19" t="n">
        <f aca="false">COUNTIFS('Detalle por lead'!$A$2:$A$616,B$6,'Detalle por lead'!$D$2:$D$616,"Sí",'Detalle por lead'!$Q$2:$Q$616,"No")</f>
        <v>10</v>
      </c>
      <c r="C43" s="38"/>
      <c r="D43" s="19" t="n">
        <f aca="false">COUNTIFS('Detalle por lead'!$A$2:$A$616,D$6,'Detalle por lead'!$D$2:$D$616,"Sí",'Detalle por lead'!$Q$2:$Q$616,"No")</f>
        <v>2</v>
      </c>
      <c r="E43" s="38"/>
      <c r="F43" s="19" t="n">
        <f aca="false">COUNTIFS('Detalle por lead'!$A$2:$A$616,F$6,'Detalle por lead'!$D$2:$D$616,"Sí",'Detalle por lead'!$Q$2:$Q$616,"No")</f>
        <v>3</v>
      </c>
      <c r="G43" s="38"/>
      <c r="H43" s="25" t="n">
        <f aca="false">COUNTIFS('Detalle por lead'!$D$2:$D$616,"Sí",'Detalle por lead'!$Q$2:$Q$616,"No")</f>
        <v>15</v>
      </c>
      <c r="I43" s="38"/>
      <c r="J43" s="39" t="s">
        <v>49</v>
      </c>
      <c r="K43" s="38"/>
    </row>
    <row r="44" customFormat="false" ht="15" hidden="false" customHeight="false" outlineLevel="0" collapsed="false">
      <c r="A44" s="15" t="s">
        <v>72</v>
      </c>
      <c r="B44" s="16" t="n">
        <f aca="false">COUNTIFS('Detalle por lead'!$A$2:$A$616,B$6,'Detalle por lead'!$D$2:$D$616,"Sí",'Detalle por lead'!$Q$2:$Q$616,"No",'Detalle por lead'!$Y$2:$Y$616,"Sí")</f>
        <v>7</v>
      </c>
      <c r="C44" s="35" t="n">
        <f aca="false">IFERROR(B44/B43,"—")</f>
        <v>0.7</v>
      </c>
      <c r="D44" s="16" t="n">
        <f aca="false">COUNTIFS('Detalle por lead'!$A$2:$A$616,D$6,'Detalle por lead'!$D$2:$D$616,"Sí",'Detalle por lead'!$Q$2:$Q$616,"No",'Detalle por lead'!$Y$2:$Y$616,"Sí")</f>
        <v>2</v>
      </c>
      <c r="E44" s="35" t="n">
        <f aca="false">IFERROR(D44/D43,"—")</f>
        <v>1</v>
      </c>
      <c r="F44" s="16" t="n">
        <f aca="false">COUNTIFS('Detalle por lead'!$A$2:$A$616,F$6,'Detalle por lead'!$D$2:$D$616,"Sí",'Detalle por lead'!$Q$2:$Q$616,"No",'Detalle por lead'!$Y$2:$Y$616,"Sí")</f>
        <v>2</v>
      </c>
      <c r="G44" s="35" t="n">
        <f aca="false">IFERROR(F44/F43,"—")</f>
        <v>0.666666666666667</v>
      </c>
      <c r="H44" s="36" t="n">
        <f aca="false">COUNTIFS('Detalle por lead'!$D$2:$D$616,"Sí",'Detalle por lead'!$Q$2:$Q$616,"No",'Detalle por lead'!$Y$2:$Y$616,"Sí")</f>
        <v>11</v>
      </c>
      <c r="I44" s="35" t="n">
        <f aca="false">IFERROR(H44/H43,"—")</f>
        <v>0.733333333333333</v>
      </c>
      <c r="J44" s="37" t="s">
        <v>49</v>
      </c>
      <c r="K44" s="35"/>
    </row>
    <row r="45" customFormat="false" ht="15" hidden="false" customHeight="false" outlineLevel="0" collapsed="false">
      <c r="A45" s="18" t="s">
        <v>73</v>
      </c>
      <c r="B45" s="19" t="n">
        <f aca="false">COUNTIFS('Detalle por lead'!$A$2:$A$616,B$6,'Detalle por lead'!$D$2:$D$616,"Sí",'Detalle por lead'!$U$2:$U$616,"Sí",'Detalle por lead'!$Y$2:$Y$616,"Sí")</f>
        <v>74</v>
      </c>
      <c r="C45" s="38" t="n">
        <f aca="false">IFERROR(B45/B27,"—")</f>
        <v>0.666666666666667</v>
      </c>
      <c r="D45" s="19" t="n">
        <f aca="false">COUNTIFS('Detalle por lead'!$A$2:$A$616,D$6,'Detalle por lead'!$D$2:$D$616,"Sí",'Detalle por lead'!$U$2:$U$616,"Sí",'Detalle por lead'!$Y$2:$Y$616,"Sí")</f>
        <v>16</v>
      </c>
      <c r="E45" s="38" t="n">
        <f aca="false">IFERROR(D45/D27,"—")</f>
        <v>0.761904761904762</v>
      </c>
      <c r="F45" s="19" t="n">
        <f aca="false">COUNTIFS('Detalle por lead'!$A$2:$A$616,F$6,'Detalle por lead'!$D$2:$D$616,"Sí",'Detalle por lead'!$U$2:$U$616,"Sí",'Detalle por lead'!$Y$2:$Y$616,"Sí")</f>
        <v>17</v>
      </c>
      <c r="G45" s="38" t="n">
        <f aca="false">IFERROR(F45/F27,"—")</f>
        <v>0.708333333333333</v>
      </c>
      <c r="H45" s="25" t="n">
        <f aca="false">COUNTIFS('Detalle por lead'!$D$2:$D$616,"Sí",'Detalle por lead'!$U$2:$U$616,"Sí",'Detalle por lead'!$Y$2:$Y$616,"Sí")</f>
        <v>107</v>
      </c>
      <c r="I45" s="38" t="n">
        <f aca="false">IFERROR(H45/H27,"—")</f>
        <v>0.685897435897436</v>
      </c>
      <c r="J45" s="39" t="s">
        <v>49</v>
      </c>
      <c r="K45" s="38"/>
    </row>
    <row r="46" customFormat="false" ht="15" hidden="false" customHeight="false" outlineLevel="0" collapsed="false">
      <c r="A46" s="15" t="s">
        <v>74</v>
      </c>
      <c r="B46" s="16" t="n">
        <f aca="false">COUNTIFS('Detalle por lead'!$A$2:$A$616,B$6,'Detalle por lead'!$D$2:$D$616,"Sí",'Detalle por lead'!$U$2:$U$616,"No")</f>
        <v>36</v>
      </c>
      <c r="C46" s="35"/>
      <c r="D46" s="16" t="n">
        <f aca="false">COUNTIFS('Detalle por lead'!$A$2:$A$616,D$6,'Detalle por lead'!$D$2:$D$616,"Sí",'Detalle por lead'!$U$2:$U$616,"No")</f>
        <v>18</v>
      </c>
      <c r="E46" s="35"/>
      <c r="F46" s="16" t="n">
        <f aca="false">COUNTIFS('Detalle por lead'!$A$2:$A$616,F$6,'Detalle por lead'!$D$2:$D$616,"Sí",'Detalle por lead'!$U$2:$U$616,"No")</f>
        <v>10</v>
      </c>
      <c r="G46" s="35"/>
      <c r="H46" s="36" t="n">
        <f aca="false">COUNTIFS('Detalle por lead'!$D$2:$D$616,"Sí",'Detalle por lead'!$U$2:$U$616,"No")</f>
        <v>64</v>
      </c>
      <c r="I46" s="35"/>
      <c r="J46" s="37" t="s">
        <v>49</v>
      </c>
      <c r="K46" s="35"/>
    </row>
    <row r="47" customFormat="false" ht="15" hidden="false" customHeight="false" outlineLevel="0" collapsed="false">
      <c r="A47" s="18" t="s">
        <v>75</v>
      </c>
      <c r="B47" s="19" t="n">
        <f aca="false">COUNTIFS('Detalle por lead'!$A$2:$A$616,B$6,'Detalle por lead'!$D$2:$D$616,"Sí",'Detalle por lead'!$U$2:$U$616,"No",'Detalle por lead'!$Y$2:$Y$616,"Sí")</f>
        <v>20</v>
      </c>
      <c r="C47" s="38" t="n">
        <f aca="false">IFERROR(B47/B46,"—")</f>
        <v>0.555555555555556</v>
      </c>
      <c r="D47" s="19" t="n">
        <f aca="false">COUNTIFS('Detalle por lead'!$A$2:$A$616,D$6,'Detalle por lead'!$D$2:$D$616,"Sí",'Detalle por lead'!$U$2:$U$616,"No",'Detalle por lead'!$Y$2:$Y$616,"Sí")</f>
        <v>12</v>
      </c>
      <c r="E47" s="38" t="n">
        <f aca="false">IFERROR(D47/D46,"—")</f>
        <v>0.666666666666667</v>
      </c>
      <c r="F47" s="19" t="n">
        <f aca="false">COUNTIFS('Detalle por lead'!$A$2:$A$616,F$6,'Detalle por lead'!$D$2:$D$616,"Sí",'Detalle por lead'!$U$2:$U$616,"No",'Detalle por lead'!$Y$2:$Y$616,"Sí")</f>
        <v>5</v>
      </c>
      <c r="G47" s="38" t="n">
        <f aca="false">IFERROR(F47/F46,"—")</f>
        <v>0.5</v>
      </c>
      <c r="H47" s="25" t="n">
        <f aca="false">COUNTIFS('Detalle por lead'!$D$2:$D$616,"Sí",'Detalle por lead'!$U$2:$U$616,"No",'Detalle por lead'!$Y$2:$Y$616,"Sí")</f>
        <v>37</v>
      </c>
      <c r="I47" s="38" t="n">
        <f aca="false">IFERROR(H47/H46,"—")</f>
        <v>0.578125</v>
      </c>
      <c r="J47" s="39" t="s">
        <v>49</v>
      </c>
      <c r="K47" s="38"/>
    </row>
    <row r="49" customFormat="false" ht="15" hidden="false" customHeight="false" outlineLevel="0" collapsed="false">
      <c r="A49" s="33" t="s">
        <v>76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</row>
    <row r="50" customFormat="false" ht="15" hidden="false" customHeight="false" outlineLevel="0" collapsed="false">
      <c r="A50" s="15" t="s">
        <v>77</v>
      </c>
      <c r="B50" s="16" t="n">
        <f aca="false">COUNTIFS('Detalle por lead'!$A$2:$A$616,B$6,'Detalle por lead'!$G$2:$G$616,"No")</f>
        <v>325</v>
      </c>
      <c r="C50" s="35"/>
      <c r="D50" s="16" t="n">
        <f aca="false">COUNTIFS('Detalle por lead'!$A$2:$A$616,D$6,'Detalle por lead'!$G$2:$G$616,"No")</f>
        <v>90</v>
      </c>
      <c r="E50" s="35"/>
      <c r="F50" s="16" t="n">
        <f aca="false">COUNTIFS('Detalle por lead'!$A$2:$A$616,F$6,'Detalle por lead'!$G$2:$G$616,"No")</f>
        <v>85</v>
      </c>
      <c r="G50" s="35"/>
      <c r="H50" s="36" t="n">
        <f aca="false">COUNTIFS('Detalle por lead'!$G$2:$G$616,"No")</f>
        <v>500</v>
      </c>
      <c r="I50" s="35"/>
      <c r="J50" s="37" t="n">
        <v>51</v>
      </c>
      <c r="K50" s="35"/>
    </row>
    <row r="51" customFormat="false" ht="15" hidden="false" customHeight="false" outlineLevel="0" collapsed="false">
      <c r="A51" s="18" t="s">
        <v>78</v>
      </c>
      <c r="B51" s="19" t="n">
        <f aca="false">COUNTIFS('Detalle por lead'!$A$2:$A$616,B$6,'Detalle por lead'!$G$2:$G$616,"No",'Detalle por lead'!$D$2:$D$616,"Sí")</f>
        <v>137</v>
      </c>
      <c r="C51" s="38" t="n">
        <f aca="false">IFERROR(B51/B50,"—")</f>
        <v>0.421538461538462</v>
      </c>
      <c r="D51" s="19" t="n">
        <f aca="false">COUNTIFS('Detalle por lead'!$A$2:$A$616,D$6,'Detalle por lead'!$G$2:$G$616,"No",'Detalle por lead'!$D$2:$D$616,"Sí")</f>
        <v>40</v>
      </c>
      <c r="E51" s="38" t="n">
        <f aca="false">IFERROR(D51/D50,"—")</f>
        <v>0.444444444444444</v>
      </c>
      <c r="F51" s="19" t="n">
        <f aca="false">COUNTIFS('Detalle por lead'!$A$2:$A$616,F$6,'Detalle por lead'!$G$2:$G$616,"No",'Detalle por lead'!$D$2:$D$616,"Sí")</f>
        <v>31</v>
      </c>
      <c r="G51" s="38" t="n">
        <f aca="false">IFERROR(F51/F50,"—")</f>
        <v>0.364705882352941</v>
      </c>
      <c r="H51" s="25" t="n">
        <f aca="false">COUNTIFS('Detalle por lead'!$G$2:$G$616,"No",'Detalle por lead'!$D$2:$D$616,"Sí")</f>
        <v>208</v>
      </c>
      <c r="I51" s="38" t="n">
        <f aca="false">IFERROR(H51/H50,"—")</f>
        <v>0.416</v>
      </c>
      <c r="J51" s="39" t="n">
        <v>27</v>
      </c>
      <c r="K51" s="38" t="n">
        <v>0.529411764705882</v>
      </c>
    </row>
    <row r="52" customFormat="false" ht="15" hidden="false" customHeight="false" outlineLevel="0" collapsed="false">
      <c r="A52" s="15" t="s">
        <v>79</v>
      </c>
      <c r="B52" s="16" t="n">
        <f aca="false">COUNTIFS('Detalle por lead'!$A$2:$A$616,B$6,'Detalle por lead'!$G$2:$G$616,"Sí")</f>
        <v>73</v>
      </c>
      <c r="C52" s="35"/>
      <c r="D52" s="16" t="n">
        <f aca="false">COUNTIFS('Detalle por lead'!$A$2:$A$616,D$6,'Detalle por lead'!$G$2:$G$616,"Sí")</f>
        <v>20</v>
      </c>
      <c r="E52" s="35"/>
      <c r="F52" s="16" t="n">
        <f aca="false">COUNTIFS('Detalle por lead'!$A$2:$A$616,F$6,'Detalle por lead'!$G$2:$G$616,"Sí")</f>
        <v>22</v>
      </c>
      <c r="G52" s="35"/>
      <c r="H52" s="36" t="n">
        <f aca="false">COUNTIFS('Detalle por lead'!$G$2:$G$616,"Sí")</f>
        <v>115</v>
      </c>
      <c r="I52" s="35"/>
      <c r="J52" s="37" t="n">
        <v>19</v>
      </c>
      <c r="K52" s="35"/>
    </row>
    <row r="53" customFormat="false" ht="15" hidden="false" customHeight="false" outlineLevel="0" collapsed="false">
      <c r="A53" s="18" t="s">
        <v>80</v>
      </c>
      <c r="B53" s="19" t="n">
        <f aca="false">COUNTIFS('Detalle por lead'!$A$2:$A$616,B$6,'Detalle por lead'!$G$2:$G$616,"Sí",'Detalle por lead'!$D$2:$D$616,"Sí")</f>
        <v>21</v>
      </c>
      <c r="C53" s="38" t="n">
        <f aca="false">IFERROR(B53/B52,"—")</f>
        <v>0.287671232876712</v>
      </c>
      <c r="D53" s="19" t="n">
        <f aca="false">COUNTIFS('Detalle por lead'!$A$2:$A$616,D$6,'Detalle por lead'!$G$2:$G$616,"Sí",'Detalle por lead'!$D$2:$D$616,"Sí")</f>
        <v>1</v>
      </c>
      <c r="E53" s="38" t="n">
        <f aca="false">IFERROR(D53/D52,"—")</f>
        <v>0.05</v>
      </c>
      <c r="F53" s="19" t="n">
        <f aca="false">COUNTIFS('Detalle por lead'!$A$2:$A$616,F$6,'Detalle por lead'!$G$2:$G$616,"Sí",'Detalle por lead'!$D$2:$D$616,"Sí")</f>
        <v>6</v>
      </c>
      <c r="G53" s="38" t="n">
        <f aca="false">IFERROR(F53/F52,"—")</f>
        <v>0.272727272727273</v>
      </c>
      <c r="H53" s="25" t="n">
        <f aca="false">COUNTIFS('Detalle por lead'!$G$2:$G$616,"Sí",'Detalle por lead'!$D$2:$D$616,"Sí")</f>
        <v>28</v>
      </c>
      <c r="I53" s="38" t="n">
        <f aca="false">IFERROR(H53/H52,"—")</f>
        <v>0.243478260869565</v>
      </c>
      <c r="J53" s="39" t="n">
        <v>1</v>
      </c>
      <c r="K53" s="38" t="n">
        <v>0.0526315789473684</v>
      </c>
    </row>
    <row r="55" customFormat="false" ht="15" hidden="false" customHeight="false" outlineLevel="0" collapsed="false">
      <c r="A55" s="27" t="s">
        <v>81</v>
      </c>
    </row>
    <row r="56" customFormat="false" ht="15" hidden="false" customHeight="false" outlineLevel="0" collapsed="false">
      <c r="A56" s="27" t="s">
        <v>82</v>
      </c>
    </row>
  </sheetData>
  <mergeCells count="5">
    <mergeCell ref="B6:C6"/>
    <mergeCell ref="D6:E6"/>
    <mergeCell ref="F6:G6"/>
    <mergeCell ref="H6:I6"/>
    <mergeCell ref="J6:K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5" min="4" style="0" width="13"/>
    <col collapsed="false" customWidth="true" hidden="false" outlineLevel="0" max="6" min="6" style="0" width="10"/>
    <col collapsed="false" customWidth="true" hidden="false" outlineLevel="0" max="12" min="7" style="0" width="12"/>
  </cols>
  <sheetData>
    <row r="1" customFormat="false" ht="25.5" hidden="false" customHeight="true" outlineLevel="0" collapsed="false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3" t="s">
        <v>83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5" hidden="false" customHeight="false" outlineLevel="0" collapsed="false">
      <c r="A3" s="5" t="s">
        <v>84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customFormat="false" ht="15" hidden="false" customHeight="false" outlineLevel="0" collapsed="false">
      <c r="A4" s="7" t="s">
        <v>85</v>
      </c>
    </row>
    <row r="5" customFormat="false" ht="45" hidden="false" customHeight="true" outlineLevel="0" collapsed="false">
      <c r="A5" s="13" t="s">
        <v>86</v>
      </c>
      <c r="B5" s="14" t="s">
        <v>15</v>
      </c>
      <c r="C5" s="14" t="s">
        <v>16</v>
      </c>
      <c r="D5" s="14" t="s">
        <v>8</v>
      </c>
      <c r="E5" s="14" t="s">
        <v>87</v>
      </c>
      <c r="F5" s="14" t="s">
        <v>88</v>
      </c>
      <c r="G5" s="14" t="s">
        <v>89</v>
      </c>
      <c r="H5" s="14" t="s">
        <v>90</v>
      </c>
      <c r="I5" s="14" t="s">
        <v>91</v>
      </c>
      <c r="J5" s="14" t="s">
        <v>92</v>
      </c>
      <c r="K5" s="14" t="s">
        <v>93</v>
      </c>
      <c r="L5" s="14" t="s">
        <v>94</v>
      </c>
    </row>
    <row r="6" customFormat="false" ht="15" hidden="false" customHeight="false" outlineLevel="0" collapsed="false">
      <c r="A6" s="43" t="n">
        <v>0</v>
      </c>
      <c r="B6" s="15" t="s">
        <v>95</v>
      </c>
      <c r="C6" s="44" t="n">
        <f aca="false">COUNTIFS('Detalle por lead'!$D$2:$D$616,"Sí",'Detalle por lead'!$O$2:$O$616,B6)</f>
        <v>54</v>
      </c>
      <c r="D6" s="16" t="n">
        <f aca="false">COUNTIFS('Detalle por lead'!$D$2:$D$616,"Sí",'Detalle por lead'!$O$2:$O$616,B6,'Detalle por lead'!$Y$2:$Y$616,"Sí")</f>
        <v>41</v>
      </c>
      <c r="E6" s="45" t="n">
        <f aca="false">IFERROR(D6/C6,"—")</f>
        <v>0.759259259259259</v>
      </c>
      <c r="F6" s="16" t="n">
        <f aca="false">COUNTIFS('Detalle por lead'!$D$2:$D$616,"Sí",'Detalle por lead'!$O$2:$O$616,B6,'Detalle por lead'!$AK$2:$AK$616,"Sí")</f>
        <v>1</v>
      </c>
      <c r="G6" s="16" t="n">
        <f aca="false">COUNTIFS('Detalle por lead'!$D$2:$D$616,"Sí",'Detalle por lead'!$A$2:$A$616,"ISO + Calidad",'Detalle por lead'!$O$2:$O$616,B6)</f>
        <v>32</v>
      </c>
      <c r="H6" s="46" t="n">
        <f aca="false">IFERROR(COUNTIFS('Detalle por lead'!$D$2:$D$616,"Sí",'Detalle por lead'!$A$2:$A$616,"ISO + Calidad",'Detalle por lead'!$O$2:$O$616,B6,'Detalle por lead'!$Y$2:$Y$616,"Sí")/G6,"—")</f>
        <v>0.65625</v>
      </c>
      <c r="I6" s="16" t="n">
        <f aca="false">COUNTIFS('Detalle por lead'!$D$2:$D$616,"Sí",'Detalle por lead'!$A$2:$A$616,"Manufactura y Calidad",'Detalle por lead'!$O$2:$O$616,B6)</f>
        <v>15</v>
      </c>
      <c r="J6" s="46" t="n">
        <f aca="false">IFERROR(COUNTIFS('Detalle por lead'!$D$2:$D$616,"Sí",'Detalle por lead'!$A$2:$A$616,"Manufactura y Calidad",'Detalle por lead'!$O$2:$O$616,B6,'Detalle por lead'!$Y$2:$Y$616,"Sí")/I6,"—")</f>
        <v>0.866666666666667</v>
      </c>
      <c r="K6" s="16" t="n">
        <f aca="false">COUNTIFS('Detalle por lead'!$D$2:$D$616,"Sí",'Detalle por lead'!$A$2:$A$616,"Core Tools Premium",'Detalle por lead'!$O$2:$O$616,B6)</f>
        <v>7</v>
      </c>
      <c r="L6" s="46" t="n">
        <f aca="false">IFERROR(COUNTIFS('Detalle por lead'!$D$2:$D$616,"Sí",'Detalle por lead'!$A$2:$A$616,"Core Tools Premium",'Detalle por lead'!$O$2:$O$616,B6,'Detalle por lead'!$Y$2:$Y$616,"Sí")/K6,"—")</f>
        <v>1</v>
      </c>
    </row>
    <row r="7" customFormat="false" ht="15" hidden="false" customHeight="false" outlineLevel="0" collapsed="false">
      <c r="A7" s="47" t="n">
        <v>4</v>
      </c>
      <c r="B7" s="18" t="s">
        <v>96</v>
      </c>
      <c r="C7" s="48" t="n">
        <f aca="false">COUNTIFS('Detalle por lead'!$D$2:$D$616,"Sí",'Detalle por lead'!$O$2:$O$616,B7)</f>
        <v>53</v>
      </c>
      <c r="D7" s="19" t="n">
        <f aca="false">COUNTIFS('Detalle por lead'!$D$2:$D$616,"Sí",'Detalle por lead'!$O$2:$O$616,B7,'Detalle por lead'!$Y$2:$Y$616,"Sí")</f>
        <v>32</v>
      </c>
      <c r="E7" s="49" t="n">
        <f aca="false">IFERROR(D7/C7,"—")</f>
        <v>0.60377358490566</v>
      </c>
      <c r="F7" s="19" t="n">
        <f aca="false">COUNTIFS('Detalle por lead'!$D$2:$D$616,"Sí",'Detalle por lead'!$O$2:$O$616,B7,'Detalle por lead'!$AK$2:$AK$616,"Sí")</f>
        <v>2</v>
      </c>
      <c r="G7" s="19" t="n">
        <f aca="false">COUNTIFS('Detalle por lead'!$D$2:$D$616,"Sí",'Detalle por lead'!$A$2:$A$616,"ISO + Calidad",'Detalle por lead'!$O$2:$O$616,B7)</f>
        <v>33</v>
      </c>
      <c r="H7" s="50" t="n">
        <f aca="false">IFERROR(COUNTIFS('Detalle por lead'!$D$2:$D$616,"Sí",'Detalle por lead'!$A$2:$A$616,"ISO + Calidad",'Detalle por lead'!$O$2:$O$616,B7,'Detalle por lead'!$Y$2:$Y$616,"Sí")/G7,"—")</f>
        <v>0.666666666666667</v>
      </c>
      <c r="I7" s="19" t="n">
        <f aca="false">COUNTIFS('Detalle por lead'!$D$2:$D$616,"Sí",'Detalle por lead'!$A$2:$A$616,"Manufactura y Calidad",'Detalle por lead'!$O$2:$O$616,B7)</f>
        <v>10</v>
      </c>
      <c r="J7" s="50" t="n">
        <f aca="false">IFERROR(COUNTIFS('Detalle por lead'!$D$2:$D$616,"Sí",'Detalle por lead'!$A$2:$A$616,"Manufactura y Calidad",'Detalle por lead'!$O$2:$O$616,B7,'Detalle por lead'!$Y$2:$Y$616,"Sí")/I7,"—")</f>
        <v>0.6</v>
      </c>
      <c r="K7" s="19" t="n">
        <f aca="false">COUNTIFS('Detalle por lead'!$D$2:$D$616,"Sí",'Detalle por lead'!$A$2:$A$616,"Core Tools Premium",'Detalle por lead'!$O$2:$O$616,B7)</f>
        <v>10</v>
      </c>
      <c r="L7" s="50" t="n">
        <f aca="false">IFERROR(COUNTIFS('Detalle por lead'!$D$2:$D$616,"Sí",'Detalle por lead'!$A$2:$A$616,"Core Tools Premium",'Detalle por lead'!$O$2:$O$616,B7,'Detalle por lead'!$Y$2:$Y$616,"Sí")/K7,"—")</f>
        <v>0.4</v>
      </c>
    </row>
    <row r="8" customFormat="false" ht="15" hidden="false" customHeight="false" outlineLevel="0" collapsed="false">
      <c r="A8" s="43" t="n">
        <v>6</v>
      </c>
      <c r="B8" s="15" t="s">
        <v>97</v>
      </c>
      <c r="C8" s="44" t="n">
        <f aca="false">COUNTIFS('Detalle por lead'!$D$2:$D$616,"Sí",'Detalle por lead'!$O$2:$O$616,B8)</f>
        <v>52</v>
      </c>
      <c r="D8" s="16" t="n">
        <f aca="false">COUNTIFS('Detalle por lead'!$D$2:$D$616,"Sí",'Detalle por lead'!$O$2:$O$616,B8,'Detalle por lead'!$Y$2:$Y$616,"Sí")</f>
        <v>34</v>
      </c>
      <c r="E8" s="45" t="n">
        <f aca="false">IFERROR(D8/C8,"—")</f>
        <v>0.653846153846154</v>
      </c>
      <c r="F8" s="16" t="n">
        <f aca="false">COUNTIFS('Detalle por lead'!$D$2:$D$616,"Sí",'Detalle por lead'!$O$2:$O$616,B8,'Detalle por lead'!$AK$2:$AK$616,"Sí")</f>
        <v>0</v>
      </c>
      <c r="G8" s="16" t="n">
        <f aca="false">COUNTIFS('Detalle por lead'!$D$2:$D$616,"Sí",'Detalle por lead'!$A$2:$A$616,"ISO + Calidad",'Detalle por lead'!$O$2:$O$616,B8)</f>
        <v>39</v>
      </c>
      <c r="H8" s="46" t="n">
        <f aca="false">IFERROR(COUNTIFS('Detalle por lead'!$D$2:$D$616,"Sí",'Detalle por lead'!$A$2:$A$616,"ISO + Calidad",'Detalle por lead'!$O$2:$O$616,B8,'Detalle por lead'!$Y$2:$Y$616,"Sí")/G8,"—")</f>
        <v>0.641025641025641</v>
      </c>
      <c r="I8" s="16" t="n">
        <f aca="false">COUNTIFS('Detalle por lead'!$D$2:$D$616,"Sí",'Detalle por lead'!$A$2:$A$616,"Manufactura y Calidad",'Detalle por lead'!$O$2:$O$616,B8)</f>
        <v>5</v>
      </c>
      <c r="J8" s="46" t="n">
        <f aca="false">IFERROR(COUNTIFS('Detalle por lead'!$D$2:$D$616,"Sí",'Detalle por lead'!$A$2:$A$616,"Manufactura y Calidad",'Detalle por lead'!$O$2:$O$616,B8,'Detalle por lead'!$Y$2:$Y$616,"Sí")/I8,"—")</f>
        <v>0.6</v>
      </c>
      <c r="K8" s="16" t="n">
        <f aca="false">COUNTIFS('Detalle por lead'!$D$2:$D$616,"Sí",'Detalle por lead'!$A$2:$A$616,"Core Tools Premium",'Detalle por lead'!$O$2:$O$616,B8)</f>
        <v>8</v>
      </c>
      <c r="L8" s="46" t="n">
        <f aca="false">IFERROR(COUNTIFS('Detalle por lead'!$D$2:$D$616,"Sí",'Detalle por lead'!$A$2:$A$616,"Core Tools Premium",'Detalle por lead'!$O$2:$O$616,B8,'Detalle por lead'!$Y$2:$Y$616,"Sí")/K8,"—")</f>
        <v>0.75</v>
      </c>
    </row>
    <row r="9" customFormat="false" ht="15" hidden="false" customHeight="false" outlineLevel="0" collapsed="false">
      <c r="A9" s="47" t="n">
        <v>10</v>
      </c>
      <c r="B9" s="18" t="s">
        <v>98</v>
      </c>
      <c r="C9" s="48" t="n">
        <f aca="false">COUNTIFS('Detalle por lead'!$D$2:$D$616,"Sí",'Detalle por lead'!$O$2:$O$616,B9)</f>
        <v>56</v>
      </c>
      <c r="D9" s="19" t="n">
        <f aca="false">COUNTIFS('Detalle por lead'!$D$2:$D$616,"Sí",'Detalle por lead'!$O$2:$O$616,B9,'Detalle por lead'!$Y$2:$Y$616,"Sí")</f>
        <v>37</v>
      </c>
      <c r="E9" s="49" t="n">
        <f aca="false">IFERROR(D9/C9,"—")</f>
        <v>0.660714285714286</v>
      </c>
      <c r="F9" s="19" t="n">
        <f aca="false">COUNTIFS('Detalle por lead'!$D$2:$D$616,"Sí",'Detalle por lead'!$O$2:$O$616,B9,'Detalle por lead'!$AK$2:$AK$616,"Sí")</f>
        <v>5</v>
      </c>
      <c r="G9" s="19" t="n">
        <f aca="false">COUNTIFS('Detalle por lead'!$D$2:$D$616,"Sí",'Detalle por lead'!$A$2:$A$616,"ISO + Calidad",'Detalle por lead'!$O$2:$O$616,B9)</f>
        <v>40</v>
      </c>
      <c r="H9" s="50" t="n">
        <f aca="false">IFERROR(COUNTIFS('Detalle por lead'!$D$2:$D$616,"Sí",'Detalle por lead'!$A$2:$A$616,"ISO + Calidad",'Detalle por lead'!$O$2:$O$616,B9,'Detalle por lead'!$Y$2:$Y$616,"Sí")/G9,"—")</f>
        <v>0.65</v>
      </c>
      <c r="I9" s="19" t="n">
        <f aca="false">COUNTIFS('Detalle por lead'!$D$2:$D$616,"Sí",'Detalle por lead'!$A$2:$A$616,"Manufactura y Calidad",'Detalle por lead'!$O$2:$O$616,B9)</f>
        <v>9</v>
      </c>
      <c r="J9" s="50" t="n">
        <f aca="false">IFERROR(COUNTIFS('Detalle por lead'!$D$2:$D$616,"Sí",'Detalle por lead'!$A$2:$A$616,"Manufactura y Calidad",'Detalle por lead'!$O$2:$O$616,B9,'Detalle por lead'!$Y$2:$Y$616,"Sí")/I9,"—")</f>
        <v>0.666666666666667</v>
      </c>
      <c r="K9" s="19" t="n">
        <f aca="false">COUNTIFS('Detalle por lead'!$D$2:$D$616,"Sí",'Detalle por lead'!$A$2:$A$616,"Core Tools Premium",'Detalle por lead'!$O$2:$O$616,B9)</f>
        <v>7</v>
      </c>
      <c r="L9" s="50" t="n">
        <f aca="false">IFERROR(COUNTIFS('Detalle por lead'!$D$2:$D$616,"Sí",'Detalle por lead'!$A$2:$A$616,"Core Tools Premium",'Detalle por lead'!$O$2:$O$616,B9,'Detalle por lead'!$Y$2:$Y$616,"Sí")/K9,"—")</f>
        <v>0.714285714285714</v>
      </c>
    </row>
    <row r="10" customFormat="false" ht="15" hidden="false" customHeight="false" outlineLevel="0" collapsed="false">
      <c r="A10" s="43" t="n">
        <v>30</v>
      </c>
      <c r="B10" s="15" t="s">
        <v>99</v>
      </c>
      <c r="C10" s="44" t="n">
        <f aca="false">COUNTIFS('Detalle por lead'!$D$2:$D$616,"Sí",'Detalle por lead'!$O$2:$O$616,B10)</f>
        <v>20</v>
      </c>
      <c r="D10" s="16" t="n">
        <f aca="false">COUNTIFS('Detalle por lead'!$D$2:$D$616,"Sí",'Detalle por lead'!$O$2:$O$616,B10,'Detalle por lead'!$Y$2:$Y$616,"Sí")</f>
        <v>11</v>
      </c>
      <c r="E10" s="45" t="n">
        <f aca="false">IFERROR(D10/C10,"—")</f>
        <v>0.55</v>
      </c>
      <c r="F10" s="16" t="n">
        <f aca="false">COUNTIFS('Detalle por lead'!$D$2:$D$616,"Sí",'Detalle por lead'!$O$2:$O$616,B10,'Detalle por lead'!$AK$2:$AK$616,"Sí")</f>
        <v>0</v>
      </c>
      <c r="G10" s="16" t="n">
        <f aca="false">COUNTIFS('Detalle por lead'!$D$2:$D$616,"Sí",'Detalle por lead'!$A$2:$A$616,"ISO + Calidad",'Detalle por lead'!$O$2:$O$616,B10)</f>
        <v>13</v>
      </c>
      <c r="H10" s="46" t="n">
        <f aca="false">IFERROR(COUNTIFS('Detalle por lead'!$D$2:$D$616,"Sí",'Detalle por lead'!$A$2:$A$616,"ISO + Calidad",'Detalle por lead'!$O$2:$O$616,B10,'Detalle por lead'!$Y$2:$Y$616,"Sí")/G10,"—")</f>
        <v>0.538461538461538</v>
      </c>
      <c r="I10" s="16" t="n">
        <f aca="false">COUNTIFS('Detalle por lead'!$D$2:$D$616,"Sí",'Detalle por lead'!$A$2:$A$616,"Manufactura y Calidad",'Detalle por lead'!$O$2:$O$616,B10)</f>
        <v>2</v>
      </c>
      <c r="J10" s="46" t="n">
        <f aca="false">IFERROR(COUNTIFS('Detalle por lead'!$D$2:$D$616,"Sí",'Detalle por lead'!$A$2:$A$616,"Manufactura y Calidad",'Detalle por lead'!$O$2:$O$616,B10,'Detalle por lead'!$Y$2:$Y$616,"Sí")/I10,"—")</f>
        <v>1</v>
      </c>
      <c r="K10" s="16" t="n">
        <f aca="false">COUNTIFS('Detalle por lead'!$D$2:$D$616,"Sí",'Detalle por lead'!$A$2:$A$616,"Core Tools Premium",'Detalle por lead'!$O$2:$O$616,B10)</f>
        <v>5</v>
      </c>
      <c r="L10" s="46" t="n">
        <f aca="false">IFERROR(COUNTIFS('Detalle por lead'!$D$2:$D$616,"Sí",'Detalle por lead'!$A$2:$A$616,"Core Tools Premium",'Detalle por lead'!$O$2:$O$616,B10,'Detalle por lead'!$Y$2:$Y$616,"Sí")/K10,"—")</f>
        <v>0.4</v>
      </c>
    </row>
    <row r="11" customFormat="false" ht="15" hidden="false" customHeight="false" outlineLevel="0" collapsed="false">
      <c r="B11" s="21" t="s">
        <v>100</v>
      </c>
      <c r="C11" s="44" t="n">
        <f aca="false">SUM(C6:C10)</f>
        <v>235</v>
      </c>
      <c r="D11" s="44" t="n">
        <f aca="false">SUM(D6:D10)</f>
        <v>155</v>
      </c>
      <c r="E11" s="51" t="n">
        <f aca="false">IFERROR(D11/C11,"—")</f>
        <v>0.659574468085106</v>
      </c>
      <c r="F11" s="44" t="n">
        <f aca="false">SUM(F6:F10)</f>
        <v>8</v>
      </c>
      <c r="G11" s="44" t="n">
        <f aca="false">SUM(G6:G10)</f>
        <v>157</v>
      </c>
      <c r="I11" s="44" t="n">
        <f aca="false">SUM(I6:I10)</f>
        <v>41</v>
      </c>
      <c r="K11" s="44" t="n">
        <f aca="false">SUM(K6:K10)</f>
        <v>37</v>
      </c>
    </row>
    <row r="12" customFormat="false" ht="15" hidden="false" customHeight="false" outlineLevel="0" collapsed="false">
      <c r="A12" s="52" t="s">
        <v>101</v>
      </c>
    </row>
    <row r="14" customFormat="false" ht="45" hidden="false" customHeight="true" outlineLevel="0" collapsed="false">
      <c r="A14" s="13" t="s">
        <v>102</v>
      </c>
      <c r="B14" s="14" t="s">
        <v>103</v>
      </c>
      <c r="C14" s="14" t="s">
        <v>104</v>
      </c>
      <c r="D14" s="14" t="s">
        <v>105</v>
      </c>
      <c r="E14" s="14" t="s">
        <v>106</v>
      </c>
      <c r="F14" s="14" t="s">
        <v>107</v>
      </c>
    </row>
    <row r="15" customFormat="false" ht="15" hidden="false" customHeight="false" outlineLevel="0" collapsed="false">
      <c r="A15" s="15" t="s">
        <v>108</v>
      </c>
      <c r="B15" s="22" t="n">
        <f aca="false" t="array" ref="B15:B15">IFERROR(MEDIAN(IF(('Detalle por lead'!$D$2:$D$616="Sí")*ISNUMBER('Detalle por lead'!$L$2:$L$616),'Detalle por lead'!$L$2:$L$616)),"—")</f>
        <v>2.16335002448333</v>
      </c>
      <c r="C15" s="22" t="n">
        <f aca="false" t="array" ref="C15:C15">IFERROR(MEDIAN(IF(('Detalle por lead'!$D$2:$D$616="Sí")*ISNUMBER('Detalle por lead'!$N$2:$N$616),'Detalle por lead'!$N$2:$N$616)),"—")</f>
        <v>6.4108166762</v>
      </c>
      <c r="D15" s="22" t="n">
        <f aca="false" t="array" ref="D15:D15">IFERROR(MEDIAN(IF(('Detalle por lead'!$D$2:$D$616="Sí")*ISNUMBER('Detalle por lead'!$V$2:$V$616),'Detalle por lead'!$V$2:$V$616)),"—")</f>
        <v>3.78</v>
      </c>
      <c r="E15" s="22" t="n">
        <f aca="false" t="array" ref="E15:E15">IFERROR(MEDIAN(IF(('Detalle por lead'!$D$2:$D$616="Sí")*ISNUMBER('Detalle por lead'!$AA$2:$AA$616),'Detalle por lead'!$AA$2:$AA$616)),"—")</f>
        <v>10.9852666722</v>
      </c>
      <c r="F15" s="22" t="n">
        <f aca="false" t="array" ref="F15:F15">IFERROR(MEDIAN(IF(('Detalle por lead'!$D$2:$D$616="Sí")*ISNUMBER('Detalle por lead'!$AD$2:$AD$616),'Detalle por lead'!$AD$2:$AD$616)),"—")</f>
        <v>1.87284999293333</v>
      </c>
    </row>
    <row r="16" customFormat="false" ht="15" hidden="false" customHeight="false" outlineLevel="0" collapsed="false">
      <c r="A16" s="18" t="s">
        <v>109</v>
      </c>
      <c r="B16" s="24" t="n">
        <f aca="false" t="array" ref="B16:B16">IFERROR(AVERAGE(IF(('Detalle por lead'!$D$2:$D$616="Sí")*ISNUMBER('Detalle por lead'!$L$2:$L$616),'Detalle por lead'!$L$2:$L$616)),"—")</f>
        <v>17.9842465955613</v>
      </c>
      <c r="C16" s="24" t="n">
        <f aca="false" t="array" ref="C16:C16">IFERROR(AVERAGE(IF(('Detalle por lead'!$D$2:$D$616="Sí")*ISNUMBER('Detalle por lead'!$N$2:$N$616),'Detalle por lead'!$N$2:$N$616)),"—")</f>
        <v>35.9944972345035</v>
      </c>
      <c r="D16" s="24" t="n">
        <f aca="false" t="array" ref="D16:D16">IFERROR(AVERAGE(IF(('Detalle por lead'!$D$2:$D$616="Sí")*ISNUMBER('Detalle por lead'!$V$2:$V$616),'Detalle por lead'!$V$2:$V$616)),"—")</f>
        <v>8.01119402985075</v>
      </c>
      <c r="E16" s="24" t="n">
        <f aca="false" t="array" ref="E16:E16">IFERROR(AVERAGE(IF(('Detalle por lead'!$D$2:$D$616="Sí")*ISNUMBER('Detalle por lead'!$AA$2:$AA$616),'Detalle por lead'!$AA$2:$AA$616)),"—")</f>
        <v>392.096779568488</v>
      </c>
      <c r="F16" s="24" t="n">
        <f aca="false" t="array" ref="F16:F16">IFERROR(AVERAGE(IF(('Detalle por lead'!$D$2:$D$616="Sí")*ISNUMBER('Detalle por lead'!$AD$2:$AD$616),'Detalle por lead'!$AD$2:$AD$616)),"—")</f>
        <v>172.932929848381</v>
      </c>
    </row>
    <row r="17" customFormat="false" ht="15" hidden="false" customHeight="false" outlineLevel="0" collapsed="false">
      <c r="A17" s="15" t="s">
        <v>110</v>
      </c>
      <c r="B17" s="22" t="n">
        <f aca="false" t="array" ref="B17:B17">IFERROR(PERCENTILE(IF(('Detalle por lead'!$D$2:$D$616="Sí")*ISNUMBER('Detalle por lead'!$L$2:$L$616),'Detalle por lead'!$L$2:$L$616),0.75),"—")</f>
        <v>6.14304166053333</v>
      </c>
      <c r="C17" s="22" t="n">
        <f aca="false" t="array" ref="C17:C17">IFERROR(PERCENTILE(IF(('Detalle por lead'!$D$2:$D$616="Sí")*ISNUMBER('Detalle por lead'!$N$2:$N$616),'Detalle por lead'!$N$2:$N$616),0.75),"—")</f>
        <v>11.9224583404083</v>
      </c>
      <c r="D17" s="22" t="n">
        <f aca="false" t="array" ref="D17:D17">IFERROR(PERCENTILE(IF(('Detalle por lead'!$D$2:$D$616="Sí")*ISNUMBER('Detalle por lead'!$V$2:$V$616),'Detalle por lead'!$V$2:$V$616),0.75),"—")</f>
        <v>5.22</v>
      </c>
      <c r="E17" s="22" t="n">
        <f aca="false" t="array" ref="E17:E17">IFERROR(PERCENTILE(IF(('Detalle por lead'!$D$2:$D$616="Sí")*ISNUMBER('Detalle por lead'!$AA$2:$AA$616),'Detalle por lead'!$AA$2:$AA$616),0.75),"—")</f>
        <v>43.5407333256417</v>
      </c>
      <c r="F17" s="22" t="n">
        <f aca="false" t="array" ref="F17:F17">IFERROR(PERCENTILE(IF(('Detalle por lead'!$D$2:$D$616="Sí")*ISNUMBER('Detalle por lead'!$AD$2:$AD$616),'Detalle por lead'!$AD$2:$AD$616),0.75),"—")</f>
        <v>4.54861666656667</v>
      </c>
    </row>
    <row r="18" customFormat="false" ht="15" hidden="false" customHeight="false" outlineLevel="0" collapsed="false">
      <c r="A18" s="18" t="s">
        <v>111</v>
      </c>
      <c r="B18" s="24" t="n">
        <f aca="false" t="array" ref="B18:B18">IFERROR(PERCENTILE(IF(('Detalle por lead'!$D$2:$D$616="Sí")*ISNUMBER('Detalle por lead'!$L$2:$L$616),'Detalle por lead'!$L$2:$L$616),0.9),"—")</f>
        <v>17.2121199988633</v>
      </c>
      <c r="C18" s="24" t="n">
        <f aca="false" t="array" ref="C18:C18">IFERROR(PERCENTILE(IF(('Detalle por lead'!$D$2:$D$616="Sí")*ISNUMBER('Detalle por lead'!$N$2:$N$616),'Detalle por lead'!$N$2:$N$616),0.9),"—")</f>
        <v>22.0620233346633</v>
      </c>
      <c r="D18" s="24" t="n">
        <f aca="false" t="array" ref="D18:D18">IFERROR(PERCENTILE(IF(('Detalle por lead'!$D$2:$D$616="Sí")*ISNUMBER('Detalle por lead'!$V$2:$V$616),'Detalle por lead'!$V$2:$V$616),0.9),"—")</f>
        <v>7.04</v>
      </c>
      <c r="E18" s="24" t="n">
        <f aca="false" t="array" ref="E18:E18">IFERROR(PERCENTILE(IF(('Detalle por lead'!$D$2:$D$616="Sí")*ISNUMBER('Detalle por lead'!$AA$2:$AA$616),'Detalle por lead'!$AA$2:$AA$616),0.9),"—")</f>
        <v>1040.87820999207</v>
      </c>
      <c r="F18" s="24" t="n">
        <f aca="false" t="array" ref="F18:F18">IFERROR(PERCENTILE(IF(('Detalle por lead'!$D$2:$D$616="Sí")*ISNUMBER('Detalle por lead'!$AD$2:$AD$616),'Detalle por lead'!$AD$2:$AD$616),0.9),"—")</f>
        <v>11.5325400063167</v>
      </c>
    </row>
    <row r="19" customFormat="false" ht="15" hidden="false" customHeight="false" outlineLevel="0" collapsed="false">
      <c r="A19" s="15" t="s">
        <v>112</v>
      </c>
      <c r="B19" s="22" t="n">
        <f aca="false" t="array" ref="B19:B19">IFERROR(MIN(IF(('Detalle por lead'!$D$2:$D$616="Sí")*ISNUMBER('Detalle por lead'!$L$2:$L$616),'Detalle por lead'!$L$2:$L$616)),"—")</f>
        <v>0.0381333322666667</v>
      </c>
      <c r="C19" s="22" t="n">
        <f aca="false" t="array" ref="C19:C19">IFERROR(MIN(IF(('Detalle por lead'!$D$2:$D$616="Sí")*ISNUMBER('Detalle por lead'!$N$2:$N$616),'Detalle por lead'!$N$2:$N$616)),"—")</f>
        <v>0.163400016016667</v>
      </c>
      <c r="D19" s="22" t="n">
        <f aca="false" t="array" ref="D19:D19">IFERROR(MIN(IF(('Detalle por lead'!$D$2:$D$616="Sí")*ISNUMBER('Detalle por lead'!$V$2:$V$616),'Detalle por lead'!$V$2:$V$616)),"—")</f>
        <v>0.21</v>
      </c>
      <c r="E19" s="22" t="n">
        <f aca="false" t="array" ref="E19:E19">IFERROR(MIN(IF(('Detalle por lead'!$D$2:$D$616="Sí")*ISNUMBER('Detalle por lead'!$AA$2:$AA$616),'Detalle por lead'!$AA$2:$AA$616)),"—")</f>
        <v>0.203849991083333</v>
      </c>
      <c r="F19" s="22" t="n">
        <f aca="false" t="array" ref="F19:F19">IFERROR(MIN(IF(('Detalle por lead'!$D$2:$D$616="Sí")*ISNUMBER('Detalle por lead'!$AD$2:$AD$616),'Detalle por lead'!$AD$2:$AD$616)),"—")</f>
        <v>0.160933326683333</v>
      </c>
    </row>
    <row r="20" customFormat="false" ht="15" hidden="false" customHeight="false" outlineLevel="0" collapsed="false">
      <c r="A20" s="18" t="s">
        <v>113</v>
      </c>
      <c r="B20" s="24" t="n">
        <f aca="false" t="array" ref="B20:B20">IFERROR(MAX(IF(('Detalle por lead'!$D$2:$D$616="Sí")*ISNUMBER('Detalle por lead'!$L$2:$L$616),'Detalle por lead'!$L$2:$L$616)),"—")</f>
        <v>573.033050014633</v>
      </c>
      <c r="C20" s="24" t="n">
        <f aca="false" t="array" ref="C20:C20">IFERROR(MAX(IF(('Detalle por lead'!$D$2:$D$616="Sí")*ISNUMBER('Detalle por lead'!$N$2:$N$616),'Detalle por lead'!$N$2:$N$616)),"—")</f>
        <v>1204.0597666637</v>
      </c>
      <c r="D20" s="24" t="n">
        <f aca="false" t="array" ref="D20:D20">IFERROR(MAX(IF(('Detalle por lead'!$D$2:$D$616="Sí")*ISNUMBER('Detalle por lead'!$V$2:$V$616),'Detalle por lead'!$V$2:$V$616)),"—")</f>
        <v>652.87</v>
      </c>
      <c r="E20" s="24" t="n">
        <f aca="false" t="array" ref="E20:E20">IFERROR(MAX(IF(('Detalle por lead'!$D$2:$D$616="Sí")*ISNUMBER('Detalle por lead'!$AA$2:$AA$616),'Detalle por lead'!$AA$2:$AA$616)),"—")</f>
        <v>7156.44258333952</v>
      </c>
      <c r="F20" s="24" t="n">
        <f aca="false" t="array" ref="F20:F20">IFERROR(MAX(IF(('Detalle por lead'!$D$2:$D$616="Sí")*ISNUMBER('Detalle por lead'!$AD$2:$AD$616),'Detalle por lead'!$AD$2:$AD$616)),"—")</f>
        <v>6977.70253333845</v>
      </c>
    </row>
    <row r="21" customFormat="false" ht="15" hidden="false" customHeight="false" outlineLevel="0" collapsed="false">
      <c r="A21" s="21" t="s">
        <v>114</v>
      </c>
      <c r="B21" s="44" t="n">
        <f aca="false">SUMPRODUCT(('Detalle por lead'!$D$2:$D$616="Sí")*ISNUMBER('Detalle por lead'!$L$2:$L$616))</f>
        <v>235</v>
      </c>
      <c r="C21" s="44" t="n">
        <f aca="false">SUMPRODUCT(('Detalle por lead'!$D$2:$D$616="Sí")*ISNUMBER('Detalle por lead'!$N$2:$N$616))</f>
        <v>235</v>
      </c>
      <c r="D21" s="44" t="n">
        <f aca="false">SUMPRODUCT(('Detalle por lead'!$D$2:$D$616="Sí")*ISNUMBER('Detalle por lead'!$V$2:$V$616))</f>
        <v>201</v>
      </c>
      <c r="E21" s="44" t="n">
        <f aca="false">SUMPRODUCT(('Detalle por lead'!$D$2:$D$616="Sí")*ISNUMBER('Detalle por lead'!$AA$2:$AA$616))</f>
        <v>155</v>
      </c>
      <c r="F21" s="44" t="n">
        <f aca="false">SUMPRODUCT(('Detalle por lead'!$D$2:$D$616="Sí")*ISNUMBER('Detalle por lead'!$AD$2:$AD$616))</f>
        <v>153</v>
      </c>
    </row>
    <row r="22" customFormat="false" ht="15" hidden="false" customHeight="false" outlineLevel="0" collapsed="false">
      <c r="A22" s="27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5" min="3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0"/>
  </cols>
  <sheetData>
    <row r="1" customFormat="false" ht="25.5" hidden="false" customHeight="true" outlineLevel="0" collapsed="false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3" t="s">
        <v>116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5" hidden="false" customHeight="false" outlineLevel="0" collapsed="false">
      <c r="A3" s="5" t="s">
        <v>117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5" customFormat="false" ht="61.5" hidden="false" customHeight="true" outlineLevel="0" collapsed="false">
      <c r="A5" s="13" t="s">
        <v>118</v>
      </c>
      <c r="B5" s="14" t="s">
        <v>119</v>
      </c>
      <c r="C5" s="14" t="s">
        <v>120</v>
      </c>
      <c r="D5" s="14" t="s">
        <v>121</v>
      </c>
      <c r="E5" s="14" t="s">
        <v>122</v>
      </c>
      <c r="F5" s="14" t="s">
        <v>8</v>
      </c>
      <c r="G5" s="14" t="s">
        <v>87</v>
      </c>
      <c r="H5" s="14" t="s">
        <v>123</v>
      </c>
      <c r="I5" s="14" t="s">
        <v>124</v>
      </c>
      <c r="J5" s="14" t="s">
        <v>125</v>
      </c>
      <c r="K5" s="14" t="s">
        <v>126</v>
      </c>
      <c r="L5" s="14" t="s">
        <v>88</v>
      </c>
    </row>
    <row r="6" customFormat="false" ht="15" hidden="false" customHeight="false" outlineLevel="0" collapsed="false">
      <c r="A6" s="21" t="s">
        <v>127</v>
      </c>
      <c r="B6" s="44" t="n">
        <f aca="false">COUNTIFS('Detalle por lead'!$D$2:$D$616,"Sí",'Detalle por lead'!$R$2:$R$616,$A6)</f>
        <v>84</v>
      </c>
      <c r="C6" s="22" t="n">
        <f aca="false" t="array" ref="C6:C6">IFERROR(MEDIAN(IF(('Detalle por lead'!$D$2:$D$616="Sí")*('Detalle por lead'!$R$2:$R$616=$A6)*ISNUMBER('Detalle por lead'!$N$2:$N$616),'Detalle por lead'!$N$2:$N$616)),"—")</f>
        <v>6.099841661625</v>
      </c>
      <c r="D6" s="22" t="n">
        <f aca="false" t="array" ref="D6:D6">IFERROR(AVERAGE(IF(('Detalle por lead'!$D$2:$D$616="Sí")*('Detalle por lead'!$R$2:$R$616=$A6)*ISNUMBER('Detalle por lead'!$N$2:$N$616),'Detalle por lead'!$N$2:$N$616)),"—")</f>
        <v>54.5988763901153</v>
      </c>
      <c r="E6" s="22" t="n">
        <f aca="false" t="array" ref="E6:E6">IFERROR(MAX(IF(('Detalle por lead'!$D$2:$D$616="Sí")*('Detalle por lead'!$R$2:$R$616=$A6)*ISNUMBER('Detalle por lead'!$N$2:$N$616),'Detalle por lead'!$N$2:$N$616)),"—")</f>
        <v>843.733666656767</v>
      </c>
      <c r="F6" s="16" t="n">
        <f aca="false">COUNTIFS('Detalle por lead'!$D$2:$D$616,"Sí",'Detalle por lead'!$R$2:$R$616,$A6,'Detalle por lead'!$Y$2:$Y$616,"Sí")</f>
        <v>56</v>
      </c>
      <c r="G6" s="45" t="n">
        <f aca="false">IFERROR(F6/B6,"—")</f>
        <v>0.666666666666667</v>
      </c>
      <c r="H6" s="22" t="n">
        <f aca="false" t="array" ref="H6:H6">IFERROR(AVERAGE(IF(('Detalle por lead'!$D$2:$D$616="Sí")*('Detalle por lead'!$R$2:$R$616=$A6)*ISNUMBER('Detalle por lead'!$T$2:$T$616),'Detalle por lead'!$T$2:$T$616)),"—")</f>
        <v>111.510843373494</v>
      </c>
      <c r="I6" s="46" t="n">
        <f aca="false">IFERROR(COUNTIFS('Detalle por lead'!$D$2:$D$616,"Sí",'Detalle por lead'!$R$2:$R$616,$A6,'Detalle por lead'!$U$2:$U$616,"Sí")/COUNTIFS('Detalle por lead'!$D$2:$D$616,"Sí",'Detalle por lead'!$R$2:$R$616,$A6,'Detalle por lead'!$Q$2:$Q$616,"Sí"),"—")</f>
        <v>0.783132530120482</v>
      </c>
      <c r="J6" s="22" t="n">
        <f aca="false" t="array" ref="J6:J6">IFERROR(AVERAGE(IF(('Detalle por lead'!$D$2:$D$616="Sí")*('Detalle por lead'!$R$2:$R$616=$A6)*ISNUMBER('Detalle por lead'!$X$2:$X$616),'Detalle por lead'!$X$2:$X$616)),"—")</f>
        <v>1.94047619047619</v>
      </c>
      <c r="K6" s="16" t="n">
        <f aca="false">COUNTIFS('Detalle por lead'!$D$2:$D$616,"Sí",'Detalle por lead'!$R$2:$R$616,$A6,'Detalle por lead'!$AG$2:$AG$616,"Sí")</f>
        <v>31</v>
      </c>
      <c r="L6" s="16" t="n">
        <f aca="false">COUNTIFS('Detalle por lead'!$D$2:$D$616,"Sí",'Detalle por lead'!$R$2:$R$616,$A6,'Detalle por lead'!$AK$2:$AK$616,"Sí")</f>
        <v>1</v>
      </c>
    </row>
    <row r="7" customFormat="false" ht="15" hidden="false" customHeight="false" outlineLevel="0" collapsed="false">
      <c r="A7" s="23" t="s">
        <v>128</v>
      </c>
      <c r="B7" s="48" t="n">
        <f aca="false">COUNTIFS('Detalle por lead'!$D$2:$D$616,"Sí",'Detalle por lead'!$R$2:$R$616,$A7)</f>
        <v>64</v>
      </c>
      <c r="C7" s="24" t="n">
        <f aca="false" t="array" ref="C7:C7">IFERROR(MEDIAN(IF(('Detalle por lead'!$D$2:$D$616="Sí")*('Detalle por lead'!$R$2:$R$616=$A7)*ISNUMBER('Detalle por lead'!$N$2:$N$616),'Detalle por lead'!$N$2:$N$616)),"—")</f>
        <v>7.20165834004167</v>
      </c>
      <c r="D7" s="24" t="n">
        <f aca="false" t="array" ref="D7:D7">IFERROR(AVERAGE(IF(('Detalle por lead'!$D$2:$D$616="Sí")*('Detalle por lead'!$R$2:$R$616=$A7)*ISNUMBER('Detalle por lead'!$N$2:$N$616),'Detalle por lead'!$N$2:$N$616)),"—")</f>
        <v>37.5812148435865</v>
      </c>
      <c r="E7" s="24" t="n">
        <f aca="false" t="array" ref="E7:E7">IFERROR(MAX(IF(('Detalle por lead'!$D$2:$D$616="Sí")*('Detalle por lead'!$R$2:$R$616=$A7)*ISNUMBER('Detalle por lead'!$N$2:$N$616),'Detalle por lead'!$N$2:$N$616)),"—")</f>
        <v>1204.0597666637</v>
      </c>
      <c r="F7" s="19" t="n">
        <f aca="false">COUNTIFS('Detalle por lead'!$D$2:$D$616,"Sí",'Detalle por lead'!$R$2:$R$616,$A7,'Detalle por lead'!$Y$2:$Y$616,"Sí")</f>
        <v>40</v>
      </c>
      <c r="G7" s="49" t="n">
        <f aca="false">IFERROR(F7/B7,"—")</f>
        <v>0.625</v>
      </c>
      <c r="H7" s="24" t="n">
        <f aca="false" t="array" ref="H7:H7">IFERROR(AVERAGE(IF(('Detalle por lead'!$D$2:$D$616="Sí")*('Detalle por lead'!$R$2:$R$616=$A7)*ISNUMBER('Detalle por lead'!$T$2:$T$616),'Detalle por lead'!$T$2:$T$616)),"—")</f>
        <v>84.5508196721312</v>
      </c>
      <c r="I7" s="50" t="n">
        <f aca="false">IFERROR(COUNTIFS('Detalle por lead'!$D$2:$D$616,"Sí",'Detalle por lead'!$R$2:$R$616,$A7,'Detalle por lead'!$U$2:$U$616,"Sí")/COUNTIFS('Detalle por lead'!$D$2:$D$616,"Sí",'Detalle por lead'!$R$2:$R$616,$A7,'Detalle por lead'!$Q$2:$Q$616,"Sí"),"—")</f>
        <v>0.672131147540984</v>
      </c>
      <c r="J7" s="24" t="n">
        <f aca="false" t="array" ref="J7:J7">IFERROR(AVERAGE(IF(('Detalle por lead'!$D$2:$D$616="Sí")*('Detalle por lead'!$R$2:$R$616=$A7)*ISNUMBER('Detalle por lead'!$X$2:$X$616),'Detalle por lead'!$X$2:$X$616)),"—")</f>
        <v>2.75</v>
      </c>
      <c r="K7" s="19" t="n">
        <f aca="false">COUNTIFS('Detalle por lead'!$D$2:$D$616,"Sí",'Detalle por lead'!$R$2:$R$616,$A7,'Detalle por lead'!$AG$2:$AG$616,"Sí")</f>
        <v>20</v>
      </c>
      <c r="L7" s="19" t="n">
        <f aca="false">COUNTIFS('Detalle por lead'!$D$2:$D$616,"Sí",'Detalle por lead'!$R$2:$R$616,$A7,'Detalle por lead'!$AK$2:$AK$616,"Sí")</f>
        <v>3</v>
      </c>
    </row>
    <row r="8" customFormat="false" ht="15" hidden="false" customHeight="false" outlineLevel="0" collapsed="false">
      <c r="A8" s="21" t="s">
        <v>129</v>
      </c>
      <c r="B8" s="44" t="n">
        <f aca="false">COUNTIFS('Detalle por lead'!$D$2:$D$616,"Sí",'Detalle por lead'!$R$2:$R$616,$A8)</f>
        <v>48</v>
      </c>
      <c r="C8" s="22" t="n">
        <f aca="false" t="array" ref="C8:C8">IFERROR(MEDIAN(IF(('Detalle por lead'!$D$2:$D$616="Sí")*('Detalle por lead'!$R$2:$R$616=$A8)*ISNUMBER('Detalle por lead'!$N$2:$N$616),'Detalle por lead'!$N$2:$N$616)),"—")</f>
        <v>4.89188333506667</v>
      </c>
      <c r="D8" s="22" t="n">
        <f aca="false" t="array" ref="D8:D8">IFERROR(AVERAGE(IF(('Detalle por lead'!$D$2:$D$616="Sí")*('Detalle por lead'!$R$2:$R$616=$A8)*ISNUMBER('Detalle por lead'!$N$2:$N$616),'Detalle por lead'!$N$2:$N$616)),"—")</f>
        <v>7.3510229170559</v>
      </c>
      <c r="E8" s="22" t="n">
        <f aca="false" t="array" ref="E8:E8">IFERROR(MAX(IF(('Detalle por lead'!$D$2:$D$616="Sí")*('Detalle por lead'!$R$2:$R$616=$A8)*ISNUMBER('Detalle por lead'!$N$2:$N$616),'Detalle por lead'!$N$2:$N$616)),"—")</f>
        <v>42.1768166776667</v>
      </c>
      <c r="F8" s="16" t="n">
        <f aca="false">COUNTIFS('Detalle por lead'!$D$2:$D$616,"Sí",'Detalle por lead'!$R$2:$R$616,$A8,'Detalle por lead'!$Y$2:$Y$616,"Sí")</f>
        <v>34</v>
      </c>
      <c r="G8" s="45" t="n">
        <f aca="false">IFERROR(F8/B8,"—")</f>
        <v>0.708333333333333</v>
      </c>
      <c r="H8" s="22" t="n">
        <f aca="false" t="array" ref="H8:H8">IFERROR(AVERAGE(IF(('Detalle por lead'!$D$2:$D$616="Sí")*('Detalle por lead'!$R$2:$R$616=$A8)*ISNUMBER('Detalle por lead'!$T$2:$T$616),'Detalle por lead'!$T$2:$T$616)),"—")</f>
        <v>100.555</v>
      </c>
      <c r="I8" s="46" t="n">
        <f aca="false">IFERROR(COUNTIFS('Detalle por lead'!$D$2:$D$616,"Sí",'Detalle por lead'!$R$2:$R$616,$A8,'Detalle por lead'!$U$2:$U$616,"Sí")/COUNTIFS('Detalle por lead'!$D$2:$D$616,"Sí",'Detalle por lead'!$R$2:$R$616,$A8,'Detalle por lead'!$Q$2:$Q$616,"Sí"),"—")</f>
        <v>0.725</v>
      </c>
      <c r="J8" s="22" t="n">
        <f aca="false" t="array" ref="J8:J8">IFERROR(AVERAGE(IF(('Detalle por lead'!$D$2:$D$616="Sí")*('Detalle por lead'!$R$2:$R$616=$A8)*ISNUMBER('Detalle por lead'!$X$2:$X$616),'Detalle por lead'!$X$2:$X$616)),"—")</f>
        <v>3.08333333333333</v>
      </c>
      <c r="K8" s="16" t="n">
        <f aca="false">COUNTIFS('Detalle por lead'!$D$2:$D$616,"Sí",'Detalle por lead'!$R$2:$R$616,$A8,'Detalle por lead'!$AG$2:$AG$616,"Sí")</f>
        <v>23</v>
      </c>
      <c r="L8" s="16" t="n">
        <f aca="false">COUNTIFS('Detalle por lead'!$D$2:$D$616,"Sí",'Detalle por lead'!$R$2:$R$616,$A8,'Detalle por lead'!$AK$2:$AK$616,"Sí")</f>
        <v>2</v>
      </c>
    </row>
    <row r="9" customFormat="false" ht="15" hidden="false" customHeight="false" outlineLevel="0" collapsed="false">
      <c r="A9" s="23" t="s">
        <v>130</v>
      </c>
      <c r="B9" s="48" t="n">
        <f aca="false">COUNTIFS('Detalle por lead'!$D$2:$D$616,"Sí",'Detalle por lead'!$R$2:$R$616,$A9)</f>
        <v>39</v>
      </c>
      <c r="C9" s="24" t="n">
        <f aca="false" t="array" ref="C9:C9">IFERROR(MEDIAN(IF(('Detalle por lead'!$D$2:$D$616="Sí")*('Detalle por lead'!$R$2:$R$616=$A9)*ISNUMBER('Detalle por lead'!$N$2:$N$616),'Detalle por lead'!$N$2:$N$616)),"—")</f>
        <v>8.43388334498333</v>
      </c>
      <c r="D9" s="24" t="n">
        <f aca="false" t="array" ref="D9:D9">IFERROR(AVERAGE(IF(('Detalle por lead'!$D$2:$D$616="Sí")*('Detalle por lead'!$R$2:$R$616=$A9)*ISNUMBER('Detalle por lead'!$N$2:$N$616),'Detalle por lead'!$N$2:$N$616)),"—")</f>
        <v>28.5731893161645</v>
      </c>
      <c r="E9" s="24" t="n">
        <f aca="false" t="array" ref="E9:E9">IFERROR(MAX(IF(('Detalle por lead'!$D$2:$D$616="Sí")*('Detalle por lead'!$R$2:$R$616=$A9)*ISNUMBER('Detalle por lead'!$N$2:$N$616),'Detalle por lead'!$N$2:$N$616)),"—")</f>
        <v>573.033050014633</v>
      </c>
      <c r="F9" s="19" t="n">
        <f aca="false">COUNTIFS('Detalle por lead'!$D$2:$D$616,"Sí",'Detalle por lead'!$R$2:$R$616,$A9,'Detalle por lead'!$Y$2:$Y$616,"Sí")</f>
        <v>25</v>
      </c>
      <c r="G9" s="49" t="n">
        <f aca="false">IFERROR(F9/B9,"—")</f>
        <v>0.641025641025641</v>
      </c>
      <c r="H9" s="24" t="n">
        <f aca="false" t="array" ref="H9:H9">IFERROR(AVERAGE(IF(('Detalle por lead'!$D$2:$D$616="Sí")*('Detalle por lead'!$R$2:$R$616=$A9)*ISNUMBER('Detalle por lead'!$T$2:$T$616),'Detalle por lead'!$T$2:$T$616)),"—")</f>
        <v>113.630555555556</v>
      </c>
      <c r="I9" s="50" t="n">
        <f aca="false">IFERROR(COUNTIFS('Detalle por lead'!$D$2:$D$616,"Sí",'Detalle por lead'!$R$2:$R$616,$A9,'Detalle por lead'!$U$2:$U$616,"Sí")/COUNTIFS('Detalle por lead'!$D$2:$D$616,"Sí",'Detalle por lead'!$R$2:$R$616,$A9,'Detalle por lead'!$Q$2:$Q$616,"Sí"),"—")</f>
        <v>0.583333333333333</v>
      </c>
      <c r="J9" s="24" t="n">
        <f aca="false" t="array" ref="J9:J9">IFERROR(AVERAGE(IF(('Detalle por lead'!$D$2:$D$616="Sí")*('Detalle por lead'!$R$2:$R$616=$A9)*ISNUMBER('Detalle por lead'!$X$2:$X$616),'Detalle por lead'!$X$2:$X$616)),"—")</f>
        <v>1.84615384615385</v>
      </c>
      <c r="K9" s="19" t="n">
        <f aca="false">COUNTIFS('Detalle por lead'!$D$2:$D$616,"Sí",'Detalle por lead'!$R$2:$R$616,$A9,'Detalle por lead'!$AG$2:$AG$616,"Sí")</f>
        <v>11</v>
      </c>
      <c r="L9" s="19" t="n">
        <f aca="false">COUNTIFS('Detalle por lead'!$D$2:$D$616,"Sí",'Detalle por lead'!$R$2:$R$616,$A9,'Detalle por lead'!$AK$2:$AK$616,"Sí")</f>
        <v>2</v>
      </c>
    </row>
    <row r="10" customFormat="false" ht="15" hidden="false" customHeight="false" outlineLevel="0" collapsed="false">
      <c r="A10" s="21" t="s">
        <v>100</v>
      </c>
      <c r="B10" s="44" t="n">
        <f aca="false">SUM(B6:B9)</f>
        <v>235</v>
      </c>
      <c r="F10" s="44" t="n">
        <f aca="false">SUM(F6:F9)</f>
        <v>155</v>
      </c>
      <c r="G10" s="51" t="n">
        <f aca="false">IFERROR(F10/B10,"—")</f>
        <v>0.659574468085106</v>
      </c>
      <c r="K10" s="44" t="n">
        <f aca="false">SUM(K6:K9)</f>
        <v>85</v>
      </c>
      <c r="L10" s="44" t="n">
        <f aca="false">SUM(L6:L9)</f>
        <v>8</v>
      </c>
    </row>
    <row r="11" customFormat="false" ht="15" hidden="false" customHeight="false" outlineLevel="0" collapsed="false">
      <c r="A11" s="27" t="s">
        <v>131</v>
      </c>
    </row>
    <row r="13" customFormat="false" ht="21.75" hidden="false" customHeight="true" outlineLevel="0" collapsed="false">
      <c r="A13" s="12" t="s">
        <v>132</v>
      </c>
    </row>
    <row r="14" customFormat="false" ht="45" hidden="false" customHeight="true" outlineLevel="0" collapsed="false">
      <c r="A14" s="13" t="s">
        <v>118</v>
      </c>
      <c r="B14" s="14" t="s">
        <v>133</v>
      </c>
      <c r="C14" s="14" t="s">
        <v>134</v>
      </c>
      <c r="D14" s="14" t="s">
        <v>135</v>
      </c>
      <c r="E14" s="14" t="s">
        <v>136</v>
      </c>
      <c r="F14" s="14" t="s">
        <v>137</v>
      </c>
      <c r="G14" s="14" t="s">
        <v>138</v>
      </c>
    </row>
    <row r="15" customFormat="false" ht="15" hidden="false" customHeight="false" outlineLevel="0" collapsed="false">
      <c r="A15" s="21" t="s">
        <v>127</v>
      </c>
      <c r="B15" s="16" t="n">
        <f aca="false">COUNTIFS('Detalle por lead'!$D$2:$D$616,"Sí",'Detalle por lead'!$R$2:$R$616,"Salma",'Detalle por lead'!$A$2:$A$616,"ISO + Calidad")</f>
        <v>56</v>
      </c>
      <c r="C15" s="16" t="n">
        <f aca="false">COUNTIFS('Detalle por lead'!$D$2:$D$616,"Sí",'Detalle por lead'!$R$2:$R$616,"Salma",'Detalle por lead'!$A$2:$A$616,"Manufactura y Calidad")</f>
        <v>16</v>
      </c>
      <c r="D15" s="16" t="n">
        <f aca="false">COUNTIFS('Detalle por lead'!$D$2:$D$616,"Sí",'Detalle por lead'!$R$2:$R$616,"Salma",'Detalle por lead'!$A$2:$A$616,"Core Tools Premium")</f>
        <v>12</v>
      </c>
      <c r="E15" s="22" t="n">
        <f aca="false" t="array" ref="E15:E15">IFERROR(MEDIAN(IF(('Detalle por lead'!$D$2:$D$616="Sí")*('Detalle por lead'!$R$2:$R$616="Salma")*('Detalle por lead'!$A$2:$A$616="ISO + Calidad")*ISNUMBER('Detalle por lead'!$N$2:$N$616),'Detalle por lead'!$N$2:$N$616)),"—")</f>
        <v>6.099841661625</v>
      </c>
      <c r="F15" s="22" t="n">
        <f aca="false" t="array" ref="F15:F15">IFERROR(MEDIAN(IF(('Detalle por lead'!$D$2:$D$616="Sí")*('Detalle por lead'!$R$2:$R$616="Salma")*('Detalle por lead'!$A$2:$A$616="Manufactura y Calidad")*ISNUMBER('Detalle por lead'!$N$2:$N$616),'Detalle por lead'!$N$2:$N$616)),"—")</f>
        <v>4.63188333610833</v>
      </c>
      <c r="G15" s="22" t="n">
        <f aca="false" t="array" ref="G15:G15">IFERROR(MEDIAN(IF(('Detalle por lead'!$D$2:$D$616="Sí")*('Detalle por lead'!$R$2:$R$616="Salma")*('Detalle por lead'!$A$2:$A$616="Core Tools Premium")*ISNUMBER('Detalle por lead'!$N$2:$N$616),'Detalle por lead'!$N$2:$N$616)),"—")</f>
        <v>6.528916659875</v>
      </c>
    </row>
    <row r="16" customFormat="false" ht="15" hidden="false" customHeight="false" outlineLevel="0" collapsed="false">
      <c r="A16" s="23" t="s">
        <v>128</v>
      </c>
      <c r="B16" s="19" t="n">
        <f aca="false">COUNTIFS('Detalle por lead'!$D$2:$D$616,"Sí",'Detalle por lead'!$R$2:$R$616,"Alexander",'Detalle por lead'!$A$2:$A$616,"ISO + Calidad")</f>
        <v>42</v>
      </c>
      <c r="C16" s="19" t="n">
        <f aca="false">COUNTIFS('Detalle por lead'!$D$2:$D$616,"Sí",'Detalle por lead'!$R$2:$R$616,"Alexander",'Detalle por lead'!$A$2:$A$616,"Manufactura y Calidad")</f>
        <v>11</v>
      </c>
      <c r="D16" s="19" t="n">
        <f aca="false">COUNTIFS('Detalle por lead'!$D$2:$D$616,"Sí",'Detalle por lead'!$R$2:$R$616,"Alexander",'Detalle por lead'!$A$2:$A$616,"Core Tools Premium")</f>
        <v>11</v>
      </c>
      <c r="E16" s="24" t="n">
        <f aca="false" t="array" ref="E16:E16">IFERROR(MEDIAN(IF(('Detalle por lead'!$D$2:$D$616="Sí")*('Detalle por lead'!$R$2:$R$616="Alexander")*('Detalle por lead'!$A$2:$A$616="ISO + Calidad")*ISNUMBER('Detalle por lead'!$N$2:$N$616),'Detalle por lead'!$N$2:$N$616)),"—")</f>
        <v>7.25109167221667</v>
      </c>
      <c r="F16" s="24" t="n">
        <f aca="false" t="array" ref="F16:F16">IFERROR(MEDIAN(IF(('Detalle por lead'!$D$2:$D$616="Sí")*('Detalle por lead'!$R$2:$R$616="Alexander")*('Detalle por lead'!$A$2:$A$616="Manufactura y Calidad")*ISNUMBER('Detalle por lead'!$N$2:$N$616),'Detalle por lead'!$N$2:$N$616)),"—")</f>
        <v>5.02881666411667</v>
      </c>
      <c r="G16" s="24" t="n">
        <f aca="false" t="array" ref="G16:G16">IFERROR(MEDIAN(IF(('Detalle por lead'!$D$2:$D$616="Sí")*('Detalle por lead'!$R$2:$R$616="Alexander")*('Detalle por lead'!$A$2:$A$616="Core Tools Premium")*ISNUMBER('Detalle por lead'!$N$2:$N$616),'Detalle por lead'!$N$2:$N$616)),"—")</f>
        <v>8.65778335136667</v>
      </c>
    </row>
    <row r="17" customFormat="false" ht="15" hidden="false" customHeight="false" outlineLevel="0" collapsed="false">
      <c r="A17" s="21" t="s">
        <v>129</v>
      </c>
      <c r="B17" s="16" t="n">
        <f aca="false">COUNTIFS('Detalle por lead'!$D$2:$D$616,"Sí",'Detalle por lead'!$R$2:$R$616,"Victoria",'Detalle por lead'!$A$2:$A$616,"ISO + Calidad")</f>
        <v>30</v>
      </c>
      <c r="C17" s="16" t="n">
        <f aca="false">COUNTIFS('Detalle por lead'!$D$2:$D$616,"Sí",'Detalle por lead'!$R$2:$R$616,"Victoria",'Detalle por lead'!$A$2:$A$616,"Manufactura y Calidad")</f>
        <v>9</v>
      </c>
      <c r="D17" s="16" t="n">
        <f aca="false">COUNTIFS('Detalle por lead'!$D$2:$D$616,"Sí",'Detalle por lead'!$R$2:$R$616,"Victoria",'Detalle por lead'!$A$2:$A$616,"Core Tools Premium")</f>
        <v>9</v>
      </c>
      <c r="E17" s="22" t="n">
        <f aca="false" t="array" ref="E17:E17">IFERROR(MEDIAN(IF(('Detalle por lead'!$D$2:$D$616="Sí")*('Detalle por lead'!$R$2:$R$616="Victoria")*('Detalle por lead'!$A$2:$A$616="ISO + Calidad")*ISNUMBER('Detalle por lead'!$N$2:$N$616),'Detalle por lead'!$N$2:$N$616)),"—")</f>
        <v>5.03652499755</v>
      </c>
      <c r="F17" s="22" t="n">
        <f aca="false" t="array" ref="F17:F17">IFERROR(MEDIAN(IF(('Detalle por lead'!$D$2:$D$616="Sí")*('Detalle por lead'!$R$2:$R$616="Victoria")*('Detalle por lead'!$A$2:$A$616="Manufactura y Calidad")*ISNUMBER('Detalle por lead'!$N$2:$N$616),'Detalle por lead'!$N$2:$N$616)),"—")</f>
        <v>3.24604999156667</v>
      </c>
      <c r="G17" s="22" t="n">
        <f aca="false" t="array" ref="G17:G17">IFERROR(MEDIAN(IF(('Detalle por lead'!$D$2:$D$616="Sí")*('Detalle por lead'!$R$2:$R$616="Victoria")*('Detalle por lead'!$A$2:$A$616="Core Tools Premium")*ISNUMBER('Detalle por lead'!$N$2:$N$616),'Detalle por lead'!$N$2:$N$616)),"—")</f>
        <v>5.08498333626667</v>
      </c>
    </row>
    <row r="18" customFormat="false" ht="15" hidden="false" customHeight="false" outlineLevel="0" collapsed="false">
      <c r="A18" s="23" t="s">
        <v>130</v>
      </c>
      <c r="B18" s="19" t="n">
        <f aca="false">COUNTIFS('Detalle por lead'!$D$2:$D$616,"Sí",'Detalle por lead'!$R$2:$R$616,"Joceline",'Detalle por lead'!$A$2:$A$616,"ISO + Calidad")</f>
        <v>29</v>
      </c>
      <c r="C18" s="19" t="n">
        <f aca="false">COUNTIFS('Detalle por lead'!$D$2:$D$616,"Sí",'Detalle por lead'!$R$2:$R$616,"Joceline",'Detalle por lead'!$A$2:$A$616,"Manufactura y Calidad")</f>
        <v>5</v>
      </c>
      <c r="D18" s="19" t="n">
        <f aca="false">COUNTIFS('Detalle por lead'!$D$2:$D$616,"Sí",'Detalle por lead'!$R$2:$R$616,"Joceline",'Detalle por lead'!$A$2:$A$616,"Core Tools Premium")</f>
        <v>5</v>
      </c>
      <c r="E18" s="24" t="n">
        <f aca="false" t="array" ref="E18:E18">IFERROR(MEDIAN(IF(('Detalle por lead'!$D$2:$D$616="Sí")*('Detalle por lead'!$R$2:$R$616="Joceline")*('Detalle por lead'!$A$2:$A$616="ISO + Calidad")*ISNUMBER('Detalle por lead'!$N$2:$N$616),'Detalle por lead'!$N$2:$N$616)),"—")</f>
        <v>11.0566499875833</v>
      </c>
      <c r="F18" s="24" t="n">
        <f aca="false" t="array" ref="F18:F18">IFERROR(MEDIAN(IF(('Detalle por lead'!$D$2:$D$616="Sí")*('Detalle por lead'!$R$2:$R$616="Joceline")*('Detalle por lead'!$A$2:$A$616="Manufactura y Calidad")*ISNUMBER('Detalle por lead'!$N$2:$N$616),'Detalle por lead'!$N$2:$N$616)),"—")</f>
        <v>6.969583343</v>
      </c>
      <c r="G18" s="24" t="n">
        <f aca="false" t="array" ref="G18:G18">IFERROR(MEDIAN(IF(('Detalle por lead'!$D$2:$D$616="Sí")*('Detalle por lead'!$R$2:$R$616="Joceline")*('Detalle por lead'!$A$2:$A$616="Core Tools Premium")*ISNUMBER('Detalle por lead'!$N$2:$N$616),'Detalle por lead'!$N$2:$N$616)),"—")</f>
        <v>5.86776666458333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I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1" t="s">
        <v>32</v>
      </c>
      <c r="B1" s="2"/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3" t="s">
        <v>139</v>
      </c>
      <c r="B2" s="4"/>
      <c r="C2" s="4"/>
      <c r="D2" s="4"/>
      <c r="E2" s="4"/>
      <c r="F2" s="4"/>
      <c r="G2" s="4"/>
      <c r="H2" s="4"/>
      <c r="I2" s="4"/>
    </row>
    <row r="3" customFormat="false" ht="15" hidden="false" customHeight="false" outlineLevel="0" collapsed="false">
      <c r="A3" s="5" t="s">
        <v>140</v>
      </c>
      <c r="B3" s="6"/>
      <c r="C3" s="6"/>
      <c r="D3" s="6"/>
      <c r="E3" s="6"/>
      <c r="F3" s="6"/>
      <c r="G3" s="6"/>
      <c r="H3" s="6"/>
      <c r="I3" s="6"/>
    </row>
    <row r="5" customFormat="false" ht="21.75" hidden="false" customHeight="true" outlineLevel="0" collapsed="false">
      <c r="A5" s="12" t="s">
        <v>141</v>
      </c>
    </row>
    <row r="6" customFormat="false" ht="45" hidden="false" customHeight="true" outlineLevel="0" collapsed="false">
      <c r="A6" s="13" t="s">
        <v>142</v>
      </c>
      <c r="B6" s="14" t="s">
        <v>143</v>
      </c>
      <c r="C6" s="14" t="s">
        <v>144</v>
      </c>
      <c r="D6" s="14" t="s">
        <v>145</v>
      </c>
      <c r="E6" s="14" t="s">
        <v>146</v>
      </c>
      <c r="F6" s="14" t="s">
        <v>147</v>
      </c>
      <c r="G6" s="14" t="s">
        <v>148</v>
      </c>
      <c r="H6" s="14" t="s">
        <v>149</v>
      </c>
    </row>
    <row r="7" customFormat="false" ht="15" hidden="false" customHeight="false" outlineLevel="0" collapsed="false">
      <c r="A7" s="21" t="s">
        <v>150</v>
      </c>
      <c r="B7" s="44" t="n">
        <f aca="false">COUNTIFS('Detalle de audios'!$G$2:$G$810,"Persona")</f>
        <v>257</v>
      </c>
      <c r="C7" s="46" t="n">
        <f aca="false">IFERROR(B7/COUNT('Detalle de audios'!$B$2:$B$810),"—")</f>
        <v>0.317676143386897</v>
      </c>
      <c r="D7" s="22" t="n">
        <f aca="false" t="array" ref="D7:D7">IFERROR(MEDIAN(IF(('Detalle de audios'!$G$2:$G$810="Persona")*ISNUMBER('Detalle de audios'!$K$2:$K$810),'Detalle de audios'!$K$2:$K$810)),"—")</f>
        <v>103.7</v>
      </c>
      <c r="E7" s="46" t="n">
        <f aca="false">IFERROR(COUNTIFS('Detalle de audios'!$G$2:$G$810,"Persona",'Detalle de audios'!$N$2:$N$810,"Sí")/B7,"—")</f>
        <v>0.715953307392996</v>
      </c>
      <c r="F7" s="22" t="n">
        <f aca="false" t="array" ref="F7:F7">IFERROR(MEDIAN(IF(('Detalle de audios'!$G$2:$G$810="Persona")*ISNUMBER('Detalle de audios'!$O$2:$O$810),'Detalle de audios'!$O$2:$O$810)),"—")</f>
        <v>5.05</v>
      </c>
      <c r="G7" s="45" t="n">
        <f aca="false">IFERROR(COUNTIFS('Detalle de audios'!$G$2:$G$810,"Persona",'Detalle de audios'!$P$2:$P$810,"Sí")/B7,"—")</f>
        <v>0.595330739299611</v>
      </c>
      <c r="H7" s="22" t="n">
        <f aca="false" t="array" ref="H7:H7">IFERROR(MEDIAN(IF(('Detalle de audios'!$G$2:$G$810="Persona")*ISNUMBER('Detalle de audios'!$Q$2:$Q$810),'Detalle de audios'!$Q$2:$Q$810)),"—")</f>
        <v>8.8</v>
      </c>
    </row>
    <row r="8" customFormat="false" ht="15" hidden="false" customHeight="false" outlineLevel="0" collapsed="false">
      <c r="A8" s="23" t="s">
        <v>151</v>
      </c>
      <c r="B8" s="48" t="n">
        <f aca="false">COUNTIFS('Detalle de audios'!$G$2:$G$810,"Bot (automático)")</f>
        <v>552</v>
      </c>
      <c r="C8" s="50" t="n">
        <f aca="false">IFERROR(B8/COUNT('Detalle de audios'!$B$2:$B$810),"—")</f>
        <v>0.682323856613103</v>
      </c>
      <c r="D8" s="24" t="n">
        <f aca="false" t="array" ref="D8:D8">IFERROR(MEDIAN(IF(('Detalle de audios'!$G$2:$G$810="Bot (automático)")*ISNUMBER('Detalle de audios'!$K$2:$K$810),'Detalle de audios'!$K$2:$K$810)),"—")</f>
        <v>72</v>
      </c>
      <c r="E8" s="50" t="n">
        <f aca="false">IFERROR(COUNTIFS('Detalle de audios'!$G$2:$G$810,"Bot (automático)",'Detalle de audios'!$N$2:$N$810,"Sí")/B8,"—")</f>
        <v>0.643115942028986</v>
      </c>
      <c r="F8" s="24" t="n">
        <f aca="false" t="array" ref="F8:F8">IFERROR(MEDIAN(IF(('Detalle de audios'!$G$2:$G$810="Bot (automático)")*ISNUMBER('Detalle de audios'!$O$2:$O$810),'Detalle de audios'!$O$2:$O$810)),"—")</f>
        <v>92.3</v>
      </c>
      <c r="G8" s="49" t="n">
        <f aca="false">IFERROR(COUNTIFS('Detalle de audios'!$G$2:$G$810,"Bot (automático)",'Detalle de audios'!$P$2:$P$810,"Sí")/B8,"—")</f>
        <v>0.11231884057971</v>
      </c>
      <c r="H8" s="24" t="n">
        <f aca="false" t="array" ref="H8:H8">IFERROR(MEDIAN(IF(('Detalle de audios'!$G$2:$G$810="Bot (automático)")*ISNUMBER('Detalle de audios'!$Q$2:$Q$810),'Detalle de audios'!$Q$2:$Q$810)),"—")</f>
        <v>137.35</v>
      </c>
    </row>
    <row r="10" customFormat="false" ht="21.75" hidden="false" customHeight="true" outlineLevel="0" collapsed="false">
      <c r="A10" s="12" t="s">
        <v>152</v>
      </c>
    </row>
    <row r="11" customFormat="false" ht="45" hidden="false" customHeight="true" outlineLevel="0" collapsed="false">
      <c r="A11" s="13" t="s">
        <v>118</v>
      </c>
      <c r="B11" s="14" t="s">
        <v>143</v>
      </c>
      <c r="C11" s="14" t="s">
        <v>144</v>
      </c>
      <c r="D11" s="14" t="s">
        <v>145</v>
      </c>
      <c r="E11" s="14" t="s">
        <v>146</v>
      </c>
      <c r="F11" s="14" t="s">
        <v>147</v>
      </c>
      <c r="G11" s="14" t="s">
        <v>148</v>
      </c>
      <c r="H11" s="14" t="s">
        <v>149</v>
      </c>
    </row>
    <row r="12" customFormat="false" ht="15" hidden="false" customHeight="false" outlineLevel="0" collapsed="false">
      <c r="A12" s="21" t="s">
        <v>127</v>
      </c>
      <c r="B12" s="44" t="n">
        <f aca="false">COUNTIFS('Detalle de audios'!$G$2:$G$810,"Persona",'Detalle de audios'!$F$2:$F$810,"Salma")</f>
        <v>105</v>
      </c>
      <c r="C12" s="46" t="n">
        <f aca="false">IFERROR(B12/COUNTIFS('Detalle de audios'!$G$2:$G$810,"Persona"),"—")</f>
        <v>0.408560311284047</v>
      </c>
      <c r="D12" s="22" t="n">
        <f aca="false" t="array" ref="D12:D12">IFERROR(MEDIAN(IF(('Detalle de audios'!$G$2:$G$810="Persona")*('Detalle de audios'!$F$2:$F$810="Salma")*ISNUMBER('Detalle de audios'!$K$2:$K$810),'Detalle de audios'!$K$2:$K$810)),"—")</f>
        <v>108.8</v>
      </c>
      <c r="E12" s="46" t="n">
        <f aca="false">IFERROR(COUNTIFS('Detalle de audios'!$G$2:$G$810,"Persona",'Detalle de audios'!$F$2:$F$810,"Salma",'Detalle de audios'!$N$2:$N$810,"Sí")/B12,"—")</f>
        <v>0.8</v>
      </c>
      <c r="F12" s="22" t="n">
        <f aca="false" t="array" ref="F12:F12">IFERROR(MEDIAN(IF(('Detalle de audios'!$G$2:$G$810="Persona")*('Detalle de audios'!$F$2:$F$810="Salma")*ISNUMBER('Detalle de audios'!$O$2:$O$810),'Detalle de audios'!$O$2:$O$810)),"—")</f>
        <v>7.4</v>
      </c>
      <c r="G12" s="45" t="n">
        <f aca="false">IFERROR(COUNTIFS('Detalle de audios'!$G$2:$G$810,"Persona",'Detalle de audios'!$F$2:$F$810,"Salma",'Detalle de audios'!$P$2:$P$810,"Sí")/B12,"—")</f>
        <v>0.619047619047619</v>
      </c>
      <c r="H12" s="22" t="n">
        <f aca="false" t="array" ref="H12:H12">IFERROR(MEDIAN(IF(('Detalle de audios'!$G$2:$G$810="Persona")*('Detalle de audios'!$F$2:$F$810="Salma")*ISNUMBER('Detalle de audios'!$Q$2:$Q$810),'Detalle de audios'!$Q$2:$Q$810)),"—")</f>
        <v>13.4</v>
      </c>
    </row>
    <row r="13" customFormat="false" ht="15" hidden="false" customHeight="false" outlineLevel="0" collapsed="false">
      <c r="A13" s="23" t="s">
        <v>128</v>
      </c>
      <c r="B13" s="48" t="n">
        <f aca="false">COUNTIFS('Detalle de audios'!$G$2:$G$810,"Persona",'Detalle de audios'!$F$2:$F$810,"Alexander")</f>
        <v>62</v>
      </c>
      <c r="C13" s="50" t="n">
        <f aca="false">IFERROR(B13/COUNTIFS('Detalle de audios'!$G$2:$G$810,"Persona"),"—")</f>
        <v>0.24124513618677</v>
      </c>
      <c r="D13" s="24" t="n">
        <f aca="false" t="array" ref="D13:D13">IFERROR(MEDIAN(IF(('Detalle de audios'!$G$2:$G$810="Persona")*('Detalle de audios'!$F$2:$F$810="Alexander")*ISNUMBER('Detalle de audios'!$K$2:$K$810),'Detalle de audios'!$K$2:$K$810)),"—")</f>
        <v>83.7</v>
      </c>
      <c r="E13" s="50" t="n">
        <f aca="false">IFERROR(COUNTIFS('Detalle de audios'!$G$2:$G$810,"Persona",'Detalle de audios'!$F$2:$F$810,"Alexander",'Detalle de audios'!$N$2:$N$810,"Sí")/B13,"—")</f>
        <v>0.661290322580645</v>
      </c>
      <c r="F13" s="24" t="n">
        <f aca="false" t="array" ref="F13:F13">IFERROR(MEDIAN(IF(('Detalle de audios'!$G$2:$G$810="Persona")*('Detalle de audios'!$F$2:$F$810="Alexander")*ISNUMBER('Detalle de audios'!$O$2:$O$810),'Detalle de audios'!$O$2:$O$810)),"—")</f>
        <v>4.4</v>
      </c>
      <c r="G13" s="49" t="n">
        <f aca="false">IFERROR(COUNTIFS('Detalle de audios'!$G$2:$G$810,"Persona",'Detalle de audios'!$F$2:$F$810,"Alexander",'Detalle de audios'!$P$2:$P$810,"Sí")/B13,"—")</f>
        <v>0.580645161290323</v>
      </c>
      <c r="H13" s="24" t="n">
        <f aca="false" t="array" ref="H13:H13">IFERROR(MEDIAN(IF(('Detalle de audios'!$G$2:$G$810="Persona")*('Detalle de audios'!$F$2:$F$810="Alexander")*ISNUMBER('Detalle de audios'!$Q$2:$Q$810),'Detalle de audios'!$Q$2:$Q$810)),"—")</f>
        <v>9.75</v>
      </c>
    </row>
    <row r="14" customFormat="false" ht="15" hidden="false" customHeight="false" outlineLevel="0" collapsed="false">
      <c r="A14" s="21" t="s">
        <v>129</v>
      </c>
      <c r="B14" s="44" t="n">
        <f aca="false">COUNTIFS('Detalle de audios'!$G$2:$G$810,"Persona",'Detalle de audios'!$F$2:$F$810,"Victoria")</f>
        <v>50</v>
      </c>
      <c r="C14" s="46" t="n">
        <f aca="false">IFERROR(B14/COUNTIFS('Detalle de audios'!$G$2:$G$810,"Persona"),"—")</f>
        <v>0.194552529182879</v>
      </c>
      <c r="D14" s="22" t="n">
        <f aca="false" t="array" ref="D14:D14">IFERROR(MEDIAN(IF(('Detalle de audios'!$G$2:$G$810="Persona")*('Detalle de audios'!$F$2:$F$810="Victoria")*ISNUMBER('Detalle de audios'!$K$2:$K$810),'Detalle de audios'!$K$2:$K$810)),"—")</f>
        <v>97.45</v>
      </c>
      <c r="E14" s="46" t="n">
        <f aca="false">IFERROR(COUNTIFS('Detalle de audios'!$G$2:$G$810,"Persona",'Detalle de audios'!$F$2:$F$810,"Victoria",'Detalle de audios'!$N$2:$N$810,"Sí")/B14,"—")</f>
        <v>0.72</v>
      </c>
      <c r="F14" s="22" t="n">
        <f aca="false" t="array" ref="F14:F14">IFERROR(MEDIAN(IF(('Detalle de audios'!$G$2:$G$810="Persona")*('Detalle de audios'!$F$2:$F$810="Victoria")*ISNUMBER('Detalle de audios'!$O$2:$O$810),'Detalle de audios'!$O$2:$O$810)),"—")</f>
        <v>3.45</v>
      </c>
      <c r="G14" s="45" t="n">
        <f aca="false">IFERROR(COUNTIFS('Detalle de audios'!$G$2:$G$810,"Persona",'Detalle de audios'!$F$2:$F$810,"Victoria",'Detalle de audios'!$P$2:$P$810,"Sí")/B14,"—")</f>
        <v>0.64</v>
      </c>
      <c r="H14" s="22" t="n">
        <f aca="false" t="array" ref="H14:H14">IFERROR(MEDIAN(IF(('Detalle de audios'!$G$2:$G$810="Persona")*('Detalle de audios'!$F$2:$F$810="Victoria")*ISNUMBER('Detalle de audios'!$Q$2:$Q$810),'Detalle de audios'!$Q$2:$Q$810)),"—")</f>
        <v>10.35</v>
      </c>
    </row>
    <row r="15" customFormat="false" ht="15" hidden="false" customHeight="false" outlineLevel="0" collapsed="false">
      <c r="A15" s="23" t="s">
        <v>130</v>
      </c>
      <c r="B15" s="48" t="n">
        <f aca="false">COUNTIFS('Detalle de audios'!$G$2:$G$810,"Persona",'Detalle de audios'!$F$2:$F$810,"Joceline")</f>
        <v>40</v>
      </c>
      <c r="C15" s="50" t="n">
        <f aca="false">IFERROR(B15/COUNTIFS('Detalle de audios'!$G$2:$G$810,"Persona"),"—")</f>
        <v>0.155642023346304</v>
      </c>
      <c r="D15" s="24" t="n">
        <f aca="false" t="array" ref="D15:D15">IFERROR(MEDIAN(IF(('Detalle de audios'!$G$2:$G$810="Persona")*('Detalle de audios'!$F$2:$F$810="Joceline")*ISNUMBER('Detalle de audios'!$K$2:$K$810),'Detalle de audios'!$K$2:$K$810)),"—")</f>
        <v>107.25</v>
      </c>
      <c r="E15" s="50" t="n">
        <f aca="false">IFERROR(COUNTIFS('Detalle de audios'!$G$2:$G$810,"Persona",'Detalle de audios'!$F$2:$F$810,"Joceline",'Detalle de audios'!$N$2:$N$810,"Sí")/B15,"—")</f>
        <v>0.575</v>
      </c>
      <c r="F15" s="24" t="n">
        <f aca="false" t="array" ref="F15:F15">IFERROR(MEDIAN(IF(('Detalle de audios'!$G$2:$G$810="Persona")*('Detalle de audios'!$F$2:$F$810="Joceline")*ISNUMBER('Detalle de audios'!$O$2:$O$810),'Detalle de audios'!$O$2:$O$810)),"—")</f>
        <v>5</v>
      </c>
      <c r="G15" s="49" t="n">
        <f aca="false">IFERROR(COUNTIFS('Detalle de audios'!$G$2:$G$810,"Persona",'Detalle de audios'!$F$2:$F$810,"Joceline",'Detalle de audios'!$P$2:$P$810,"Sí")/B15,"—")</f>
        <v>0.5</v>
      </c>
      <c r="H15" s="24" t="n">
        <f aca="false" t="array" ref="H15:H15">IFERROR(MEDIAN(IF(('Detalle de audios'!$G$2:$G$810="Persona")*('Detalle de audios'!$F$2:$F$810="Joceline")*ISNUMBER('Detalle de audios'!$Q$2:$Q$810),'Detalle de audios'!$Q$2:$Q$810)),"—")</f>
        <v>4.75</v>
      </c>
    </row>
    <row r="17" customFormat="false" ht="21.75" hidden="false" customHeight="true" outlineLevel="0" collapsed="false">
      <c r="A17" s="12" t="s">
        <v>153</v>
      </c>
    </row>
    <row r="18" customFormat="false" ht="45" hidden="false" customHeight="true" outlineLevel="0" collapsed="false">
      <c r="A18" s="13" t="s">
        <v>154</v>
      </c>
      <c r="B18" s="14" t="s">
        <v>143</v>
      </c>
      <c r="C18" s="14" t="s">
        <v>144</v>
      </c>
      <c r="D18" s="14" t="s">
        <v>145</v>
      </c>
      <c r="E18" s="14" t="s">
        <v>146</v>
      </c>
      <c r="F18" s="14" t="s">
        <v>147</v>
      </c>
      <c r="G18" s="14" t="s">
        <v>148</v>
      </c>
      <c r="H18" s="14" t="s">
        <v>149</v>
      </c>
    </row>
    <row r="19" customFormat="false" ht="15" hidden="false" customHeight="false" outlineLevel="0" collapsed="false">
      <c r="A19" s="21" t="s">
        <v>155</v>
      </c>
      <c r="B19" s="44" t="n">
        <f aca="false">COUNTIFS('Detalle de audios'!$G$2:$G$810,"Persona",'Detalle de audios'!$M$2:$M$810,"Sí")</f>
        <v>225</v>
      </c>
      <c r="C19" s="46" t="n">
        <f aca="false">IFERROR(B19/COUNTIFS('Detalle de audios'!$G$2:$G$810,"Persona"),"—")</f>
        <v>0.875486381322957</v>
      </c>
      <c r="D19" s="22" t="n">
        <f aca="false" t="array" ref="D19:D19">IFERROR(MEDIAN(IF(('Detalle de audios'!$G$2:$G$810="Persona")*('Detalle de audios'!$M$2:$M$810="Sí")*ISNUMBER('Detalle de audios'!$K$2:$K$810),'Detalle de audios'!$K$2:$K$810)),"—")</f>
        <v>104.5</v>
      </c>
      <c r="E19" s="46" t="n">
        <f aca="false">IFERROR(COUNTIFS('Detalle de audios'!$G$2:$G$810,"Persona",'Detalle de audios'!$M$2:$M$810,"Sí",'Detalle de audios'!$N$2:$N$810,"Sí")/B19,"—")</f>
        <v>0.702222222222222</v>
      </c>
      <c r="F19" s="22" t="n">
        <f aca="false" t="array" ref="F19:F19">IFERROR(MEDIAN(IF(('Detalle de audios'!$G$2:$G$810="Persona")*('Detalle de audios'!$M$2:$M$810="Sí")*ISNUMBER('Detalle de audios'!$O$2:$O$810),'Detalle de audios'!$O$2:$O$810)),"—")</f>
        <v>5.4</v>
      </c>
      <c r="G19" s="45" t="n">
        <f aca="false">IFERROR(COUNTIFS('Detalle de audios'!$G$2:$G$810,"Persona",'Detalle de audios'!$M$2:$M$810,"Sí",'Detalle de audios'!$P$2:$P$810,"Sí")/B19,"—")</f>
        <v>0.6</v>
      </c>
      <c r="H19" s="22" t="n">
        <f aca="false" t="array" ref="H19:H19">IFERROR(MEDIAN(IF(('Detalle de audios'!$G$2:$G$810="Persona")*('Detalle de audios'!$M$2:$M$810="Sí")*ISNUMBER('Detalle de audios'!$Q$2:$Q$810),'Detalle de audios'!$Q$2:$Q$810)),"—")</f>
        <v>8.8</v>
      </c>
    </row>
    <row r="20" customFormat="false" ht="15" hidden="false" customHeight="false" outlineLevel="0" collapsed="false">
      <c r="A20" s="23" t="s">
        <v>156</v>
      </c>
      <c r="B20" s="48" t="n">
        <f aca="false">COUNTIFS('Detalle de audios'!$G$2:$G$810,"Persona",'Detalle de audios'!$M$2:$M$810,"No")</f>
        <v>32</v>
      </c>
      <c r="C20" s="50" t="n">
        <f aca="false">IFERROR(B20/COUNTIFS('Detalle de audios'!$G$2:$G$810,"Persona"),"—")</f>
        <v>0.124513618677043</v>
      </c>
      <c r="D20" s="24" t="n">
        <f aca="false" t="array" ref="D20:D20">IFERROR(MEDIAN(IF(('Detalle de audios'!$G$2:$G$810="Persona")*('Detalle de audios'!$M$2:$M$810="No")*ISNUMBER('Detalle de audios'!$K$2:$K$810),'Detalle de audios'!$K$2:$K$810)),"—")</f>
        <v>57</v>
      </c>
      <c r="E20" s="50" t="n">
        <f aca="false">IFERROR(COUNTIFS('Detalle de audios'!$G$2:$G$810,"Persona",'Detalle de audios'!$M$2:$M$810,"No",'Detalle de audios'!$N$2:$N$810,"Sí")/B20,"—")</f>
        <v>0.8125</v>
      </c>
      <c r="F20" s="24" t="n">
        <f aca="false" t="array" ref="F20:F20">IFERROR(MEDIAN(IF(('Detalle de audios'!$G$2:$G$810="Persona")*('Detalle de audios'!$M$2:$M$810="No")*ISNUMBER('Detalle de audios'!$O$2:$O$810),'Detalle de audios'!$O$2:$O$810)),"—")</f>
        <v>1.75</v>
      </c>
      <c r="G20" s="49" t="n">
        <f aca="false">IFERROR(COUNTIFS('Detalle de audios'!$G$2:$G$810,"Persona",'Detalle de audios'!$M$2:$M$810,"No",'Detalle de audios'!$P$2:$P$810,"Sí")/B20,"—")</f>
        <v>0.5625</v>
      </c>
      <c r="H20" s="24" t="n">
        <f aca="false" t="array" ref="H20:H20">IFERROR(MEDIAN(IF(('Detalle de audios'!$G$2:$G$810="Persona")*('Detalle de audios'!$M$2:$M$810="No")*ISNUMBER('Detalle de audios'!$Q$2:$Q$810),'Detalle de audios'!$Q$2:$Q$810)),"—")</f>
        <v>9.4</v>
      </c>
    </row>
    <row r="22" customFormat="false" ht="21.75" hidden="false" customHeight="true" outlineLevel="0" collapsed="false">
      <c r="A22" s="12" t="s">
        <v>157</v>
      </c>
    </row>
    <row r="23" customFormat="false" ht="45" hidden="false" customHeight="true" outlineLevel="0" collapsed="false">
      <c r="A23" s="13" t="s">
        <v>158</v>
      </c>
      <c r="B23" s="14" t="s">
        <v>143</v>
      </c>
      <c r="C23" s="14" t="s">
        <v>144</v>
      </c>
      <c r="D23" s="14" t="s">
        <v>145</v>
      </c>
      <c r="E23" s="14" t="s">
        <v>146</v>
      </c>
      <c r="F23" s="14" t="s">
        <v>147</v>
      </c>
      <c r="G23" s="14" t="s">
        <v>148</v>
      </c>
      <c r="H23" s="14" t="s">
        <v>149</v>
      </c>
    </row>
    <row r="24" customFormat="false" ht="15" hidden="false" customHeight="false" outlineLevel="0" collapsed="false">
      <c r="A24" s="21" t="s">
        <v>159</v>
      </c>
      <c r="B24" s="44" t="n">
        <f aca="false">COUNTIFS('Detalle de audios'!$G$2:$G$810,"Persona",'Detalle de audios'!$K$2:$K$810,"&lt;60")</f>
        <v>25</v>
      </c>
      <c r="C24" s="46" t="n">
        <f aca="false">IFERROR(B24/COUNTIFS('Detalle de audios'!$G$2:$G$810,"Persona"),"—")</f>
        <v>0.0972762645914397</v>
      </c>
      <c r="D24" s="22" t="n">
        <f aca="false" t="array" ref="D24:D24">IFERROR(MEDIAN(IF(('Detalle de audios'!$G$2:$G$810="Persona")*('Detalle de audios'!$K$2:$K$810&lt;60)*ISNUMBER('Detalle de audios'!$K$2:$K$810),'Detalle de audios'!$K$2:$K$810)),"—")</f>
        <v>57</v>
      </c>
      <c r="E24" s="46" t="n">
        <f aca="false">IFERROR(COUNTIFS('Detalle de audios'!$G$2:$G$810,"Persona",'Detalle de audios'!$K$2:$K$810,"&lt;60",'Detalle de audios'!$N$2:$N$810,"Sí")/B24,"—")</f>
        <v>0.8</v>
      </c>
      <c r="F24" s="22" t="n">
        <f aca="false" t="array" ref="F24:F24">IFERROR(MEDIAN(IF(('Detalle de audios'!$G$2:$G$810="Persona")*('Detalle de audios'!$K$2:$K$810&lt;60)*ISNUMBER('Detalle de audios'!$O$2:$O$810),'Detalle de audios'!$O$2:$O$810)),"—")</f>
        <v>0.8</v>
      </c>
      <c r="G24" s="45" t="n">
        <f aca="false">IFERROR(COUNTIFS('Detalle de audios'!$G$2:$G$810,"Persona",'Detalle de audios'!$K$2:$K$810,"&lt;60",'Detalle de audios'!$P$2:$P$810,"Sí")/B24,"—")</f>
        <v>0.64</v>
      </c>
      <c r="H24" s="22" t="n">
        <f aca="false" t="array" ref="H24:H24">IFERROR(MEDIAN(IF(('Detalle de audios'!$G$2:$G$810="Persona")*('Detalle de audios'!$K$2:$K$810&lt;60)*ISNUMBER('Detalle de audios'!$Q$2:$Q$810),'Detalle de audios'!$Q$2:$Q$810)),"—")</f>
        <v>11.45</v>
      </c>
    </row>
    <row r="25" customFormat="false" ht="15" hidden="false" customHeight="false" outlineLevel="0" collapsed="false">
      <c r="A25" s="23" t="s">
        <v>160</v>
      </c>
      <c r="B25" s="48" t="n">
        <f aca="false">COUNTIFS('Detalle de audios'!$G$2:$G$810,"Persona",'Detalle de audios'!$K$2:$K$810,"&gt;=60",'Detalle de audios'!$K$2:$K$810,"&lt;90")</f>
        <v>54</v>
      </c>
      <c r="C25" s="50" t="n">
        <f aca="false">IFERROR(B25/COUNTIFS('Detalle de audios'!$G$2:$G$810,"Persona"),"—")</f>
        <v>0.21011673151751</v>
      </c>
      <c r="D25" s="24" t="n">
        <f aca="false" t="array" ref="D25:D25">IFERROR(MEDIAN(IF(('Detalle de audios'!$G$2:$G$810="Persona")*('Detalle de audios'!$K$2:$K$810&gt;=60)*('Detalle de audios'!$K$2:$K$810&lt;90)*ISNUMBER('Detalle de audios'!$K$2:$K$810),'Detalle de audios'!$K$2:$K$810)),"—")</f>
        <v>81.75</v>
      </c>
      <c r="E25" s="50" t="n">
        <f aca="false">IFERROR(COUNTIFS('Detalle de audios'!$G$2:$G$810,"Persona",'Detalle de audios'!$K$2:$K$810,"&gt;=60",'Detalle de audios'!$K$2:$K$810,"&lt;90",'Detalle de audios'!$N$2:$N$810,"Sí")/B25,"—")</f>
        <v>0.62962962962963</v>
      </c>
      <c r="F25" s="24" t="n">
        <f aca="false" t="array" ref="F25:F25">IFERROR(MEDIAN(IF(('Detalle de audios'!$G$2:$G$810="Persona")*('Detalle de audios'!$K$2:$K$810&gt;=60)*('Detalle de audios'!$K$2:$K$810&lt;90)*ISNUMBER('Detalle de audios'!$O$2:$O$810),'Detalle de audios'!$O$2:$O$810)),"—")</f>
        <v>4.85</v>
      </c>
      <c r="G25" s="49" t="n">
        <f aca="false">IFERROR(COUNTIFS('Detalle de audios'!$G$2:$G$810,"Persona",'Detalle de audios'!$K$2:$K$810,"&gt;=60",'Detalle de audios'!$K$2:$K$810,"&lt;90",'Detalle de audios'!$P$2:$P$810,"Sí")/B25,"—")</f>
        <v>0.592592592592593</v>
      </c>
      <c r="H25" s="24" t="n">
        <f aca="false" t="array" ref="H25:H25">IFERROR(MEDIAN(IF(('Detalle de audios'!$G$2:$G$810="Persona")*('Detalle de audios'!$K$2:$K$810&gt;=60)*('Detalle de audios'!$K$2:$K$810&lt;90)*ISNUMBER('Detalle de audios'!$Q$2:$Q$810),'Detalle de audios'!$Q$2:$Q$810)),"—")</f>
        <v>12.1</v>
      </c>
    </row>
    <row r="26" customFormat="false" ht="15" hidden="false" customHeight="false" outlineLevel="0" collapsed="false">
      <c r="A26" s="21" t="s">
        <v>161</v>
      </c>
      <c r="B26" s="44" t="n">
        <f aca="false">COUNTIFS('Detalle de audios'!$G$2:$G$810,"Persona",'Detalle de audios'!$K$2:$K$810,"&gt;=90",'Detalle de audios'!$K$2:$K$810,"&lt;120")</f>
        <v>158</v>
      </c>
      <c r="C26" s="46" t="n">
        <f aca="false">IFERROR(B26/COUNTIFS('Detalle de audios'!$G$2:$G$810,"Persona"),"—")</f>
        <v>0.614785992217899</v>
      </c>
      <c r="D26" s="22" t="n">
        <f aca="false" t="array" ref="D26:D26">IFERROR(MEDIAN(IF(('Detalle de audios'!$G$2:$G$810="Persona")*('Detalle de audios'!$K$2:$K$810&gt;=90)*('Detalle de audios'!$K$2:$K$810&lt;120)*ISNUMBER('Detalle de audios'!$K$2:$K$810),'Detalle de audios'!$K$2:$K$810)),"—")</f>
        <v>106.85</v>
      </c>
      <c r="E26" s="46" t="n">
        <f aca="false">IFERROR(COUNTIFS('Detalle de audios'!$G$2:$G$810,"Persona",'Detalle de audios'!$K$2:$K$810,"&gt;=90",'Detalle de audios'!$K$2:$K$810,"&lt;120",'Detalle de audios'!$N$2:$N$810,"Sí")/B26,"—")</f>
        <v>0.740506329113924</v>
      </c>
      <c r="F26" s="22" t="n">
        <f aca="false" t="array" ref="F26:F26">IFERROR(MEDIAN(IF(('Detalle de audios'!$G$2:$G$810="Persona")*('Detalle de audios'!$K$2:$K$810&gt;=90)*('Detalle de audios'!$K$2:$K$810&lt;120)*ISNUMBER('Detalle de audios'!$O$2:$O$810),'Detalle de audios'!$O$2:$O$810)),"—")</f>
        <v>5.9</v>
      </c>
      <c r="G26" s="45" t="n">
        <f aca="false">IFERROR(COUNTIFS('Detalle de audios'!$G$2:$G$810,"Persona",'Detalle de audios'!$K$2:$K$810,"&gt;=90",'Detalle de audios'!$K$2:$K$810,"&lt;120",'Detalle de audios'!$P$2:$P$810,"Sí")/B26,"—")</f>
        <v>0.594936708860759</v>
      </c>
      <c r="H26" s="22" t="n">
        <f aca="false" t="array" ref="H26:H26">IFERROR(MEDIAN(IF(('Detalle de audios'!$G$2:$G$810="Persona")*('Detalle de audios'!$K$2:$K$810&gt;=90)*('Detalle de audios'!$K$2:$K$810&lt;120)*ISNUMBER('Detalle de audios'!$Q$2:$Q$810),'Detalle de audios'!$Q$2:$Q$810)),"—")</f>
        <v>8.4</v>
      </c>
    </row>
    <row r="27" customFormat="false" ht="15" hidden="false" customHeight="false" outlineLevel="0" collapsed="false">
      <c r="A27" s="23" t="s">
        <v>162</v>
      </c>
      <c r="B27" s="48" t="n">
        <f aca="false">COUNTIFS('Detalle de audios'!$G$2:$G$810,"Persona",'Detalle de audios'!$K$2:$K$810,"&gt;=120")</f>
        <v>20</v>
      </c>
      <c r="C27" s="50" t="n">
        <f aca="false">IFERROR(B27/COUNTIFS('Detalle de audios'!$G$2:$G$810,"Persona"),"—")</f>
        <v>0.0778210116731518</v>
      </c>
      <c r="D27" s="24" t="n">
        <f aca="false" t="array" ref="D27:D27">IFERROR(MEDIAN(IF(('Detalle de audios'!$G$2:$G$810="Persona")*('Detalle de audios'!$K$2:$K$810&gt;=120)*ISNUMBER('Detalle de audios'!$K$2:$K$810),'Detalle de audios'!$K$2:$K$810)),"—")</f>
        <v>128.2</v>
      </c>
      <c r="E27" s="50" t="n">
        <f aca="false">IFERROR(COUNTIFS('Detalle de audios'!$G$2:$G$810,"Persona",'Detalle de audios'!$K$2:$K$810,"&gt;=120",'Detalle de audios'!$N$2:$N$810,"Sí")/B27,"—")</f>
        <v>0.65</v>
      </c>
      <c r="F27" s="24" t="n">
        <f aca="false" t="array" ref="F27:F27">IFERROR(MEDIAN(IF(('Detalle de audios'!$G$2:$G$810="Persona")*('Detalle de audios'!$K$2:$K$810&gt;=120)*ISNUMBER('Detalle de audios'!$O$2:$O$810),'Detalle de audios'!$O$2:$O$810)),"—")</f>
        <v>5.1</v>
      </c>
      <c r="G27" s="49" t="n">
        <f aca="false">IFERROR(COUNTIFS('Detalle de audios'!$G$2:$G$810,"Persona",'Detalle de audios'!$K$2:$K$810,"&gt;=120",'Detalle de audios'!$P$2:$P$810,"Sí")/B27,"—")</f>
        <v>0.55</v>
      </c>
      <c r="H27" s="24" t="n">
        <f aca="false" t="array" ref="H27:H27">IFERROR(MEDIAN(IF(('Detalle de audios'!$G$2:$G$810="Persona")*('Detalle de audios'!$K$2:$K$810&gt;=120)*ISNUMBER('Detalle de audios'!$Q$2:$Q$810),'Detalle de audios'!$Q$2:$Q$810)),"—")</f>
        <v>6.8</v>
      </c>
    </row>
    <row r="29" customFormat="false" ht="21.75" hidden="false" customHeight="true" outlineLevel="0" collapsed="false">
      <c r="A29" s="12" t="s">
        <v>163</v>
      </c>
    </row>
    <row r="30" customFormat="false" ht="45" hidden="false" customHeight="true" outlineLevel="0" collapsed="false">
      <c r="A30" s="13" t="s">
        <v>164</v>
      </c>
      <c r="B30" s="14" t="s">
        <v>143</v>
      </c>
      <c r="C30" s="14" t="s">
        <v>144</v>
      </c>
      <c r="D30" s="14" t="s">
        <v>145</v>
      </c>
      <c r="E30" s="14" t="s">
        <v>146</v>
      </c>
      <c r="F30" s="14" t="s">
        <v>147</v>
      </c>
      <c r="G30" s="14" t="s">
        <v>148</v>
      </c>
      <c r="H30" s="14" t="s">
        <v>149</v>
      </c>
    </row>
    <row r="31" customFormat="false" ht="15" hidden="false" customHeight="false" outlineLevel="0" collapsed="false">
      <c r="A31" s="21" t="s">
        <v>165</v>
      </c>
      <c r="B31" s="44" t="n">
        <f aca="false">COUNTIFS('Detalle de audios'!$G$2:$G$810,"Persona",'Detalle de audios'!$E$2:$E$810,"Sí")</f>
        <v>234</v>
      </c>
      <c r="C31" s="46" t="n">
        <f aca="false">IFERROR(B31/COUNTIFS('Detalle de audios'!$G$2:$G$810,"Persona"),"—")</f>
        <v>0.910505836575876</v>
      </c>
      <c r="D31" s="22" t="n">
        <f aca="false" t="array" ref="D31:D31">IFERROR(MEDIAN(IF(('Detalle de audios'!$G$2:$G$810="Persona")*('Detalle de audios'!$E$2:$E$810="Sí")*ISNUMBER('Detalle de audios'!$K$2:$K$810),'Detalle de audios'!$K$2:$K$810)),"—")</f>
        <v>103.2</v>
      </c>
      <c r="E31" s="46" t="n">
        <f aca="false">IFERROR(COUNTIFS('Detalle de audios'!$G$2:$G$810,"Persona",'Detalle de audios'!$E$2:$E$810,"Sí",'Detalle de audios'!$N$2:$N$810,"Sí")/B31,"—")</f>
        <v>0.705128205128205</v>
      </c>
      <c r="F31" s="22" t="n">
        <f aca="false" t="array" ref="F31:F31">IFERROR(MEDIAN(IF(('Detalle de audios'!$G$2:$G$810="Persona")*('Detalle de audios'!$E$2:$E$810="Sí")*ISNUMBER('Detalle de audios'!$O$2:$O$810),'Detalle de audios'!$O$2:$O$810)),"—")</f>
        <v>5.1</v>
      </c>
      <c r="G31" s="45" t="n">
        <f aca="false">IFERROR(COUNTIFS('Detalle de audios'!$G$2:$G$810,"Persona",'Detalle de audios'!$E$2:$E$810,"Sí",'Detalle de audios'!$P$2:$P$810,"Sí")/B31,"—")</f>
        <v>0.58974358974359</v>
      </c>
      <c r="H31" s="22" t="n">
        <f aca="false" t="array" ref="H31:H31">IFERROR(MEDIAN(IF(('Detalle de audios'!$G$2:$G$810="Persona")*('Detalle de audios'!$E$2:$E$810="Sí")*ISNUMBER('Detalle de audios'!$Q$2:$Q$810),'Detalle de audios'!$Q$2:$Q$810)),"—")</f>
        <v>8.75</v>
      </c>
    </row>
    <row r="32" customFormat="false" ht="15" hidden="false" customHeight="false" outlineLevel="0" collapsed="false">
      <c r="A32" s="23" t="s">
        <v>166</v>
      </c>
      <c r="B32" s="48" t="n">
        <f aca="false">COUNTIFS('Detalle de audios'!$G$2:$G$810,"Persona",'Detalle de audios'!$E$2:$E$810,"No")</f>
        <v>23</v>
      </c>
      <c r="C32" s="50" t="n">
        <f aca="false">IFERROR(B32/COUNTIFS('Detalle de audios'!$G$2:$G$810,"Persona"),"—")</f>
        <v>0.0894941634241245</v>
      </c>
      <c r="D32" s="24" t="n">
        <f aca="false" t="array" ref="D32:D32">IFERROR(MEDIAN(IF(('Detalle de audios'!$G$2:$G$810="Persona")*('Detalle de audios'!$E$2:$E$810="No")*ISNUMBER('Detalle de audios'!$K$2:$K$810),'Detalle de audios'!$K$2:$K$810)),"—")</f>
        <v>109.4</v>
      </c>
      <c r="E32" s="50" t="n">
        <f aca="false">IFERROR(COUNTIFS('Detalle de audios'!$G$2:$G$810,"Persona",'Detalle de audios'!$E$2:$E$810,"No",'Detalle de audios'!$N$2:$N$810,"Sí")/B32,"—")</f>
        <v>0.826086956521739</v>
      </c>
      <c r="F32" s="24" t="n">
        <f aca="false" t="array" ref="F32:F32">IFERROR(MEDIAN(IF(('Detalle de audios'!$G$2:$G$810="Persona")*('Detalle de audios'!$E$2:$E$810="No")*ISNUMBER('Detalle de audios'!$O$2:$O$810),'Detalle de audios'!$O$2:$O$810)),"—")</f>
        <v>4.7</v>
      </c>
      <c r="G32" s="49" t="n">
        <f aca="false">IFERROR(COUNTIFS('Detalle de audios'!$G$2:$G$810,"Persona",'Detalle de audios'!$E$2:$E$810,"No",'Detalle de audios'!$P$2:$P$810,"Sí")/B32,"—")</f>
        <v>0.652173913043478</v>
      </c>
      <c r="H32" s="24" t="n">
        <f aca="false" t="array" ref="H32:H32">IFERROR(MEDIAN(IF(('Detalle de audios'!$G$2:$G$810="Persona")*('Detalle de audios'!$E$2:$E$810="No")*ISNUMBER('Detalle de audios'!$Q$2:$Q$810),'Detalle de audios'!$Q$2:$Q$810)),"—")</f>
        <v>45.4</v>
      </c>
    </row>
    <row r="34" customFormat="false" ht="21.75" hidden="false" customHeight="true" outlineLevel="0" collapsed="false">
      <c r="A34" s="12" t="s">
        <v>167</v>
      </c>
    </row>
    <row r="35" customFormat="false" ht="45" hidden="false" customHeight="true" outlineLevel="0" collapsed="false">
      <c r="A35" s="13" t="s">
        <v>20</v>
      </c>
      <c r="B35" s="14" t="s">
        <v>143</v>
      </c>
      <c r="C35" s="14" t="s">
        <v>144</v>
      </c>
      <c r="D35" s="14" t="s">
        <v>145</v>
      </c>
      <c r="E35" s="14" t="s">
        <v>146</v>
      </c>
      <c r="F35" s="14" t="s">
        <v>147</v>
      </c>
      <c r="G35" s="14" t="s">
        <v>148</v>
      </c>
      <c r="H35" s="14" t="s">
        <v>149</v>
      </c>
    </row>
    <row r="36" customFormat="false" ht="15" hidden="false" customHeight="false" outlineLevel="0" collapsed="false">
      <c r="A36" s="21" t="s">
        <v>27</v>
      </c>
      <c r="B36" s="44" t="n">
        <f aca="false">COUNTIFS('Detalle de audios'!$G$2:$G$810,"Persona",'Detalle de audios'!$A$2:$A$810,"ISO + Calidad")</f>
        <v>170</v>
      </c>
      <c r="C36" s="46" t="n">
        <f aca="false">IFERROR(B36/COUNTIFS('Detalle de audios'!$G$2:$G$810,"Persona"),"—")</f>
        <v>0.66147859922179</v>
      </c>
      <c r="D36" s="22" t="n">
        <f aca="false" t="array" ref="D36:D36">IFERROR(MEDIAN(IF(('Detalle de audios'!$G$2:$G$810="Persona")*('Detalle de audios'!$A$2:$A$810="ISO + Calidad")*ISNUMBER('Detalle de audios'!$K$2:$K$810),'Detalle de audios'!$K$2:$K$810)),"—")</f>
        <v>103.75</v>
      </c>
      <c r="E36" s="46" t="n">
        <f aca="false">IFERROR(COUNTIFS('Detalle de audios'!$G$2:$G$810,"Persona",'Detalle de audios'!$A$2:$A$810,"ISO + Calidad",'Detalle de audios'!$N$2:$N$810,"Sí")/B36,"—")</f>
        <v>0.770588235294118</v>
      </c>
      <c r="F36" s="22" t="n">
        <f aca="false" t="array" ref="F36:F36">IFERROR(MEDIAN(IF(('Detalle de audios'!$G$2:$G$810="Persona")*('Detalle de audios'!$A$2:$A$810="ISO + Calidad")*ISNUMBER('Detalle de audios'!$O$2:$O$810),'Detalle de audios'!$O$2:$O$810)),"—")</f>
        <v>5</v>
      </c>
      <c r="G36" s="45" t="n">
        <f aca="false">IFERROR(COUNTIFS('Detalle de audios'!$G$2:$G$810,"Persona",'Detalle de audios'!$A$2:$A$810,"ISO + Calidad",'Detalle de audios'!$P$2:$P$810,"Sí")/B36,"—")</f>
        <v>0.594117647058824</v>
      </c>
      <c r="H36" s="22" t="n">
        <f aca="false" t="array" ref="H36:H36">IFERROR(MEDIAN(IF(('Detalle de audios'!$G$2:$G$810="Persona")*('Detalle de audios'!$A$2:$A$810="ISO + Calidad")*ISNUMBER('Detalle de audios'!$Q$2:$Q$810),'Detalle de audios'!$Q$2:$Q$810)),"—")</f>
        <v>8.8</v>
      </c>
    </row>
    <row r="37" customFormat="false" ht="15" hidden="false" customHeight="false" outlineLevel="0" collapsed="false">
      <c r="A37" s="23" t="s">
        <v>28</v>
      </c>
      <c r="B37" s="48" t="n">
        <f aca="false">COUNTIFS('Detalle de audios'!$G$2:$G$810,"Persona",'Detalle de audios'!$A$2:$A$810,"Manufactura y Calidad")</f>
        <v>48</v>
      </c>
      <c r="C37" s="50" t="n">
        <f aca="false">IFERROR(B37/COUNTIFS('Detalle de audios'!$G$2:$G$810,"Persona"),"—")</f>
        <v>0.186770428015564</v>
      </c>
      <c r="D37" s="24" t="n">
        <f aca="false" t="array" ref="D37:D37">IFERROR(MEDIAN(IF(('Detalle de audios'!$G$2:$G$810="Persona")*('Detalle de audios'!$A$2:$A$810="Manufactura y Calidad")*ISNUMBER('Detalle de audios'!$K$2:$K$810),'Detalle de audios'!$K$2:$K$810)),"—")</f>
        <v>104.7</v>
      </c>
      <c r="E37" s="50" t="n">
        <f aca="false">IFERROR(COUNTIFS('Detalle de audios'!$G$2:$G$810,"Persona",'Detalle de audios'!$A$2:$A$810,"Manufactura y Calidad",'Detalle de audios'!$N$2:$N$810,"Sí")/B37,"—")</f>
        <v>0.5625</v>
      </c>
      <c r="F37" s="24" t="n">
        <f aca="false" t="array" ref="F37:F37">IFERROR(MEDIAN(IF(('Detalle de audios'!$G$2:$G$810="Persona")*('Detalle de audios'!$A$2:$A$810="Manufactura y Calidad")*ISNUMBER('Detalle de audios'!$O$2:$O$810),'Detalle de audios'!$O$2:$O$810)),"—")</f>
        <v>8</v>
      </c>
      <c r="G37" s="49" t="n">
        <f aca="false">IFERROR(COUNTIFS('Detalle de audios'!$G$2:$G$810,"Persona",'Detalle de audios'!$A$2:$A$810,"Manufactura y Calidad",'Detalle de audios'!$P$2:$P$810,"Sí")/B37,"—")</f>
        <v>0.645833333333333</v>
      </c>
      <c r="H37" s="24" t="n">
        <f aca="false" t="array" ref="H37:H37">IFERROR(MEDIAN(IF(('Detalle de audios'!$G$2:$G$810="Persona")*('Detalle de audios'!$A$2:$A$810="Manufactura y Calidad")*ISNUMBER('Detalle de audios'!$Q$2:$Q$810),'Detalle de audios'!$Q$2:$Q$810)),"—")</f>
        <v>8.1</v>
      </c>
    </row>
    <row r="38" customFormat="false" ht="15" hidden="false" customHeight="false" outlineLevel="0" collapsed="false">
      <c r="A38" s="21" t="s">
        <v>29</v>
      </c>
      <c r="B38" s="44" t="n">
        <f aca="false">COUNTIFS('Detalle de audios'!$G$2:$G$810,"Persona",'Detalle de audios'!$A$2:$A$810,"Core Tools Premium")</f>
        <v>39</v>
      </c>
      <c r="C38" s="46" t="n">
        <f aca="false">IFERROR(B38/COUNTIFS('Detalle de audios'!$G$2:$G$810,"Persona"),"—")</f>
        <v>0.151750972762646</v>
      </c>
      <c r="D38" s="22" t="n">
        <f aca="false" t="array" ref="D38:D38">IFERROR(MEDIAN(IF(('Detalle de audios'!$G$2:$G$810="Persona")*('Detalle de audios'!$A$2:$A$810="Core Tools Premium")*ISNUMBER('Detalle de audios'!$K$2:$K$810),'Detalle de audios'!$K$2:$K$810)),"—")</f>
        <v>100.4</v>
      </c>
      <c r="E38" s="46" t="n">
        <f aca="false">IFERROR(COUNTIFS('Detalle de audios'!$G$2:$G$810,"Persona",'Detalle de audios'!$A$2:$A$810,"Core Tools Premium",'Detalle de audios'!$N$2:$N$810,"Sí")/B38,"—")</f>
        <v>0.666666666666667</v>
      </c>
      <c r="F38" s="22" t="n">
        <f aca="false" t="array" ref="F38:F38">IFERROR(MEDIAN(IF(('Detalle de audios'!$G$2:$G$810="Persona")*('Detalle de audios'!$A$2:$A$810="Core Tools Premium")*ISNUMBER('Detalle de audios'!$O$2:$O$810),'Detalle de audios'!$O$2:$O$810)),"—")</f>
        <v>4.7</v>
      </c>
      <c r="G38" s="45" t="n">
        <f aca="false">IFERROR(COUNTIFS('Detalle de audios'!$G$2:$G$810,"Persona",'Detalle de audios'!$A$2:$A$810,"Core Tools Premium",'Detalle de audios'!$P$2:$P$810,"Sí")/B38,"—")</f>
        <v>0.538461538461538</v>
      </c>
      <c r="H38" s="22" t="n">
        <f aca="false" t="array" ref="H38:H38">IFERROR(MEDIAN(IF(('Detalle de audios'!$G$2:$G$810="Persona")*('Detalle de audios'!$A$2:$A$810="Core Tools Premium")*ISNUMBER('Detalle de audios'!$Q$2:$Q$810),'Detalle de audios'!$Q$2:$Q$810)),"—")</f>
        <v>11.5</v>
      </c>
    </row>
    <row r="40" customFormat="false" ht="21.75" hidden="false" customHeight="true" outlineLevel="0" collapsed="false">
      <c r="A40" s="12" t="s">
        <v>168</v>
      </c>
    </row>
    <row r="41" customFormat="false" ht="45" hidden="false" customHeight="true" outlineLevel="0" collapsed="false">
      <c r="A41" s="13" t="s">
        <v>20</v>
      </c>
      <c r="B41" s="14" t="s">
        <v>143</v>
      </c>
      <c r="C41" s="14" t="s">
        <v>144</v>
      </c>
      <c r="D41" s="14" t="s">
        <v>145</v>
      </c>
      <c r="E41" s="14" t="s">
        <v>146</v>
      </c>
      <c r="F41" s="14" t="s">
        <v>147</v>
      </c>
      <c r="G41" s="14" t="s">
        <v>148</v>
      </c>
      <c r="H41" s="14" t="s">
        <v>149</v>
      </c>
    </row>
    <row r="42" customFormat="false" ht="15" hidden="false" customHeight="false" outlineLevel="0" collapsed="false">
      <c r="A42" s="21" t="s">
        <v>27</v>
      </c>
      <c r="B42" s="44" t="n">
        <f aca="false">COUNTIFS('Detalle de audios'!$G$2:$G$810,"Bot (automático)",'Detalle de audios'!$A$2:$A$810,"ISO + Calidad")</f>
        <v>360</v>
      </c>
      <c r="C42" s="46" t="n">
        <f aca="false">IFERROR(B42/COUNTIFS('Detalle de audios'!$G$2:$G$810,"Bot (automático)"),"—")</f>
        <v>0.652173913043478</v>
      </c>
      <c r="D42" s="22" t="n">
        <f aca="false" t="array" ref="D42:D42">IFERROR(MEDIAN(IF(('Detalle de audios'!$G$2:$G$810="Bot (automático)")*('Detalle de audios'!$A$2:$A$810="ISO + Calidad")*ISNUMBER('Detalle de audios'!$K$2:$K$810),'Detalle de audios'!$K$2:$K$810)),"—")</f>
        <v>72</v>
      </c>
      <c r="E42" s="46" t="n">
        <f aca="false">IFERROR(COUNTIFS('Detalle de audios'!$G$2:$G$810,"Bot (automático)",'Detalle de audios'!$A$2:$A$810,"ISO + Calidad",'Detalle de audios'!$N$2:$N$810,"Sí")/B42,"—")</f>
        <v>0.666666666666667</v>
      </c>
      <c r="F42" s="22" t="n">
        <f aca="false" t="array" ref="F42:F42">IFERROR(MEDIAN(IF(('Detalle de audios'!$G$2:$G$810="Bot (automático)")*('Detalle de audios'!$A$2:$A$810="ISO + Calidad")*ISNUMBER('Detalle de audios'!$O$2:$O$810),'Detalle de audios'!$O$2:$O$810)),"—")</f>
        <v>86.3</v>
      </c>
      <c r="G42" s="45" t="n">
        <f aca="false">IFERROR(COUNTIFS('Detalle de audios'!$G$2:$G$810,"Bot (automático)",'Detalle de audios'!$A$2:$A$810,"ISO + Calidad",'Detalle de audios'!$P$2:$P$810,"Sí")/B42,"—")</f>
        <v>0.119444444444444</v>
      </c>
      <c r="H42" s="22" t="n">
        <f aca="false" t="array" ref="H42:H42">IFERROR(MEDIAN(IF(('Detalle de audios'!$G$2:$G$810="Bot (automático)")*('Detalle de audios'!$A$2:$A$810="ISO + Calidad")*ISNUMBER('Detalle de audios'!$Q$2:$Q$810),'Detalle de audios'!$Q$2:$Q$810)),"—")</f>
        <v>122.7</v>
      </c>
    </row>
    <row r="43" customFormat="false" ht="15" hidden="false" customHeight="false" outlineLevel="0" collapsed="false">
      <c r="A43" s="23" t="s">
        <v>28</v>
      </c>
      <c r="B43" s="48" t="n">
        <f aca="false">COUNTIFS('Detalle de audios'!$G$2:$G$810,"Bot (automático)",'Detalle de audios'!$A$2:$A$810,"Manufactura y Calidad")</f>
        <v>92</v>
      </c>
      <c r="C43" s="50" t="n">
        <f aca="false">IFERROR(B43/COUNTIFS('Detalle de audios'!$G$2:$G$810,"Bot (automático)"),"—")</f>
        <v>0.166666666666667</v>
      </c>
      <c r="D43" s="24" t="n">
        <f aca="false" t="array" ref="D43:D43">IFERROR(MEDIAN(IF(('Detalle de audios'!$G$2:$G$810="Bot (automático)")*('Detalle de audios'!$A$2:$A$810="Manufactura y Calidad")*ISNUMBER('Detalle de audios'!$K$2:$K$810),'Detalle de audios'!$K$2:$K$810)),"—")</f>
        <v>72.4</v>
      </c>
      <c r="E43" s="50" t="n">
        <f aca="false">IFERROR(COUNTIFS('Detalle de audios'!$G$2:$G$810,"Bot (automático)",'Detalle de audios'!$A$2:$A$810,"Manufactura y Calidad",'Detalle de audios'!$N$2:$N$810,"Sí")/B43,"—")</f>
        <v>0.597826086956522</v>
      </c>
      <c r="F43" s="24" t="n">
        <f aca="false" t="array" ref="F43:F43">IFERROR(MEDIAN(IF(('Detalle de audios'!$G$2:$G$810="Bot (automático)")*('Detalle de audios'!$A$2:$A$810="Manufactura y Calidad")*ISNUMBER('Detalle de audios'!$O$2:$O$810),'Detalle de audios'!$O$2:$O$810)),"—")</f>
        <v>177.3</v>
      </c>
      <c r="G43" s="49" t="n">
        <f aca="false">IFERROR(COUNTIFS('Detalle de audios'!$G$2:$G$810,"Bot (automático)",'Detalle de audios'!$A$2:$A$810,"Manufactura y Calidad",'Detalle de audios'!$P$2:$P$810,"Sí")/B43,"—")</f>
        <v>0.0869565217391304</v>
      </c>
      <c r="H43" s="24" t="n">
        <f aca="false" t="array" ref="H43:H43">IFERROR(MEDIAN(IF(('Detalle de audios'!$G$2:$G$810="Bot (automático)")*('Detalle de audios'!$A$2:$A$810="Manufactura y Calidad")*ISNUMBER('Detalle de audios'!$Q$2:$Q$810),'Detalle de audios'!$Q$2:$Q$810)),"—")</f>
        <v>141.8</v>
      </c>
    </row>
    <row r="44" customFormat="false" ht="15" hidden="false" customHeight="false" outlineLevel="0" collapsed="false">
      <c r="A44" s="21" t="s">
        <v>29</v>
      </c>
      <c r="B44" s="44" t="n">
        <f aca="false">COUNTIFS('Detalle de audios'!$G$2:$G$810,"Bot (automático)",'Detalle de audios'!$A$2:$A$810,"Core Tools Premium")</f>
        <v>100</v>
      </c>
      <c r="C44" s="46" t="n">
        <f aca="false">IFERROR(B44/COUNTIFS('Detalle de audios'!$G$2:$G$810,"Bot (automático)"),"—")</f>
        <v>0.181159420289855</v>
      </c>
      <c r="D44" s="22" t="n">
        <f aca="false" t="array" ref="D44:D44">IFERROR(MEDIAN(IF(('Detalle de audios'!$G$2:$G$810="Bot (automático)")*('Detalle de audios'!$A$2:$A$810="Core Tools Premium")*ISNUMBER('Detalle de audios'!$K$2:$K$810),'Detalle de audios'!$K$2:$K$810)),"—")</f>
        <v>76.7</v>
      </c>
      <c r="E44" s="46" t="n">
        <f aca="false">IFERROR(COUNTIFS('Detalle de audios'!$G$2:$G$810,"Bot (automático)",'Detalle de audios'!$A$2:$A$810,"Core Tools Premium",'Detalle de audios'!$N$2:$N$810,"Sí")/B44,"—")</f>
        <v>0.6</v>
      </c>
      <c r="F44" s="22" t="n">
        <f aca="false" t="array" ref="F44:F44">IFERROR(MEDIAN(IF(('Detalle de audios'!$G$2:$G$810="Bot (automático)")*('Detalle de audios'!$A$2:$A$810="Core Tools Premium")*ISNUMBER('Detalle de audios'!$O$2:$O$810),'Detalle de audios'!$O$2:$O$810)),"—")</f>
        <v>78.85</v>
      </c>
      <c r="G44" s="45" t="n">
        <f aca="false">IFERROR(COUNTIFS('Detalle de audios'!$G$2:$G$810,"Bot (automático)",'Detalle de audios'!$A$2:$A$810,"Core Tools Premium",'Detalle de audios'!$P$2:$P$810,"Sí")/B44,"—")</f>
        <v>0.11</v>
      </c>
      <c r="H44" s="22" t="n">
        <f aca="false" t="array" ref="H44:H44">IFERROR(MEDIAN(IF(('Detalle de audios'!$G$2:$G$810="Bot (automático)")*('Detalle de audios'!$A$2:$A$810="Core Tools Premium")*ISNUMBER('Detalle de audios'!$Q$2:$Q$810),'Detalle de audios'!$Q$2:$Q$810)),"—")</f>
        <v>426.8</v>
      </c>
    </row>
    <row r="46" customFormat="false" ht="21.75" hidden="false" customHeight="true" outlineLevel="0" collapsed="false">
      <c r="A46" s="12" t="s">
        <v>169</v>
      </c>
    </row>
    <row r="47" customFormat="false" ht="45" hidden="false" customHeight="true" outlineLevel="0" collapsed="false">
      <c r="A47" s="13" t="s">
        <v>170</v>
      </c>
      <c r="B47" s="14" t="s">
        <v>143</v>
      </c>
      <c r="C47" s="14" t="s">
        <v>144</v>
      </c>
      <c r="D47" s="14" t="s">
        <v>145</v>
      </c>
      <c r="E47" s="14" t="s">
        <v>146</v>
      </c>
      <c r="F47" s="14" t="s">
        <v>147</v>
      </c>
      <c r="G47" s="14" t="s">
        <v>148</v>
      </c>
      <c r="H47" s="14" t="s">
        <v>149</v>
      </c>
    </row>
    <row r="48" customFormat="false" ht="15" hidden="false" customHeight="false" outlineLevel="0" collapsed="false">
      <c r="A48" s="21" t="s">
        <v>171</v>
      </c>
      <c r="B48" s="44" t="n">
        <f aca="false">COUNTIFS('Detalle de audios'!$G$2:$G$810,"Persona",'Detalle de audios'!$L$2:$L$810,"No")</f>
        <v>243</v>
      </c>
      <c r="C48" s="46" t="n">
        <f aca="false">IFERROR(B48/COUNTIFS('Detalle de audios'!$G$2:$G$810,"Persona"),"—")</f>
        <v>0.945525291828794</v>
      </c>
      <c r="D48" s="22" t="n">
        <f aca="false" t="array" ref="D48:D48">IFERROR(MEDIAN(IF(('Detalle de audios'!$G$2:$G$810="Persona")*('Detalle de audios'!$L$2:$L$810="No")*ISNUMBER('Detalle de audios'!$K$2:$K$810),'Detalle de audios'!$K$2:$K$810)),"—")</f>
        <v>104.3</v>
      </c>
      <c r="E48" s="46" t="n">
        <f aca="false">IFERROR(COUNTIFS('Detalle de audios'!$G$2:$G$810,"Persona",'Detalle de audios'!$L$2:$L$810,"No",'Detalle de audios'!$N$2:$N$810,"Sí")/B48,"—")</f>
        <v>0.711934156378601</v>
      </c>
      <c r="F48" s="22" t="n">
        <f aca="false" t="array" ref="F48:F48">IFERROR(MEDIAN(IF(('Detalle de audios'!$G$2:$G$810="Persona")*('Detalle de audios'!$L$2:$L$810="No")*ISNUMBER('Detalle de audios'!$O$2:$O$810),'Detalle de audios'!$O$2:$O$810)),"—")</f>
        <v>5.1</v>
      </c>
      <c r="G48" s="45" t="n">
        <f aca="false">IFERROR(COUNTIFS('Detalle de audios'!$G$2:$G$810,"Persona",'Detalle de audios'!$L$2:$L$810,"No",'Detalle de audios'!$P$2:$P$810,"Sí")/B48,"—")</f>
        <v>0.584362139917696</v>
      </c>
      <c r="H48" s="22" t="n">
        <f aca="false" t="array" ref="H48:H48">IFERROR(MEDIAN(IF(('Detalle de audios'!$G$2:$G$810="Persona")*('Detalle de audios'!$L$2:$L$810="No")*ISNUMBER('Detalle de audios'!$Q$2:$Q$810),'Detalle de audios'!$Q$2:$Q$810)),"—")</f>
        <v>10.35</v>
      </c>
    </row>
    <row r="49" customFormat="false" ht="23.85" hidden="false" customHeight="false" outlineLevel="0" collapsed="false">
      <c r="A49" s="23" t="s">
        <v>172</v>
      </c>
      <c r="B49" s="48" t="n">
        <f aca="false">COUNTIFS('Detalle de audios'!$G$2:$G$810,"Persona",'Detalle de audios'!$L$2:$L$810,"Sí")</f>
        <v>14</v>
      </c>
      <c r="C49" s="50" t="n">
        <f aca="false">IFERROR(B49/COUNTIFS('Detalle de audios'!$G$2:$G$810,"Persona"),"—")</f>
        <v>0.0544747081712062</v>
      </c>
      <c r="D49" s="24" t="n">
        <f aca="false" t="array" ref="D49:D49">IFERROR(MEDIAN(IF(('Detalle de audios'!$G$2:$G$810="Persona")*('Detalle de audios'!$L$2:$L$810="Sí")*ISNUMBER('Detalle de audios'!$K$2:$K$810),'Detalle de audios'!$K$2:$K$810)),"—")</f>
        <v>57</v>
      </c>
      <c r="E49" s="50" t="n">
        <f aca="false">IFERROR(COUNTIFS('Detalle de audios'!$G$2:$G$810,"Persona",'Detalle de audios'!$L$2:$L$810,"Sí",'Detalle de audios'!$N$2:$N$810,"Sí")/B49,"—")</f>
        <v>0.785714285714286</v>
      </c>
      <c r="F49" s="24" t="n">
        <f aca="false" t="array" ref="F49:F49">IFERROR(MEDIAN(IF(('Detalle de audios'!$G$2:$G$810="Persona")*('Detalle de audios'!$L$2:$L$810="Sí")*ISNUMBER('Detalle de audios'!$O$2:$O$810),'Detalle de audios'!$O$2:$O$810)),"—")</f>
        <v>1.2</v>
      </c>
      <c r="G49" s="49" t="n">
        <f aca="false">IFERROR(COUNTIFS('Detalle de audios'!$G$2:$G$810,"Persona",'Detalle de audios'!$L$2:$L$810,"Sí",'Detalle de audios'!$P$2:$P$810,"Sí")/B49,"—")</f>
        <v>0.785714285714286</v>
      </c>
      <c r="H49" s="24" t="n">
        <f aca="false" t="array" ref="H49:H49">IFERROR(MEDIAN(IF(('Detalle de audios'!$G$2:$G$810="Persona")*('Detalle de audios'!$L$2:$L$810="Sí")*ISNUMBER('Detalle de audios'!$Q$2:$Q$810),'Detalle de audios'!$Q$2:$Q$810)),"—")</f>
        <v>4.6</v>
      </c>
    </row>
    <row r="51" customFormat="false" ht="15" hidden="false" customHeight="false" outlineLevel="0" collapsed="false">
      <c r="A51" s="27" t="s">
        <v>173</v>
      </c>
    </row>
    <row r="52" customFormat="false" ht="15" hidden="false" customHeight="false" outlineLevel="0" collapsed="false">
      <c r="A52" s="27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8AAA"/>
    <pageSetUpPr fitToPage="false"/>
  </sheetPr>
  <dimension ref="A1:AK6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1" min="10" style="0" width="16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30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20" min="19" style="0" width="10"/>
    <col collapsed="false" customWidth="true" hidden="false" outlineLevel="0" max="21" min="21" style="0" width="12"/>
    <col collapsed="false" customWidth="true" hidden="false" outlineLevel="0" max="22" min="22" style="0" width="11"/>
    <col collapsed="false" customWidth="true" hidden="false" outlineLevel="0" max="23" min="23" style="0" width="40"/>
    <col collapsed="false" customWidth="true" hidden="false" outlineLevel="0" max="24" min="24" style="0" width="10"/>
    <col collapsed="false" customWidth="true" hidden="false" outlineLevel="0" max="25" min="25" style="0" width="13"/>
    <col collapsed="false" customWidth="true" hidden="false" outlineLevel="0" max="26" min="26" style="0" width="16"/>
    <col collapsed="false" customWidth="true" hidden="false" outlineLevel="0" max="27" min="27" style="0" width="12"/>
    <col collapsed="false" customWidth="true" hidden="false" outlineLevel="0" max="28" min="28" style="0" width="40"/>
    <col collapsed="false" customWidth="true" hidden="false" outlineLevel="0" max="29" min="29" style="0" width="16"/>
    <col collapsed="false" customWidth="true" hidden="false" outlineLevel="0" max="30" min="30" style="0" width="12"/>
    <col collapsed="false" customWidth="true" hidden="false" outlineLevel="0" max="31" min="31" style="0" width="30"/>
    <col collapsed="false" customWidth="true" hidden="false" outlineLevel="0" max="34" min="32" style="0" width="13"/>
    <col collapsed="false" customWidth="true" hidden="false" outlineLevel="0" max="35" min="35" style="0" width="10"/>
    <col collapsed="false" customWidth="true" hidden="false" outlineLevel="0" max="36" min="36" style="0" width="24"/>
    <col collapsed="false" customWidth="true" hidden="false" outlineLevel="0" max="37" min="37" style="0" width="8"/>
  </cols>
  <sheetData>
    <row r="1" customFormat="false" ht="54" hidden="false" customHeight="true" outlineLevel="0" collapsed="false">
      <c r="A1" s="53" t="s">
        <v>20</v>
      </c>
      <c r="B1" s="53" t="s">
        <v>175</v>
      </c>
      <c r="C1" s="53" t="s">
        <v>176</v>
      </c>
      <c r="D1" s="53" t="s">
        <v>177</v>
      </c>
      <c r="E1" s="53" t="s">
        <v>178</v>
      </c>
      <c r="F1" s="53" t="s">
        <v>179</v>
      </c>
      <c r="G1" s="53" t="s">
        <v>180</v>
      </c>
      <c r="H1" s="53" t="s">
        <v>181</v>
      </c>
      <c r="I1" s="53" t="s">
        <v>182</v>
      </c>
      <c r="J1" s="53" t="s">
        <v>183</v>
      </c>
      <c r="K1" s="53" t="s">
        <v>184</v>
      </c>
      <c r="L1" s="53" t="s">
        <v>185</v>
      </c>
      <c r="M1" s="53" t="s">
        <v>186</v>
      </c>
      <c r="N1" s="53" t="s">
        <v>187</v>
      </c>
      <c r="O1" s="53" t="s">
        <v>188</v>
      </c>
      <c r="P1" s="53" t="s">
        <v>189</v>
      </c>
      <c r="Q1" s="53" t="s">
        <v>190</v>
      </c>
      <c r="R1" s="53" t="s">
        <v>191</v>
      </c>
      <c r="S1" s="53" t="s">
        <v>192</v>
      </c>
      <c r="T1" s="53" t="s">
        <v>193</v>
      </c>
      <c r="U1" s="53" t="s">
        <v>194</v>
      </c>
      <c r="V1" s="53" t="s">
        <v>195</v>
      </c>
      <c r="W1" s="53" t="s">
        <v>196</v>
      </c>
      <c r="X1" s="53" t="s">
        <v>197</v>
      </c>
      <c r="Y1" s="53" t="s">
        <v>198</v>
      </c>
      <c r="Z1" s="53" t="s">
        <v>199</v>
      </c>
      <c r="AA1" s="53" t="s">
        <v>200</v>
      </c>
      <c r="AB1" s="53" t="s">
        <v>201</v>
      </c>
      <c r="AC1" s="53" t="s">
        <v>202</v>
      </c>
      <c r="AD1" s="53" t="s">
        <v>203</v>
      </c>
      <c r="AE1" s="53" t="s">
        <v>204</v>
      </c>
      <c r="AF1" s="53" t="s">
        <v>205</v>
      </c>
      <c r="AG1" s="53" t="s">
        <v>206</v>
      </c>
      <c r="AH1" s="53" t="s">
        <v>207</v>
      </c>
      <c r="AI1" s="53" t="s">
        <v>208</v>
      </c>
      <c r="AJ1" s="53" t="s">
        <v>209</v>
      </c>
      <c r="AK1" s="53" t="s">
        <v>210</v>
      </c>
    </row>
    <row r="2" customFormat="false" ht="15" hidden="false" customHeight="false" outlineLevel="0" collapsed="false">
      <c r="A2" s="54" t="s">
        <v>29</v>
      </c>
      <c r="B2" s="55" t="n">
        <v>268</v>
      </c>
      <c r="C2" s="54" t="s">
        <v>127</v>
      </c>
      <c r="D2" s="54" t="s">
        <v>211</v>
      </c>
      <c r="E2" s="54"/>
      <c r="F2" s="56" t="n">
        <v>46300.488708206</v>
      </c>
      <c r="G2" s="54" t="s">
        <v>212</v>
      </c>
      <c r="H2" s="54" t="s">
        <v>212</v>
      </c>
      <c r="I2" s="57" t="s">
        <v>213</v>
      </c>
      <c r="J2" s="56" t="n">
        <v>46301.4384461227</v>
      </c>
      <c r="K2" s="56" t="n">
        <v>46301.4458628472</v>
      </c>
      <c r="L2" s="58" t="n">
        <f aca="false">IF(AND(ISNUMBER(J2),ISNUMBER(K2)),IF(K2&gt;=J2,(K2-J2)*1440,""),"")</f>
        <v>10.68008332745</v>
      </c>
      <c r="M2" s="56" t="n">
        <v>46301.4458628472</v>
      </c>
      <c r="N2" s="58" t="n">
        <f aca="false">IF(AND(ISNUMBER(J2),ISNUMBER(M2)),IF(M2&gt;=J2,(M2-J2)*1440,""),"")</f>
        <v>10.68008332745</v>
      </c>
      <c r="O2" s="54" t="str">
        <f aca="false">IF(N2="","",LOOKUP(N2,Tiempos!$A$6:$A$10,Tiempos!$B$6:$B$10))</f>
        <v>10 a 30 min</v>
      </c>
      <c r="P2" s="54" t="s">
        <v>170</v>
      </c>
      <c r="Q2" s="54" t="s">
        <v>214</v>
      </c>
      <c r="R2" s="54" t="s">
        <v>130</v>
      </c>
      <c r="S2" s="54" t="s">
        <v>215</v>
      </c>
      <c r="T2" s="58" t="n">
        <v>70.5</v>
      </c>
      <c r="U2" s="54" t="s">
        <v>212</v>
      </c>
      <c r="V2" s="58"/>
      <c r="W2" s="57"/>
      <c r="X2" s="55" t="n">
        <v>0</v>
      </c>
      <c r="Y2" s="54" t="s">
        <v>212</v>
      </c>
      <c r="Z2" s="56"/>
      <c r="AA2" s="58" t="str">
        <f aca="false">IF(AND(ISNUMBER(M2),ISNUMBER(Z2)),IF(Z2&gt;=M2,(Z2-M2)*1440,""),"")</f>
        <v/>
      </c>
      <c r="AB2" s="57"/>
      <c r="AC2" s="56"/>
      <c r="AD2" s="58" t="str">
        <f aca="false">IF(AND(ISNUMBER(Z2),ISNUMBER(AC2)),IF(AC2&gt;=Z2,(AC2-Z2)*1440,""),"")</f>
        <v/>
      </c>
      <c r="AE2" s="54"/>
      <c r="AF2" s="54" t="s">
        <v>212</v>
      </c>
      <c r="AG2" s="54"/>
      <c r="AH2" s="58"/>
      <c r="AI2" s="55" t="n">
        <v>2</v>
      </c>
      <c r="AJ2" s="54" t="s">
        <v>216</v>
      </c>
      <c r="AK2" s="54" t="s">
        <v>212</v>
      </c>
    </row>
    <row r="3" customFormat="false" ht="15" hidden="false" customHeight="false" outlineLevel="0" collapsed="false">
      <c r="A3" s="54" t="s">
        <v>29</v>
      </c>
      <c r="B3" s="55" t="n">
        <v>286</v>
      </c>
      <c r="C3" s="54" t="s">
        <v>129</v>
      </c>
      <c r="D3" s="54" t="s">
        <v>214</v>
      </c>
      <c r="E3" s="54" t="s">
        <v>217</v>
      </c>
      <c r="F3" s="56" t="n">
        <v>46300.5725061458</v>
      </c>
      <c r="G3" s="54" t="s">
        <v>212</v>
      </c>
      <c r="H3" s="54" t="s">
        <v>214</v>
      </c>
      <c r="I3" s="57" t="s">
        <v>218</v>
      </c>
      <c r="J3" s="56" t="n">
        <v>46300.5732610301</v>
      </c>
      <c r="K3" s="56" t="n">
        <v>46300.5733973611</v>
      </c>
      <c r="L3" s="58" t="n">
        <f aca="false">IF(AND(ISNUMBER(J3),ISNUMBER(K3)),IF(K3&gt;=J3,(K3-J3)*1440,""),"")</f>
        <v>0.196316671783333</v>
      </c>
      <c r="M3" s="56" t="n">
        <v>46300.5767922685</v>
      </c>
      <c r="N3" s="58" t="n">
        <f aca="false">IF(AND(ISNUMBER(J3),ISNUMBER(M3)),IF(M3&gt;=J3,(M3-J3)*1440,""),"")</f>
        <v>5.08498333626667</v>
      </c>
      <c r="O3" s="54" t="str">
        <f aca="false">IF(N3="","",LOOKUP(N3,Tiempos!$A$6:$A$10,Tiempos!$B$6:$B$10))</f>
        <v>4 a 6 min</v>
      </c>
      <c r="P3" s="54" t="s">
        <v>219</v>
      </c>
      <c r="Q3" s="54" t="s">
        <v>214</v>
      </c>
      <c r="R3" s="54" t="s">
        <v>129</v>
      </c>
      <c r="S3" s="54" t="s">
        <v>220</v>
      </c>
      <c r="T3" s="58" t="n">
        <v>97.6</v>
      </c>
      <c r="U3" s="54" t="s">
        <v>214</v>
      </c>
      <c r="V3" s="58" t="n">
        <v>4.89</v>
      </c>
      <c r="W3" s="57" t="s">
        <v>221</v>
      </c>
      <c r="X3" s="55" t="n">
        <v>4</v>
      </c>
      <c r="Y3" s="54" t="s">
        <v>214</v>
      </c>
      <c r="Z3" s="56" t="n">
        <v>46300.5949553588</v>
      </c>
      <c r="AA3" s="58" t="n">
        <f aca="false">IF(AND(ISNUMBER(M3),ISNUMBER(Z3)),IF(Z3&gt;=M3,(Z3-M3)*1440,""),"")</f>
        <v>26.1548500042333</v>
      </c>
      <c r="AB3" s="57" t="s">
        <v>222</v>
      </c>
      <c r="AC3" s="56" t="n">
        <v>46300.5956030903</v>
      </c>
      <c r="AD3" s="58" t="n">
        <f aca="false">IF(AND(ISNUMBER(Z3),ISNUMBER(AC3)),IF(AC3&gt;=Z3,(AC3-Z3)*1440,""),"")</f>
        <v>0.932733312933333</v>
      </c>
      <c r="AE3" s="54" t="s">
        <v>223</v>
      </c>
      <c r="AF3" s="54" t="s">
        <v>214</v>
      </c>
      <c r="AG3" s="54" t="s">
        <v>214</v>
      </c>
      <c r="AH3" s="58" t="n">
        <v>4</v>
      </c>
      <c r="AI3" s="55" t="n">
        <v>4</v>
      </c>
      <c r="AJ3" s="54" t="s">
        <v>216</v>
      </c>
      <c r="AK3" s="54" t="s">
        <v>212</v>
      </c>
    </row>
    <row r="4" customFormat="false" ht="15" hidden="false" customHeight="false" outlineLevel="0" collapsed="false">
      <c r="A4" s="54" t="s">
        <v>29</v>
      </c>
      <c r="B4" s="55" t="n">
        <v>294</v>
      </c>
      <c r="C4" s="54" t="s">
        <v>128</v>
      </c>
      <c r="D4" s="54" t="s">
        <v>212</v>
      </c>
      <c r="E4" s="54"/>
      <c r="F4" s="56" t="n">
        <v>46300.6193615509</v>
      </c>
      <c r="G4" s="54" t="s">
        <v>212</v>
      </c>
      <c r="H4" s="54" t="s">
        <v>214</v>
      </c>
      <c r="I4" s="57"/>
      <c r="J4" s="56"/>
      <c r="K4" s="56"/>
      <c r="L4" s="58" t="str">
        <f aca="false">IF(AND(ISNUMBER(J4),ISNUMBER(K4)),IF(K4&gt;=J4,(K4-J4)*1440,""),"")</f>
        <v/>
      </c>
      <c r="M4" s="56"/>
      <c r="N4" s="58" t="str">
        <f aca="false">IF(AND(ISNUMBER(J4),ISNUMBER(M4)),IF(M4&gt;=J4,(M4-J4)*1440,""),"")</f>
        <v/>
      </c>
      <c r="O4" s="54" t="str">
        <f aca="false">IF(N4="","",LOOKUP(N4,Tiempos!$A$6:$A$10,Tiempos!$B$6:$B$10))</f>
        <v/>
      </c>
      <c r="P4" s="54"/>
      <c r="Q4" s="54"/>
      <c r="R4" s="54"/>
      <c r="S4" s="54"/>
      <c r="T4" s="58"/>
      <c r="U4" s="54"/>
      <c r="V4" s="58"/>
      <c r="W4" s="57"/>
      <c r="X4" s="55"/>
      <c r="Y4" s="54"/>
      <c r="Z4" s="56"/>
      <c r="AA4" s="58" t="str">
        <f aca="false">IF(AND(ISNUMBER(M4),ISNUMBER(Z4)),IF(Z4&gt;=M4,(Z4-M4)*1440,""),"")</f>
        <v/>
      </c>
      <c r="AB4" s="57"/>
      <c r="AC4" s="56"/>
      <c r="AD4" s="58" t="str">
        <f aca="false">IF(AND(ISNUMBER(Z4),ISNUMBER(AC4)),IF(AC4&gt;=Z4,(AC4-Z4)*1440,""),"")</f>
        <v/>
      </c>
      <c r="AE4" s="54"/>
      <c r="AF4" s="54"/>
      <c r="AG4" s="54"/>
      <c r="AH4" s="58"/>
      <c r="AI4" s="55" t="n">
        <v>1</v>
      </c>
      <c r="AJ4" s="54" t="s">
        <v>216</v>
      </c>
      <c r="AK4" s="54" t="s">
        <v>212</v>
      </c>
    </row>
    <row r="5" customFormat="false" ht="15" hidden="false" customHeight="false" outlineLevel="0" collapsed="false">
      <c r="A5" s="54" t="s">
        <v>29</v>
      </c>
      <c r="B5" s="55" t="n">
        <v>301</v>
      </c>
      <c r="C5" s="54" t="s">
        <v>127</v>
      </c>
      <c r="D5" s="54" t="s">
        <v>212</v>
      </c>
      <c r="E5" s="54"/>
      <c r="F5" s="56" t="n">
        <v>46300.6421171412</v>
      </c>
      <c r="G5" s="54" t="s">
        <v>212</v>
      </c>
      <c r="H5" s="54" t="s">
        <v>214</v>
      </c>
      <c r="I5" s="57"/>
      <c r="J5" s="56"/>
      <c r="K5" s="56"/>
      <c r="L5" s="58" t="str">
        <f aca="false">IF(AND(ISNUMBER(J5),ISNUMBER(K5)),IF(K5&gt;=J5,(K5-J5)*1440,""),"")</f>
        <v/>
      </c>
      <c r="M5" s="56"/>
      <c r="N5" s="58" t="str">
        <f aca="false">IF(AND(ISNUMBER(J5),ISNUMBER(M5)),IF(M5&gt;=J5,(M5-J5)*1440,""),"")</f>
        <v/>
      </c>
      <c r="O5" s="54" t="str">
        <f aca="false">IF(N5="","",LOOKUP(N5,Tiempos!$A$6:$A$10,Tiempos!$B$6:$B$10))</f>
        <v/>
      </c>
      <c r="P5" s="54"/>
      <c r="Q5" s="54"/>
      <c r="R5" s="54"/>
      <c r="S5" s="54"/>
      <c r="T5" s="58"/>
      <c r="U5" s="54"/>
      <c r="V5" s="58"/>
      <c r="W5" s="57"/>
      <c r="X5" s="55"/>
      <c r="Y5" s="54"/>
      <c r="Z5" s="56"/>
      <c r="AA5" s="58" t="str">
        <f aca="false">IF(AND(ISNUMBER(M5),ISNUMBER(Z5)),IF(Z5&gt;=M5,(Z5-M5)*1440,""),"")</f>
        <v/>
      </c>
      <c r="AB5" s="57"/>
      <c r="AC5" s="56"/>
      <c r="AD5" s="58" t="str">
        <f aca="false">IF(AND(ISNUMBER(Z5),ISNUMBER(AC5)),IF(AC5&gt;=Z5,(AC5-Z5)*1440,""),"")</f>
        <v/>
      </c>
      <c r="AE5" s="54"/>
      <c r="AF5" s="54"/>
      <c r="AG5" s="54"/>
      <c r="AH5" s="58"/>
      <c r="AI5" s="55" t="n">
        <v>2</v>
      </c>
      <c r="AJ5" s="54" t="s">
        <v>216</v>
      </c>
      <c r="AK5" s="54" t="s">
        <v>212</v>
      </c>
    </row>
    <row r="6" customFormat="false" ht="15" hidden="false" customHeight="false" outlineLevel="0" collapsed="false">
      <c r="A6" s="54" t="s">
        <v>29</v>
      </c>
      <c r="B6" s="55" t="n">
        <v>300</v>
      </c>
      <c r="C6" s="54" t="s">
        <v>127</v>
      </c>
      <c r="D6" s="54" t="s">
        <v>212</v>
      </c>
      <c r="E6" s="54"/>
      <c r="F6" s="56" t="n">
        <v>46300.6570885301</v>
      </c>
      <c r="G6" s="54" t="s">
        <v>212</v>
      </c>
      <c r="H6" s="54" t="s">
        <v>212</v>
      </c>
      <c r="I6" s="57"/>
      <c r="J6" s="56"/>
      <c r="K6" s="56"/>
      <c r="L6" s="58" t="str">
        <f aca="false">IF(AND(ISNUMBER(J6),ISNUMBER(K6)),IF(K6&gt;=J6,(K6-J6)*1440,""),"")</f>
        <v/>
      </c>
      <c r="M6" s="56"/>
      <c r="N6" s="58" t="str">
        <f aca="false">IF(AND(ISNUMBER(J6),ISNUMBER(M6)),IF(M6&gt;=J6,(M6-J6)*1440,""),"")</f>
        <v/>
      </c>
      <c r="O6" s="54" t="str">
        <f aca="false">IF(N6="","",LOOKUP(N6,Tiempos!$A$6:$A$10,Tiempos!$B$6:$B$10))</f>
        <v/>
      </c>
      <c r="P6" s="54"/>
      <c r="Q6" s="54"/>
      <c r="R6" s="54"/>
      <c r="S6" s="54"/>
      <c r="T6" s="58"/>
      <c r="U6" s="54"/>
      <c r="V6" s="58"/>
      <c r="W6" s="57"/>
      <c r="X6" s="55"/>
      <c r="Y6" s="54"/>
      <c r="Z6" s="56"/>
      <c r="AA6" s="58" t="str">
        <f aca="false">IF(AND(ISNUMBER(M6),ISNUMBER(Z6)),IF(Z6&gt;=M6,(Z6-M6)*1440,""),"")</f>
        <v/>
      </c>
      <c r="AB6" s="57"/>
      <c r="AC6" s="56"/>
      <c r="AD6" s="58" t="str">
        <f aca="false">IF(AND(ISNUMBER(Z6),ISNUMBER(AC6)),IF(AC6&gt;=Z6,(AC6-Z6)*1440,""),"")</f>
        <v/>
      </c>
      <c r="AE6" s="54"/>
      <c r="AF6" s="54"/>
      <c r="AG6" s="54"/>
      <c r="AH6" s="58"/>
      <c r="AI6" s="55" t="n">
        <v>1</v>
      </c>
      <c r="AJ6" s="54" t="s">
        <v>216</v>
      </c>
      <c r="AK6" s="54" t="s">
        <v>212</v>
      </c>
    </row>
    <row r="7" customFormat="false" ht="15" hidden="false" customHeight="false" outlineLevel="0" collapsed="false">
      <c r="A7" s="54" t="s">
        <v>29</v>
      </c>
      <c r="B7" s="55" t="n">
        <v>310</v>
      </c>
      <c r="C7" s="54" t="s">
        <v>129</v>
      </c>
      <c r="D7" s="54" t="s">
        <v>212</v>
      </c>
      <c r="E7" s="54"/>
      <c r="F7" s="56" t="n">
        <v>46300.6782018866</v>
      </c>
      <c r="G7" s="54" t="s">
        <v>212</v>
      </c>
      <c r="H7" s="54" t="s">
        <v>212</v>
      </c>
      <c r="I7" s="57"/>
      <c r="J7" s="56"/>
      <c r="K7" s="56"/>
      <c r="L7" s="58" t="str">
        <f aca="false">IF(AND(ISNUMBER(J7),ISNUMBER(K7)),IF(K7&gt;=J7,(K7-J7)*1440,""),"")</f>
        <v/>
      </c>
      <c r="M7" s="56"/>
      <c r="N7" s="58" t="str">
        <f aca="false">IF(AND(ISNUMBER(J7),ISNUMBER(M7)),IF(M7&gt;=J7,(M7-J7)*1440,""),"")</f>
        <v/>
      </c>
      <c r="O7" s="54" t="str">
        <f aca="false">IF(N7="","",LOOKUP(N7,Tiempos!$A$6:$A$10,Tiempos!$B$6:$B$10))</f>
        <v/>
      </c>
      <c r="P7" s="54"/>
      <c r="Q7" s="54"/>
      <c r="R7" s="54"/>
      <c r="S7" s="54"/>
      <c r="T7" s="58"/>
      <c r="U7" s="54"/>
      <c r="V7" s="58"/>
      <c r="W7" s="57"/>
      <c r="X7" s="55"/>
      <c r="Y7" s="54"/>
      <c r="Z7" s="56"/>
      <c r="AA7" s="58" t="str">
        <f aca="false">IF(AND(ISNUMBER(M7),ISNUMBER(Z7)),IF(Z7&gt;=M7,(Z7-M7)*1440,""),"")</f>
        <v/>
      </c>
      <c r="AB7" s="57"/>
      <c r="AC7" s="56"/>
      <c r="AD7" s="58" t="str">
        <f aca="false">IF(AND(ISNUMBER(Z7),ISNUMBER(AC7)),IF(AC7&gt;=Z7,(AC7-Z7)*1440,""),"")</f>
        <v/>
      </c>
      <c r="AE7" s="54"/>
      <c r="AF7" s="54"/>
      <c r="AG7" s="54"/>
      <c r="AH7" s="58"/>
      <c r="AI7" s="55" t="n">
        <v>2</v>
      </c>
      <c r="AJ7" s="54" t="s">
        <v>216</v>
      </c>
      <c r="AK7" s="54" t="s">
        <v>212</v>
      </c>
    </row>
    <row r="8" customFormat="false" ht="15" hidden="false" customHeight="false" outlineLevel="0" collapsed="false">
      <c r="A8" s="54" t="s">
        <v>29</v>
      </c>
      <c r="B8" s="55" t="n">
        <v>327</v>
      </c>
      <c r="C8" s="54" t="s">
        <v>129</v>
      </c>
      <c r="D8" s="54" t="s">
        <v>214</v>
      </c>
      <c r="E8" s="54" t="s">
        <v>224</v>
      </c>
      <c r="F8" s="56" t="n">
        <v>46300.8674794329</v>
      </c>
      <c r="G8" s="54" t="s">
        <v>212</v>
      </c>
      <c r="H8" s="54" t="s">
        <v>214</v>
      </c>
      <c r="I8" s="57" t="s">
        <v>225</v>
      </c>
      <c r="J8" s="56" t="n">
        <v>46300.8704472222</v>
      </c>
      <c r="K8" s="56" t="n">
        <v>46300.8789018866</v>
      </c>
      <c r="L8" s="58" t="n">
        <f aca="false">IF(AND(ISNUMBER(J8),ISNUMBER(K8)),IF(K8&gt;=J8,(K8-J8)*1440,""),"")</f>
        <v>12.1747166616833</v>
      </c>
      <c r="M8" s="56" t="n">
        <v>46300.8789018866</v>
      </c>
      <c r="N8" s="58" t="n">
        <f aca="false">IF(AND(ISNUMBER(J8),ISNUMBER(M8)),IF(M8&gt;=J8,(M8-J8)*1440,""),"")</f>
        <v>12.1747166616833</v>
      </c>
      <c r="O8" s="54" t="str">
        <f aca="false">IF(N8="","",LOOKUP(N8,Tiempos!$A$6:$A$10,Tiempos!$B$6:$B$10))</f>
        <v>10 a 30 min</v>
      </c>
      <c r="P8" s="54" t="s">
        <v>226</v>
      </c>
      <c r="Q8" s="54" t="s">
        <v>212</v>
      </c>
      <c r="R8" s="54" t="s">
        <v>129</v>
      </c>
      <c r="S8" s="54" t="s">
        <v>220</v>
      </c>
      <c r="T8" s="58"/>
      <c r="U8" s="54"/>
      <c r="V8" s="58"/>
      <c r="W8" s="57"/>
      <c r="X8" s="55" t="n">
        <v>0</v>
      </c>
      <c r="Y8" s="54" t="s">
        <v>214</v>
      </c>
      <c r="Z8" s="56" t="n">
        <v>46300.8796727894</v>
      </c>
      <c r="AA8" s="58" t="n">
        <f aca="false">IF(AND(ISNUMBER(M8),ISNUMBER(Z8)),IF(Z8&gt;=M8,(Z8-M8)*1440,""),"")</f>
        <v>1.11009999991667</v>
      </c>
      <c r="AB8" s="57" t="s">
        <v>227</v>
      </c>
      <c r="AC8" s="56" t="n">
        <v>46300.8808204745</v>
      </c>
      <c r="AD8" s="58" t="n">
        <f aca="false">IF(AND(ISNUMBER(Z8),ISNUMBER(AC8)),IF(AC8&gt;=Z8,(AC8-Z8)*1440,""),"")</f>
        <v>1.6526666691</v>
      </c>
      <c r="AE8" s="54" t="s">
        <v>223</v>
      </c>
      <c r="AF8" s="54" t="s">
        <v>214</v>
      </c>
      <c r="AG8" s="54" t="s">
        <v>214</v>
      </c>
      <c r="AH8" s="58" t="n">
        <v>4.3</v>
      </c>
      <c r="AI8" s="55" t="n">
        <v>3</v>
      </c>
      <c r="AJ8" s="54" t="s">
        <v>210</v>
      </c>
      <c r="AK8" s="54" t="s">
        <v>214</v>
      </c>
    </row>
    <row r="9" customFormat="false" ht="15" hidden="false" customHeight="false" outlineLevel="0" collapsed="false">
      <c r="A9" s="54" t="s">
        <v>29</v>
      </c>
      <c r="B9" s="55" t="n">
        <v>337</v>
      </c>
      <c r="C9" s="54" t="s">
        <v>128</v>
      </c>
      <c r="D9" s="54" t="s">
        <v>212</v>
      </c>
      <c r="E9" s="54"/>
      <c r="F9" s="56" t="n">
        <v>46300.9044820023</v>
      </c>
      <c r="G9" s="54" t="s">
        <v>212</v>
      </c>
      <c r="H9" s="54" t="s">
        <v>214</v>
      </c>
      <c r="I9" s="57"/>
      <c r="J9" s="56"/>
      <c r="K9" s="56"/>
      <c r="L9" s="58" t="str">
        <f aca="false">IF(AND(ISNUMBER(J9),ISNUMBER(K9)),IF(K9&gt;=J9,(K9-J9)*1440,""),"")</f>
        <v/>
      </c>
      <c r="M9" s="56"/>
      <c r="N9" s="58" t="str">
        <f aca="false">IF(AND(ISNUMBER(J9),ISNUMBER(M9)),IF(M9&gt;=J9,(M9-J9)*1440,""),"")</f>
        <v/>
      </c>
      <c r="O9" s="54" t="str">
        <f aca="false">IF(N9="","",LOOKUP(N9,Tiempos!$A$6:$A$10,Tiempos!$B$6:$B$10))</f>
        <v/>
      </c>
      <c r="P9" s="54"/>
      <c r="Q9" s="54"/>
      <c r="R9" s="54"/>
      <c r="S9" s="54"/>
      <c r="T9" s="58"/>
      <c r="U9" s="54"/>
      <c r="V9" s="58"/>
      <c r="W9" s="57"/>
      <c r="X9" s="55"/>
      <c r="Y9" s="54"/>
      <c r="Z9" s="56"/>
      <c r="AA9" s="58" t="str">
        <f aca="false">IF(AND(ISNUMBER(M9),ISNUMBER(Z9)),IF(Z9&gt;=M9,(Z9-M9)*1440,""),"")</f>
        <v/>
      </c>
      <c r="AB9" s="57"/>
      <c r="AC9" s="56"/>
      <c r="AD9" s="58" t="str">
        <f aca="false">IF(AND(ISNUMBER(Z9),ISNUMBER(AC9)),IF(AC9&gt;=Z9,(AC9-Z9)*1440,""),"")</f>
        <v/>
      </c>
      <c r="AE9" s="54"/>
      <c r="AF9" s="54"/>
      <c r="AG9" s="54"/>
      <c r="AH9" s="58"/>
      <c r="AI9" s="55" t="n">
        <v>2</v>
      </c>
      <c r="AJ9" s="54" t="s">
        <v>216</v>
      </c>
      <c r="AK9" s="54" t="s">
        <v>212</v>
      </c>
    </row>
    <row r="10" customFormat="false" ht="15" hidden="false" customHeight="false" outlineLevel="0" collapsed="false">
      <c r="A10" s="54" t="s">
        <v>29</v>
      </c>
      <c r="B10" s="55" t="n">
        <v>341</v>
      </c>
      <c r="C10" s="54" t="s">
        <v>127</v>
      </c>
      <c r="D10" s="54" t="s">
        <v>212</v>
      </c>
      <c r="E10" s="54"/>
      <c r="F10" s="56" t="n">
        <v>46300.9685958565</v>
      </c>
      <c r="G10" s="54" t="s">
        <v>214</v>
      </c>
      <c r="H10" s="54" t="s">
        <v>212</v>
      </c>
      <c r="I10" s="57"/>
      <c r="J10" s="56"/>
      <c r="K10" s="56"/>
      <c r="L10" s="58" t="str">
        <f aca="false">IF(AND(ISNUMBER(J10),ISNUMBER(K10)),IF(K10&gt;=J10,(K10-J10)*1440,""),"")</f>
        <v/>
      </c>
      <c r="M10" s="56"/>
      <c r="N10" s="58" t="str">
        <f aca="false">IF(AND(ISNUMBER(J10),ISNUMBER(M10)),IF(M10&gt;=J10,(M10-J10)*1440,""),"")</f>
        <v/>
      </c>
      <c r="O10" s="54" t="str">
        <f aca="false">IF(N10="","",LOOKUP(N10,Tiempos!$A$6:$A$10,Tiempos!$B$6:$B$10))</f>
        <v/>
      </c>
      <c r="P10" s="54"/>
      <c r="Q10" s="54"/>
      <c r="R10" s="54"/>
      <c r="S10" s="54"/>
      <c r="T10" s="58"/>
      <c r="U10" s="54"/>
      <c r="V10" s="58"/>
      <c r="W10" s="57"/>
      <c r="X10" s="55"/>
      <c r="Y10" s="54"/>
      <c r="Z10" s="56"/>
      <c r="AA10" s="58" t="str">
        <f aca="false">IF(AND(ISNUMBER(M10),ISNUMBER(Z10)),IF(Z10&gt;=M10,(Z10-M10)*1440,""),"")</f>
        <v/>
      </c>
      <c r="AB10" s="57"/>
      <c r="AC10" s="56"/>
      <c r="AD10" s="58" t="str">
        <f aca="false">IF(AND(ISNUMBER(Z10),ISNUMBER(AC10)),IF(AC10&gt;=Z10,(AC10-Z10)*1440,""),"")</f>
        <v/>
      </c>
      <c r="AE10" s="54"/>
      <c r="AF10" s="54"/>
      <c r="AG10" s="54"/>
      <c r="AH10" s="58"/>
      <c r="AI10" s="55" t="n">
        <v>1</v>
      </c>
      <c r="AJ10" s="54" t="s">
        <v>216</v>
      </c>
      <c r="AK10" s="54" t="s">
        <v>212</v>
      </c>
    </row>
    <row r="11" customFormat="false" ht="15" hidden="false" customHeight="false" outlineLevel="0" collapsed="false">
      <c r="A11" s="54" t="s">
        <v>29</v>
      </c>
      <c r="B11" s="55" t="n">
        <v>343</v>
      </c>
      <c r="C11" s="54" t="s">
        <v>127</v>
      </c>
      <c r="D11" s="54" t="s">
        <v>214</v>
      </c>
      <c r="E11" s="54" t="s">
        <v>217</v>
      </c>
      <c r="F11" s="56" t="n">
        <v>46301.296754456</v>
      </c>
      <c r="G11" s="54" t="s">
        <v>214</v>
      </c>
      <c r="H11" s="54" t="s">
        <v>214</v>
      </c>
      <c r="I11" s="57" t="s">
        <v>228</v>
      </c>
      <c r="J11" s="56" t="n">
        <v>46301.2973606713</v>
      </c>
      <c r="K11" s="56" t="n">
        <v>46301.2975438773</v>
      </c>
      <c r="L11" s="58" t="n">
        <f aca="false">IF(AND(ISNUMBER(J11),ISNUMBER(K11)),IF(K11&gt;=J11,(K11-J11)*1440,""),"")</f>
        <v>0.263816651416667</v>
      </c>
      <c r="M11" s="56" t="n">
        <v>46301.3012825926</v>
      </c>
      <c r="N11" s="58" t="n">
        <f aca="false">IF(AND(ISNUMBER(J11),ISNUMBER(M11)),IF(M11&gt;=J11,(M11-J11)*1440,""),"")</f>
        <v>5.64756666076667</v>
      </c>
      <c r="O11" s="54" t="str">
        <f aca="false">IF(N11="","",LOOKUP(N11,Tiempos!$A$6:$A$10,Tiempos!$B$6:$B$10))</f>
        <v>4 a 6 min</v>
      </c>
      <c r="P11" s="54" t="s">
        <v>229</v>
      </c>
      <c r="Q11" s="54" t="s">
        <v>214</v>
      </c>
      <c r="R11" s="54" t="s">
        <v>127</v>
      </c>
      <c r="S11" s="54" t="s">
        <v>220</v>
      </c>
      <c r="T11" s="58" t="n">
        <v>118.1</v>
      </c>
      <c r="U11" s="54" t="s">
        <v>214</v>
      </c>
      <c r="V11" s="58" t="n">
        <v>5.38</v>
      </c>
      <c r="W11" s="57" t="s">
        <v>230</v>
      </c>
      <c r="X11" s="55" t="n">
        <v>2</v>
      </c>
      <c r="Y11" s="54" t="s">
        <v>214</v>
      </c>
      <c r="Z11" s="56" t="n">
        <v>46301.403212581</v>
      </c>
      <c r="AA11" s="58" t="n">
        <f aca="false">IF(AND(ISNUMBER(M11),ISNUMBER(Z11)),IF(Z11&gt;=M11,(Z11-M11)*1440,""),"")</f>
        <v>146.77918333675</v>
      </c>
      <c r="AB11" s="57" t="s">
        <v>231</v>
      </c>
      <c r="AC11" s="56" t="n">
        <v>46301.4082536227</v>
      </c>
      <c r="AD11" s="58" t="n">
        <f aca="false">IF(AND(ISNUMBER(Z11),ISNUMBER(AC11)),IF(AC11&gt;=Z11,(AC11-Z11)*1440,""),"")</f>
        <v>7.25910000968333</v>
      </c>
      <c r="AE11" s="54" t="s">
        <v>232</v>
      </c>
      <c r="AF11" s="54" t="s">
        <v>214</v>
      </c>
      <c r="AG11" s="54" t="s">
        <v>214</v>
      </c>
      <c r="AH11" s="58" t="n">
        <v>1.8</v>
      </c>
      <c r="AI11" s="55" t="n">
        <v>2</v>
      </c>
      <c r="AJ11" s="54" t="s">
        <v>216</v>
      </c>
      <c r="AK11" s="54" t="s">
        <v>212</v>
      </c>
    </row>
    <row r="12" customFormat="false" ht="15" hidden="false" customHeight="false" outlineLevel="0" collapsed="false">
      <c r="A12" s="54" t="s">
        <v>29</v>
      </c>
      <c r="B12" s="55" t="n">
        <v>355</v>
      </c>
      <c r="C12" s="54" t="s">
        <v>127</v>
      </c>
      <c r="D12" s="54" t="s">
        <v>212</v>
      </c>
      <c r="E12" s="54"/>
      <c r="F12" s="56" t="n">
        <v>46301.354166007</v>
      </c>
      <c r="G12" s="54" t="s">
        <v>212</v>
      </c>
      <c r="H12" s="54" t="s">
        <v>212</v>
      </c>
      <c r="I12" s="57"/>
      <c r="J12" s="56"/>
      <c r="K12" s="56"/>
      <c r="L12" s="58" t="str">
        <f aca="false">IF(AND(ISNUMBER(J12),ISNUMBER(K12)),IF(K12&gt;=J12,(K12-J12)*1440,""),"")</f>
        <v/>
      </c>
      <c r="M12" s="56"/>
      <c r="N12" s="58" t="str">
        <f aca="false">IF(AND(ISNUMBER(J12),ISNUMBER(M12)),IF(M12&gt;=J12,(M12-J12)*1440,""),"")</f>
        <v/>
      </c>
      <c r="O12" s="54" t="str">
        <f aca="false">IF(N12="","",LOOKUP(N12,Tiempos!$A$6:$A$10,Tiempos!$B$6:$B$10))</f>
        <v/>
      </c>
      <c r="P12" s="54"/>
      <c r="Q12" s="54"/>
      <c r="R12" s="54"/>
      <c r="S12" s="54"/>
      <c r="T12" s="58"/>
      <c r="U12" s="54"/>
      <c r="V12" s="58"/>
      <c r="W12" s="57"/>
      <c r="X12" s="55"/>
      <c r="Y12" s="54"/>
      <c r="Z12" s="56"/>
      <c r="AA12" s="58" t="str">
        <f aca="false">IF(AND(ISNUMBER(M12),ISNUMBER(Z12)),IF(Z12&gt;=M12,(Z12-M12)*1440,""),"")</f>
        <v/>
      </c>
      <c r="AB12" s="57"/>
      <c r="AC12" s="56"/>
      <c r="AD12" s="58" t="str">
        <f aca="false">IF(AND(ISNUMBER(Z12),ISNUMBER(AC12)),IF(AC12&gt;=Z12,(AC12-Z12)*1440,""),"")</f>
        <v/>
      </c>
      <c r="AE12" s="54"/>
      <c r="AF12" s="54"/>
      <c r="AG12" s="54"/>
      <c r="AH12" s="58"/>
      <c r="AI12" s="55" t="n">
        <v>2</v>
      </c>
      <c r="AJ12" s="54" t="s">
        <v>216</v>
      </c>
      <c r="AK12" s="54" t="s">
        <v>212</v>
      </c>
    </row>
    <row r="13" customFormat="false" ht="15" hidden="false" customHeight="false" outlineLevel="0" collapsed="false">
      <c r="A13" s="54" t="s">
        <v>29</v>
      </c>
      <c r="B13" s="55" t="n">
        <v>371</v>
      </c>
      <c r="C13" s="54" t="s">
        <v>127</v>
      </c>
      <c r="D13" s="54" t="s">
        <v>212</v>
      </c>
      <c r="E13" s="54"/>
      <c r="F13" s="56" t="n">
        <v>46301.466267257</v>
      </c>
      <c r="G13" s="54" t="s">
        <v>212</v>
      </c>
      <c r="H13" s="54" t="s">
        <v>214</v>
      </c>
      <c r="I13" s="57"/>
      <c r="J13" s="56"/>
      <c r="K13" s="56"/>
      <c r="L13" s="58" t="str">
        <f aca="false">IF(AND(ISNUMBER(J13),ISNUMBER(K13)),IF(K13&gt;=J13,(K13-J13)*1440,""),"")</f>
        <v/>
      </c>
      <c r="M13" s="56"/>
      <c r="N13" s="58" t="str">
        <f aca="false">IF(AND(ISNUMBER(J13),ISNUMBER(M13)),IF(M13&gt;=J13,(M13-J13)*1440,""),"")</f>
        <v/>
      </c>
      <c r="O13" s="54" t="str">
        <f aca="false">IF(N13="","",LOOKUP(N13,Tiempos!$A$6:$A$10,Tiempos!$B$6:$B$10))</f>
        <v/>
      </c>
      <c r="P13" s="54"/>
      <c r="Q13" s="54"/>
      <c r="R13" s="54"/>
      <c r="S13" s="54"/>
      <c r="T13" s="58"/>
      <c r="U13" s="54"/>
      <c r="V13" s="58"/>
      <c r="W13" s="57"/>
      <c r="X13" s="55"/>
      <c r="Y13" s="54"/>
      <c r="Z13" s="56"/>
      <c r="AA13" s="58" t="str">
        <f aca="false">IF(AND(ISNUMBER(M13),ISNUMBER(Z13)),IF(Z13&gt;=M13,(Z13-M13)*1440,""),"")</f>
        <v/>
      </c>
      <c r="AB13" s="57"/>
      <c r="AC13" s="56"/>
      <c r="AD13" s="58" t="str">
        <f aca="false">IF(AND(ISNUMBER(Z13),ISNUMBER(AC13)),IF(AC13&gt;=Z13,(AC13-Z13)*1440,""),"")</f>
        <v/>
      </c>
      <c r="AE13" s="54"/>
      <c r="AF13" s="54"/>
      <c r="AG13" s="54"/>
      <c r="AH13" s="58"/>
      <c r="AI13" s="55" t="n">
        <v>2</v>
      </c>
      <c r="AJ13" s="54" t="s">
        <v>216</v>
      </c>
      <c r="AK13" s="54" t="s">
        <v>212</v>
      </c>
    </row>
    <row r="14" customFormat="false" ht="15" hidden="false" customHeight="false" outlineLevel="0" collapsed="false">
      <c r="A14" s="54" t="s">
        <v>29</v>
      </c>
      <c r="B14" s="55" t="n">
        <v>373</v>
      </c>
      <c r="C14" s="54" t="s">
        <v>127</v>
      </c>
      <c r="D14" s="54" t="s">
        <v>212</v>
      </c>
      <c r="E14" s="54"/>
      <c r="F14" s="56" t="n">
        <v>46301.5031936458</v>
      </c>
      <c r="G14" s="54" t="s">
        <v>212</v>
      </c>
      <c r="H14" s="54" t="s">
        <v>212</v>
      </c>
      <c r="I14" s="57"/>
      <c r="J14" s="56"/>
      <c r="K14" s="56"/>
      <c r="L14" s="58" t="str">
        <f aca="false">IF(AND(ISNUMBER(J14),ISNUMBER(K14)),IF(K14&gt;=J14,(K14-J14)*1440,""),"")</f>
        <v/>
      </c>
      <c r="M14" s="56"/>
      <c r="N14" s="58" t="str">
        <f aca="false">IF(AND(ISNUMBER(J14),ISNUMBER(M14)),IF(M14&gt;=J14,(M14-J14)*1440,""),"")</f>
        <v/>
      </c>
      <c r="O14" s="54" t="str">
        <f aca="false">IF(N14="","",LOOKUP(N14,Tiempos!$A$6:$A$10,Tiempos!$B$6:$B$10))</f>
        <v/>
      </c>
      <c r="P14" s="54"/>
      <c r="Q14" s="54"/>
      <c r="R14" s="54"/>
      <c r="S14" s="54"/>
      <c r="T14" s="58"/>
      <c r="U14" s="54"/>
      <c r="V14" s="58"/>
      <c r="W14" s="57"/>
      <c r="X14" s="55"/>
      <c r="Y14" s="54"/>
      <c r="Z14" s="56"/>
      <c r="AA14" s="58" t="str">
        <f aca="false">IF(AND(ISNUMBER(M14),ISNUMBER(Z14)),IF(Z14&gt;=M14,(Z14-M14)*1440,""),"")</f>
        <v/>
      </c>
      <c r="AB14" s="57"/>
      <c r="AC14" s="56"/>
      <c r="AD14" s="58" t="str">
        <f aca="false">IF(AND(ISNUMBER(Z14),ISNUMBER(AC14)),IF(AC14&gt;=Z14,(AC14-Z14)*1440,""),"")</f>
        <v/>
      </c>
      <c r="AE14" s="54"/>
      <c r="AF14" s="54"/>
      <c r="AG14" s="54"/>
      <c r="AH14" s="58"/>
      <c r="AI14" s="55" t="n">
        <v>1</v>
      </c>
      <c r="AJ14" s="54" t="s">
        <v>216</v>
      </c>
      <c r="AK14" s="54" t="s">
        <v>212</v>
      </c>
    </row>
    <row r="15" customFormat="false" ht="15" hidden="false" customHeight="false" outlineLevel="0" collapsed="false">
      <c r="A15" s="54" t="s">
        <v>29</v>
      </c>
      <c r="B15" s="55" t="n">
        <v>445</v>
      </c>
      <c r="C15" s="54" t="s">
        <v>129</v>
      </c>
      <c r="D15" s="54" t="s">
        <v>212</v>
      </c>
      <c r="E15" s="54"/>
      <c r="F15" s="56" t="n">
        <v>46301.730124375</v>
      </c>
      <c r="G15" s="54" t="s">
        <v>212</v>
      </c>
      <c r="H15" s="54" t="s">
        <v>212</v>
      </c>
      <c r="I15" s="57"/>
      <c r="J15" s="56"/>
      <c r="K15" s="56"/>
      <c r="L15" s="58" t="str">
        <f aca="false">IF(AND(ISNUMBER(J15),ISNUMBER(K15)),IF(K15&gt;=J15,(K15-J15)*1440,""),"")</f>
        <v/>
      </c>
      <c r="M15" s="56"/>
      <c r="N15" s="58" t="str">
        <f aca="false">IF(AND(ISNUMBER(J15),ISNUMBER(M15)),IF(M15&gt;=J15,(M15-J15)*1440,""),"")</f>
        <v/>
      </c>
      <c r="O15" s="54" t="str">
        <f aca="false">IF(N15="","",LOOKUP(N15,Tiempos!$A$6:$A$10,Tiempos!$B$6:$B$10))</f>
        <v/>
      </c>
      <c r="P15" s="54"/>
      <c r="Q15" s="54"/>
      <c r="R15" s="54"/>
      <c r="S15" s="54"/>
      <c r="T15" s="58"/>
      <c r="U15" s="54"/>
      <c r="V15" s="58"/>
      <c r="W15" s="57"/>
      <c r="X15" s="55"/>
      <c r="Y15" s="54"/>
      <c r="Z15" s="56"/>
      <c r="AA15" s="58" t="str">
        <f aca="false">IF(AND(ISNUMBER(M15),ISNUMBER(Z15)),IF(Z15&gt;=M15,(Z15-M15)*1440,""),"")</f>
        <v/>
      </c>
      <c r="AB15" s="57"/>
      <c r="AC15" s="56"/>
      <c r="AD15" s="58" t="str">
        <f aca="false">IF(AND(ISNUMBER(Z15),ISNUMBER(AC15)),IF(AC15&gt;=Z15,(AC15-Z15)*1440,""),"")</f>
        <v/>
      </c>
      <c r="AE15" s="54"/>
      <c r="AF15" s="54"/>
      <c r="AG15" s="54"/>
      <c r="AH15" s="58"/>
      <c r="AI15" s="55" t="n">
        <v>2</v>
      </c>
      <c r="AJ15" s="54" t="s">
        <v>216</v>
      </c>
      <c r="AK15" s="54" t="s">
        <v>212</v>
      </c>
    </row>
    <row r="16" customFormat="false" ht="15" hidden="false" customHeight="false" outlineLevel="0" collapsed="false">
      <c r="A16" s="54" t="s">
        <v>29</v>
      </c>
      <c r="B16" s="55" t="n">
        <v>446</v>
      </c>
      <c r="C16" s="54" t="s">
        <v>128</v>
      </c>
      <c r="D16" s="54" t="s">
        <v>214</v>
      </c>
      <c r="E16" s="54" t="s">
        <v>233</v>
      </c>
      <c r="F16" s="56" t="n">
        <v>46301.7318872454</v>
      </c>
      <c r="G16" s="54" t="s">
        <v>212</v>
      </c>
      <c r="H16" s="54" t="s">
        <v>214</v>
      </c>
      <c r="I16" s="57" t="s">
        <v>233</v>
      </c>
      <c r="J16" s="56" t="n">
        <v>46301.7619853588</v>
      </c>
      <c r="K16" s="56" t="n">
        <v>46301.7658184028</v>
      </c>
      <c r="L16" s="58" t="n">
        <f aca="false">IF(AND(ISNUMBER(J16),ISNUMBER(K16)),IF(K16&gt;=J16,(K16-J16)*1440,""),"")</f>
        <v>5.51958333933333</v>
      </c>
      <c r="M16" s="56" t="n">
        <v>46301.7658184028</v>
      </c>
      <c r="N16" s="58" t="n">
        <f aca="false">IF(AND(ISNUMBER(J16),ISNUMBER(M16)),IF(M16&gt;=J16,(M16-J16)*1440,""),"")</f>
        <v>5.51958333933333</v>
      </c>
      <c r="O16" s="54" t="str">
        <f aca="false">IF(N16="","",LOOKUP(N16,Tiempos!$A$6:$A$10,Tiempos!$B$6:$B$10))</f>
        <v>4 a 6 min</v>
      </c>
      <c r="P16" s="54" t="s">
        <v>234</v>
      </c>
      <c r="Q16" s="54" t="s">
        <v>214</v>
      </c>
      <c r="R16" s="54" t="s">
        <v>128</v>
      </c>
      <c r="S16" s="54" t="s">
        <v>220</v>
      </c>
      <c r="T16" s="58" t="n">
        <v>84.2</v>
      </c>
      <c r="U16" s="54" t="s">
        <v>214</v>
      </c>
      <c r="V16" s="58"/>
      <c r="W16" s="57" t="s">
        <v>235</v>
      </c>
      <c r="X16" s="55" t="n">
        <v>2</v>
      </c>
      <c r="Y16" s="54" t="s">
        <v>214</v>
      </c>
      <c r="Z16" s="56" t="n">
        <v>46302.3811058333</v>
      </c>
      <c r="AA16" s="58" t="n">
        <f aca="false">IF(AND(ISNUMBER(M16),ISNUMBER(Z16)),IF(Z16&gt;=M16,(Z16-M16)*1440,""),"")</f>
        <v>886.013899989183</v>
      </c>
      <c r="AB16" s="57" t="s">
        <v>236</v>
      </c>
      <c r="AC16" s="56" t="n">
        <v>46302.3862883796</v>
      </c>
      <c r="AD16" s="58" t="n">
        <f aca="false">IF(AND(ISNUMBER(Z16),ISNUMBER(AC16)),IF(AC16&gt;=Z16,(AC16-Z16)*1440,""),"")</f>
        <v>7.46286667416667</v>
      </c>
      <c r="AE16" s="54" t="s">
        <v>237</v>
      </c>
      <c r="AF16" s="54" t="s">
        <v>214</v>
      </c>
      <c r="AG16" s="54" t="s">
        <v>214</v>
      </c>
      <c r="AH16" s="58" t="n">
        <v>2.1</v>
      </c>
      <c r="AI16" s="55" t="n">
        <v>2</v>
      </c>
      <c r="AJ16" s="54" t="s">
        <v>216</v>
      </c>
      <c r="AK16" s="54" t="s">
        <v>212</v>
      </c>
    </row>
    <row r="17" customFormat="false" ht="15" hidden="false" customHeight="false" outlineLevel="0" collapsed="false">
      <c r="A17" s="54" t="s">
        <v>29</v>
      </c>
      <c r="B17" s="55" t="n">
        <v>449</v>
      </c>
      <c r="C17" s="54" t="s">
        <v>128</v>
      </c>
      <c r="D17" s="54" t="s">
        <v>214</v>
      </c>
      <c r="E17" s="54" t="s">
        <v>233</v>
      </c>
      <c r="F17" s="56" t="n">
        <v>46301.734615706</v>
      </c>
      <c r="G17" s="54" t="s">
        <v>212</v>
      </c>
      <c r="H17" s="54" t="s">
        <v>214</v>
      </c>
      <c r="I17" s="57" t="s">
        <v>233</v>
      </c>
      <c r="J17" s="56" t="n">
        <v>46301.7349949074</v>
      </c>
      <c r="K17" s="56" t="n">
        <v>46301.7389142245</v>
      </c>
      <c r="L17" s="58" t="n">
        <f aca="false">IF(AND(ISNUMBER(J17),ISNUMBER(K17)),IF(K17&gt;=J17,(K17-J17)*1440,""),"")</f>
        <v>5.64381666015</v>
      </c>
      <c r="M17" s="56" t="n">
        <v>46301.7423381482</v>
      </c>
      <c r="N17" s="58" t="n">
        <f aca="false">IF(AND(ISNUMBER(J17),ISNUMBER(M17)),IF(M17&gt;=J17,(M17-J17)*1440,""),"")</f>
        <v>10.5742666614167</v>
      </c>
      <c r="O17" s="54" t="str">
        <f aca="false">IF(N17="","",LOOKUP(N17,Tiempos!$A$6:$A$10,Tiempos!$B$6:$B$10))</f>
        <v>10 a 30 min</v>
      </c>
      <c r="P17" s="54" t="s">
        <v>229</v>
      </c>
      <c r="Q17" s="54" t="s">
        <v>214</v>
      </c>
      <c r="R17" s="54" t="s">
        <v>128</v>
      </c>
      <c r="S17" s="54" t="s">
        <v>220</v>
      </c>
      <c r="T17" s="58" t="n">
        <v>86.5</v>
      </c>
      <c r="U17" s="54" t="s">
        <v>214</v>
      </c>
      <c r="V17" s="58" t="n">
        <v>4.93</v>
      </c>
      <c r="W17" s="57" t="s">
        <v>235</v>
      </c>
      <c r="X17" s="55" t="n">
        <v>2</v>
      </c>
      <c r="Y17" s="54" t="s">
        <v>212</v>
      </c>
      <c r="Z17" s="56"/>
      <c r="AA17" s="58" t="str">
        <f aca="false">IF(AND(ISNUMBER(M17),ISNUMBER(Z17)),IF(Z17&gt;=M17,(Z17-M17)*1440,""),"")</f>
        <v/>
      </c>
      <c r="AB17" s="57"/>
      <c r="AC17" s="56"/>
      <c r="AD17" s="58" t="str">
        <f aca="false">IF(AND(ISNUMBER(Z17),ISNUMBER(AC17)),IF(AC17&gt;=Z17,(AC17-Z17)*1440,""),"")</f>
        <v/>
      </c>
      <c r="AE17" s="54"/>
      <c r="AF17" s="54" t="s">
        <v>214</v>
      </c>
      <c r="AG17" s="54"/>
      <c r="AH17" s="58"/>
      <c r="AI17" s="55" t="n">
        <v>2</v>
      </c>
      <c r="AJ17" s="54" t="s">
        <v>216</v>
      </c>
      <c r="AK17" s="54" t="s">
        <v>212</v>
      </c>
    </row>
    <row r="18" customFormat="false" ht="15" hidden="false" customHeight="false" outlineLevel="0" collapsed="false">
      <c r="A18" s="54" t="s">
        <v>29</v>
      </c>
      <c r="B18" s="55" t="n">
        <v>470</v>
      </c>
      <c r="C18" s="54" t="s">
        <v>129</v>
      </c>
      <c r="D18" s="54" t="s">
        <v>214</v>
      </c>
      <c r="E18" s="54" t="s">
        <v>224</v>
      </c>
      <c r="F18" s="56" t="n">
        <v>46301.8477626042</v>
      </c>
      <c r="G18" s="54" t="s">
        <v>212</v>
      </c>
      <c r="H18" s="54" t="s">
        <v>214</v>
      </c>
      <c r="I18" s="57" t="s">
        <v>238</v>
      </c>
      <c r="J18" s="56" t="n">
        <v>46301.8482131713</v>
      </c>
      <c r="K18" s="56" t="n">
        <v>46301.8498039352</v>
      </c>
      <c r="L18" s="58" t="n">
        <f aca="false">IF(AND(ISNUMBER(J18),ISNUMBER(K18)),IF(K18&gt;=J18,(K18-J18)*1440,""),"")</f>
        <v>2.29069998836667</v>
      </c>
      <c r="M18" s="56" t="n">
        <v>46301.8498039352</v>
      </c>
      <c r="N18" s="58" t="n">
        <f aca="false">IF(AND(ISNUMBER(J18),ISNUMBER(M18)),IF(M18&gt;=J18,(M18-J18)*1440,""),"")</f>
        <v>2.29069998836667</v>
      </c>
      <c r="O18" s="54" t="str">
        <f aca="false">IF(N18="","",LOOKUP(N18,Tiempos!$A$6:$A$10,Tiempos!$B$6:$B$10))</f>
        <v>Menos de 4 min</v>
      </c>
      <c r="P18" s="54" t="s">
        <v>239</v>
      </c>
      <c r="Q18" s="54" t="s">
        <v>214</v>
      </c>
      <c r="R18" s="54" t="s">
        <v>129</v>
      </c>
      <c r="S18" s="54" t="s">
        <v>220</v>
      </c>
      <c r="T18" s="58" t="n">
        <v>114.7</v>
      </c>
      <c r="U18" s="54" t="s">
        <v>214</v>
      </c>
      <c r="V18" s="58"/>
      <c r="W18" s="57" t="s">
        <v>240</v>
      </c>
      <c r="X18" s="55" t="n">
        <v>4</v>
      </c>
      <c r="Y18" s="54" t="s">
        <v>214</v>
      </c>
      <c r="Z18" s="56" t="n">
        <v>46301.8558672106</v>
      </c>
      <c r="AA18" s="58" t="n">
        <f aca="false">IF(AND(ISNUMBER(M18),ISNUMBER(Z18)),IF(Z18&gt;=M18,(Z18-M18)*1440,""),"")</f>
        <v>8.73111665365</v>
      </c>
      <c r="AB18" s="57" t="s">
        <v>241</v>
      </c>
      <c r="AC18" s="56" t="n">
        <v>46301.8565548032</v>
      </c>
      <c r="AD18" s="58" t="n">
        <f aca="false">IF(AND(ISNUMBER(Z18),ISNUMBER(AC18)),IF(AC18&gt;=Z18,(AC18-Z18)*1440,""),"")</f>
        <v>0.9901333507</v>
      </c>
      <c r="AE18" s="54" t="s">
        <v>232</v>
      </c>
      <c r="AF18" s="54" t="s">
        <v>214</v>
      </c>
      <c r="AG18" s="54" t="s">
        <v>214</v>
      </c>
      <c r="AH18" s="58" t="n">
        <v>4.1</v>
      </c>
      <c r="AI18" s="55" t="n">
        <v>2</v>
      </c>
      <c r="AJ18" s="54" t="s">
        <v>216</v>
      </c>
      <c r="AK18" s="54" t="s">
        <v>212</v>
      </c>
    </row>
    <row r="19" customFormat="false" ht="15" hidden="false" customHeight="false" outlineLevel="0" collapsed="false">
      <c r="A19" s="54" t="s">
        <v>29</v>
      </c>
      <c r="B19" s="55" t="n">
        <v>481</v>
      </c>
      <c r="C19" s="54" t="s">
        <v>127</v>
      </c>
      <c r="D19" s="54" t="s">
        <v>212</v>
      </c>
      <c r="E19" s="54"/>
      <c r="F19" s="56" t="n">
        <v>46301.9032958681</v>
      </c>
      <c r="G19" s="54" t="s">
        <v>212</v>
      </c>
      <c r="H19" s="54" t="s">
        <v>214</v>
      </c>
      <c r="I19" s="57"/>
      <c r="J19" s="56"/>
      <c r="K19" s="56"/>
      <c r="L19" s="58" t="str">
        <f aca="false">IF(AND(ISNUMBER(J19),ISNUMBER(K19)),IF(K19&gt;=J19,(K19-J19)*1440,""),"")</f>
        <v/>
      </c>
      <c r="M19" s="56"/>
      <c r="N19" s="58" t="str">
        <f aca="false">IF(AND(ISNUMBER(J19),ISNUMBER(M19)),IF(M19&gt;=J19,(M19-J19)*1440,""),"")</f>
        <v/>
      </c>
      <c r="O19" s="54" t="str">
        <f aca="false">IF(N19="","",LOOKUP(N19,Tiempos!$A$6:$A$10,Tiempos!$B$6:$B$10))</f>
        <v/>
      </c>
      <c r="P19" s="54"/>
      <c r="Q19" s="54"/>
      <c r="R19" s="54"/>
      <c r="S19" s="54"/>
      <c r="T19" s="58"/>
      <c r="U19" s="54"/>
      <c r="V19" s="58"/>
      <c r="W19" s="57"/>
      <c r="X19" s="55"/>
      <c r="Y19" s="54"/>
      <c r="Z19" s="56"/>
      <c r="AA19" s="58" t="str">
        <f aca="false">IF(AND(ISNUMBER(M19),ISNUMBER(Z19)),IF(Z19&gt;=M19,(Z19-M19)*1440,""),"")</f>
        <v/>
      </c>
      <c r="AB19" s="57"/>
      <c r="AC19" s="56"/>
      <c r="AD19" s="58" t="str">
        <f aca="false">IF(AND(ISNUMBER(Z19),ISNUMBER(AC19)),IF(AC19&gt;=Z19,(AC19-Z19)*1440,""),"")</f>
        <v/>
      </c>
      <c r="AE19" s="54"/>
      <c r="AF19" s="54"/>
      <c r="AG19" s="54"/>
      <c r="AH19" s="58"/>
      <c r="AI19" s="55" t="n">
        <v>1</v>
      </c>
      <c r="AJ19" s="54" t="s">
        <v>216</v>
      </c>
      <c r="AK19" s="54" t="s">
        <v>212</v>
      </c>
    </row>
    <row r="20" customFormat="false" ht="15" hidden="false" customHeight="false" outlineLevel="0" collapsed="false">
      <c r="A20" s="54" t="s">
        <v>29</v>
      </c>
      <c r="B20" s="55" t="n">
        <v>488</v>
      </c>
      <c r="C20" s="54" t="s">
        <v>129</v>
      </c>
      <c r="D20" s="54" t="s">
        <v>214</v>
      </c>
      <c r="E20" s="54" t="s">
        <v>242</v>
      </c>
      <c r="F20" s="56" t="n">
        <v>46301.91460125</v>
      </c>
      <c r="G20" s="54" t="s">
        <v>212</v>
      </c>
      <c r="H20" s="54" t="s">
        <v>214</v>
      </c>
      <c r="I20" s="57" t="s">
        <v>243</v>
      </c>
      <c r="J20" s="56" t="n">
        <v>46301.914824294</v>
      </c>
      <c r="K20" s="56" t="n">
        <v>46301.9159234838</v>
      </c>
      <c r="L20" s="58" t="n">
        <f aca="false">IF(AND(ISNUMBER(J20),ISNUMBER(K20)),IF(K20&gt;=J20,(K20-J20)*1440,""),"")</f>
        <v>1.58283333526667</v>
      </c>
      <c r="M20" s="56" t="n">
        <v>46301.9203121181</v>
      </c>
      <c r="N20" s="58" t="n">
        <f aca="false">IF(AND(ISNUMBER(J20),ISNUMBER(M20)),IF(M20&gt;=J20,(M20-J20)*1440,""),"")</f>
        <v>7.90246666058333</v>
      </c>
      <c r="O20" s="54" t="str">
        <f aca="false">IF(N20="","",LOOKUP(N20,Tiempos!$A$6:$A$10,Tiempos!$B$6:$B$10))</f>
        <v>6 a 10 min</v>
      </c>
      <c r="P20" s="54" t="s">
        <v>244</v>
      </c>
      <c r="Q20" s="54" t="s">
        <v>214</v>
      </c>
      <c r="R20" s="54" t="s">
        <v>129</v>
      </c>
      <c r="S20" s="54" t="s">
        <v>220</v>
      </c>
      <c r="T20" s="58" t="n">
        <v>94.1</v>
      </c>
      <c r="U20" s="54" t="s">
        <v>214</v>
      </c>
      <c r="V20" s="58" t="n">
        <v>6.32</v>
      </c>
      <c r="W20" s="57" t="s">
        <v>245</v>
      </c>
      <c r="X20" s="55" t="n">
        <v>3</v>
      </c>
      <c r="Y20" s="54" t="s">
        <v>214</v>
      </c>
      <c r="Z20" s="56" t="n">
        <v>46302.4171858218</v>
      </c>
      <c r="AA20" s="58" t="n">
        <f aca="false">IF(AND(ISNUMBER(M20),ISNUMBER(Z20)),IF(Z20&gt;=M20,(Z20-M20)*1440,""),"")</f>
        <v>715.498133345967</v>
      </c>
      <c r="AB20" s="57" t="s">
        <v>246</v>
      </c>
      <c r="AC20" s="56" t="n">
        <v>46302.4193789352</v>
      </c>
      <c r="AD20" s="58" t="n">
        <f aca="false">IF(AND(ISNUMBER(Z20),ISNUMBER(AC20)),IF(AC20&gt;=Z20,(AC20-Z20)*1440,""),"")</f>
        <v>3.15808332175</v>
      </c>
      <c r="AE20" s="54" t="s">
        <v>247</v>
      </c>
      <c r="AF20" s="54" t="s">
        <v>214</v>
      </c>
      <c r="AG20" s="54" t="s">
        <v>212</v>
      </c>
      <c r="AH20" s="58"/>
      <c r="AI20" s="55" t="n">
        <v>2</v>
      </c>
      <c r="AJ20" s="54" t="s">
        <v>216</v>
      </c>
      <c r="AK20" s="54" t="s">
        <v>212</v>
      </c>
    </row>
    <row r="21" customFormat="false" ht="15" hidden="false" customHeight="false" outlineLevel="0" collapsed="false">
      <c r="A21" s="54" t="s">
        <v>29</v>
      </c>
      <c r="B21" s="55" t="n">
        <v>493</v>
      </c>
      <c r="C21" s="54" t="s">
        <v>127</v>
      </c>
      <c r="D21" s="54" t="s">
        <v>212</v>
      </c>
      <c r="E21" s="54"/>
      <c r="F21" s="56" t="n">
        <v>46301.938764294</v>
      </c>
      <c r="G21" s="54" t="s">
        <v>214</v>
      </c>
      <c r="H21" s="54" t="s">
        <v>212</v>
      </c>
      <c r="I21" s="57"/>
      <c r="J21" s="56"/>
      <c r="K21" s="56"/>
      <c r="L21" s="58" t="str">
        <f aca="false">IF(AND(ISNUMBER(J21),ISNUMBER(K21)),IF(K21&gt;=J21,(K21-J21)*1440,""),"")</f>
        <v/>
      </c>
      <c r="M21" s="56"/>
      <c r="N21" s="58" t="str">
        <f aca="false">IF(AND(ISNUMBER(J21),ISNUMBER(M21)),IF(M21&gt;=J21,(M21-J21)*1440,""),"")</f>
        <v/>
      </c>
      <c r="O21" s="54" t="str">
        <f aca="false">IF(N21="","",LOOKUP(N21,Tiempos!$A$6:$A$10,Tiempos!$B$6:$B$10))</f>
        <v/>
      </c>
      <c r="P21" s="54"/>
      <c r="Q21" s="54"/>
      <c r="R21" s="54"/>
      <c r="S21" s="54"/>
      <c r="T21" s="58"/>
      <c r="U21" s="54"/>
      <c r="V21" s="58"/>
      <c r="W21" s="57"/>
      <c r="X21" s="55"/>
      <c r="Y21" s="54"/>
      <c r="Z21" s="56"/>
      <c r="AA21" s="58" t="str">
        <f aca="false">IF(AND(ISNUMBER(M21),ISNUMBER(Z21)),IF(Z21&gt;=M21,(Z21-M21)*1440,""),"")</f>
        <v/>
      </c>
      <c r="AB21" s="57"/>
      <c r="AC21" s="56"/>
      <c r="AD21" s="58" t="str">
        <f aca="false">IF(AND(ISNUMBER(Z21),ISNUMBER(AC21)),IF(AC21&gt;=Z21,(AC21-Z21)*1440,""),"")</f>
        <v/>
      </c>
      <c r="AE21" s="54"/>
      <c r="AF21" s="54"/>
      <c r="AG21" s="54"/>
      <c r="AH21" s="58"/>
      <c r="AI21" s="55" t="n">
        <v>2</v>
      </c>
      <c r="AJ21" s="54" t="s">
        <v>216</v>
      </c>
      <c r="AK21" s="54" t="s">
        <v>212</v>
      </c>
    </row>
    <row r="22" customFormat="false" ht="15" hidden="false" customHeight="false" outlineLevel="0" collapsed="false">
      <c r="A22" s="54" t="s">
        <v>29</v>
      </c>
      <c r="B22" s="55" t="n">
        <v>517</v>
      </c>
      <c r="C22" s="54" t="s">
        <v>127</v>
      </c>
      <c r="D22" s="54" t="s">
        <v>212</v>
      </c>
      <c r="E22" s="54"/>
      <c r="F22" s="56" t="n">
        <v>46302.2243965625</v>
      </c>
      <c r="G22" s="54" t="s">
        <v>214</v>
      </c>
      <c r="H22" s="54" t="s">
        <v>214</v>
      </c>
      <c r="I22" s="57"/>
      <c r="J22" s="56"/>
      <c r="K22" s="56"/>
      <c r="L22" s="58" t="str">
        <f aca="false">IF(AND(ISNUMBER(J22),ISNUMBER(K22)),IF(K22&gt;=J22,(K22-J22)*1440,""),"")</f>
        <v/>
      </c>
      <c r="M22" s="56"/>
      <c r="N22" s="58" t="str">
        <f aca="false">IF(AND(ISNUMBER(J22),ISNUMBER(M22)),IF(M22&gt;=J22,(M22-J22)*1440,""),"")</f>
        <v/>
      </c>
      <c r="O22" s="54" t="str">
        <f aca="false">IF(N22="","",LOOKUP(N22,Tiempos!$A$6:$A$10,Tiempos!$B$6:$B$10))</f>
        <v/>
      </c>
      <c r="P22" s="54"/>
      <c r="Q22" s="54"/>
      <c r="R22" s="54"/>
      <c r="S22" s="54"/>
      <c r="T22" s="58"/>
      <c r="U22" s="54"/>
      <c r="V22" s="58"/>
      <c r="W22" s="57"/>
      <c r="X22" s="55"/>
      <c r="Y22" s="54"/>
      <c r="Z22" s="56"/>
      <c r="AA22" s="58" t="str">
        <f aca="false">IF(AND(ISNUMBER(M22),ISNUMBER(Z22)),IF(Z22&gt;=M22,(Z22-M22)*1440,""),"")</f>
        <v/>
      </c>
      <c r="AB22" s="57"/>
      <c r="AC22" s="56"/>
      <c r="AD22" s="58" t="str">
        <f aca="false">IF(AND(ISNUMBER(Z22),ISNUMBER(AC22)),IF(AC22&gt;=Z22,(AC22-Z22)*1440,""),"")</f>
        <v/>
      </c>
      <c r="AE22" s="54"/>
      <c r="AF22" s="54"/>
      <c r="AG22" s="54"/>
      <c r="AH22" s="58"/>
      <c r="AI22" s="55" t="n">
        <v>1</v>
      </c>
      <c r="AJ22" s="54" t="s">
        <v>216</v>
      </c>
      <c r="AK22" s="54" t="s">
        <v>212</v>
      </c>
    </row>
    <row r="23" customFormat="false" ht="15" hidden="false" customHeight="false" outlineLevel="0" collapsed="false">
      <c r="A23" s="54" t="s">
        <v>29</v>
      </c>
      <c r="B23" s="55" t="n">
        <v>497</v>
      </c>
      <c r="C23" s="54" t="s">
        <v>127</v>
      </c>
      <c r="D23" s="54" t="s">
        <v>212</v>
      </c>
      <c r="E23" s="54"/>
      <c r="F23" s="56" t="n">
        <v>46302.2951099421</v>
      </c>
      <c r="G23" s="54" t="s">
        <v>214</v>
      </c>
      <c r="H23" s="54" t="s">
        <v>214</v>
      </c>
      <c r="I23" s="57"/>
      <c r="J23" s="56"/>
      <c r="K23" s="56"/>
      <c r="L23" s="58" t="str">
        <f aca="false">IF(AND(ISNUMBER(J23),ISNUMBER(K23)),IF(K23&gt;=J23,(K23-J23)*1440,""),"")</f>
        <v/>
      </c>
      <c r="M23" s="56"/>
      <c r="N23" s="58" t="str">
        <f aca="false">IF(AND(ISNUMBER(J23),ISNUMBER(M23)),IF(M23&gt;=J23,(M23-J23)*1440,""),"")</f>
        <v/>
      </c>
      <c r="O23" s="54" t="str">
        <f aca="false">IF(N23="","",LOOKUP(N23,Tiempos!$A$6:$A$10,Tiempos!$B$6:$B$10))</f>
        <v/>
      </c>
      <c r="P23" s="54"/>
      <c r="Q23" s="54"/>
      <c r="R23" s="54"/>
      <c r="S23" s="54"/>
      <c r="T23" s="58"/>
      <c r="U23" s="54"/>
      <c r="V23" s="58"/>
      <c r="W23" s="57"/>
      <c r="X23" s="55"/>
      <c r="Y23" s="54"/>
      <c r="Z23" s="56"/>
      <c r="AA23" s="58" t="str">
        <f aca="false">IF(AND(ISNUMBER(M23),ISNUMBER(Z23)),IF(Z23&gt;=M23,(Z23-M23)*1440,""),"")</f>
        <v/>
      </c>
      <c r="AB23" s="57"/>
      <c r="AC23" s="56"/>
      <c r="AD23" s="58" t="str">
        <f aca="false">IF(AND(ISNUMBER(Z23),ISNUMBER(AC23)),IF(AC23&gt;=Z23,(AC23-Z23)*1440,""),"")</f>
        <v/>
      </c>
      <c r="AE23" s="54"/>
      <c r="AF23" s="54"/>
      <c r="AG23" s="54"/>
      <c r="AH23" s="58"/>
      <c r="AI23" s="55" t="n">
        <v>2</v>
      </c>
      <c r="AJ23" s="54" t="s">
        <v>216</v>
      </c>
      <c r="AK23" s="54" t="s">
        <v>212</v>
      </c>
    </row>
    <row r="24" customFormat="false" ht="15" hidden="false" customHeight="false" outlineLevel="0" collapsed="false">
      <c r="A24" s="54" t="s">
        <v>29</v>
      </c>
      <c r="B24" s="55" t="n">
        <v>508</v>
      </c>
      <c r="C24" s="54" t="s">
        <v>127</v>
      </c>
      <c r="D24" s="54" t="s">
        <v>212</v>
      </c>
      <c r="E24" s="54"/>
      <c r="F24" s="56" t="n">
        <v>46302.2960577662</v>
      </c>
      <c r="G24" s="54" t="s">
        <v>214</v>
      </c>
      <c r="H24" s="54" t="s">
        <v>212</v>
      </c>
      <c r="I24" s="57"/>
      <c r="J24" s="56"/>
      <c r="K24" s="56"/>
      <c r="L24" s="58" t="str">
        <f aca="false">IF(AND(ISNUMBER(J24),ISNUMBER(K24)),IF(K24&gt;=J24,(K24-J24)*1440,""),"")</f>
        <v/>
      </c>
      <c r="M24" s="56"/>
      <c r="N24" s="58" t="str">
        <f aca="false">IF(AND(ISNUMBER(J24),ISNUMBER(M24)),IF(M24&gt;=J24,(M24-J24)*1440,""),"")</f>
        <v/>
      </c>
      <c r="O24" s="54" t="str">
        <f aca="false">IF(N24="","",LOOKUP(N24,Tiempos!$A$6:$A$10,Tiempos!$B$6:$B$10))</f>
        <v/>
      </c>
      <c r="P24" s="54"/>
      <c r="Q24" s="54"/>
      <c r="R24" s="54"/>
      <c r="S24" s="54"/>
      <c r="T24" s="58"/>
      <c r="U24" s="54"/>
      <c r="V24" s="58"/>
      <c r="W24" s="57"/>
      <c r="X24" s="55"/>
      <c r="Y24" s="54"/>
      <c r="Z24" s="56"/>
      <c r="AA24" s="58" t="str">
        <f aca="false">IF(AND(ISNUMBER(M24),ISNUMBER(Z24)),IF(Z24&gt;=M24,(Z24-M24)*1440,""),"")</f>
        <v/>
      </c>
      <c r="AB24" s="57"/>
      <c r="AC24" s="56"/>
      <c r="AD24" s="58" t="str">
        <f aca="false">IF(AND(ISNUMBER(Z24),ISNUMBER(AC24)),IF(AC24&gt;=Z24,(AC24-Z24)*1440,""),"")</f>
        <v/>
      </c>
      <c r="AE24" s="54"/>
      <c r="AF24" s="54"/>
      <c r="AG24" s="54"/>
      <c r="AH24" s="58"/>
      <c r="AI24" s="55" t="n">
        <v>2</v>
      </c>
      <c r="AJ24" s="54" t="s">
        <v>216</v>
      </c>
      <c r="AK24" s="54" t="s">
        <v>212</v>
      </c>
    </row>
    <row r="25" customFormat="false" ht="15" hidden="false" customHeight="false" outlineLevel="0" collapsed="false">
      <c r="A25" s="54" t="s">
        <v>29</v>
      </c>
      <c r="B25" s="55" t="n">
        <v>545</v>
      </c>
      <c r="C25" s="54" t="s">
        <v>127</v>
      </c>
      <c r="D25" s="54" t="s">
        <v>214</v>
      </c>
      <c r="E25" s="54" t="s">
        <v>233</v>
      </c>
      <c r="F25" s="56" t="n">
        <v>46302.3762926505</v>
      </c>
      <c r="G25" s="54" t="s">
        <v>212</v>
      </c>
      <c r="H25" s="54" t="s">
        <v>214</v>
      </c>
      <c r="I25" s="57" t="s">
        <v>248</v>
      </c>
      <c r="J25" s="56" t="n">
        <v>46302.5472381134</v>
      </c>
      <c r="K25" s="56" t="n">
        <v>46302.554572963</v>
      </c>
      <c r="L25" s="58" t="n">
        <f aca="false">IF(AND(ISNUMBER(J25),ISNUMBER(K25)),IF(K25&gt;=J25,(K25-J25)*1440,""),"")</f>
        <v>10.5621833412333</v>
      </c>
      <c r="M25" s="56" t="n">
        <v>46302.5624231019</v>
      </c>
      <c r="N25" s="58" t="n">
        <f aca="false">IF(AND(ISNUMBER(J25),ISNUMBER(M25)),IF(M25&gt;=J25,(M25-J25)*1440,""),"")</f>
        <v>21.8663833464833</v>
      </c>
      <c r="O25" s="54" t="str">
        <f aca="false">IF(N25="","",LOOKUP(N25,Tiempos!$A$6:$A$10,Tiempos!$B$6:$B$10))</f>
        <v>10 a 30 min</v>
      </c>
      <c r="P25" s="54" t="s">
        <v>229</v>
      </c>
      <c r="Q25" s="54" t="s">
        <v>214</v>
      </c>
      <c r="R25" s="54" t="s">
        <v>127</v>
      </c>
      <c r="S25" s="54" t="s">
        <v>220</v>
      </c>
      <c r="T25" s="58" t="n">
        <v>104.3</v>
      </c>
      <c r="U25" s="54" t="s">
        <v>214</v>
      </c>
      <c r="V25" s="58" t="n">
        <v>11.3</v>
      </c>
      <c r="W25" s="57" t="s">
        <v>249</v>
      </c>
      <c r="X25" s="55" t="n">
        <v>2</v>
      </c>
      <c r="Y25" s="54" t="s">
        <v>214</v>
      </c>
      <c r="Z25" s="56" t="n">
        <v>46303.4985197338</v>
      </c>
      <c r="AA25" s="58" t="n">
        <f aca="false">IF(AND(ISNUMBER(M25),ISNUMBER(Z25)),IF(Z25&gt;=M25,(Z25-M25)*1440,""),"")</f>
        <v>1347.97915000933</v>
      </c>
      <c r="AB25" s="57" t="s">
        <v>250</v>
      </c>
      <c r="AC25" s="56" t="n">
        <v>46303.4992058912</v>
      </c>
      <c r="AD25" s="58" t="n">
        <f aca="false">IF(AND(ISNUMBER(Z25),ISNUMBER(AC25)),IF(AC25&gt;=Z25,(AC25-Z25)*1440,""),"")</f>
        <v>0.988066656266667</v>
      </c>
      <c r="AE25" s="54" t="s">
        <v>247</v>
      </c>
      <c r="AF25" s="54" t="s">
        <v>214</v>
      </c>
      <c r="AG25" s="54" t="s">
        <v>212</v>
      </c>
      <c r="AH25" s="58"/>
      <c r="AI25" s="55" t="n">
        <v>2</v>
      </c>
      <c r="AJ25" s="54" t="s">
        <v>210</v>
      </c>
      <c r="AK25" s="54" t="s">
        <v>214</v>
      </c>
    </row>
    <row r="26" customFormat="false" ht="15" hidden="false" customHeight="false" outlineLevel="0" collapsed="false">
      <c r="A26" s="54" t="s">
        <v>29</v>
      </c>
      <c r="B26" s="55" t="n">
        <v>565</v>
      </c>
      <c r="C26" s="54" t="s">
        <v>127</v>
      </c>
      <c r="D26" s="54" t="s">
        <v>212</v>
      </c>
      <c r="E26" s="54"/>
      <c r="F26" s="56" t="n">
        <v>46302.4378085185</v>
      </c>
      <c r="G26" s="54" t="s">
        <v>212</v>
      </c>
      <c r="H26" s="54" t="s">
        <v>212</v>
      </c>
      <c r="I26" s="57"/>
      <c r="J26" s="56"/>
      <c r="K26" s="56"/>
      <c r="L26" s="58" t="str">
        <f aca="false">IF(AND(ISNUMBER(J26),ISNUMBER(K26)),IF(K26&gt;=J26,(K26-J26)*1440,""),"")</f>
        <v/>
      </c>
      <c r="M26" s="56"/>
      <c r="N26" s="58" t="str">
        <f aca="false">IF(AND(ISNUMBER(J26),ISNUMBER(M26)),IF(M26&gt;=J26,(M26-J26)*1440,""),"")</f>
        <v/>
      </c>
      <c r="O26" s="54" t="str">
        <f aca="false">IF(N26="","",LOOKUP(N26,Tiempos!$A$6:$A$10,Tiempos!$B$6:$B$10))</f>
        <v/>
      </c>
      <c r="P26" s="54"/>
      <c r="Q26" s="54"/>
      <c r="R26" s="54"/>
      <c r="S26" s="54"/>
      <c r="T26" s="58"/>
      <c r="U26" s="54"/>
      <c r="V26" s="58"/>
      <c r="W26" s="57"/>
      <c r="X26" s="55"/>
      <c r="Y26" s="54"/>
      <c r="Z26" s="56"/>
      <c r="AA26" s="58" t="str">
        <f aca="false">IF(AND(ISNUMBER(M26),ISNUMBER(Z26)),IF(Z26&gt;=M26,(Z26-M26)*1440,""),"")</f>
        <v/>
      </c>
      <c r="AB26" s="57"/>
      <c r="AC26" s="56"/>
      <c r="AD26" s="58" t="str">
        <f aca="false">IF(AND(ISNUMBER(Z26),ISNUMBER(AC26)),IF(AC26&gt;=Z26,(AC26-Z26)*1440,""),"")</f>
        <v/>
      </c>
      <c r="AE26" s="54"/>
      <c r="AF26" s="54"/>
      <c r="AG26" s="54"/>
      <c r="AH26" s="58"/>
      <c r="AI26" s="55" t="n">
        <v>1</v>
      </c>
      <c r="AJ26" s="54" t="s">
        <v>216</v>
      </c>
      <c r="AK26" s="54" t="s">
        <v>212</v>
      </c>
    </row>
    <row r="27" customFormat="false" ht="15" hidden="false" customHeight="false" outlineLevel="0" collapsed="false">
      <c r="A27" s="54" t="s">
        <v>29</v>
      </c>
      <c r="B27" s="55" t="n">
        <v>589</v>
      </c>
      <c r="C27" s="54" t="s">
        <v>127</v>
      </c>
      <c r="D27" s="54" t="s">
        <v>212</v>
      </c>
      <c r="E27" s="54"/>
      <c r="F27" s="56" t="n">
        <v>46302.5170264468</v>
      </c>
      <c r="G27" s="54" t="s">
        <v>212</v>
      </c>
      <c r="H27" s="54" t="s">
        <v>214</v>
      </c>
      <c r="I27" s="57"/>
      <c r="J27" s="56"/>
      <c r="K27" s="56"/>
      <c r="L27" s="58" t="str">
        <f aca="false">IF(AND(ISNUMBER(J27),ISNUMBER(K27)),IF(K27&gt;=J27,(K27-J27)*1440,""),"")</f>
        <v/>
      </c>
      <c r="M27" s="56"/>
      <c r="N27" s="58" t="str">
        <f aca="false">IF(AND(ISNUMBER(J27),ISNUMBER(M27)),IF(M27&gt;=J27,(M27-J27)*1440,""),"")</f>
        <v/>
      </c>
      <c r="O27" s="54" t="str">
        <f aca="false">IF(N27="","",LOOKUP(N27,Tiempos!$A$6:$A$10,Tiempos!$B$6:$B$10))</f>
        <v/>
      </c>
      <c r="P27" s="54"/>
      <c r="Q27" s="54"/>
      <c r="R27" s="54"/>
      <c r="S27" s="54"/>
      <c r="T27" s="58"/>
      <c r="U27" s="54"/>
      <c r="V27" s="58"/>
      <c r="W27" s="57"/>
      <c r="X27" s="55"/>
      <c r="Y27" s="54"/>
      <c r="Z27" s="56"/>
      <c r="AA27" s="58" t="str">
        <f aca="false">IF(AND(ISNUMBER(M27),ISNUMBER(Z27)),IF(Z27&gt;=M27,(Z27-M27)*1440,""),"")</f>
        <v/>
      </c>
      <c r="AB27" s="57"/>
      <c r="AC27" s="56"/>
      <c r="AD27" s="58" t="str">
        <f aca="false">IF(AND(ISNUMBER(Z27),ISNUMBER(AC27)),IF(AC27&gt;=Z27,(AC27-Z27)*1440,""),"")</f>
        <v/>
      </c>
      <c r="AE27" s="54"/>
      <c r="AF27" s="54"/>
      <c r="AG27" s="54"/>
      <c r="AH27" s="58"/>
      <c r="AI27" s="55" t="n">
        <v>1</v>
      </c>
      <c r="AJ27" s="54" t="s">
        <v>216</v>
      </c>
      <c r="AK27" s="54" t="s">
        <v>212</v>
      </c>
    </row>
    <row r="28" customFormat="false" ht="15" hidden="false" customHeight="false" outlineLevel="0" collapsed="false">
      <c r="A28" s="54" t="s">
        <v>29</v>
      </c>
      <c r="B28" s="55" t="n">
        <v>602</v>
      </c>
      <c r="C28" s="54" t="s">
        <v>127</v>
      </c>
      <c r="D28" s="54" t="s">
        <v>212</v>
      </c>
      <c r="E28" s="54"/>
      <c r="F28" s="56" t="n">
        <v>46302.5577668403</v>
      </c>
      <c r="G28" s="54" t="s">
        <v>212</v>
      </c>
      <c r="H28" s="54" t="s">
        <v>214</v>
      </c>
      <c r="I28" s="57"/>
      <c r="J28" s="56"/>
      <c r="K28" s="56"/>
      <c r="L28" s="58" t="str">
        <f aca="false">IF(AND(ISNUMBER(J28),ISNUMBER(K28)),IF(K28&gt;=J28,(K28-J28)*1440,""),"")</f>
        <v/>
      </c>
      <c r="M28" s="56"/>
      <c r="N28" s="58" t="str">
        <f aca="false">IF(AND(ISNUMBER(J28),ISNUMBER(M28)),IF(M28&gt;=J28,(M28-J28)*1440,""),"")</f>
        <v/>
      </c>
      <c r="O28" s="54" t="str">
        <f aca="false">IF(N28="","",LOOKUP(N28,Tiempos!$A$6:$A$10,Tiempos!$B$6:$B$10))</f>
        <v/>
      </c>
      <c r="P28" s="54"/>
      <c r="Q28" s="54"/>
      <c r="R28" s="54"/>
      <c r="S28" s="54"/>
      <c r="T28" s="58"/>
      <c r="U28" s="54"/>
      <c r="V28" s="58"/>
      <c r="W28" s="57"/>
      <c r="X28" s="55"/>
      <c r="Y28" s="54"/>
      <c r="Z28" s="56"/>
      <c r="AA28" s="58" t="str">
        <f aca="false">IF(AND(ISNUMBER(M28),ISNUMBER(Z28)),IF(Z28&gt;=M28,(Z28-M28)*1440,""),"")</f>
        <v/>
      </c>
      <c r="AB28" s="57"/>
      <c r="AC28" s="56"/>
      <c r="AD28" s="58" t="str">
        <f aca="false">IF(AND(ISNUMBER(Z28),ISNUMBER(AC28)),IF(AC28&gt;=Z28,(AC28-Z28)*1440,""),"")</f>
        <v/>
      </c>
      <c r="AE28" s="54"/>
      <c r="AF28" s="54"/>
      <c r="AG28" s="54"/>
      <c r="AH28" s="58"/>
      <c r="AI28" s="55" t="n">
        <v>1</v>
      </c>
      <c r="AJ28" s="54" t="s">
        <v>216</v>
      </c>
      <c r="AK28" s="54" t="s">
        <v>212</v>
      </c>
    </row>
    <row r="29" customFormat="false" ht="15" hidden="false" customHeight="false" outlineLevel="0" collapsed="false">
      <c r="A29" s="54" t="s">
        <v>29</v>
      </c>
      <c r="B29" s="55" t="n">
        <v>634</v>
      </c>
      <c r="C29" s="54" t="s">
        <v>127</v>
      </c>
      <c r="D29" s="54" t="s">
        <v>214</v>
      </c>
      <c r="E29" s="54" t="s">
        <v>242</v>
      </c>
      <c r="F29" s="56" t="n">
        <v>46302.6181311806</v>
      </c>
      <c r="G29" s="54" t="s">
        <v>212</v>
      </c>
      <c r="H29" s="54" t="s">
        <v>214</v>
      </c>
      <c r="I29" s="57" t="s">
        <v>251</v>
      </c>
      <c r="J29" s="56" t="n">
        <v>46302.6183514815</v>
      </c>
      <c r="K29" s="56" t="n">
        <v>46302.6185871412</v>
      </c>
      <c r="L29" s="58" t="n">
        <f aca="false">IF(AND(ISNUMBER(J29),ISNUMBER(K29)),IF(K29&gt;=J29,(K29-J29)*1440,""),"")</f>
        <v>0.3393500042</v>
      </c>
      <c r="M29" s="56" t="n">
        <v>46302.6230703472</v>
      </c>
      <c r="N29" s="58" t="n">
        <f aca="false">IF(AND(ISNUMBER(J29),ISNUMBER(M29)),IF(M29&gt;=J29,(M29-J29)*1440,""),"")</f>
        <v>6.79516666685</v>
      </c>
      <c r="O29" s="54" t="str">
        <f aca="false">IF(N29="","",LOOKUP(N29,Tiempos!$A$6:$A$10,Tiempos!$B$6:$B$10))</f>
        <v>6 a 10 min</v>
      </c>
      <c r="P29" s="54" t="s">
        <v>229</v>
      </c>
      <c r="Q29" s="54" t="s">
        <v>214</v>
      </c>
      <c r="R29" s="54" t="s">
        <v>127</v>
      </c>
      <c r="S29" s="54" t="s">
        <v>220</v>
      </c>
      <c r="T29" s="58" t="n">
        <v>137</v>
      </c>
      <c r="U29" s="54" t="s">
        <v>214</v>
      </c>
      <c r="V29" s="58" t="n">
        <v>6.46</v>
      </c>
      <c r="W29" s="57" t="s">
        <v>252</v>
      </c>
      <c r="X29" s="55" t="n">
        <v>2</v>
      </c>
      <c r="Y29" s="54" t="s">
        <v>214</v>
      </c>
      <c r="Z29" s="56" t="n">
        <v>46302.6278085995</v>
      </c>
      <c r="AA29" s="58" t="n">
        <f aca="false">IF(AND(ISNUMBER(M29),ISNUMBER(Z29)),IF(Z29&gt;=M29,(Z29-M29)*1440,""),"")</f>
        <v>6.82308333925</v>
      </c>
      <c r="AB29" s="57" t="s">
        <v>253</v>
      </c>
      <c r="AC29" s="56" t="n">
        <v>46307.3926009259</v>
      </c>
      <c r="AD29" s="58" t="n">
        <f aca="false">IF(AND(ISNUMBER(Z29),ISNUMBER(AC29)),IF(AC29&gt;=Z29,(AC29-Z29)*1440,""),"")</f>
        <v>6861.3009499968</v>
      </c>
      <c r="AE29" s="54" t="s">
        <v>232</v>
      </c>
      <c r="AF29" s="54" t="s">
        <v>214</v>
      </c>
      <c r="AG29" s="54" t="s">
        <v>214</v>
      </c>
      <c r="AH29" s="58" t="n">
        <v>4.2</v>
      </c>
      <c r="AI29" s="55" t="n">
        <v>2</v>
      </c>
      <c r="AJ29" s="54" t="s">
        <v>216</v>
      </c>
      <c r="AK29" s="54" t="s">
        <v>212</v>
      </c>
    </row>
    <row r="30" customFormat="false" ht="15" hidden="false" customHeight="false" outlineLevel="0" collapsed="false">
      <c r="A30" s="54" t="s">
        <v>29</v>
      </c>
      <c r="B30" s="55" t="n">
        <v>646</v>
      </c>
      <c r="C30" s="54" t="s">
        <v>127</v>
      </c>
      <c r="D30" s="54" t="s">
        <v>212</v>
      </c>
      <c r="E30" s="54"/>
      <c r="F30" s="56" t="n">
        <v>46302.681966956</v>
      </c>
      <c r="G30" s="54" t="s">
        <v>212</v>
      </c>
      <c r="H30" s="54" t="s">
        <v>212</v>
      </c>
      <c r="I30" s="57"/>
      <c r="J30" s="56"/>
      <c r="K30" s="56"/>
      <c r="L30" s="58" t="str">
        <f aca="false">IF(AND(ISNUMBER(J30),ISNUMBER(K30)),IF(K30&gt;=J30,(K30-J30)*1440,""),"")</f>
        <v/>
      </c>
      <c r="M30" s="56"/>
      <c r="N30" s="58" t="str">
        <f aca="false">IF(AND(ISNUMBER(J30),ISNUMBER(M30)),IF(M30&gt;=J30,(M30-J30)*1440,""),"")</f>
        <v/>
      </c>
      <c r="O30" s="54" t="str">
        <f aca="false">IF(N30="","",LOOKUP(N30,Tiempos!$A$6:$A$10,Tiempos!$B$6:$B$10))</f>
        <v/>
      </c>
      <c r="P30" s="54"/>
      <c r="Q30" s="54"/>
      <c r="R30" s="54"/>
      <c r="S30" s="54"/>
      <c r="T30" s="58"/>
      <c r="U30" s="54"/>
      <c r="V30" s="58"/>
      <c r="W30" s="57"/>
      <c r="X30" s="55"/>
      <c r="Y30" s="54"/>
      <c r="Z30" s="56"/>
      <c r="AA30" s="58" t="str">
        <f aca="false">IF(AND(ISNUMBER(M30),ISNUMBER(Z30)),IF(Z30&gt;=M30,(Z30-M30)*1440,""),"")</f>
        <v/>
      </c>
      <c r="AB30" s="57"/>
      <c r="AC30" s="56"/>
      <c r="AD30" s="58" t="str">
        <f aca="false">IF(AND(ISNUMBER(Z30),ISNUMBER(AC30)),IF(AC30&gt;=Z30,(AC30-Z30)*1440,""),"")</f>
        <v/>
      </c>
      <c r="AE30" s="54"/>
      <c r="AF30" s="54"/>
      <c r="AG30" s="54"/>
      <c r="AH30" s="58"/>
      <c r="AI30" s="55" t="n">
        <v>1</v>
      </c>
      <c r="AJ30" s="54" t="s">
        <v>216</v>
      </c>
      <c r="AK30" s="54" t="s">
        <v>212</v>
      </c>
    </row>
    <row r="31" customFormat="false" ht="15" hidden="false" customHeight="false" outlineLevel="0" collapsed="false">
      <c r="A31" s="54" t="s">
        <v>29</v>
      </c>
      <c r="B31" s="55" t="n">
        <v>701</v>
      </c>
      <c r="C31" s="54" t="s">
        <v>128</v>
      </c>
      <c r="D31" s="54" t="s">
        <v>214</v>
      </c>
      <c r="E31" s="54" t="s">
        <v>242</v>
      </c>
      <c r="F31" s="56" t="n">
        <v>46302.8157881829</v>
      </c>
      <c r="G31" s="54" t="s">
        <v>212</v>
      </c>
      <c r="H31" s="54" t="s">
        <v>214</v>
      </c>
      <c r="I31" s="57" t="s">
        <v>254</v>
      </c>
      <c r="J31" s="56" t="n">
        <v>46302.8179032755</v>
      </c>
      <c r="K31" s="56" t="n">
        <v>46302.8289263079</v>
      </c>
      <c r="L31" s="58" t="n">
        <f aca="false">IF(AND(ISNUMBER(J31),ISNUMBER(K31)),IF(K31&gt;=J31,(K31-J31)*1440,""),"")</f>
        <v>15.8731666649667</v>
      </c>
      <c r="M31" s="56" t="n">
        <v>46302.8289263079</v>
      </c>
      <c r="N31" s="58" t="n">
        <f aca="false">IF(AND(ISNUMBER(J31),ISNUMBER(M31)),IF(M31&gt;=J31,(M31-J31)*1440,""),"")</f>
        <v>15.8731666649667</v>
      </c>
      <c r="O31" s="54" t="str">
        <f aca="false">IF(N31="","",LOOKUP(N31,Tiempos!$A$6:$A$10,Tiempos!$B$6:$B$10))</f>
        <v>10 a 30 min</v>
      </c>
      <c r="P31" s="54" t="s">
        <v>226</v>
      </c>
      <c r="Q31" s="54" t="s">
        <v>212</v>
      </c>
      <c r="R31" s="54" t="s">
        <v>128</v>
      </c>
      <c r="S31" s="54" t="s">
        <v>220</v>
      </c>
      <c r="T31" s="58"/>
      <c r="U31" s="54"/>
      <c r="V31" s="58"/>
      <c r="W31" s="57"/>
      <c r="X31" s="55" t="n">
        <v>0</v>
      </c>
      <c r="Y31" s="54" t="s">
        <v>212</v>
      </c>
      <c r="Z31" s="56"/>
      <c r="AA31" s="58" t="str">
        <f aca="false">IF(AND(ISNUMBER(M31),ISNUMBER(Z31)),IF(Z31&gt;=M31,(Z31-M31)*1440,""),"")</f>
        <v/>
      </c>
      <c r="AB31" s="57"/>
      <c r="AC31" s="56"/>
      <c r="AD31" s="58" t="str">
        <f aca="false">IF(AND(ISNUMBER(Z31),ISNUMBER(AC31)),IF(AC31&gt;=Z31,(AC31-Z31)*1440,""),"")</f>
        <v/>
      </c>
      <c r="AE31" s="54"/>
      <c r="AF31" s="54" t="s">
        <v>214</v>
      </c>
      <c r="AG31" s="54"/>
      <c r="AH31" s="58"/>
      <c r="AI31" s="55" t="n">
        <v>1</v>
      </c>
      <c r="AJ31" s="54" t="s">
        <v>216</v>
      </c>
      <c r="AK31" s="54" t="s">
        <v>212</v>
      </c>
    </row>
    <row r="32" customFormat="false" ht="15" hidden="false" customHeight="false" outlineLevel="0" collapsed="false">
      <c r="A32" s="54" t="s">
        <v>29</v>
      </c>
      <c r="B32" s="55" t="n">
        <v>712</v>
      </c>
      <c r="C32" s="54" t="s">
        <v>128</v>
      </c>
      <c r="D32" s="54" t="s">
        <v>214</v>
      </c>
      <c r="E32" s="54" t="s">
        <v>217</v>
      </c>
      <c r="F32" s="56" t="n">
        <v>46302.8430199653</v>
      </c>
      <c r="G32" s="54" t="s">
        <v>212</v>
      </c>
      <c r="H32" s="54" t="s">
        <v>212</v>
      </c>
      <c r="I32" s="57" t="s">
        <v>255</v>
      </c>
      <c r="J32" s="56" t="n">
        <v>46302.8434560648</v>
      </c>
      <c r="K32" s="56" t="n">
        <v>46302.871151956</v>
      </c>
      <c r="L32" s="58" t="n">
        <f aca="false">IF(AND(ISNUMBER(J32),ISNUMBER(K32)),IF(K32&gt;=J32,(K32-J32)*1440,""),"")</f>
        <v>39.8820833279667</v>
      </c>
      <c r="M32" s="56" t="n">
        <v>46302.8727455208</v>
      </c>
      <c r="N32" s="58" t="n">
        <f aca="false">IF(AND(ISNUMBER(J32),ISNUMBER(M32)),IF(M32&gt;=J32,(M32-J32)*1440,""),"")</f>
        <v>42.1768166776667</v>
      </c>
      <c r="O32" s="54" t="str">
        <f aca="false">IF(N32="","",LOOKUP(N32,Tiempos!$A$6:$A$10,Tiempos!$B$6:$B$10))</f>
        <v>30 min o más</v>
      </c>
      <c r="P32" s="54" t="s">
        <v>244</v>
      </c>
      <c r="Q32" s="54" t="s">
        <v>214</v>
      </c>
      <c r="R32" s="54" t="s">
        <v>129</v>
      </c>
      <c r="S32" s="54" t="s">
        <v>220</v>
      </c>
      <c r="T32" s="58" t="n">
        <v>83</v>
      </c>
      <c r="U32" s="54" t="s">
        <v>212</v>
      </c>
      <c r="V32" s="58" t="n">
        <v>2.12</v>
      </c>
      <c r="W32" s="57" t="s">
        <v>256</v>
      </c>
      <c r="X32" s="55" t="n">
        <v>3</v>
      </c>
      <c r="Y32" s="54" t="s">
        <v>214</v>
      </c>
      <c r="Z32" s="56" t="n">
        <v>46304.3839862616</v>
      </c>
      <c r="AA32" s="58" t="n">
        <f aca="false">IF(AND(ISNUMBER(M32),ISNUMBER(Z32)),IF(Z32&gt;=M32,(Z32-M32)*1440,""),"")</f>
        <v>2176.1866666493</v>
      </c>
      <c r="AB32" s="57" t="s">
        <v>257</v>
      </c>
      <c r="AC32" s="56" t="n">
        <v>46304.3892007523</v>
      </c>
      <c r="AD32" s="58" t="n">
        <f aca="false">IF(AND(ISNUMBER(Z32),ISNUMBER(AC32)),IF(AC32&gt;=Z32,(AC32-Z32)*1440,""),"")</f>
        <v>7.50886667403333</v>
      </c>
      <c r="AE32" s="54" t="s">
        <v>258</v>
      </c>
      <c r="AF32" s="54" t="s">
        <v>214</v>
      </c>
      <c r="AG32" s="54" t="s">
        <v>212</v>
      </c>
      <c r="AH32" s="58"/>
      <c r="AI32" s="55" t="n">
        <v>4</v>
      </c>
      <c r="AJ32" s="54" t="s">
        <v>216</v>
      </c>
      <c r="AK32" s="54" t="s">
        <v>212</v>
      </c>
    </row>
    <row r="33" customFormat="false" ht="15" hidden="false" customHeight="false" outlineLevel="0" collapsed="false">
      <c r="A33" s="54" t="s">
        <v>29</v>
      </c>
      <c r="B33" s="55" t="n">
        <v>729</v>
      </c>
      <c r="C33" s="54" t="s">
        <v>128</v>
      </c>
      <c r="D33" s="54" t="s">
        <v>214</v>
      </c>
      <c r="E33" s="54" t="s">
        <v>242</v>
      </c>
      <c r="F33" s="56" t="n">
        <v>46302.8852609954</v>
      </c>
      <c r="G33" s="54" t="s">
        <v>212</v>
      </c>
      <c r="H33" s="54" t="s">
        <v>214</v>
      </c>
      <c r="I33" s="57" t="s">
        <v>259</v>
      </c>
      <c r="J33" s="56" t="n">
        <v>46302.8907766551</v>
      </c>
      <c r="K33" s="56" t="n">
        <v>46302.8996601042</v>
      </c>
      <c r="L33" s="58" t="n">
        <f aca="false">IF(AND(ISNUMBER(J33),ISNUMBER(K33)),IF(K33&gt;=J33,(K33-J33)*1440,""),"")</f>
        <v>12.7921666775333</v>
      </c>
      <c r="M33" s="56" t="n">
        <v>46302.9006484375</v>
      </c>
      <c r="N33" s="58" t="n">
        <f aca="false">IF(AND(ISNUMBER(J33),ISNUMBER(M33)),IF(M33&gt;=J33,(M33-J33)*1440,""),"")</f>
        <v>14.2153666669</v>
      </c>
      <c r="O33" s="54" t="str">
        <f aca="false">IF(N33="","",LOOKUP(N33,Tiempos!$A$6:$A$10,Tiempos!$B$6:$B$10))</f>
        <v>10 a 30 min</v>
      </c>
      <c r="P33" s="54" t="s">
        <v>244</v>
      </c>
      <c r="Q33" s="54" t="s">
        <v>214</v>
      </c>
      <c r="R33" s="54" t="s">
        <v>128</v>
      </c>
      <c r="S33" s="54" t="s">
        <v>220</v>
      </c>
      <c r="T33" s="58" t="n">
        <v>76.7</v>
      </c>
      <c r="U33" s="54" t="s">
        <v>214</v>
      </c>
      <c r="V33" s="58" t="n">
        <v>1.42</v>
      </c>
      <c r="W33" s="57" t="s">
        <v>260</v>
      </c>
      <c r="X33" s="55" t="n">
        <v>3</v>
      </c>
      <c r="Y33" s="54" t="s">
        <v>214</v>
      </c>
      <c r="Z33" s="56" t="n">
        <v>46302.9148152431</v>
      </c>
      <c r="AA33" s="58" t="n">
        <f aca="false">IF(AND(ISNUMBER(M33),ISNUMBER(Z33)),IF(Z33&gt;=M33,(Z33-M33)*1440,""),"")</f>
        <v>20.4002000042167</v>
      </c>
      <c r="AB33" s="57" t="s">
        <v>261</v>
      </c>
      <c r="AC33" s="56" t="n">
        <v>46302.9183734028</v>
      </c>
      <c r="AD33" s="58" t="n">
        <f aca="false">IF(AND(ISNUMBER(Z33),ISNUMBER(AC33)),IF(AC33&gt;=Z33,(AC33-Z33)*1440,""),"")</f>
        <v>5.12375000515</v>
      </c>
      <c r="AE33" s="54" t="s">
        <v>232</v>
      </c>
      <c r="AF33" s="54" t="s">
        <v>214</v>
      </c>
      <c r="AG33" s="54" t="s">
        <v>214</v>
      </c>
      <c r="AH33" s="58" t="n">
        <v>3.9</v>
      </c>
      <c r="AI33" s="55" t="n">
        <v>2</v>
      </c>
      <c r="AJ33" s="54" t="s">
        <v>216</v>
      </c>
      <c r="AK33" s="54" t="s">
        <v>212</v>
      </c>
    </row>
    <row r="34" customFormat="false" ht="15" hidden="false" customHeight="false" outlineLevel="0" collapsed="false">
      <c r="A34" s="54" t="s">
        <v>29</v>
      </c>
      <c r="B34" s="55" t="n">
        <v>738</v>
      </c>
      <c r="C34" s="54" t="s">
        <v>127</v>
      </c>
      <c r="D34" s="54" t="s">
        <v>214</v>
      </c>
      <c r="E34" s="54" t="s">
        <v>224</v>
      </c>
      <c r="F34" s="56" t="n">
        <v>46302.9306021644</v>
      </c>
      <c r="G34" s="54" t="s">
        <v>214</v>
      </c>
      <c r="H34" s="54" t="s">
        <v>212</v>
      </c>
      <c r="I34" s="57" t="s">
        <v>262</v>
      </c>
      <c r="J34" s="56" t="n">
        <v>46302.9324689815</v>
      </c>
      <c r="K34" s="56" t="n">
        <v>46303.304174375</v>
      </c>
      <c r="L34" s="58" t="n">
        <f aca="false">IF(AND(ISNUMBER(J34),ISNUMBER(K34)),IF(K34&gt;=J34,(K34-J34)*1440,""),"")</f>
        <v>535.255766665783</v>
      </c>
      <c r="M34" s="56" t="n">
        <v>46303.3059711574</v>
      </c>
      <c r="N34" s="58" t="n">
        <f aca="false">IF(AND(ISNUMBER(J34),ISNUMBER(M34)),IF(M34&gt;=J34,(M34-J34)*1440,""),"")</f>
        <v>537.8431333357</v>
      </c>
      <c r="O34" s="54" t="str">
        <f aca="false">IF(N34="","",LOOKUP(N34,Tiempos!$A$6:$A$10,Tiempos!$B$6:$B$10))</f>
        <v>30 min o más</v>
      </c>
      <c r="P34" s="54" t="s">
        <v>229</v>
      </c>
      <c r="Q34" s="54" t="s">
        <v>214</v>
      </c>
      <c r="R34" s="54" t="s">
        <v>127</v>
      </c>
      <c r="S34" s="54" t="s">
        <v>220</v>
      </c>
      <c r="T34" s="58" t="n">
        <v>106.6</v>
      </c>
      <c r="U34" s="54" t="s">
        <v>212</v>
      </c>
      <c r="V34" s="58" t="n">
        <v>2.59</v>
      </c>
      <c r="W34" s="57" t="s">
        <v>263</v>
      </c>
      <c r="X34" s="55" t="n">
        <v>2</v>
      </c>
      <c r="Y34" s="54" t="s">
        <v>212</v>
      </c>
      <c r="Z34" s="56"/>
      <c r="AA34" s="58" t="str">
        <f aca="false">IF(AND(ISNUMBER(M34),ISNUMBER(Z34)),IF(Z34&gt;=M34,(Z34-M34)*1440,""),"")</f>
        <v/>
      </c>
      <c r="AB34" s="57"/>
      <c r="AC34" s="56"/>
      <c r="AD34" s="58" t="str">
        <f aca="false">IF(AND(ISNUMBER(Z34),ISNUMBER(AC34)),IF(AC34&gt;=Z34,(AC34-Z34)*1440,""),"")</f>
        <v/>
      </c>
      <c r="AE34" s="54"/>
      <c r="AF34" s="54" t="s">
        <v>214</v>
      </c>
      <c r="AG34" s="54"/>
      <c r="AH34" s="58"/>
      <c r="AI34" s="55" t="n">
        <v>1</v>
      </c>
      <c r="AJ34" s="54" t="s">
        <v>216</v>
      </c>
      <c r="AK34" s="54" t="s">
        <v>212</v>
      </c>
    </row>
    <row r="35" customFormat="false" ht="15" hidden="false" customHeight="false" outlineLevel="0" collapsed="false">
      <c r="A35" s="54" t="s">
        <v>29</v>
      </c>
      <c r="B35" s="55" t="n">
        <v>760</v>
      </c>
      <c r="C35" s="54" t="s">
        <v>127</v>
      </c>
      <c r="D35" s="54" t="s">
        <v>212</v>
      </c>
      <c r="E35" s="54"/>
      <c r="F35" s="56" t="n">
        <v>46303.0905006019</v>
      </c>
      <c r="G35" s="54" t="s">
        <v>214</v>
      </c>
      <c r="H35" s="54" t="s">
        <v>214</v>
      </c>
      <c r="I35" s="57"/>
      <c r="J35" s="56"/>
      <c r="K35" s="56"/>
      <c r="L35" s="58" t="str">
        <f aca="false">IF(AND(ISNUMBER(J35),ISNUMBER(K35)),IF(K35&gt;=J35,(K35-J35)*1440,""),"")</f>
        <v/>
      </c>
      <c r="M35" s="56"/>
      <c r="N35" s="58" t="str">
        <f aca="false">IF(AND(ISNUMBER(J35),ISNUMBER(M35)),IF(M35&gt;=J35,(M35-J35)*1440,""),"")</f>
        <v/>
      </c>
      <c r="O35" s="54" t="str">
        <f aca="false">IF(N35="","",LOOKUP(N35,Tiempos!$A$6:$A$10,Tiempos!$B$6:$B$10))</f>
        <v/>
      </c>
      <c r="P35" s="54"/>
      <c r="Q35" s="54"/>
      <c r="R35" s="54"/>
      <c r="S35" s="54"/>
      <c r="T35" s="58"/>
      <c r="U35" s="54"/>
      <c r="V35" s="58"/>
      <c r="W35" s="57"/>
      <c r="X35" s="55"/>
      <c r="Y35" s="54"/>
      <c r="Z35" s="56"/>
      <c r="AA35" s="58" t="str">
        <f aca="false">IF(AND(ISNUMBER(M35),ISNUMBER(Z35)),IF(Z35&gt;=M35,(Z35-M35)*1440,""),"")</f>
        <v/>
      </c>
      <c r="AB35" s="57"/>
      <c r="AC35" s="56"/>
      <c r="AD35" s="58" t="str">
        <f aca="false">IF(AND(ISNUMBER(Z35),ISNUMBER(AC35)),IF(AC35&gt;=Z35,(AC35-Z35)*1440,""),"")</f>
        <v/>
      </c>
      <c r="AE35" s="54"/>
      <c r="AF35" s="54"/>
      <c r="AG35" s="54"/>
      <c r="AH35" s="58"/>
      <c r="AI35" s="55" t="n">
        <v>1</v>
      </c>
      <c r="AJ35" s="54" t="s">
        <v>216</v>
      </c>
      <c r="AK35" s="54" t="s">
        <v>212</v>
      </c>
    </row>
    <row r="36" customFormat="false" ht="15" hidden="false" customHeight="false" outlineLevel="0" collapsed="false">
      <c r="A36" s="54" t="s">
        <v>29</v>
      </c>
      <c r="B36" s="55" t="n">
        <v>753</v>
      </c>
      <c r="C36" s="54" t="s">
        <v>127</v>
      </c>
      <c r="D36" s="54" t="s">
        <v>212</v>
      </c>
      <c r="E36" s="54"/>
      <c r="F36" s="56" t="n">
        <v>46303.3126359954</v>
      </c>
      <c r="G36" s="54" t="s">
        <v>214</v>
      </c>
      <c r="H36" s="54" t="s">
        <v>212</v>
      </c>
      <c r="I36" s="57"/>
      <c r="J36" s="56"/>
      <c r="K36" s="56"/>
      <c r="L36" s="58" t="str">
        <f aca="false">IF(AND(ISNUMBER(J36),ISNUMBER(K36)),IF(K36&gt;=J36,(K36-J36)*1440,""),"")</f>
        <v/>
      </c>
      <c r="M36" s="56"/>
      <c r="N36" s="58" t="str">
        <f aca="false">IF(AND(ISNUMBER(J36),ISNUMBER(M36)),IF(M36&gt;=J36,(M36-J36)*1440,""),"")</f>
        <v/>
      </c>
      <c r="O36" s="54" t="str">
        <f aca="false">IF(N36="","",LOOKUP(N36,Tiempos!$A$6:$A$10,Tiempos!$B$6:$B$10))</f>
        <v/>
      </c>
      <c r="P36" s="54"/>
      <c r="Q36" s="54"/>
      <c r="R36" s="54"/>
      <c r="S36" s="54"/>
      <c r="T36" s="58"/>
      <c r="U36" s="54"/>
      <c r="V36" s="58"/>
      <c r="W36" s="57"/>
      <c r="X36" s="55"/>
      <c r="Y36" s="54"/>
      <c r="Z36" s="56"/>
      <c r="AA36" s="58" t="str">
        <f aca="false">IF(AND(ISNUMBER(M36),ISNUMBER(Z36)),IF(Z36&gt;=M36,(Z36-M36)*1440,""),"")</f>
        <v/>
      </c>
      <c r="AB36" s="57"/>
      <c r="AC36" s="56"/>
      <c r="AD36" s="58" t="str">
        <f aca="false">IF(AND(ISNUMBER(Z36),ISNUMBER(AC36)),IF(AC36&gt;=Z36,(AC36-Z36)*1440,""),"")</f>
        <v/>
      </c>
      <c r="AE36" s="54"/>
      <c r="AF36" s="54"/>
      <c r="AG36" s="54"/>
      <c r="AH36" s="58"/>
      <c r="AI36" s="55" t="n">
        <v>4</v>
      </c>
      <c r="AJ36" s="54" t="s">
        <v>216</v>
      </c>
      <c r="AK36" s="54" t="s">
        <v>212</v>
      </c>
    </row>
    <row r="37" customFormat="false" ht="15" hidden="false" customHeight="false" outlineLevel="0" collapsed="false">
      <c r="A37" s="54" t="s">
        <v>29</v>
      </c>
      <c r="B37" s="55" t="n">
        <v>802</v>
      </c>
      <c r="C37" s="54" t="s">
        <v>127</v>
      </c>
      <c r="D37" s="54" t="s">
        <v>212</v>
      </c>
      <c r="E37" s="54"/>
      <c r="F37" s="56" t="n">
        <v>46303.4017337732</v>
      </c>
      <c r="G37" s="54" t="s">
        <v>212</v>
      </c>
      <c r="H37" s="54" t="s">
        <v>214</v>
      </c>
      <c r="I37" s="57"/>
      <c r="J37" s="56"/>
      <c r="K37" s="56"/>
      <c r="L37" s="58" t="str">
        <f aca="false">IF(AND(ISNUMBER(J37),ISNUMBER(K37)),IF(K37&gt;=J37,(K37-J37)*1440,""),"")</f>
        <v/>
      </c>
      <c r="M37" s="56"/>
      <c r="N37" s="58" t="str">
        <f aca="false">IF(AND(ISNUMBER(J37),ISNUMBER(M37)),IF(M37&gt;=J37,(M37-J37)*1440,""),"")</f>
        <v/>
      </c>
      <c r="O37" s="54" t="str">
        <f aca="false">IF(N37="","",LOOKUP(N37,Tiempos!$A$6:$A$10,Tiempos!$B$6:$B$10))</f>
        <v/>
      </c>
      <c r="P37" s="54"/>
      <c r="Q37" s="54"/>
      <c r="R37" s="54"/>
      <c r="S37" s="54"/>
      <c r="T37" s="58"/>
      <c r="U37" s="54"/>
      <c r="V37" s="58"/>
      <c r="W37" s="57"/>
      <c r="X37" s="55"/>
      <c r="Y37" s="54"/>
      <c r="Z37" s="56"/>
      <c r="AA37" s="58" t="str">
        <f aca="false">IF(AND(ISNUMBER(M37),ISNUMBER(Z37)),IF(Z37&gt;=M37,(Z37-M37)*1440,""),"")</f>
        <v/>
      </c>
      <c r="AB37" s="57"/>
      <c r="AC37" s="56"/>
      <c r="AD37" s="58" t="str">
        <f aca="false">IF(AND(ISNUMBER(Z37),ISNUMBER(AC37)),IF(AC37&gt;=Z37,(AC37-Z37)*1440,""),"")</f>
        <v/>
      </c>
      <c r="AE37" s="54"/>
      <c r="AF37" s="54"/>
      <c r="AG37" s="54"/>
      <c r="AH37" s="58"/>
      <c r="AI37" s="55" t="n">
        <v>2</v>
      </c>
      <c r="AJ37" s="54" t="s">
        <v>216</v>
      </c>
      <c r="AK37" s="54" t="s">
        <v>212</v>
      </c>
    </row>
    <row r="38" customFormat="false" ht="15" hidden="false" customHeight="false" outlineLevel="0" collapsed="false">
      <c r="A38" s="54" t="s">
        <v>29</v>
      </c>
      <c r="B38" s="55" t="n">
        <v>828</v>
      </c>
      <c r="C38" s="54" t="s">
        <v>127</v>
      </c>
      <c r="D38" s="54" t="s">
        <v>212</v>
      </c>
      <c r="E38" s="54"/>
      <c r="F38" s="56" t="n">
        <v>46303.4546477083</v>
      </c>
      <c r="G38" s="54" t="s">
        <v>212</v>
      </c>
      <c r="H38" s="54" t="s">
        <v>212</v>
      </c>
      <c r="I38" s="57"/>
      <c r="J38" s="56"/>
      <c r="K38" s="56"/>
      <c r="L38" s="58" t="str">
        <f aca="false">IF(AND(ISNUMBER(J38),ISNUMBER(K38)),IF(K38&gt;=J38,(K38-J38)*1440,""),"")</f>
        <v/>
      </c>
      <c r="M38" s="56"/>
      <c r="N38" s="58" t="str">
        <f aca="false">IF(AND(ISNUMBER(J38),ISNUMBER(M38)),IF(M38&gt;=J38,(M38-J38)*1440,""),"")</f>
        <v/>
      </c>
      <c r="O38" s="54" t="str">
        <f aca="false">IF(N38="","",LOOKUP(N38,Tiempos!$A$6:$A$10,Tiempos!$B$6:$B$10))</f>
        <v/>
      </c>
      <c r="P38" s="54"/>
      <c r="Q38" s="54"/>
      <c r="R38" s="54"/>
      <c r="S38" s="54"/>
      <c r="T38" s="58"/>
      <c r="U38" s="54"/>
      <c r="V38" s="58"/>
      <c r="W38" s="57"/>
      <c r="X38" s="55"/>
      <c r="Y38" s="54"/>
      <c r="Z38" s="56"/>
      <c r="AA38" s="58" t="str">
        <f aca="false">IF(AND(ISNUMBER(M38),ISNUMBER(Z38)),IF(Z38&gt;=M38,(Z38-M38)*1440,""),"")</f>
        <v/>
      </c>
      <c r="AB38" s="57"/>
      <c r="AC38" s="56"/>
      <c r="AD38" s="58" t="str">
        <f aca="false">IF(AND(ISNUMBER(Z38),ISNUMBER(AC38)),IF(AC38&gt;=Z38,(AC38-Z38)*1440,""),"")</f>
        <v/>
      </c>
      <c r="AE38" s="54"/>
      <c r="AF38" s="54"/>
      <c r="AG38" s="54"/>
      <c r="AH38" s="58"/>
      <c r="AI38" s="55" t="n">
        <v>2</v>
      </c>
      <c r="AJ38" s="54" t="s">
        <v>216</v>
      </c>
      <c r="AK38" s="54" t="s">
        <v>212</v>
      </c>
    </row>
    <row r="39" customFormat="false" ht="15" hidden="false" customHeight="false" outlineLevel="0" collapsed="false">
      <c r="A39" s="54" t="s">
        <v>29</v>
      </c>
      <c r="B39" s="55" t="n">
        <v>833</v>
      </c>
      <c r="C39" s="54" t="s">
        <v>127</v>
      </c>
      <c r="D39" s="54" t="s">
        <v>212</v>
      </c>
      <c r="E39" s="54"/>
      <c r="F39" s="56" t="n">
        <v>46303.4676478241</v>
      </c>
      <c r="G39" s="54" t="s">
        <v>212</v>
      </c>
      <c r="H39" s="54" t="s">
        <v>214</v>
      </c>
      <c r="I39" s="57"/>
      <c r="J39" s="56"/>
      <c r="K39" s="56"/>
      <c r="L39" s="58" t="str">
        <f aca="false">IF(AND(ISNUMBER(J39),ISNUMBER(K39)),IF(K39&gt;=J39,(K39-J39)*1440,""),"")</f>
        <v/>
      </c>
      <c r="M39" s="56"/>
      <c r="N39" s="58" t="str">
        <f aca="false">IF(AND(ISNUMBER(J39),ISNUMBER(M39)),IF(M39&gt;=J39,(M39-J39)*1440,""),"")</f>
        <v/>
      </c>
      <c r="O39" s="54" t="str">
        <f aca="false">IF(N39="","",LOOKUP(N39,Tiempos!$A$6:$A$10,Tiempos!$B$6:$B$10))</f>
        <v/>
      </c>
      <c r="P39" s="54"/>
      <c r="Q39" s="54"/>
      <c r="R39" s="54"/>
      <c r="S39" s="54"/>
      <c r="T39" s="58"/>
      <c r="U39" s="54"/>
      <c r="V39" s="58"/>
      <c r="W39" s="57"/>
      <c r="X39" s="55"/>
      <c r="Y39" s="54"/>
      <c r="Z39" s="56"/>
      <c r="AA39" s="58" t="str">
        <f aca="false">IF(AND(ISNUMBER(M39),ISNUMBER(Z39)),IF(Z39&gt;=M39,(Z39-M39)*1440,""),"")</f>
        <v/>
      </c>
      <c r="AB39" s="57"/>
      <c r="AC39" s="56"/>
      <c r="AD39" s="58" t="str">
        <f aca="false">IF(AND(ISNUMBER(Z39),ISNUMBER(AC39)),IF(AC39&gt;=Z39,(AC39-Z39)*1440,""),"")</f>
        <v/>
      </c>
      <c r="AE39" s="54"/>
      <c r="AF39" s="54"/>
      <c r="AG39" s="54"/>
      <c r="AH39" s="58"/>
      <c r="AI39" s="55" t="n">
        <v>2</v>
      </c>
      <c r="AJ39" s="54" t="s">
        <v>216</v>
      </c>
      <c r="AK39" s="54" t="s">
        <v>212</v>
      </c>
    </row>
    <row r="40" customFormat="false" ht="15" hidden="false" customHeight="false" outlineLevel="0" collapsed="false">
      <c r="A40" s="54" t="s">
        <v>29</v>
      </c>
      <c r="B40" s="55" t="n">
        <v>842</v>
      </c>
      <c r="C40" s="54" t="s">
        <v>127</v>
      </c>
      <c r="D40" s="54" t="s">
        <v>212</v>
      </c>
      <c r="E40" s="54"/>
      <c r="F40" s="56" t="n">
        <v>46303.5126829977</v>
      </c>
      <c r="G40" s="54" t="s">
        <v>212</v>
      </c>
      <c r="H40" s="54" t="s">
        <v>214</v>
      </c>
      <c r="I40" s="57"/>
      <c r="J40" s="56"/>
      <c r="K40" s="56"/>
      <c r="L40" s="58" t="str">
        <f aca="false">IF(AND(ISNUMBER(J40),ISNUMBER(K40)),IF(K40&gt;=J40,(K40-J40)*1440,""),"")</f>
        <v/>
      </c>
      <c r="M40" s="56"/>
      <c r="N40" s="58" t="str">
        <f aca="false">IF(AND(ISNUMBER(J40),ISNUMBER(M40)),IF(M40&gt;=J40,(M40-J40)*1440,""),"")</f>
        <v/>
      </c>
      <c r="O40" s="54" t="str">
        <f aca="false">IF(N40="","",LOOKUP(N40,Tiempos!$A$6:$A$10,Tiempos!$B$6:$B$10))</f>
        <v/>
      </c>
      <c r="P40" s="54"/>
      <c r="Q40" s="54"/>
      <c r="R40" s="54"/>
      <c r="S40" s="54"/>
      <c r="T40" s="58"/>
      <c r="U40" s="54"/>
      <c r="V40" s="58"/>
      <c r="W40" s="57"/>
      <c r="X40" s="55"/>
      <c r="Y40" s="54"/>
      <c r="Z40" s="56"/>
      <c r="AA40" s="58" t="str">
        <f aca="false">IF(AND(ISNUMBER(M40),ISNUMBER(Z40)),IF(Z40&gt;=M40,(Z40-M40)*1440,""),"")</f>
        <v/>
      </c>
      <c r="AB40" s="57"/>
      <c r="AC40" s="56"/>
      <c r="AD40" s="58" t="str">
        <f aca="false">IF(AND(ISNUMBER(Z40),ISNUMBER(AC40)),IF(AC40&gt;=Z40,(AC40-Z40)*1440,""),"")</f>
        <v/>
      </c>
      <c r="AE40" s="54"/>
      <c r="AF40" s="54"/>
      <c r="AG40" s="54"/>
      <c r="AH40" s="58"/>
      <c r="AI40" s="55" t="n">
        <v>1</v>
      </c>
      <c r="AJ40" s="54" t="s">
        <v>216</v>
      </c>
      <c r="AK40" s="54" t="s">
        <v>212</v>
      </c>
    </row>
    <row r="41" customFormat="false" ht="15" hidden="false" customHeight="false" outlineLevel="0" collapsed="false">
      <c r="A41" s="54" t="s">
        <v>29</v>
      </c>
      <c r="B41" s="55" t="n">
        <v>864</v>
      </c>
      <c r="C41" s="54" t="s">
        <v>127</v>
      </c>
      <c r="D41" s="54" t="s">
        <v>212</v>
      </c>
      <c r="E41" s="54"/>
      <c r="F41" s="56" t="n">
        <v>46303.5882899306</v>
      </c>
      <c r="G41" s="54" t="s">
        <v>212</v>
      </c>
      <c r="H41" s="54" t="s">
        <v>214</v>
      </c>
      <c r="I41" s="57"/>
      <c r="J41" s="56"/>
      <c r="K41" s="56"/>
      <c r="L41" s="58" t="str">
        <f aca="false">IF(AND(ISNUMBER(J41),ISNUMBER(K41)),IF(K41&gt;=J41,(K41-J41)*1440,""),"")</f>
        <v/>
      </c>
      <c r="M41" s="56"/>
      <c r="N41" s="58" t="str">
        <f aca="false">IF(AND(ISNUMBER(J41),ISNUMBER(M41)),IF(M41&gt;=J41,(M41-J41)*1440,""),"")</f>
        <v/>
      </c>
      <c r="O41" s="54" t="str">
        <f aca="false">IF(N41="","",LOOKUP(N41,Tiempos!$A$6:$A$10,Tiempos!$B$6:$B$10))</f>
        <v/>
      </c>
      <c r="P41" s="54"/>
      <c r="Q41" s="54"/>
      <c r="R41" s="54"/>
      <c r="S41" s="54"/>
      <c r="T41" s="58"/>
      <c r="U41" s="54"/>
      <c r="V41" s="58"/>
      <c r="W41" s="57"/>
      <c r="X41" s="55"/>
      <c r="Y41" s="54"/>
      <c r="Z41" s="56"/>
      <c r="AA41" s="58" t="str">
        <f aca="false">IF(AND(ISNUMBER(M41),ISNUMBER(Z41)),IF(Z41&gt;=M41,(Z41-M41)*1440,""),"")</f>
        <v/>
      </c>
      <c r="AB41" s="57"/>
      <c r="AC41" s="56"/>
      <c r="AD41" s="58" t="str">
        <f aca="false">IF(AND(ISNUMBER(Z41),ISNUMBER(AC41)),IF(AC41&gt;=Z41,(AC41-Z41)*1440,""),"")</f>
        <v/>
      </c>
      <c r="AE41" s="54"/>
      <c r="AF41" s="54"/>
      <c r="AG41" s="54"/>
      <c r="AH41" s="58"/>
      <c r="AI41" s="55" t="n">
        <v>1</v>
      </c>
      <c r="AJ41" s="54" t="s">
        <v>216</v>
      </c>
      <c r="AK41" s="54" t="s">
        <v>212</v>
      </c>
    </row>
    <row r="42" customFormat="false" ht="15" hidden="false" customHeight="false" outlineLevel="0" collapsed="false">
      <c r="A42" s="54" t="s">
        <v>29</v>
      </c>
      <c r="B42" s="55" t="n">
        <v>877</v>
      </c>
      <c r="C42" s="54" t="s">
        <v>127</v>
      </c>
      <c r="D42" s="54" t="s">
        <v>212</v>
      </c>
      <c r="E42" s="54"/>
      <c r="F42" s="56" t="n">
        <v>46303.6087429861</v>
      </c>
      <c r="G42" s="54" t="s">
        <v>212</v>
      </c>
      <c r="H42" s="54" t="s">
        <v>214</v>
      </c>
      <c r="I42" s="57"/>
      <c r="J42" s="56"/>
      <c r="K42" s="56"/>
      <c r="L42" s="58" t="str">
        <f aca="false">IF(AND(ISNUMBER(J42),ISNUMBER(K42)),IF(K42&gt;=J42,(K42-J42)*1440,""),"")</f>
        <v/>
      </c>
      <c r="M42" s="56"/>
      <c r="N42" s="58" t="str">
        <f aca="false">IF(AND(ISNUMBER(J42),ISNUMBER(M42)),IF(M42&gt;=J42,(M42-J42)*1440,""),"")</f>
        <v/>
      </c>
      <c r="O42" s="54" t="str">
        <f aca="false">IF(N42="","",LOOKUP(N42,Tiempos!$A$6:$A$10,Tiempos!$B$6:$B$10))</f>
        <v/>
      </c>
      <c r="P42" s="54"/>
      <c r="Q42" s="54"/>
      <c r="R42" s="54"/>
      <c r="S42" s="54"/>
      <c r="T42" s="58"/>
      <c r="U42" s="54"/>
      <c r="V42" s="58"/>
      <c r="W42" s="57"/>
      <c r="X42" s="55"/>
      <c r="Y42" s="54"/>
      <c r="Z42" s="56"/>
      <c r="AA42" s="58" t="str">
        <f aca="false">IF(AND(ISNUMBER(M42),ISNUMBER(Z42)),IF(Z42&gt;=M42,(Z42-M42)*1440,""),"")</f>
        <v/>
      </c>
      <c r="AB42" s="57"/>
      <c r="AC42" s="56"/>
      <c r="AD42" s="58" t="str">
        <f aca="false">IF(AND(ISNUMBER(Z42),ISNUMBER(AC42)),IF(AC42&gt;=Z42,(AC42-Z42)*1440,""),"")</f>
        <v/>
      </c>
      <c r="AE42" s="54"/>
      <c r="AF42" s="54"/>
      <c r="AG42" s="54"/>
      <c r="AH42" s="58"/>
      <c r="AI42" s="55" t="n">
        <v>2</v>
      </c>
      <c r="AJ42" s="54" t="s">
        <v>216</v>
      </c>
      <c r="AK42" s="54" t="s">
        <v>212</v>
      </c>
    </row>
    <row r="43" customFormat="false" ht="15" hidden="false" customHeight="false" outlineLevel="0" collapsed="false">
      <c r="A43" s="54" t="s">
        <v>29</v>
      </c>
      <c r="B43" s="55" t="n">
        <v>909</v>
      </c>
      <c r="C43" s="54" t="s">
        <v>127</v>
      </c>
      <c r="D43" s="54" t="s">
        <v>212</v>
      </c>
      <c r="E43" s="54"/>
      <c r="F43" s="56" t="n">
        <v>46303.7505180093</v>
      </c>
      <c r="G43" s="54" t="s">
        <v>212</v>
      </c>
      <c r="H43" s="54" t="s">
        <v>212</v>
      </c>
      <c r="I43" s="57"/>
      <c r="J43" s="56"/>
      <c r="K43" s="56"/>
      <c r="L43" s="58" t="str">
        <f aca="false">IF(AND(ISNUMBER(J43),ISNUMBER(K43)),IF(K43&gt;=J43,(K43-J43)*1440,""),"")</f>
        <v/>
      </c>
      <c r="M43" s="56"/>
      <c r="N43" s="58" t="str">
        <f aca="false">IF(AND(ISNUMBER(J43),ISNUMBER(M43)),IF(M43&gt;=J43,(M43-J43)*1440,""),"")</f>
        <v/>
      </c>
      <c r="O43" s="54" t="str">
        <f aca="false">IF(N43="","",LOOKUP(N43,Tiempos!$A$6:$A$10,Tiempos!$B$6:$B$10))</f>
        <v/>
      </c>
      <c r="P43" s="54"/>
      <c r="Q43" s="54"/>
      <c r="R43" s="54"/>
      <c r="S43" s="54"/>
      <c r="T43" s="58"/>
      <c r="U43" s="54"/>
      <c r="V43" s="58"/>
      <c r="W43" s="57"/>
      <c r="X43" s="55"/>
      <c r="Y43" s="54"/>
      <c r="Z43" s="56"/>
      <c r="AA43" s="58" t="str">
        <f aca="false">IF(AND(ISNUMBER(M43),ISNUMBER(Z43)),IF(Z43&gt;=M43,(Z43-M43)*1440,""),"")</f>
        <v/>
      </c>
      <c r="AB43" s="57"/>
      <c r="AC43" s="56"/>
      <c r="AD43" s="58" t="str">
        <f aca="false">IF(AND(ISNUMBER(Z43),ISNUMBER(AC43)),IF(AC43&gt;=Z43,(AC43-Z43)*1440,""),"")</f>
        <v/>
      </c>
      <c r="AE43" s="54"/>
      <c r="AF43" s="54"/>
      <c r="AG43" s="54"/>
      <c r="AH43" s="58"/>
      <c r="AI43" s="55" t="n">
        <v>2</v>
      </c>
      <c r="AJ43" s="54" t="s">
        <v>216</v>
      </c>
      <c r="AK43" s="54" t="s">
        <v>212</v>
      </c>
    </row>
    <row r="44" customFormat="false" ht="15" hidden="false" customHeight="false" outlineLevel="0" collapsed="false">
      <c r="A44" s="54" t="s">
        <v>29</v>
      </c>
      <c r="B44" s="55" t="n">
        <v>925</v>
      </c>
      <c r="C44" s="54" t="s">
        <v>127</v>
      </c>
      <c r="D44" s="54" t="s">
        <v>212</v>
      </c>
      <c r="E44" s="54"/>
      <c r="F44" s="56" t="n">
        <v>46303.8366864815</v>
      </c>
      <c r="G44" s="54" t="s">
        <v>212</v>
      </c>
      <c r="H44" s="54" t="s">
        <v>212</v>
      </c>
      <c r="I44" s="57"/>
      <c r="J44" s="56"/>
      <c r="K44" s="56"/>
      <c r="L44" s="58" t="str">
        <f aca="false">IF(AND(ISNUMBER(J44),ISNUMBER(K44)),IF(K44&gt;=J44,(K44-J44)*1440,""),"")</f>
        <v/>
      </c>
      <c r="M44" s="56"/>
      <c r="N44" s="58" t="str">
        <f aca="false">IF(AND(ISNUMBER(J44),ISNUMBER(M44)),IF(M44&gt;=J44,(M44-J44)*1440,""),"")</f>
        <v/>
      </c>
      <c r="O44" s="54" t="str">
        <f aca="false">IF(N44="","",LOOKUP(N44,Tiempos!$A$6:$A$10,Tiempos!$B$6:$B$10))</f>
        <v/>
      </c>
      <c r="P44" s="54"/>
      <c r="Q44" s="54"/>
      <c r="R44" s="54"/>
      <c r="S44" s="54"/>
      <c r="T44" s="58"/>
      <c r="U44" s="54"/>
      <c r="V44" s="58"/>
      <c r="W44" s="57"/>
      <c r="X44" s="55"/>
      <c r="Y44" s="54"/>
      <c r="Z44" s="56"/>
      <c r="AA44" s="58" t="str">
        <f aca="false">IF(AND(ISNUMBER(M44),ISNUMBER(Z44)),IF(Z44&gt;=M44,(Z44-M44)*1440,""),"")</f>
        <v/>
      </c>
      <c r="AB44" s="57"/>
      <c r="AC44" s="56"/>
      <c r="AD44" s="58" t="str">
        <f aca="false">IF(AND(ISNUMBER(Z44),ISNUMBER(AC44)),IF(AC44&gt;=Z44,(AC44-Z44)*1440,""),"")</f>
        <v/>
      </c>
      <c r="AE44" s="54"/>
      <c r="AF44" s="54"/>
      <c r="AG44" s="54"/>
      <c r="AH44" s="58"/>
      <c r="AI44" s="55" t="n">
        <v>1</v>
      </c>
      <c r="AJ44" s="54" t="s">
        <v>216</v>
      </c>
      <c r="AK44" s="54" t="s">
        <v>212</v>
      </c>
    </row>
    <row r="45" customFormat="false" ht="15" hidden="false" customHeight="false" outlineLevel="0" collapsed="false">
      <c r="A45" s="54" t="s">
        <v>29</v>
      </c>
      <c r="B45" s="55" t="n">
        <v>960</v>
      </c>
      <c r="C45" s="54" t="s">
        <v>127</v>
      </c>
      <c r="D45" s="54" t="s">
        <v>212</v>
      </c>
      <c r="E45" s="54"/>
      <c r="F45" s="56" t="n">
        <v>46304.028238206</v>
      </c>
      <c r="G45" s="54" t="s">
        <v>214</v>
      </c>
      <c r="H45" s="54" t="s">
        <v>212</v>
      </c>
      <c r="I45" s="57"/>
      <c r="J45" s="56"/>
      <c r="K45" s="56"/>
      <c r="L45" s="58" t="str">
        <f aca="false">IF(AND(ISNUMBER(J45),ISNUMBER(K45)),IF(K45&gt;=J45,(K45-J45)*1440,""),"")</f>
        <v/>
      </c>
      <c r="M45" s="56"/>
      <c r="N45" s="58" t="str">
        <f aca="false">IF(AND(ISNUMBER(J45),ISNUMBER(M45)),IF(M45&gt;=J45,(M45-J45)*1440,""),"")</f>
        <v/>
      </c>
      <c r="O45" s="54" t="str">
        <f aca="false">IF(N45="","",LOOKUP(N45,Tiempos!$A$6:$A$10,Tiempos!$B$6:$B$10))</f>
        <v/>
      </c>
      <c r="P45" s="54"/>
      <c r="Q45" s="54"/>
      <c r="R45" s="54"/>
      <c r="S45" s="54"/>
      <c r="T45" s="58"/>
      <c r="U45" s="54"/>
      <c r="V45" s="58"/>
      <c r="W45" s="57"/>
      <c r="X45" s="55"/>
      <c r="Y45" s="54"/>
      <c r="Z45" s="56"/>
      <c r="AA45" s="58" t="str">
        <f aca="false">IF(AND(ISNUMBER(M45),ISNUMBER(Z45)),IF(Z45&gt;=M45,(Z45-M45)*1440,""),"")</f>
        <v/>
      </c>
      <c r="AB45" s="57"/>
      <c r="AC45" s="56"/>
      <c r="AD45" s="58" t="str">
        <f aca="false">IF(AND(ISNUMBER(Z45),ISNUMBER(AC45)),IF(AC45&gt;=Z45,(AC45-Z45)*1440,""),"")</f>
        <v/>
      </c>
      <c r="AE45" s="54"/>
      <c r="AF45" s="54"/>
      <c r="AG45" s="54"/>
      <c r="AH45" s="58"/>
      <c r="AI45" s="55" t="n">
        <v>1</v>
      </c>
      <c r="AJ45" s="54" t="s">
        <v>216</v>
      </c>
      <c r="AK45" s="54" t="s">
        <v>212</v>
      </c>
    </row>
    <row r="46" customFormat="false" ht="15" hidden="false" customHeight="false" outlineLevel="0" collapsed="false">
      <c r="A46" s="54" t="s">
        <v>29</v>
      </c>
      <c r="B46" s="55" t="n">
        <v>992</v>
      </c>
      <c r="C46" s="54" t="s">
        <v>127</v>
      </c>
      <c r="D46" s="54" t="s">
        <v>214</v>
      </c>
      <c r="E46" s="54" t="s">
        <v>233</v>
      </c>
      <c r="F46" s="56" t="n">
        <v>46304.3480419907</v>
      </c>
      <c r="G46" s="54" t="s">
        <v>212</v>
      </c>
      <c r="H46" s="54" t="s">
        <v>214</v>
      </c>
      <c r="I46" s="57" t="s">
        <v>264</v>
      </c>
      <c r="J46" s="56" t="n">
        <v>46304.3507676505</v>
      </c>
      <c r="K46" s="56" t="n">
        <v>46304.3514077315</v>
      </c>
      <c r="L46" s="58" t="n">
        <f aca="false">IF(AND(ISNUMBER(J46),ISNUMBER(K46)),IF(K46&gt;=J46,(K46-J46)*1440,""),"")</f>
        <v>0.92171667375</v>
      </c>
      <c r="M46" s="56" t="n">
        <v>46304.3548437616</v>
      </c>
      <c r="N46" s="58" t="n">
        <f aca="false">IF(AND(ISNUMBER(J46),ISNUMBER(M46)),IF(M46&gt;=J46,(M46-J46)*1440,""),"")</f>
        <v>5.86960001731667</v>
      </c>
      <c r="O46" s="54" t="str">
        <f aca="false">IF(N46="","",LOOKUP(N46,Tiempos!$A$6:$A$10,Tiempos!$B$6:$B$10))</f>
        <v>4 a 6 min</v>
      </c>
      <c r="P46" s="54" t="s">
        <v>229</v>
      </c>
      <c r="Q46" s="54" t="s">
        <v>214</v>
      </c>
      <c r="R46" s="54" t="s">
        <v>130</v>
      </c>
      <c r="S46" s="54" t="s">
        <v>215</v>
      </c>
      <c r="T46" s="58" t="n">
        <v>105</v>
      </c>
      <c r="U46" s="54" t="s">
        <v>214</v>
      </c>
      <c r="V46" s="58" t="n">
        <v>4.95</v>
      </c>
      <c r="W46" s="57" t="s">
        <v>265</v>
      </c>
      <c r="X46" s="55" t="n">
        <v>2</v>
      </c>
      <c r="Y46" s="54" t="s">
        <v>212</v>
      </c>
      <c r="Z46" s="56"/>
      <c r="AA46" s="58" t="str">
        <f aca="false">IF(AND(ISNUMBER(M46),ISNUMBER(Z46)),IF(Z46&gt;=M46,(Z46-M46)*1440,""),"")</f>
        <v/>
      </c>
      <c r="AB46" s="57"/>
      <c r="AC46" s="56"/>
      <c r="AD46" s="58" t="str">
        <f aca="false">IF(AND(ISNUMBER(Z46),ISNUMBER(AC46)),IF(AC46&gt;=Z46,(AC46-Z46)*1440,""),"")</f>
        <v/>
      </c>
      <c r="AE46" s="54"/>
      <c r="AF46" s="54" t="s">
        <v>214</v>
      </c>
      <c r="AG46" s="54"/>
      <c r="AH46" s="58"/>
      <c r="AI46" s="55" t="n">
        <v>2</v>
      </c>
      <c r="AJ46" s="54" t="s">
        <v>216</v>
      </c>
      <c r="AK46" s="54" t="s">
        <v>212</v>
      </c>
    </row>
    <row r="47" customFormat="false" ht="15" hidden="false" customHeight="false" outlineLevel="0" collapsed="false">
      <c r="A47" s="54" t="s">
        <v>29</v>
      </c>
      <c r="B47" s="55" t="n">
        <v>1008</v>
      </c>
      <c r="C47" s="54" t="s">
        <v>127</v>
      </c>
      <c r="D47" s="54" t="s">
        <v>212</v>
      </c>
      <c r="E47" s="54"/>
      <c r="F47" s="56" t="n">
        <v>46304.4511918519</v>
      </c>
      <c r="G47" s="54" t="s">
        <v>212</v>
      </c>
      <c r="H47" s="54" t="s">
        <v>212</v>
      </c>
      <c r="I47" s="57"/>
      <c r="J47" s="56"/>
      <c r="K47" s="56"/>
      <c r="L47" s="58" t="str">
        <f aca="false">IF(AND(ISNUMBER(J47),ISNUMBER(K47)),IF(K47&gt;=J47,(K47-J47)*1440,""),"")</f>
        <v/>
      </c>
      <c r="M47" s="56"/>
      <c r="N47" s="58" t="str">
        <f aca="false">IF(AND(ISNUMBER(J47),ISNUMBER(M47)),IF(M47&gt;=J47,(M47-J47)*1440,""),"")</f>
        <v/>
      </c>
      <c r="O47" s="54" t="str">
        <f aca="false">IF(N47="","",LOOKUP(N47,Tiempos!$A$6:$A$10,Tiempos!$B$6:$B$10))</f>
        <v/>
      </c>
      <c r="P47" s="54"/>
      <c r="Q47" s="54"/>
      <c r="R47" s="54"/>
      <c r="S47" s="54"/>
      <c r="T47" s="58"/>
      <c r="U47" s="54"/>
      <c r="V47" s="58"/>
      <c r="W47" s="57"/>
      <c r="X47" s="55"/>
      <c r="Y47" s="54"/>
      <c r="Z47" s="56"/>
      <c r="AA47" s="58" t="str">
        <f aca="false">IF(AND(ISNUMBER(M47),ISNUMBER(Z47)),IF(Z47&gt;=M47,(Z47-M47)*1440,""),"")</f>
        <v/>
      </c>
      <c r="AB47" s="57"/>
      <c r="AC47" s="56"/>
      <c r="AD47" s="58" t="str">
        <f aca="false">IF(AND(ISNUMBER(Z47),ISNUMBER(AC47)),IF(AC47&gt;=Z47,(AC47-Z47)*1440,""),"")</f>
        <v/>
      </c>
      <c r="AE47" s="54"/>
      <c r="AF47" s="54"/>
      <c r="AG47" s="54"/>
      <c r="AH47" s="58"/>
      <c r="AI47" s="55" t="n">
        <v>1</v>
      </c>
      <c r="AJ47" s="54" t="s">
        <v>216</v>
      </c>
      <c r="AK47" s="54" t="s">
        <v>212</v>
      </c>
    </row>
    <row r="48" customFormat="false" ht="15" hidden="false" customHeight="false" outlineLevel="0" collapsed="false">
      <c r="A48" s="54" t="s">
        <v>29</v>
      </c>
      <c r="B48" s="55" t="n">
        <v>1018</v>
      </c>
      <c r="C48" s="54" t="s">
        <v>127</v>
      </c>
      <c r="D48" s="54" t="s">
        <v>214</v>
      </c>
      <c r="E48" s="54" t="s">
        <v>224</v>
      </c>
      <c r="F48" s="56" t="n">
        <v>46304.4696384259</v>
      </c>
      <c r="G48" s="54" t="s">
        <v>212</v>
      </c>
      <c r="H48" s="54" t="s">
        <v>214</v>
      </c>
      <c r="I48" s="57" t="s">
        <v>266</v>
      </c>
      <c r="J48" s="56" t="n">
        <v>46304.4705007292</v>
      </c>
      <c r="K48" s="56" t="n">
        <v>46304.4732311458</v>
      </c>
      <c r="L48" s="58" t="n">
        <f aca="false">IF(AND(ISNUMBER(J48),ISNUMBER(K48)),IF(K48&gt;=J48,(K48-J48)*1440,""),"")</f>
        <v>3.93180001875</v>
      </c>
      <c r="M48" s="56" t="n">
        <v>46304.475411956</v>
      </c>
      <c r="N48" s="58" t="n">
        <f aca="false">IF(AND(ISNUMBER(J48),ISNUMBER(M48)),IF(M48&gt;=J48,(M48-J48)*1440,""),"")</f>
        <v>7.07216666893333</v>
      </c>
      <c r="O48" s="54" t="str">
        <f aca="false">IF(N48="","",LOOKUP(N48,Tiempos!$A$6:$A$10,Tiempos!$B$6:$B$10))</f>
        <v>6 a 10 min</v>
      </c>
      <c r="P48" s="54" t="s">
        <v>229</v>
      </c>
      <c r="Q48" s="54" t="s">
        <v>214</v>
      </c>
      <c r="R48" s="54" t="s">
        <v>127</v>
      </c>
      <c r="S48" s="54" t="s">
        <v>220</v>
      </c>
      <c r="T48" s="58" t="n">
        <v>107.3</v>
      </c>
      <c r="U48" s="54" t="s">
        <v>214</v>
      </c>
      <c r="V48" s="58" t="n">
        <v>3.14</v>
      </c>
      <c r="W48" s="57" t="s">
        <v>267</v>
      </c>
      <c r="X48" s="55" t="n">
        <v>2</v>
      </c>
      <c r="Y48" s="54" t="s">
        <v>214</v>
      </c>
      <c r="Z48" s="56" t="n">
        <v>46304.4775663195</v>
      </c>
      <c r="AA48" s="58" t="n">
        <f aca="false">IF(AND(ISNUMBER(M48),ISNUMBER(Z48)),IF(Z48&gt;=M48,(Z48-M48)*1440,""),"")</f>
        <v>3.10228334738333</v>
      </c>
      <c r="AB48" s="57" t="s">
        <v>268</v>
      </c>
      <c r="AC48" s="56" t="n">
        <v>46304.4792837153</v>
      </c>
      <c r="AD48" s="58" t="n">
        <f aca="false">IF(AND(ISNUMBER(Z48),ISNUMBER(AC48)),IF(AC48&gt;=Z48,(AC48-Z48)*1440,""),"")</f>
        <v>2.4730499892</v>
      </c>
      <c r="AE48" s="54" t="s">
        <v>232</v>
      </c>
      <c r="AF48" s="54" t="s">
        <v>214</v>
      </c>
      <c r="AG48" s="54" t="s">
        <v>214</v>
      </c>
      <c r="AH48" s="58" t="n">
        <v>4.2</v>
      </c>
      <c r="AI48" s="55" t="n">
        <v>6</v>
      </c>
      <c r="AJ48" s="54" t="s">
        <v>216</v>
      </c>
      <c r="AK48" s="54" t="s">
        <v>212</v>
      </c>
    </row>
    <row r="49" customFormat="false" ht="15" hidden="false" customHeight="false" outlineLevel="0" collapsed="false">
      <c r="A49" s="54" t="s">
        <v>29</v>
      </c>
      <c r="B49" s="55" t="n">
        <v>1037</v>
      </c>
      <c r="C49" s="54" t="s">
        <v>127</v>
      </c>
      <c r="D49" s="54" t="s">
        <v>211</v>
      </c>
      <c r="E49" s="54"/>
      <c r="F49" s="56" t="n">
        <v>46304.5363413426</v>
      </c>
      <c r="G49" s="54" t="s">
        <v>212</v>
      </c>
      <c r="H49" s="54" t="s">
        <v>212</v>
      </c>
      <c r="I49" s="57" t="s">
        <v>269</v>
      </c>
      <c r="J49" s="56" t="n">
        <v>46304.5369202546</v>
      </c>
      <c r="K49" s="56" t="n">
        <v>46304.5377263889</v>
      </c>
      <c r="L49" s="58" t="n">
        <f aca="false">IF(AND(ISNUMBER(J49),ISNUMBER(K49)),IF(K49&gt;=J49,(K49-J49)*1440,""),"")</f>
        <v>1.16083333385</v>
      </c>
      <c r="M49" s="56" t="n">
        <v>46304.5377263889</v>
      </c>
      <c r="N49" s="58" t="n">
        <f aca="false">IF(AND(ISNUMBER(J49),ISNUMBER(M49)),IF(M49&gt;=J49,(M49-J49)*1440,""),"")</f>
        <v>1.16083333385</v>
      </c>
      <c r="O49" s="54" t="str">
        <f aca="false">IF(N49="","",LOOKUP(N49,Tiempos!$A$6:$A$10,Tiempos!$B$6:$B$10))</f>
        <v>Menos de 4 min</v>
      </c>
      <c r="P49" s="54" t="s">
        <v>226</v>
      </c>
      <c r="Q49" s="54" t="s">
        <v>212</v>
      </c>
      <c r="R49" s="54" t="s">
        <v>127</v>
      </c>
      <c r="S49" s="54" t="s">
        <v>220</v>
      </c>
      <c r="T49" s="58"/>
      <c r="U49" s="54"/>
      <c r="V49" s="58"/>
      <c r="W49" s="57"/>
      <c r="X49" s="55" t="n">
        <v>0</v>
      </c>
      <c r="Y49" s="54" t="s">
        <v>214</v>
      </c>
      <c r="Z49" s="56" t="n">
        <v>46304.5395383796</v>
      </c>
      <c r="AA49" s="58" t="n">
        <f aca="false">IF(AND(ISNUMBER(M49),ISNUMBER(Z49)),IF(Z49&gt;=M49,(Z49-M49)*1440,""),"")</f>
        <v>2.60926666551667</v>
      </c>
      <c r="AB49" s="57" t="s">
        <v>270</v>
      </c>
      <c r="AC49" s="56" t="n">
        <v>46304.5435398264</v>
      </c>
      <c r="AD49" s="58" t="n">
        <f aca="false">IF(AND(ISNUMBER(Z49),ISNUMBER(AC49)),IF(AC49&gt;=Z49,(AC49-Z49)*1440,""),"")</f>
        <v>5.76208333368333</v>
      </c>
      <c r="AE49" s="54" t="s">
        <v>232</v>
      </c>
      <c r="AF49" s="54" t="s">
        <v>214</v>
      </c>
      <c r="AG49" s="54" t="s">
        <v>214</v>
      </c>
      <c r="AH49" s="58" t="n">
        <v>1.9</v>
      </c>
      <c r="AI49" s="55" t="n">
        <v>2</v>
      </c>
      <c r="AJ49" s="54" t="s">
        <v>216</v>
      </c>
      <c r="AK49" s="54" t="s">
        <v>212</v>
      </c>
    </row>
    <row r="50" customFormat="false" ht="15" hidden="false" customHeight="false" outlineLevel="0" collapsed="false">
      <c r="A50" s="54" t="s">
        <v>29</v>
      </c>
      <c r="B50" s="55" t="n">
        <v>1038</v>
      </c>
      <c r="C50" s="54" t="s">
        <v>127</v>
      </c>
      <c r="D50" s="54" t="s">
        <v>212</v>
      </c>
      <c r="E50" s="54"/>
      <c r="F50" s="56" t="n">
        <v>46304.5667141088</v>
      </c>
      <c r="G50" s="54" t="s">
        <v>212</v>
      </c>
      <c r="H50" s="54" t="s">
        <v>214</v>
      </c>
      <c r="I50" s="57"/>
      <c r="J50" s="56"/>
      <c r="K50" s="56"/>
      <c r="L50" s="58" t="str">
        <f aca="false">IF(AND(ISNUMBER(J50),ISNUMBER(K50)),IF(K50&gt;=J50,(K50-J50)*1440,""),"")</f>
        <v/>
      </c>
      <c r="M50" s="56"/>
      <c r="N50" s="58" t="str">
        <f aca="false">IF(AND(ISNUMBER(J50),ISNUMBER(M50)),IF(M50&gt;=J50,(M50-J50)*1440,""),"")</f>
        <v/>
      </c>
      <c r="O50" s="54" t="str">
        <f aca="false">IF(N50="","",LOOKUP(N50,Tiempos!$A$6:$A$10,Tiempos!$B$6:$B$10))</f>
        <v/>
      </c>
      <c r="P50" s="54"/>
      <c r="Q50" s="54"/>
      <c r="R50" s="54"/>
      <c r="S50" s="54"/>
      <c r="T50" s="58"/>
      <c r="U50" s="54"/>
      <c r="V50" s="58"/>
      <c r="W50" s="57"/>
      <c r="X50" s="55"/>
      <c r="Y50" s="54"/>
      <c r="Z50" s="56"/>
      <c r="AA50" s="58" t="str">
        <f aca="false">IF(AND(ISNUMBER(M50),ISNUMBER(Z50)),IF(Z50&gt;=M50,(Z50-M50)*1440,""),"")</f>
        <v/>
      </c>
      <c r="AB50" s="57"/>
      <c r="AC50" s="56"/>
      <c r="AD50" s="58" t="str">
        <f aca="false">IF(AND(ISNUMBER(Z50),ISNUMBER(AC50)),IF(AC50&gt;=Z50,(AC50-Z50)*1440,""),"")</f>
        <v/>
      </c>
      <c r="AE50" s="54"/>
      <c r="AF50" s="54"/>
      <c r="AG50" s="54"/>
      <c r="AH50" s="58"/>
      <c r="AI50" s="55" t="n">
        <v>1</v>
      </c>
      <c r="AJ50" s="54" t="s">
        <v>216</v>
      </c>
      <c r="AK50" s="54" t="s">
        <v>212</v>
      </c>
    </row>
    <row r="51" customFormat="false" ht="15" hidden="false" customHeight="false" outlineLevel="0" collapsed="false">
      <c r="A51" s="54" t="s">
        <v>29</v>
      </c>
      <c r="B51" s="55" t="n">
        <v>1075</v>
      </c>
      <c r="C51" s="54" t="s">
        <v>128</v>
      </c>
      <c r="D51" s="54" t="s">
        <v>214</v>
      </c>
      <c r="E51" s="54" t="s">
        <v>233</v>
      </c>
      <c r="F51" s="56" t="n">
        <v>46304.7137003935</v>
      </c>
      <c r="G51" s="54" t="s">
        <v>212</v>
      </c>
      <c r="H51" s="54" t="s">
        <v>214</v>
      </c>
      <c r="I51" s="57" t="s">
        <v>271</v>
      </c>
      <c r="J51" s="56" t="n">
        <v>46304.7146162963</v>
      </c>
      <c r="K51" s="56" t="n">
        <v>46304.7176565741</v>
      </c>
      <c r="L51" s="58" t="n">
        <f aca="false">IF(AND(ISNUMBER(J51),ISNUMBER(K51)),IF(K51&gt;=J51,(K51-J51)*1440,""),"")</f>
        <v>4.3779999786</v>
      </c>
      <c r="M51" s="56" t="n">
        <v>46304.7176565741</v>
      </c>
      <c r="N51" s="58" t="n">
        <f aca="false">IF(AND(ISNUMBER(J51),ISNUMBER(M51)),IF(M51&gt;=J51,(M51-J51)*1440,""),"")</f>
        <v>4.3779999786</v>
      </c>
      <c r="O51" s="54" t="str">
        <f aca="false">IF(N51="","",LOOKUP(N51,Tiempos!$A$6:$A$10,Tiempos!$B$6:$B$10))</f>
        <v>4 a 6 min</v>
      </c>
      <c r="P51" s="54" t="s">
        <v>272</v>
      </c>
      <c r="Q51" s="54" t="s">
        <v>214</v>
      </c>
      <c r="R51" s="54" t="s">
        <v>128</v>
      </c>
      <c r="S51" s="54" t="s">
        <v>220</v>
      </c>
      <c r="T51" s="58" t="n">
        <v>91.2</v>
      </c>
      <c r="U51" s="54" t="s">
        <v>214</v>
      </c>
      <c r="V51" s="58"/>
      <c r="W51" s="57" t="s">
        <v>273</v>
      </c>
      <c r="X51" s="55" t="n">
        <v>3</v>
      </c>
      <c r="Y51" s="54" t="s">
        <v>212</v>
      </c>
      <c r="Z51" s="56"/>
      <c r="AA51" s="58" t="str">
        <f aca="false">IF(AND(ISNUMBER(M51),ISNUMBER(Z51)),IF(Z51&gt;=M51,(Z51-M51)*1440,""),"")</f>
        <v/>
      </c>
      <c r="AB51" s="57"/>
      <c r="AC51" s="56"/>
      <c r="AD51" s="58" t="str">
        <f aca="false">IF(AND(ISNUMBER(Z51),ISNUMBER(AC51)),IF(AC51&gt;=Z51,(AC51-Z51)*1440,""),"")</f>
        <v/>
      </c>
      <c r="AE51" s="54"/>
      <c r="AF51" s="54" t="s">
        <v>214</v>
      </c>
      <c r="AG51" s="54"/>
      <c r="AH51" s="58"/>
      <c r="AI51" s="55" t="n">
        <v>2</v>
      </c>
      <c r="AJ51" s="54" t="s">
        <v>216</v>
      </c>
      <c r="AK51" s="54" t="s">
        <v>212</v>
      </c>
    </row>
    <row r="52" customFormat="false" ht="15" hidden="false" customHeight="false" outlineLevel="0" collapsed="false">
      <c r="A52" s="54" t="s">
        <v>29</v>
      </c>
      <c r="B52" s="55" t="n">
        <v>1086</v>
      </c>
      <c r="C52" s="54" t="s">
        <v>127</v>
      </c>
      <c r="D52" s="54" t="s">
        <v>212</v>
      </c>
      <c r="E52" s="54"/>
      <c r="F52" s="56" t="n">
        <v>46304.7603932639</v>
      </c>
      <c r="G52" s="54" t="s">
        <v>212</v>
      </c>
      <c r="H52" s="54" t="s">
        <v>212</v>
      </c>
      <c r="I52" s="57"/>
      <c r="J52" s="56"/>
      <c r="K52" s="56"/>
      <c r="L52" s="58" t="str">
        <f aca="false">IF(AND(ISNUMBER(J52),ISNUMBER(K52)),IF(K52&gt;=J52,(K52-J52)*1440,""),"")</f>
        <v/>
      </c>
      <c r="M52" s="56"/>
      <c r="N52" s="58" t="str">
        <f aca="false">IF(AND(ISNUMBER(J52),ISNUMBER(M52)),IF(M52&gt;=J52,(M52-J52)*1440,""),"")</f>
        <v/>
      </c>
      <c r="O52" s="54" t="str">
        <f aca="false">IF(N52="","",LOOKUP(N52,Tiempos!$A$6:$A$10,Tiempos!$B$6:$B$10))</f>
        <v/>
      </c>
      <c r="P52" s="54"/>
      <c r="Q52" s="54"/>
      <c r="R52" s="54"/>
      <c r="S52" s="54"/>
      <c r="T52" s="58"/>
      <c r="U52" s="54"/>
      <c r="V52" s="58"/>
      <c r="W52" s="57"/>
      <c r="X52" s="55"/>
      <c r="Y52" s="54"/>
      <c r="Z52" s="56"/>
      <c r="AA52" s="58" t="str">
        <f aca="false">IF(AND(ISNUMBER(M52),ISNUMBER(Z52)),IF(Z52&gt;=M52,(Z52-M52)*1440,""),"")</f>
        <v/>
      </c>
      <c r="AB52" s="57"/>
      <c r="AC52" s="56"/>
      <c r="AD52" s="58" t="str">
        <f aca="false">IF(AND(ISNUMBER(Z52),ISNUMBER(AC52)),IF(AC52&gt;=Z52,(AC52-Z52)*1440,""),"")</f>
        <v/>
      </c>
      <c r="AE52" s="54"/>
      <c r="AF52" s="54"/>
      <c r="AG52" s="54"/>
      <c r="AH52" s="58"/>
      <c r="AI52" s="55" t="n">
        <v>1</v>
      </c>
      <c r="AJ52" s="54" t="s">
        <v>216</v>
      </c>
      <c r="AK52" s="54" t="s">
        <v>212</v>
      </c>
    </row>
    <row r="53" customFormat="false" ht="15" hidden="false" customHeight="false" outlineLevel="0" collapsed="false">
      <c r="A53" s="54" t="s">
        <v>29</v>
      </c>
      <c r="B53" s="55" t="n">
        <v>1113</v>
      </c>
      <c r="C53" s="54" t="s">
        <v>128</v>
      </c>
      <c r="D53" s="54" t="s">
        <v>214</v>
      </c>
      <c r="E53" s="54" t="s">
        <v>217</v>
      </c>
      <c r="F53" s="56" t="n">
        <v>46304.8788539931</v>
      </c>
      <c r="G53" s="54" t="s">
        <v>212</v>
      </c>
      <c r="H53" s="54" t="s">
        <v>214</v>
      </c>
      <c r="I53" s="57" t="s">
        <v>274</v>
      </c>
      <c r="J53" s="56" t="n">
        <v>46304.8796113542</v>
      </c>
      <c r="K53" s="56" t="n">
        <v>46304.8810756829</v>
      </c>
      <c r="L53" s="58" t="n">
        <f aca="false">IF(AND(ISNUMBER(J53),ISNUMBER(K53)),IF(K53&gt;=J53,(K53-J53)*1440,""),"")</f>
        <v>2.10863332728333</v>
      </c>
      <c r="M53" s="56" t="n">
        <v>46304.8810756829</v>
      </c>
      <c r="N53" s="58" t="n">
        <f aca="false">IF(AND(ISNUMBER(J53),ISNUMBER(M53)),IF(M53&gt;=J53,(M53-J53)*1440,""),"")</f>
        <v>2.10863332728333</v>
      </c>
      <c r="O53" s="54" t="str">
        <f aca="false">IF(N53="","",LOOKUP(N53,Tiempos!$A$6:$A$10,Tiempos!$B$6:$B$10))</f>
        <v>Menos de 4 min</v>
      </c>
      <c r="P53" s="54" t="s">
        <v>272</v>
      </c>
      <c r="Q53" s="54" t="s">
        <v>214</v>
      </c>
      <c r="R53" s="54" t="s">
        <v>128</v>
      </c>
      <c r="S53" s="54" t="s">
        <v>220</v>
      </c>
      <c r="T53" s="58" t="n">
        <v>77.8</v>
      </c>
      <c r="U53" s="54" t="s">
        <v>214</v>
      </c>
      <c r="V53" s="58"/>
      <c r="W53" s="57" t="s">
        <v>275</v>
      </c>
      <c r="X53" s="55" t="n">
        <v>3</v>
      </c>
      <c r="Y53" s="54" t="s">
        <v>214</v>
      </c>
      <c r="Z53" s="56" t="n">
        <v>46304.8821697222</v>
      </c>
      <c r="AA53" s="58" t="n">
        <f aca="false">IF(AND(ISNUMBER(M53),ISNUMBER(Z53)),IF(Z53&gt;=M53,(Z53-M53)*1440,""),"")</f>
        <v>1.5754166711</v>
      </c>
      <c r="AB53" s="57" t="s">
        <v>276</v>
      </c>
      <c r="AC53" s="56" t="n">
        <v>46304.8825018866</v>
      </c>
      <c r="AD53" s="58" t="n">
        <f aca="false">IF(AND(ISNUMBER(Z53),ISNUMBER(AC53)),IF(AC53&gt;=Z53,(AC53-Z53)*1440,""),"")</f>
        <v>0.478316678183333</v>
      </c>
      <c r="AE53" s="54" t="s">
        <v>277</v>
      </c>
      <c r="AF53" s="54" t="s">
        <v>214</v>
      </c>
      <c r="AG53" s="54" t="s">
        <v>214</v>
      </c>
      <c r="AH53" s="58" t="n">
        <v>4</v>
      </c>
      <c r="AI53" s="55" t="n">
        <v>2</v>
      </c>
      <c r="AJ53" s="54" t="s">
        <v>210</v>
      </c>
      <c r="AK53" s="54" t="s">
        <v>214</v>
      </c>
    </row>
    <row r="54" customFormat="false" ht="15" hidden="false" customHeight="false" outlineLevel="0" collapsed="false">
      <c r="A54" s="54" t="s">
        <v>29</v>
      </c>
      <c r="B54" s="55" t="n">
        <v>1134</v>
      </c>
      <c r="C54" s="54" t="s">
        <v>128</v>
      </c>
      <c r="D54" s="54" t="s">
        <v>214</v>
      </c>
      <c r="E54" s="54" t="s">
        <v>278</v>
      </c>
      <c r="F54" s="56" t="n">
        <v>46305.3295611343</v>
      </c>
      <c r="G54" s="54" t="s">
        <v>214</v>
      </c>
      <c r="H54" s="54" t="s">
        <v>212</v>
      </c>
      <c r="I54" s="57" t="s">
        <v>279</v>
      </c>
      <c r="J54" s="56" t="n">
        <v>46305.3308816667</v>
      </c>
      <c r="K54" s="56" t="n">
        <v>46305.3526573958</v>
      </c>
      <c r="L54" s="58" t="n">
        <f aca="false">IF(AND(ISNUMBER(J54),ISNUMBER(K54)),IF(K54&gt;=J54,(K54-J54)*1440,""),"")</f>
        <v>31.3570499920667</v>
      </c>
      <c r="M54" s="56" t="n">
        <v>46305.354963206</v>
      </c>
      <c r="N54" s="58" t="n">
        <f aca="false">IF(AND(ISNUMBER(J54),ISNUMBER(M54)),IF(M54&gt;=J54,(M54-J54)*1440,""),"")</f>
        <v>34.6774166612833</v>
      </c>
      <c r="O54" s="54" t="str">
        <f aca="false">IF(N54="","",LOOKUP(N54,Tiempos!$A$6:$A$10,Tiempos!$B$6:$B$10))</f>
        <v>30 min o más</v>
      </c>
      <c r="P54" s="54" t="s">
        <v>229</v>
      </c>
      <c r="Q54" s="54" t="s">
        <v>214</v>
      </c>
      <c r="R54" s="54" t="s">
        <v>130</v>
      </c>
      <c r="S54" s="54" t="s">
        <v>215</v>
      </c>
      <c r="T54" s="58" t="n">
        <v>98.3</v>
      </c>
      <c r="U54" s="54" t="s">
        <v>212</v>
      </c>
      <c r="V54" s="58" t="n">
        <v>3.32</v>
      </c>
      <c r="W54" s="57" t="s">
        <v>280</v>
      </c>
      <c r="X54" s="55" t="n">
        <v>2</v>
      </c>
      <c r="Y54" s="54" t="s">
        <v>214</v>
      </c>
      <c r="Z54" s="56" t="n">
        <v>46305.3581585764</v>
      </c>
      <c r="AA54" s="58" t="n">
        <f aca="false">IF(AND(ISNUMBER(M54),ISNUMBER(Z54)),IF(Z54&gt;=M54,(Z54-M54)*1440,""),"")</f>
        <v>4.6013333369</v>
      </c>
      <c r="AB54" s="57" t="s">
        <v>281</v>
      </c>
      <c r="AC54" s="56" t="n">
        <v>46305.359803125</v>
      </c>
      <c r="AD54" s="58" t="n">
        <f aca="false">IF(AND(ISNUMBER(Z54),ISNUMBER(AC54)),IF(AC54&gt;=Z54,(AC54-Z54)*1440,""),"")</f>
        <v>2.36814999951667</v>
      </c>
      <c r="AE54" s="54" t="s">
        <v>237</v>
      </c>
      <c r="AF54" s="54" t="s">
        <v>212</v>
      </c>
      <c r="AG54" s="54" t="s">
        <v>212</v>
      </c>
      <c r="AH54" s="58"/>
      <c r="AI54" s="55" t="n">
        <v>4</v>
      </c>
      <c r="AJ54" s="54" t="s">
        <v>216</v>
      </c>
      <c r="AK54" s="54" t="s">
        <v>212</v>
      </c>
    </row>
    <row r="55" customFormat="false" ht="15" hidden="false" customHeight="false" outlineLevel="0" collapsed="false">
      <c r="A55" s="54" t="s">
        <v>29</v>
      </c>
      <c r="B55" s="55" t="n">
        <v>1136</v>
      </c>
      <c r="C55" s="54" t="s">
        <v>128</v>
      </c>
      <c r="D55" s="54" t="s">
        <v>212</v>
      </c>
      <c r="E55" s="54"/>
      <c r="F55" s="56" t="n">
        <v>46305.3300901505</v>
      </c>
      <c r="G55" s="54" t="s">
        <v>214</v>
      </c>
      <c r="H55" s="54" t="s">
        <v>212</v>
      </c>
      <c r="I55" s="57"/>
      <c r="J55" s="56"/>
      <c r="K55" s="56"/>
      <c r="L55" s="58" t="str">
        <f aca="false">IF(AND(ISNUMBER(J55),ISNUMBER(K55)),IF(K55&gt;=J55,(K55-J55)*1440,""),"")</f>
        <v/>
      </c>
      <c r="M55" s="56"/>
      <c r="N55" s="58" t="str">
        <f aca="false">IF(AND(ISNUMBER(J55),ISNUMBER(M55)),IF(M55&gt;=J55,(M55-J55)*1440,""),"")</f>
        <v/>
      </c>
      <c r="O55" s="54" t="str">
        <f aca="false">IF(N55="","",LOOKUP(N55,Tiempos!$A$6:$A$10,Tiempos!$B$6:$B$10))</f>
        <v/>
      </c>
      <c r="P55" s="54"/>
      <c r="Q55" s="54"/>
      <c r="R55" s="54"/>
      <c r="S55" s="54"/>
      <c r="T55" s="58"/>
      <c r="U55" s="54"/>
      <c r="V55" s="58"/>
      <c r="W55" s="57"/>
      <c r="X55" s="55"/>
      <c r="Y55" s="54"/>
      <c r="Z55" s="56"/>
      <c r="AA55" s="58" t="str">
        <f aca="false">IF(AND(ISNUMBER(M55),ISNUMBER(Z55)),IF(Z55&gt;=M55,(Z55-M55)*1440,""),"")</f>
        <v/>
      </c>
      <c r="AB55" s="57"/>
      <c r="AC55" s="56"/>
      <c r="AD55" s="58" t="str">
        <f aca="false">IF(AND(ISNUMBER(Z55),ISNUMBER(AC55)),IF(AC55&gt;=Z55,(AC55-Z55)*1440,""),"")</f>
        <v/>
      </c>
      <c r="AE55" s="54"/>
      <c r="AF55" s="54"/>
      <c r="AG55" s="54"/>
      <c r="AH55" s="58"/>
      <c r="AI55" s="55" t="n">
        <v>2</v>
      </c>
      <c r="AJ55" s="54" t="s">
        <v>216</v>
      </c>
      <c r="AK55" s="54" t="s">
        <v>212</v>
      </c>
    </row>
    <row r="56" customFormat="false" ht="15" hidden="false" customHeight="false" outlineLevel="0" collapsed="false">
      <c r="A56" s="54" t="s">
        <v>29</v>
      </c>
      <c r="B56" s="55" t="n">
        <v>1159</v>
      </c>
      <c r="C56" s="54" t="s">
        <v>128</v>
      </c>
      <c r="D56" s="54" t="s">
        <v>212</v>
      </c>
      <c r="E56" s="54"/>
      <c r="F56" s="56" t="n">
        <v>46305.3766322917</v>
      </c>
      <c r="G56" s="54" t="s">
        <v>212</v>
      </c>
      <c r="H56" s="54" t="s">
        <v>214</v>
      </c>
      <c r="I56" s="57"/>
      <c r="J56" s="56"/>
      <c r="K56" s="56"/>
      <c r="L56" s="58" t="str">
        <f aca="false">IF(AND(ISNUMBER(J56),ISNUMBER(K56)),IF(K56&gt;=J56,(K56-J56)*1440,""),"")</f>
        <v/>
      </c>
      <c r="M56" s="56"/>
      <c r="N56" s="58" t="str">
        <f aca="false">IF(AND(ISNUMBER(J56),ISNUMBER(M56)),IF(M56&gt;=J56,(M56-J56)*1440,""),"")</f>
        <v/>
      </c>
      <c r="O56" s="54" t="str">
        <f aca="false">IF(N56="","",LOOKUP(N56,Tiempos!$A$6:$A$10,Tiempos!$B$6:$B$10))</f>
        <v/>
      </c>
      <c r="P56" s="54"/>
      <c r="Q56" s="54"/>
      <c r="R56" s="54"/>
      <c r="S56" s="54"/>
      <c r="T56" s="58"/>
      <c r="U56" s="54"/>
      <c r="V56" s="58"/>
      <c r="W56" s="57"/>
      <c r="X56" s="55"/>
      <c r="Y56" s="54"/>
      <c r="Z56" s="56"/>
      <c r="AA56" s="58" t="str">
        <f aca="false">IF(AND(ISNUMBER(M56),ISNUMBER(Z56)),IF(Z56&gt;=M56,(Z56-M56)*1440,""),"")</f>
        <v/>
      </c>
      <c r="AB56" s="57"/>
      <c r="AC56" s="56"/>
      <c r="AD56" s="58" t="str">
        <f aca="false">IF(AND(ISNUMBER(Z56),ISNUMBER(AC56)),IF(AC56&gt;=Z56,(AC56-Z56)*1440,""),"")</f>
        <v/>
      </c>
      <c r="AE56" s="54"/>
      <c r="AF56" s="54"/>
      <c r="AG56" s="54"/>
      <c r="AH56" s="58"/>
      <c r="AI56" s="55" t="n">
        <v>2</v>
      </c>
      <c r="AJ56" s="54" t="s">
        <v>216</v>
      </c>
      <c r="AK56" s="54" t="s">
        <v>212</v>
      </c>
    </row>
    <row r="57" customFormat="false" ht="15" hidden="false" customHeight="false" outlineLevel="0" collapsed="false">
      <c r="A57" s="54" t="s">
        <v>29</v>
      </c>
      <c r="B57" s="55" t="n">
        <v>1215</v>
      </c>
      <c r="C57" s="54" t="s">
        <v>127</v>
      </c>
      <c r="D57" s="54" t="s">
        <v>212</v>
      </c>
      <c r="E57" s="54"/>
      <c r="F57" s="56" t="n">
        <v>46305.7603247107</v>
      </c>
      <c r="G57" s="54" t="s">
        <v>212</v>
      </c>
      <c r="H57" s="54" t="s">
        <v>214</v>
      </c>
      <c r="I57" s="57"/>
      <c r="J57" s="56"/>
      <c r="K57" s="56"/>
      <c r="L57" s="58" t="str">
        <f aca="false">IF(AND(ISNUMBER(J57),ISNUMBER(K57)),IF(K57&gt;=J57,(K57-J57)*1440,""),"")</f>
        <v/>
      </c>
      <c r="M57" s="56"/>
      <c r="N57" s="58" t="str">
        <f aca="false">IF(AND(ISNUMBER(J57),ISNUMBER(M57)),IF(M57&gt;=J57,(M57-J57)*1440,""),"")</f>
        <v/>
      </c>
      <c r="O57" s="54" t="str">
        <f aca="false">IF(N57="","",LOOKUP(N57,Tiempos!$A$6:$A$10,Tiempos!$B$6:$B$10))</f>
        <v/>
      </c>
      <c r="P57" s="54"/>
      <c r="Q57" s="54"/>
      <c r="R57" s="54"/>
      <c r="S57" s="54"/>
      <c r="T57" s="58"/>
      <c r="U57" s="54"/>
      <c r="V57" s="58"/>
      <c r="W57" s="57"/>
      <c r="X57" s="55"/>
      <c r="Y57" s="54"/>
      <c r="Z57" s="56"/>
      <c r="AA57" s="58" t="str">
        <f aca="false">IF(AND(ISNUMBER(M57),ISNUMBER(Z57)),IF(Z57&gt;=M57,(Z57-M57)*1440,""),"")</f>
        <v/>
      </c>
      <c r="AB57" s="57"/>
      <c r="AC57" s="56"/>
      <c r="AD57" s="58" t="str">
        <f aca="false">IF(AND(ISNUMBER(Z57),ISNUMBER(AC57)),IF(AC57&gt;=Z57,(AC57-Z57)*1440,""),"")</f>
        <v/>
      </c>
      <c r="AE57" s="54"/>
      <c r="AF57" s="54"/>
      <c r="AG57" s="54"/>
      <c r="AH57" s="58"/>
      <c r="AI57" s="55" t="n">
        <v>1</v>
      </c>
      <c r="AJ57" s="54" t="s">
        <v>216</v>
      </c>
      <c r="AK57" s="54" t="s">
        <v>212</v>
      </c>
    </row>
    <row r="58" customFormat="false" ht="15" hidden="false" customHeight="false" outlineLevel="0" collapsed="false">
      <c r="A58" s="54" t="s">
        <v>29</v>
      </c>
      <c r="B58" s="55" t="n">
        <v>1226</v>
      </c>
      <c r="C58" s="54" t="s">
        <v>127</v>
      </c>
      <c r="D58" s="54" t="s">
        <v>212</v>
      </c>
      <c r="E58" s="54"/>
      <c r="F58" s="56" t="n">
        <v>46305.7868639583</v>
      </c>
      <c r="G58" s="54" t="s">
        <v>212</v>
      </c>
      <c r="H58" s="54" t="s">
        <v>214</v>
      </c>
      <c r="I58" s="57"/>
      <c r="J58" s="56"/>
      <c r="K58" s="56"/>
      <c r="L58" s="58" t="str">
        <f aca="false">IF(AND(ISNUMBER(J58),ISNUMBER(K58)),IF(K58&gt;=J58,(K58-J58)*1440,""),"")</f>
        <v/>
      </c>
      <c r="M58" s="56"/>
      <c r="N58" s="58" t="str">
        <f aca="false">IF(AND(ISNUMBER(J58),ISNUMBER(M58)),IF(M58&gt;=J58,(M58-J58)*1440,""),"")</f>
        <v/>
      </c>
      <c r="O58" s="54" t="str">
        <f aca="false">IF(N58="","",LOOKUP(N58,Tiempos!$A$6:$A$10,Tiempos!$B$6:$B$10))</f>
        <v/>
      </c>
      <c r="P58" s="54"/>
      <c r="Q58" s="54"/>
      <c r="R58" s="54"/>
      <c r="S58" s="54"/>
      <c r="T58" s="58"/>
      <c r="U58" s="54"/>
      <c r="V58" s="58"/>
      <c r="W58" s="57"/>
      <c r="X58" s="55"/>
      <c r="Y58" s="54"/>
      <c r="Z58" s="56"/>
      <c r="AA58" s="58" t="str">
        <f aca="false">IF(AND(ISNUMBER(M58),ISNUMBER(Z58)),IF(Z58&gt;=M58,(Z58-M58)*1440,""),"")</f>
        <v/>
      </c>
      <c r="AB58" s="57"/>
      <c r="AC58" s="56"/>
      <c r="AD58" s="58" t="str">
        <f aca="false">IF(AND(ISNUMBER(Z58),ISNUMBER(AC58)),IF(AC58&gt;=Z58,(AC58-Z58)*1440,""),"")</f>
        <v/>
      </c>
      <c r="AE58" s="54"/>
      <c r="AF58" s="54"/>
      <c r="AG58" s="54"/>
      <c r="AH58" s="58"/>
      <c r="AI58" s="55" t="n">
        <v>2</v>
      </c>
      <c r="AJ58" s="54" t="s">
        <v>216</v>
      </c>
      <c r="AK58" s="54" t="s">
        <v>212</v>
      </c>
    </row>
    <row r="59" customFormat="false" ht="15" hidden="false" customHeight="false" outlineLevel="0" collapsed="false">
      <c r="A59" s="54" t="s">
        <v>29</v>
      </c>
      <c r="B59" s="55" t="n">
        <v>1236</v>
      </c>
      <c r="C59" s="54" t="s">
        <v>127</v>
      </c>
      <c r="D59" s="54" t="s">
        <v>212</v>
      </c>
      <c r="E59" s="54"/>
      <c r="F59" s="56" t="n">
        <v>46305.8527875</v>
      </c>
      <c r="G59" s="54" t="s">
        <v>212</v>
      </c>
      <c r="H59" s="54" t="s">
        <v>212</v>
      </c>
      <c r="I59" s="57"/>
      <c r="J59" s="56"/>
      <c r="K59" s="56"/>
      <c r="L59" s="58" t="str">
        <f aca="false">IF(AND(ISNUMBER(J59),ISNUMBER(K59)),IF(K59&gt;=J59,(K59-J59)*1440,""),"")</f>
        <v/>
      </c>
      <c r="M59" s="56"/>
      <c r="N59" s="58" t="str">
        <f aca="false">IF(AND(ISNUMBER(J59),ISNUMBER(M59)),IF(M59&gt;=J59,(M59-J59)*1440,""),"")</f>
        <v/>
      </c>
      <c r="O59" s="54" t="str">
        <f aca="false">IF(N59="","",LOOKUP(N59,Tiempos!$A$6:$A$10,Tiempos!$B$6:$B$10))</f>
        <v/>
      </c>
      <c r="P59" s="54"/>
      <c r="Q59" s="54"/>
      <c r="R59" s="54"/>
      <c r="S59" s="54"/>
      <c r="T59" s="58"/>
      <c r="U59" s="54"/>
      <c r="V59" s="58"/>
      <c r="W59" s="57"/>
      <c r="X59" s="55"/>
      <c r="Y59" s="54"/>
      <c r="Z59" s="56"/>
      <c r="AA59" s="58" t="str">
        <f aca="false">IF(AND(ISNUMBER(M59),ISNUMBER(Z59)),IF(Z59&gt;=M59,(Z59-M59)*1440,""),"")</f>
        <v/>
      </c>
      <c r="AB59" s="57"/>
      <c r="AC59" s="56"/>
      <c r="AD59" s="58" t="str">
        <f aca="false">IF(AND(ISNUMBER(Z59),ISNUMBER(AC59)),IF(AC59&gt;=Z59,(AC59-Z59)*1440,""),"")</f>
        <v/>
      </c>
      <c r="AE59" s="54"/>
      <c r="AF59" s="54"/>
      <c r="AG59" s="54"/>
      <c r="AH59" s="58"/>
      <c r="AI59" s="55" t="n">
        <v>1</v>
      </c>
      <c r="AJ59" s="54" t="s">
        <v>216</v>
      </c>
      <c r="AK59" s="54" t="s">
        <v>212</v>
      </c>
    </row>
    <row r="60" customFormat="false" ht="15" hidden="false" customHeight="false" outlineLevel="0" collapsed="false">
      <c r="A60" s="54" t="s">
        <v>29</v>
      </c>
      <c r="B60" s="55" t="n">
        <v>1311</v>
      </c>
      <c r="C60" s="54" t="s">
        <v>127</v>
      </c>
      <c r="D60" s="54" t="s">
        <v>212</v>
      </c>
      <c r="E60" s="54"/>
      <c r="F60" s="56" t="n">
        <v>46306.6418085995</v>
      </c>
      <c r="G60" s="54" t="s">
        <v>212</v>
      </c>
      <c r="H60" s="54" t="s">
        <v>214</v>
      </c>
      <c r="I60" s="57"/>
      <c r="J60" s="56"/>
      <c r="K60" s="56"/>
      <c r="L60" s="58" t="str">
        <f aca="false">IF(AND(ISNUMBER(J60),ISNUMBER(K60)),IF(K60&gt;=J60,(K60-J60)*1440,""),"")</f>
        <v/>
      </c>
      <c r="M60" s="56"/>
      <c r="N60" s="58" t="str">
        <f aca="false">IF(AND(ISNUMBER(J60),ISNUMBER(M60)),IF(M60&gt;=J60,(M60-J60)*1440,""),"")</f>
        <v/>
      </c>
      <c r="O60" s="54" t="str">
        <f aca="false">IF(N60="","",LOOKUP(N60,Tiempos!$A$6:$A$10,Tiempos!$B$6:$B$10))</f>
        <v/>
      </c>
      <c r="P60" s="54"/>
      <c r="Q60" s="54"/>
      <c r="R60" s="54"/>
      <c r="S60" s="54"/>
      <c r="T60" s="58"/>
      <c r="U60" s="54"/>
      <c r="V60" s="58"/>
      <c r="W60" s="57"/>
      <c r="X60" s="55"/>
      <c r="Y60" s="54"/>
      <c r="Z60" s="56"/>
      <c r="AA60" s="58" t="str">
        <f aca="false">IF(AND(ISNUMBER(M60),ISNUMBER(Z60)),IF(Z60&gt;=M60,(Z60-M60)*1440,""),"")</f>
        <v/>
      </c>
      <c r="AB60" s="57"/>
      <c r="AC60" s="56"/>
      <c r="AD60" s="58" t="str">
        <f aca="false">IF(AND(ISNUMBER(Z60),ISNUMBER(AC60)),IF(AC60&gt;=Z60,(AC60-Z60)*1440,""),"")</f>
        <v/>
      </c>
      <c r="AE60" s="54"/>
      <c r="AF60" s="54"/>
      <c r="AG60" s="54"/>
      <c r="AH60" s="58"/>
      <c r="AI60" s="55" t="n">
        <v>1</v>
      </c>
      <c r="AJ60" s="54" t="s">
        <v>216</v>
      </c>
      <c r="AK60" s="54" t="s">
        <v>212</v>
      </c>
    </row>
    <row r="61" customFormat="false" ht="15" hidden="false" customHeight="false" outlineLevel="0" collapsed="false">
      <c r="A61" s="54" t="s">
        <v>29</v>
      </c>
      <c r="B61" s="55" t="n">
        <v>1313</v>
      </c>
      <c r="C61" s="54" t="s">
        <v>127</v>
      </c>
      <c r="D61" s="54" t="s">
        <v>214</v>
      </c>
      <c r="E61" s="54" t="s">
        <v>217</v>
      </c>
      <c r="F61" s="56" t="n">
        <v>46306.6443370486</v>
      </c>
      <c r="G61" s="54" t="s">
        <v>212</v>
      </c>
      <c r="H61" s="54" t="s">
        <v>214</v>
      </c>
      <c r="I61" s="57" t="s">
        <v>282</v>
      </c>
      <c r="J61" s="56" t="n">
        <v>46306.6447002315</v>
      </c>
      <c r="K61" s="56" t="n">
        <v>46306.644756956</v>
      </c>
      <c r="L61" s="58" t="n">
        <f aca="false">IF(AND(ISNUMBER(J61),ISNUMBER(K61)),IF(K61&gt;=J61,(K61-J61)*1440,""),"")</f>
        <v>0.08168333325</v>
      </c>
      <c r="M61" s="56" t="n">
        <v>46306.6470370486</v>
      </c>
      <c r="N61" s="58" t="n">
        <f aca="false">IF(AND(ISNUMBER(J61),ISNUMBER(M61)),IF(M61&gt;=J61,(M61-J61)*1440,""),"")</f>
        <v>3.36501666926667</v>
      </c>
      <c r="O61" s="54" t="str">
        <f aca="false">IF(N61="","",LOOKUP(N61,Tiempos!$A$6:$A$10,Tiempos!$B$6:$B$10))</f>
        <v>Menos de 4 min</v>
      </c>
      <c r="P61" s="54" t="s">
        <v>229</v>
      </c>
      <c r="Q61" s="54" t="s">
        <v>214</v>
      </c>
      <c r="R61" s="54" t="s">
        <v>127</v>
      </c>
      <c r="S61" s="54" t="s">
        <v>220</v>
      </c>
      <c r="T61" s="58" t="n">
        <v>103.6</v>
      </c>
      <c r="U61" s="54" t="s">
        <v>214</v>
      </c>
      <c r="V61" s="58" t="n">
        <v>3.28</v>
      </c>
      <c r="W61" s="57" t="s">
        <v>283</v>
      </c>
      <c r="X61" s="55" t="n">
        <v>2</v>
      </c>
      <c r="Y61" s="54" t="s">
        <v>214</v>
      </c>
      <c r="Z61" s="56" t="n">
        <v>46308.6443563079</v>
      </c>
      <c r="AA61" s="58" t="n">
        <f aca="false">IF(AND(ISNUMBER(M61),ISNUMBER(Z61)),IF(Z61&gt;=M61,(Z61-M61)*1440,""),"")</f>
        <v>2876.13973333267</v>
      </c>
      <c r="AB61" s="57" t="s">
        <v>284</v>
      </c>
      <c r="AC61" s="56" t="n">
        <v>46308.6450438426</v>
      </c>
      <c r="AD61" s="58" t="n">
        <f aca="false">IF(AND(ISNUMBER(Z61),ISNUMBER(AC61)),IF(AC61&gt;=Z61,(AC61-Z61)*1440,""),"")</f>
        <v>0.990049992683334</v>
      </c>
      <c r="AE61" s="54" t="s">
        <v>247</v>
      </c>
      <c r="AF61" s="54" t="s">
        <v>214</v>
      </c>
      <c r="AG61" s="54" t="s">
        <v>212</v>
      </c>
      <c r="AH61" s="58"/>
      <c r="AI61" s="55" t="n">
        <v>1</v>
      </c>
      <c r="AJ61" s="54" t="s">
        <v>216</v>
      </c>
      <c r="AK61" s="54" t="s">
        <v>212</v>
      </c>
    </row>
    <row r="62" customFormat="false" ht="15" hidden="false" customHeight="false" outlineLevel="0" collapsed="false">
      <c r="A62" s="54" t="s">
        <v>29</v>
      </c>
      <c r="B62" s="55" t="n">
        <v>1318</v>
      </c>
      <c r="C62" s="54" t="s">
        <v>127</v>
      </c>
      <c r="D62" s="54" t="s">
        <v>214</v>
      </c>
      <c r="E62" s="54" t="s">
        <v>217</v>
      </c>
      <c r="F62" s="56" t="n">
        <v>46306.658580625</v>
      </c>
      <c r="G62" s="54" t="s">
        <v>212</v>
      </c>
      <c r="H62" s="54" t="s">
        <v>214</v>
      </c>
      <c r="I62" s="57" t="s">
        <v>285</v>
      </c>
      <c r="J62" s="56" t="n">
        <v>46306.6738215741</v>
      </c>
      <c r="K62" s="56" t="n">
        <v>46306.6740587963</v>
      </c>
      <c r="L62" s="58" t="n">
        <f aca="false">IF(AND(ISNUMBER(J62),ISNUMBER(K62)),IF(K62&gt;=J62,(K62-J62)*1440,""),"")</f>
        <v>0.341600000383333</v>
      </c>
      <c r="M62" s="56" t="n">
        <v>46306.67742875</v>
      </c>
      <c r="N62" s="58" t="n">
        <f aca="false">IF(AND(ISNUMBER(J62),ISNUMBER(M62)),IF(M62&gt;=J62,(M62-J62)*1440,""),"")</f>
        <v>5.19433333071667</v>
      </c>
      <c r="O62" s="54" t="str">
        <f aca="false">IF(N62="","",LOOKUP(N62,Tiempos!$A$6:$A$10,Tiempos!$B$6:$B$10))</f>
        <v>4 a 6 min</v>
      </c>
      <c r="P62" s="54" t="s">
        <v>229</v>
      </c>
      <c r="Q62" s="54" t="s">
        <v>214</v>
      </c>
      <c r="R62" s="54" t="s">
        <v>127</v>
      </c>
      <c r="S62" s="54" t="s">
        <v>220</v>
      </c>
      <c r="T62" s="58" t="n">
        <v>100.4</v>
      </c>
      <c r="U62" s="54" t="s">
        <v>214</v>
      </c>
      <c r="V62" s="58" t="n">
        <v>4.85</v>
      </c>
      <c r="W62" s="57" t="s">
        <v>286</v>
      </c>
      <c r="X62" s="55" t="n">
        <v>2</v>
      </c>
      <c r="Y62" s="54" t="s">
        <v>214</v>
      </c>
      <c r="Z62" s="56" t="n">
        <v>46306.8218351389</v>
      </c>
      <c r="AA62" s="58" t="n">
        <f aca="false">IF(AND(ISNUMBER(M62),ISNUMBER(Z62)),IF(Z62&gt;=M62,(Z62-M62)*1440,""),"")</f>
        <v>207.9452000046</v>
      </c>
      <c r="AB62" s="57" t="s">
        <v>287</v>
      </c>
      <c r="AC62" s="56" t="n">
        <v>46306.8270881482</v>
      </c>
      <c r="AD62" s="58" t="n">
        <f aca="false">IF(AND(ISNUMBER(Z62),ISNUMBER(AC62)),IF(AC62&gt;=Z62,(AC62-Z62)*1440,""),"")</f>
        <v>7.56433333153333</v>
      </c>
      <c r="AE62" s="54" t="s">
        <v>232</v>
      </c>
      <c r="AF62" s="54" t="s">
        <v>214</v>
      </c>
      <c r="AG62" s="54" t="s">
        <v>214</v>
      </c>
      <c r="AH62" s="58" t="n">
        <v>0.8</v>
      </c>
      <c r="AI62" s="55" t="n">
        <v>2</v>
      </c>
      <c r="AJ62" s="54" t="s">
        <v>288</v>
      </c>
      <c r="AK62" s="54" t="s">
        <v>212</v>
      </c>
    </row>
    <row r="63" customFormat="false" ht="15" hidden="false" customHeight="false" outlineLevel="0" collapsed="false">
      <c r="A63" s="54" t="s">
        <v>29</v>
      </c>
      <c r="B63" s="55" t="n">
        <v>1326</v>
      </c>
      <c r="C63" s="54" t="s">
        <v>129</v>
      </c>
      <c r="D63" s="54" t="s">
        <v>214</v>
      </c>
      <c r="E63" s="54" t="s">
        <v>289</v>
      </c>
      <c r="F63" s="56" t="n">
        <v>46306.6924792245</v>
      </c>
      <c r="G63" s="54" t="s">
        <v>212</v>
      </c>
      <c r="H63" s="54" t="s">
        <v>212</v>
      </c>
      <c r="I63" s="57" t="s">
        <v>290</v>
      </c>
      <c r="J63" s="56" t="n">
        <v>46306.6980230556</v>
      </c>
      <c r="K63" s="56" t="n">
        <v>46306.6997645023</v>
      </c>
      <c r="L63" s="58" t="n">
        <f aca="false">IF(AND(ISNUMBER(J63),ISNUMBER(K63)),IF(K63&gt;=J63,(K63-J63)*1440,""),"")</f>
        <v>2.5076833216</v>
      </c>
      <c r="M63" s="56" t="n">
        <v>46306.706259375</v>
      </c>
      <c r="N63" s="58" t="n">
        <f aca="false">IF(AND(ISNUMBER(J63),ISNUMBER(M63)),IF(M63&gt;=J63,(M63-J63)*1440,""),"")</f>
        <v>11.8603000009833</v>
      </c>
      <c r="O63" s="54" t="str">
        <f aca="false">IF(N63="","",LOOKUP(N63,Tiempos!$A$6:$A$10,Tiempos!$B$6:$B$10))</f>
        <v>10 a 30 min</v>
      </c>
      <c r="P63" s="54" t="s">
        <v>219</v>
      </c>
      <c r="Q63" s="54" t="s">
        <v>214</v>
      </c>
      <c r="R63" s="54" t="s">
        <v>129</v>
      </c>
      <c r="S63" s="54" t="s">
        <v>220</v>
      </c>
      <c r="T63" s="58" t="n">
        <v>103.6</v>
      </c>
      <c r="U63" s="54" t="s">
        <v>212</v>
      </c>
      <c r="V63" s="58" t="n">
        <v>5.23</v>
      </c>
      <c r="W63" s="57" t="s">
        <v>291</v>
      </c>
      <c r="X63" s="55" t="n">
        <v>4</v>
      </c>
      <c r="Y63" s="54" t="s">
        <v>214</v>
      </c>
      <c r="Z63" s="56" t="n">
        <v>46308.4192432639</v>
      </c>
      <c r="AA63" s="58" t="n">
        <f aca="false">IF(AND(ISNUMBER(M63),ISNUMBER(Z63)),IF(Z63&gt;=M63,(Z63-M63)*1440,""),"")</f>
        <v>2466.696799997</v>
      </c>
      <c r="AB63" s="57" t="s">
        <v>292</v>
      </c>
      <c r="AC63" s="56" t="n">
        <v>46308.4222446181</v>
      </c>
      <c r="AD63" s="58" t="n">
        <f aca="false">IF(AND(ISNUMBER(Z63),ISNUMBER(AC63)),IF(AC63&gt;=Z63,(AC63-Z63)*1440,""),"")</f>
        <v>4.3219500035</v>
      </c>
      <c r="AE63" s="54" t="s">
        <v>293</v>
      </c>
      <c r="AF63" s="54" t="s">
        <v>214</v>
      </c>
      <c r="AG63" s="54" t="s">
        <v>212</v>
      </c>
      <c r="AH63" s="58"/>
      <c r="AI63" s="55" t="n">
        <v>2</v>
      </c>
      <c r="AJ63" s="54" t="s">
        <v>294</v>
      </c>
      <c r="AK63" s="54" t="s">
        <v>212</v>
      </c>
    </row>
    <row r="64" customFormat="false" ht="15" hidden="false" customHeight="false" outlineLevel="0" collapsed="false">
      <c r="A64" s="54" t="s">
        <v>29</v>
      </c>
      <c r="B64" s="55" t="n">
        <v>1328</v>
      </c>
      <c r="C64" s="54" t="s">
        <v>129</v>
      </c>
      <c r="D64" s="54" t="s">
        <v>214</v>
      </c>
      <c r="E64" s="54" t="s">
        <v>233</v>
      </c>
      <c r="F64" s="56" t="n">
        <v>46306.7169672801</v>
      </c>
      <c r="G64" s="54" t="s">
        <v>212</v>
      </c>
      <c r="H64" s="54" t="s">
        <v>212</v>
      </c>
      <c r="I64" s="57" t="s">
        <v>295</v>
      </c>
      <c r="J64" s="56" t="n">
        <v>46306.7178979398</v>
      </c>
      <c r="K64" s="56" t="n">
        <v>46306.718671713</v>
      </c>
      <c r="L64" s="58" t="n">
        <f aca="false">IF(AND(ISNUMBER(J64),ISNUMBER(K64)),IF(K64&gt;=J64,(K64-J64)*1440,""),"")</f>
        <v>1.1142333364</v>
      </c>
      <c r="M64" s="56" t="n">
        <v>46306.7205918982</v>
      </c>
      <c r="N64" s="58" t="n">
        <f aca="false">IF(AND(ISNUMBER(J64),ISNUMBER(M64)),IF(M64&gt;=J64,(M64-J64)*1440,""),"")</f>
        <v>3.8792999892</v>
      </c>
      <c r="O64" s="54" t="str">
        <f aca="false">IF(N64="","",LOOKUP(N64,Tiempos!$A$6:$A$10,Tiempos!$B$6:$B$10))</f>
        <v>Menos de 4 min</v>
      </c>
      <c r="P64" s="54" t="s">
        <v>219</v>
      </c>
      <c r="Q64" s="54" t="s">
        <v>214</v>
      </c>
      <c r="R64" s="54" t="s">
        <v>129</v>
      </c>
      <c r="S64" s="54" t="s">
        <v>220</v>
      </c>
      <c r="T64" s="58" t="n">
        <v>106.4</v>
      </c>
      <c r="U64" s="54" t="s">
        <v>212</v>
      </c>
      <c r="V64" s="58" t="n">
        <v>2.77</v>
      </c>
      <c r="W64" s="57" t="s">
        <v>296</v>
      </c>
      <c r="X64" s="55" t="n">
        <v>4</v>
      </c>
      <c r="Y64" s="54" t="s">
        <v>214</v>
      </c>
      <c r="Z64" s="56" t="n">
        <v>46306.7215061343</v>
      </c>
      <c r="AA64" s="58" t="n">
        <f aca="false">IF(AND(ISNUMBER(M64),ISNUMBER(Z64)),IF(Z64&gt;=M64,(Z64-M64)*1440,""),"")</f>
        <v>1.31649999645</v>
      </c>
      <c r="AB64" s="57" t="s">
        <v>297</v>
      </c>
      <c r="AC64" s="56" t="n">
        <v>46306.7217929282</v>
      </c>
      <c r="AD64" s="58" t="n">
        <f aca="false">IF(AND(ISNUMBER(Z64),ISNUMBER(AC64)),IF(AC64&gt;=Z64,(AC64-Z64)*1440,""),"")</f>
        <v>0.412983336716667</v>
      </c>
      <c r="AE64" s="54" t="s">
        <v>223</v>
      </c>
      <c r="AF64" s="54" t="s">
        <v>214</v>
      </c>
      <c r="AG64" s="54" t="s">
        <v>214</v>
      </c>
      <c r="AH64" s="58" t="n">
        <v>3.4</v>
      </c>
      <c r="AI64" s="55" t="n">
        <v>1</v>
      </c>
      <c r="AJ64" s="54" t="s">
        <v>288</v>
      </c>
      <c r="AK64" s="54" t="s">
        <v>212</v>
      </c>
    </row>
    <row r="65" customFormat="false" ht="15" hidden="false" customHeight="false" outlineLevel="0" collapsed="false">
      <c r="A65" s="54" t="s">
        <v>29</v>
      </c>
      <c r="B65" s="55" t="n">
        <v>1335</v>
      </c>
      <c r="C65" s="54" t="s">
        <v>129</v>
      </c>
      <c r="D65" s="54" t="s">
        <v>211</v>
      </c>
      <c r="E65" s="54"/>
      <c r="F65" s="56" t="n">
        <v>46306.7386098495</v>
      </c>
      <c r="G65" s="54" t="s">
        <v>212</v>
      </c>
      <c r="H65" s="54" t="s">
        <v>212</v>
      </c>
      <c r="I65" s="57" t="s">
        <v>298</v>
      </c>
      <c r="J65" s="56" t="n">
        <v>46306.7416552431</v>
      </c>
      <c r="K65" s="56" t="n">
        <v>46306.7418079398</v>
      </c>
      <c r="L65" s="58" t="n">
        <f aca="false">IF(AND(ISNUMBER(J65),ISNUMBER(K65)),IF(K65&gt;=J65,(K65-J65)*1440,""),"")</f>
        <v>0.219883325033333</v>
      </c>
      <c r="M65" s="56" t="n">
        <v>46306.7465873495</v>
      </c>
      <c r="N65" s="58" t="n">
        <f aca="false">IF(AND(ISNUMBER(J65),ISNUMBER(M65)),IF(M65&gt;=J65,(M65-J65)*1440,""),"")</f>
        <v>7.10223333095</v>
      </c>
      <c r="O65" s="54" t="str">
        <f aca="false">IF(N65="","",LOOKUP(N65,Tiempos!$A$6:$A$10,Tiempos!$B$6:$B$10))</f>
        <v>6 a 10 min</v>
      </c>
      <c r="P65" s="54" t="s">
        <v>219</v>
      </c>
      <c r="Q65" s="54" t="s">
        <v>214</v>
      </c>
      <c r="R65" s="54" t="s">
        <v>129</v>
      </c>
      <c r="S65" s="54" t="s">
        <v>220</v>
      </c>
      <c r="T65" s="58" t="n">
        <v>99.8</v>
      </c>
      <c r="U65" s="54" t="s">
        <v>212</v>
      </c>
      <c r="V65" s="58" t="n">
        <v>6.88</v>
      </c>
      <c r="W65" s="57" t="s">
        <v>291</v>
      </c>
      <c r="X65" s="55" t="n">
        <v>4</v>
      </c>
      <c r="Y65" s="54" t="s">
        <v>214</v>
      </c>
      <c r="Z65" s="56" t="n">
        <v>46306.7537603125</v>
      </c>
      <c r="AA65" s="58" t="n">
        <f aca="false">IF(AND(ISNUMBER(M65),ISNUMBER(Z65)),IF(Z65&gt;=M65,(Z65-M65)*1440,""),"")</f>
        <v>10.3290666674667</v>
      </c>
      <c r="AB65" s="57" t="s">
        <v>299</v>
      </c>
      <c r="AC65" s="56" t="n">
        <v>46306.7544379861</v>
      </c>
      <c r="AD65" s="58" t="n">
        <f aca="false">IF(AND(ISNUMBER(Z65),ISNUMBER(AC65)),IF(AC65&gt;=Z65,(AC65-Z65)*1440,""),"")</f>
        <v>0.9758499905</v>
      </c>
      <c r="AE65" s="54" t="s">
        <v>223</v>
      </c>
      <c r="AF65" s="54" t="s">
        <v>214</v>
      </c>
      <c r="AG65" s="54" t="s">
        <v>214</v>
      </c>
      <c r="AH65" s="58" t="n">
        <v>2.7</v>
      </c>
      <c r="AI65" s="55" t="n">
        <v>2</v>
      </c>
      <c r="AJ65" s="54" t="s">
        <v>210</v>
      </c>
      <c r="AK65" s="54" t="s">
        <v>214</v>
      </c>
    </row>
    <row r="66" customFormat="false" ht="15" hidden="false" customHeight="false" outlineLevel="0" collapsed="false">
      <c r="A66" s="54" t="s">
        <v>29</v>
      </c>
      <c r="B66" s="55" t="n">
        <v>1353</v>
      </c>
      <c r="C66" s="54" t="s">
        <v>129</v>
      </c>
      <c r="D66" s="54" t="s">
        <v>214</v>
      </c>
      <c r="E66" s="54" t="s">
        <v>217</v>
      </c>
      <c r="F66" s="56" t="n">
        <v>46306.8361189699</v>
      </c>
      <c r="G66" s="54" t="s">
        <v>212</v>
      </c>
      <c r="H66" s="54" t="s">
        <v>214</v>
      </c>
      <c r="I66" s="57" t="s">
        <v>300</v>
      </c>
      <c r="J66" s="56" t="n">
        <v>46306.8389765857</v>
      </c>
      <c r="K66" s="56" t="n">
        <v>46306.8396715509</v>
      </c>
      <c r="L66" s="58" t="n">
        <f aca="false">IF(AND(ISNUMBER(J66),ISNUMBER(K66)),IF(K66&gt;=J66,(K66-J66)*1440,""),"")</f>
        <v>1.000749995</v>
      </c>
      <c r="M66" s="56" t="n">
        <v>46306.8396715509</v>
      </c>
      <c r="N66" s="58" t="n">
        <f aca="false">IF(AND(ISNUMBER(J66),ISNUMBER(M66)),IF(M66&gt;=J66,(M66-J66)*1440,""),"")</f>
        <v>1.000749995</v>
      </c>
      <c r="O66" s="54" t="str">
        <f aca="false">IF(N66="","",LOOKUP(N66,Tiempos!$A$6:$A$10,Tiempos!$B$6:$B$10))</f>
        <v>Menos de 4 min</v>
      </c>
      <c r="P66" s="54" t="s">
        <v>226</v>
      </c>
      <c r="Q66" s="54" t="s">
        <v>212</v>
      </c>
      <c r="R66" s="54" t="s">
        <v>129</v>
      </c>
      <c r="S66" s="54" t="s">
        <v>220</v>
      </c>
      <c r="T66" s="58"/>
      <c r="U66" s="54"/>
      <c r="V66" s="58"/>
      <c r="W66" s="57"/>
      <c r="X66" s="55" t="n">
        <v>0</v>
      </c>
      <c r="Y66" s="54" t="s">
        <v>214</v>
      </c>
      <c r="Z66" s="56" t="n">
        <v>46309.7845165741</v>
      </c>
      <c r="AA66" s="58" t="n">
        <f aca="false">IF(AND(ISNUMBER(M66),ISNUMBER(Z66)),IF(Z66&gt;=M66,(Z66-M66)*1440,""),"")</f>
        <v>4240.57683333637</v>
      </c>
      <c r="AB66" s="57" t="s">
        <v>301</v>
      </c>
      <c r="AC66" s="56" t="n">
        <v>46309.7861672338</v>
      </c>
      <c r="AD66" s="58" t="n">
        <f aca="false">IF(AND(ISNUMBER(Z66),ISNUMBER(AC66)),IF(AC66&gt;=Z66,(AC66-Z66)*1440,""),"")</f>
        <v>2.3769500025</v>
      </c>
      <c r="AE66" s="54" t="s">
        <v>302</v>
      </c>
      <c r="AF66" s="54" t="s">
        <v>214</v>
      </c>
      <c r="AG66" s="54" t="s">
        <v>212</v>
      </c>
      <c r="AH66" s="58"/>
      <c r="AI66" s="55" t="n">
        <v>3</v>
      </c>
      <c r="AJ66" s="54" t="s">
        <v>288</v>
      </c>
      <c r="AK66" s="54" t="s">
        <v>212</v>
      </c>
    </row>
    <row r="67" customFormat="false" ht="15" hidden="false" customHeight="false" outlineLevel="0" collapsed="false">
      <c r="A67" s="54" t="s">
        <v>29</v>
      </c>
      <c r="B67" s="55" t="n">
        <v>1372</v>
      </c>
      <c r="C67" s="54" t="s">
        <v>127</v>
      </c>
      <c r="D67" s="54" t="s">
        <v>212</v>
      </c>
      <c r="E67" s="54"/>
      <c r="F67" s="56" t="n">
        <v>46306.9334209838</v>
      </c>
      <c r="G67" s="54" t="s">
        <v>214</v>
      </c>
      <c r="H67" s="54" t="s">
        <v>214</v>
      </c>
      <c r="I67" s="57"/>
      <c r="J67" s="56"/>
      <c r="K67" s="56"/>
      <c r="L67" s="58" t="str">
        <f aca="false">IF(AND(ISNUMBER(J67),ISNUMBER(K67)),IF(K67&gt;=J67,(K67-J67)*1440,""),"")</f>
        <v/>
      </c>
      <c r="M67" s="56"/>
      <c r="N67" s="58" t="str">
        <f aca="false">IF(AND(ISNUMBER(J67),ISNUMBER(M67)),IF(M67&gt;=J67,(M67-J67)*1440,""),"")</f>
        <v/>
      </c>
      <c r="O67" s="54" t="str">
        <f aca="false">IF(N67="","",LOOKUP(N67,Tiempos!$A$6:$A$10,Tiempos!$B$6:$B$10))</f>
        <v/>
      </c>
      <c r="P67" s="54"/>
      <c r="Q67" s="54"/>
      <c r="R67" s="54"/>
      <c r="S67" s="54"/>
      <c r="T67" s="58"/>
      <c r="U67" s="54"/>
      <c r="V67" s="58"/>
      <c r="W67" s="57"/>
      <c r="X67" s="55"/>
      <c r="Y67" s="54"/>
      <c r="Z67" s="56"/>
      <c r="AA67" s="58" t="str">
        <f aca="false">IF(AND(ISNUMBER(M67),ISNUMBER(Z67)),IF(Z67&gt;=M67,(Z67-M67)*1440,""),"")</f>
        <v/>
      </c>
      <c r="AB67" s="57"/>
      <c r="AC67" s="56"/>
      <c r="AD67" s="58" t="str">
        <f aca="false">IF(AND(ISNUMBER(Z67),ISNUMBER(AC67)),IF(AC67&gt;=Z67,(AC67-Z67)*1440,""),"")</f>
        <v/>
      </c>
      <c r="AE67" s="54"/>
      <c r="AF67" s="54"/>
      <c r="AG67" s="54"/>
      <c r="AH67" s="58"/>
      <c r="AI67" s="55" t="n">
        <v>1</v>
      </c>
      <c r="AJ67" s="54" t="s">
        <v>216</v>
      </c>
      <c r="AK67" s="54" t="s">
        <v>212</v>
      </c>
    </row>
    <row r="68" customFormat="false" ht="15" hidden="false" customHeight="false" outlineLevel="0" collapsed="false">
      <c r="A68" s="54" t="s">
        <v>29</v>
      </c>
      <c r="B68" s="55" t="n">
        <v>1482</v>
      </c>
      <c r="C68" s="54" t="s">
        <v>303</v>
      </c>
      <c r="D68" s="54" t="s">
        <v>212</v>
      </c>
      <c r="E68" s="54"/>
      <c r="F68" s="56" t="n">
        <v>46307.573069919</v>
      </c>
      <c r="G68" s="54" t="s">
        <v>212</v>
      </c>
      <c r="H68" s="54" t="s">
        <v>214</v>
      </c>
      <c r="I68" s="57"/>
      <c r="J68" s="56"/>
      <c r="K68" s="56"/>
      <c r="L68" s="58" t="str">
        <f aca="false">IF(AND(ISNUMBER(J68),ISNUMBER(K68)),IF(K68&gt;=J68,(K68-J68)*1440,""),"")</f>
        <v/>
      </c>
      <c r="M68" s="56"/>
      <c r="N68" s="58" t="str">
        <f aca="false">IF(AND(ISNUMBER(J68),ISNUMBER(M68)),IF(M68&gt;=J68,(M68-J68)*1440,""),"")</f>
        <v/>
      </c>
      <c r="O68" s="54" t="str">
        <f aca="false">IF(N68="","",LOOKUP(N68,Tiempos!$A$6:$A$10,Tiempos!$B$6:$B$10))</f>
        <v/>
      </c>
      <c r="P68" s="54"/>
      <c r="Q68" s="54"/>
      <c r="R68" s="54"/>
      <c r="S68" s="54"/>
      <c r="T68" s="58"/>
      <c r="U68" s="54"/>
      <c r="V68" s="58"/>
      <c r="W68" s="57"/>
      <c r="X68" s="55"/>
      <c r="Y68" s="54"/>
      <c r="Z68" s="56"/>
      <c r="AA68" s="58" t="str">
        <f aca="false">IF(AND(ISNUMBER(M68),ISNUMBER(Z68)),IF(Z68&gt;=M68,(Z68-M68)*1440,""),"")</f>
        <v/>
      </c>
      <c r="AB68" s="57"/>
      <c r="AC68" s="56"/>
      <c r="AD68" s="58" t="str">
        <f aca="false">IF(AND(ISNUMBER(Z68),ISNUMBER(AC68)),IF(AC68&gt;=Z68,(AC68-Z68)*1440,""),"")</f>
        <v/>
      </c>
      <c r="AE68" s="54"/>
      <c r="AF68" s="54"/>
      <c r="AG68" s="54"/>
      <c r="AH68" s="58"/>
      <c r="AI68" s="55" t="n">
        <v>2</v>
      </c>
      <c r="AJ68" s="54" t="s">
        <v>288</v>
      </c>
      <c r="AK68" s="54" t="s">
        <v>212</v>
      </c>
    </row>
    <row r="69" customFormat="false" ht="15" hidden="false" customHeight="false" outlineLevel="0" collapsed="false">
      <c r="A69" s="54" t="s">
        <v>29</v>
      </c>
      <c r="B69" s="55" t="n">
        <v>1477</v>
      </c>
      <c r="C69" s="54" t="s">
        <v>127</v>
      </c>
      <c r="D69" s="54" t="s">
        <v>212</v>
      </c>
      <c r="E69" s="54"/>
      <c r="F69" s="56" t="n">
        <v>46307.5869374653</v>
      </c>
      <c r="G69" s="54" t="s">
        <v>212</v>
      </c>
      <c r="H69" s="54" t="s">
        <v>214</v>
      </c>
      <c r="I69" s="57"/>
      <c r="J69" s="56"/>
      <c r="K69" s="56"/>
      <c r="L69" s="58" t="str">
        <f aca="false">IF(AND(ISNUMBER(J69),ISNUMBER(K69)),IF(K69&gt;=J69,(K69-J69)*1440,""),"")</f>
        <v/>
      </c>
      <c r="M69" s="56"/>
      <c r="N69" s="58" t="str">
        <f aca="false">IF(AND(ISNUMBER(J69),ISNUMBER(M69)),IF(M69&gt;=J69,(M69-J69)*1440,""),"")</f>
        <v/>
      </c>
      <c r="O69" s="54" t="str">
        <f aca="false">IF(N69="","",LOOKUP(N69,Tiempos!$A$6:$A$10,Tiempos!$B$6:$B$10))</f>
        <v/>
      </c>
      <c r="P69" s="54"/>
      <c r="Q69" s="54"/>
      <c r="R69" s="54"/>
      <c r="S69" s="54"/>
      <c r="T69" s="58"/>
      <c r="U69" s="54"/>
      <c r="V69" s="58"/>
      <c r="W69" s="57"/>
      <c r="X69" s="55"/>
      <c r="Y69" s="54"/>
      <c r="Z69" s="56"/>
      <c r="AA69" s="58" t="str">
        <f aca="false">IF(AND(ISNUMBER(M69),ISNUMBER(Z69)),IF(Z69&gt;=M69,(Z69-M69)*1440,""),"")</f>
        <v/>
      </c>
      <c r="AB69" s="57"/>
      <c r="AC69" s="56"/>
      <c r="AD69" s="58" t="str">
        <f aca="false">IF(AND(ISNUMBER(Z69),ISNUMBER(AC69)),IF(AC69&gt;=Z69,(AC69-Z69)*1440,""),"")</f>
        <v/>
      </c>
      <c r="AE69" s="54"/>
      <c r="AF69" s="54"/>
      <c r="AG69" s="54"/>
      <c r="AH69" s="58"/>
      <c r="AI69" s="55" t="n">
        <v>1</v>
      </c>
      <c r="AJ69" s="54" t="s">
        <v>216</v>
      </c>
      <c r="AK69" s="54" t="s">
        <v>212</v>
      </c>
    </row>
    <row r="70" customFormat="false" ht="15" hidden="false" customHeight="false" outlineLevel="0" collapsed="false">
      <c r="A70" s="54" t="s">
        <v>29</v>
      </c>
      <c r="B70" s="55" t="n">
        <v>1497</v>
      </c>
      <c r="C70" s="54" t="s">
        <v>128</v>
      </c>
      <c r="D70" s="54" t="s">
        <v>214</v>
      </c>
      <c r="E70" s="54" t="s">
        <v>242</v>
      </c>
      <c r="F70" s="56" t="n">
        <v>46307.6258923611</v>
      </c>
      <c r="G70" s="54" t="s">
        <v>212</v>
      </c>
      <c r="H70" s="54" t="s">
        <v>214</v>
      </c>
      <c r="I70" s="57" t="s">
        <v>304</v>
      </c>
      <c r="J70" s="56" t="n">
        <v>46307.6261207523</v>
      </c>
      <c r="K70" s="56" t="n">
        <v>46307.6278276157</v>
      </c>
      <c r="L70" s="58" t="n">
        <f aca="false">IF(AND(ISNUMBER(J70),ISNUMBER(K70)),IF(K70&gt;=J70,(K70-J70)*1440,""),"")</f>
        <v>2.45788333355</v>
      </c>
      <c r="M70" s="56" t="n">
        <v>46307.6321331019</v>
      </c>
      <c r="N70" s="58" t="n">
        <f aca="false">IF(AND(ISNUMBER(J70),ISNUMBER(M70)),IF(M70&gt;=J70,(M70-J70)*1440,""),"")</f>
        <v>8.65778335136667</v>
      </c>
      <c r="O70" s="54" t="str">
        <f aca="false">IF(N70="","",LOOKUP(N70,Tiempos!$A$6:$A$10,Tiempos!$B$6:$B$10))</f>
        <v>6 a 10 min</v>
      </c>
      <c r="P70" s="54" t="s">
        <v>244</v>
      </c>
      <c r="Q70" s="54" t="s">
        <v>214</v>
      </c>
      <c r="R70" s="54" t="s">
        <v>128</v>
      </c>
      <c r="S70" s="54" t="s">
        <v>220</v>
      </c>
      <c r="T70" s="58" t="n">
        <v>77.2</v>
      </c>
      <c r="U70" s="54" t="s">
        <v>214</v>
      </c>
      <c r="V70" s="58" t="n">
        <v>2.85</v>
      </c>
      <c r="W70" s="57" t="s">
        <v>305</v>
      </c>
      <c r="X70" s="55" t="n">
        <v>3</v>
      </c>
      <c r="Y70" s="54" t="s">
        <v>214</v>
      </c>
      <c r="Z70" s="56" t="n">
        <v>46307.6336736111</v>
      </c>
      <c r="AA70" s="58" t="n">
        <f aca="false">IF(AND(ISNUMBER(M70),ISNUMBER(Z70)),IF(Z70&gt;=M70,(Z70-M70)*1440,""),"")</f>
        <v>2.21833331858333</v>
      </c>
      <c r="AB70" s="57" t="s">
        <v>306</v>
      </c>
      <c r="AC70" s="56" t="n">
        <v>46307.6351532407</v>
      </c>
      <c r="AD70" s="58" t="n">
        <f aca="false">IF(AND(ISNUMBER(Z70),ISNUMBER(AC70)),IF(AC70&gt;=Z70,(AC70-Z70)*1440,""),"")</f>
        <v>2.13066666851667</v>
      </c>
      <c r="AE70" s="54" t="s">
        <v>302</v>
      </c>
      <c r="AF70" s="54" t="s">
        <v>212</v>
      </c>
      <c r="AG70" s="54" t="s">
        <v>212</v>
      </c>
      <c r="AH70" s="58"/>
      <c r="AI70" s="55" t="n">
        <v>3</v>
      </c>
      <c r="AJ70" s="54" t="s">
        <v>307</v>
      </c>
      <c r="AK70" s="54" t="s">
        <v>212</v>
      </c>
    </row>
    <row r="71" customFormat="false" ht="15" hidden="false" customHeight="false" outlineLevel="0" collapsed="false">
      <c r="A71" s="54" t="s">
        <v>29</v>
      </c>
      <c r="B71" s="55" t="n">
        <v>1536</v>
      </c>
      <c r="C71" s="54" t="s">
        <v>127</v>
      </c>
      <c r="D71" s="54" t="s">
        <v>212</v>
      </c>
      <c r="E71" s="54"/>
      <c r="F71" s="56" t="n">
        <v>46307.7833285185</v>
      </c>
      <c r="G71" s="54" t="s">
        <v>212</v>
      </c>
      <c r="H71" s="54" t="s">
        <v>214</v>
      </c>
      <c r="I71" s="57"/>
      <c r="J71" s="56"/>
      <c r="K71" s="56"/>
      <c r="L71" s="58" t="str">
        <f aca="false">IF(AND(ISNUMBER(J71),ISNUMBER(K71)),IF(K71&gt;=J71,(K71-J71)*1440,""),"")</f>
        <v/>
      </c>
      <c r="M71" s="56"/>
      <c r="N71" s="58" t="str">
        <f aca="false">IF(AND(ISNUMBER(J71),ISNUMBER(M71)),IF(M71&gt;=J71,(M71-J71)*1440,""),"")</f>
        <v/>
      </c>
      <c r="O71" s="54" t="str">
        <f aca="false">IF(N71="","",LOOKUP(N71,Tiempos!$A$6:$A$10,Tiempos!$B$6:$B$10))</f>
        <v/>
      </c>
      <c r="P71" s="54"/>
      <c r="Q71" s="54"/>
      <c r="R71" s="54"/>
      <c r="S71" s="54"/>
      <c r="T71" s="58"/>
      <c r="U71" s="54"/>
      <c r="V71" s="58"/>
      <c r="W71" s="57"/>
      <c r="X71" s="55"/>
      <c r="Y71" s="54"/>
      <c r="Z71" s="56"/>
      <c r="AA71" s="58" t="str">
        <f aca="false">IF(AND(ISNUMBER(M71),ISNUMBER(Z71)),IF(Z71&gt;=M71,(Z71-M71)*1440,""),"")</f>
        <v/>
      </c>
      <c r="AB71" s="57"/>
      <c r="AC71" s="56"/>
      <c r="AD71" s="58" t="str">
        <f aca="false">IF(AND(ISNUMBER(Z71),ISNUMBER(AC71)),IF(AC71&gt;=Z71,(AC71-Z71)*1440,""),"")</f>
        <v/>
      </c>
      <c r="AE71" s="54"/>
      <c r="AF71" s="54"/>
      <c r="AG71" s="54"/>
      <c r="AH71" s="58"/>
      <c r="AI71" s="55" t="n">
        <v>1</v>
      </c>
      <c r="AJ71" s="54" t="s">
        <v>288</v>
      </c>
      <c r="AK71" s="54" t="s">
        <v>212</v>
      </c>
    </row>
    <row r="72" customFormat="false" ht="15" hidden="false" customHeight="false" outlineLevel="0" collapsed="false">
      <c r="A72" s="54" t="s">
        <v>29</v>
      </c>
      <c r="B72" s="55" t="n">
        <v>1554</v>
      </c>
      <c r="C72" s="54" t="s">
        <v>128</v>
      </c>
      <c r="D72" s="54" t="s">
        <v>214</v>
      </c>
      <c r="E72" s="54" t="s">
        <v>217</v>
      </c>
      <c r="F72" s="56" t="n">
        <v>46307.8166025232</v>
      </c>
      <c r="G72" s="54" t="s">
        <v>212</v>
      </c>
      <c r="H72" s="54" t="s">
        <v>214</v>
      </c>
      <c r="I72" s="57" t="s">
        <v>308</v>
      </c>
      <c r="J72" s="56" t="n">
        <v>46307.8178487269</v>
      </c>
      <c r="K72" s="56" t="n">
        <v>46307.8218213773</v>
      </c>
      <c r="L72" s="58" t="n">
        <f aca="false">IF(AND(ISNUMBER(J72),ISNUMBER(K72)),IF(K72&gt;=J72,(K72-J72)*1440,""),"")</f>
        <v>5.72061665471667</v>
      </c>
      <c r="M72" s="56" t="n">
        <v>46307.8228425695</v>
      </c>
      <c r="N72" s="58" t="n">
        <f aca="false">IF(AND(ISNUMBER(J72),ISNUMBER(M72)),IF(M72&gt;=J72,(M72-J72)*1440,""),"")</f>
        <v>7.19113333615</v>
      </c>
      <c r="O72" s="54" t="str">
        <f aca="false">IF(N72="","",LOOKUP(N72,Tiempos!$A$6:$A$10,Tiempos!$B$6:$B$10))</f>
        <v>6 a 10 min</v>
      </c>
      <c r="P72" s="54" t="s">
        <v>244</v>
      </c>
      <c r="Q72" s="54" t="s">
        <v>214</v>
      </c>
      <c r="R72" s="54" t="s">
        <v>128</v>
      </c>
      <c r="S72" s="54" t="s">
        <v>220</v>
      </c>
      <c r="T72" s="58" t="n">
        <v>80.6</v>
      </c>
      <c r="U72" s="54" t="s">
        <v>214</v>
      </c>
      <c r="V72" s="58" t="n">
        <v>1.47</v>
      </c>
      <c r="W72" s="57" t="s">
        <v>309</v>
      </c>
      <c r="X72" s="55" t="n">
        <v>3</v>
      </c>
      <c r="Y72" s="54" t="s">
        <v>212</v>
      </c>
      <c r="Z72" s="56"/>
      <c r="AA72" s="58" t="str">
        <f aca="false">IF(AND(ISNUMBER(M72),ISNUMBER(Z72)),IF(Z72&gt;=M72,(Z72-M72)*1440,""),"")</f>
        <v/>
      </c>
      <c r="AB72" s="57"/>
      <c r="AC72" s="56"/>
      <c r="AD72" s="58" t="str">
        <f aca="false">IF(AND(ISNUMBER(Z72),ISNUMBER(AC72)),IF(AC72&gt;=Z72,(AC72-Z72)*1440,""),"")</f>
        <v/>
      </c>
      <c r="AE72" s="54"/>
      <c r="AF72" s="54" t="s">
        <v>214</v>
      </c>
      <c r="AG72" s="54"/>
      <c r="AH72" s="58"/>
      <c r="AI72" s="55" t="n">
        <v>2</v>
      </c>
      <c r="AJ72" s="54" t="s">
        <v>216</v>
      </c>
      <c r="AK72" s="54" t="s">
        <v>212</v>
      </c>
    </row>
    <row r="73" customFormat="false" ht="15" hidden="false" customHeight="false" outlineLevel="0" collapsed="false">
      <c r="A73" s="54" t="s">
        <v>29</v>
      </c>
      <c r="B73" s="55" t="n">
        <v>1566</v>
      </c>
      <c r="C73" s="54" t="s">
        <v>127</v>
      </c>
      <c r="D73" s="54" t="s">
        <v>212</v>
      </c>
      <c r="E73" s="54"/>
      <c r="F73" s="56" t="n">
        <v>46307.8930221991</v>
      </c>
      <c r="G73" s="54" t="s">
        <v>212</v>
      </c>
      <c r="H73" s="54" t="s">
        <v>212</v>
      </c>
      <c r="I73" s="57"/>
      <c r="J73" s="56"/>
      <c r="K73" s="56"/>
      <c r="L73" s="58" t="str">
        <f aca="false">IF(AND(ISNUMBER(J73),ISNUMBER(K73)),IF(K73&gt;=J73,(K73-J73)*1440,""),"")</f>
        <v/>
      </c>
      <c r="M73" s="56"/>
      <c r="N73" s="58" t="str">
        <f aca="false">IF(AND(ISNUMBER(J73),ISNUMBER(M73)),IF(M73&gt;=J73,(M73-J73)*1440,""),"")</f>
        <v/>
      </c>
      <c r="O73" s="54" t="str">
        <f aca="false">IF(N73="","",LOOKUP(N73,Tiempos!$A$6:$A$10,Tiempos!$B$6:$B$10))</f>
        <v/>
      </c>
      <c r="P73" s="54"/>
      <c r="Q73" s="54"/>
      <c r="R73" s="54"/>
      <c r="S73" s="54"/>
      <c r="T73" s="58"/>
      <c r="U73" s="54"/>
      <c r="V73" s="58"/>
      <c r="W73" s="57"/>
      <c r="X73" s="55"/>
      <c r="Y73" s="54"/>
      <c r="Z73" s="56"/>
      <c r="AA73" s="58" t="str">
        <f aca="false">IF(AND(ISNUMBER(M73),ISNUMBER(Z73)),IF(Z73&gt;=M73,(Z73-M73)*1440,""),"")</f>
        <v/>
      </c>
      <c r="AB73" s="57"/>
      <c r="AC73" s="56"/>
      <c r="AD73" s="58" t="str">
        <f aca="false">IF(AND(ISNUMBER(Z73),ISNUMBER(AC73)),IF(AC73&gt;=Z73,(AC73-Z73)*1440,""),"")</f>
        <v/>
      </c>
      <c r="AE73" s="54"/>
      <c r="AF73" s="54"/>
      <c r="AG73" s="54"/>
      <c r="AH73" s="58"/>
      <c r="AI73" s="55" t="n">
        <v>1</v>
      </c>
      <c r="AJ73" s="54" t="s">
        <v>288</v>
      </c>
      <c r="AK73" s="54" t="s">
        <v>212</v>
      </c>
    </row>
    <row r="74" customFormat="false" ht="15" hidden="false" customHeight="false" outlineLevel="0" collapsed="false">
      <c r="A74" s="54" t="s">
        <v>29</v>
      </c>
      <c r="B74" s="55" t="n">
        <v>1576</v>
      </c>
      <c r="C74" s="54" t="s">
        <v>128</v>
      </c>
      <c r="D74" s="54" t="s">
        <v>214</v>
      </c>
      <c r="E74" s="54" t="s">
        <v>233</v>
      </c>
      <c r="F74" s="56" t="n">
        <v>46307.9049008449</v>
      </c>
      <c r="G74" s="54" t="s">
        <v>212</v>
      </c>
      <c r="H74" s="54" t="s">
        <v>214</v>
      </c>
      <c r="I74" s="57" t="s">
        <v>310</v>
      </c>
      <c r="J74" s="56" t="n">
        <v>46307.9060778357</v>
      </c>
      <c r="K74" s="56" t="n">
        <v>46307.9110978819</v>
      </c>
      <c r="L74" s="58" t="n">
        <f aca="false">IF(AND(ISNUMBER(J74),ISNUMBER(K74)),IF(K74&gt;=J74,(K74-J74)*1440,""),"")</f>
        <v>7.22886665258333</v>
      </c>
      <c r="M74" s="56" t="n">
        <v>46307.9141336111</v>
      </c>
      <c r="N74" s="58" t="n">
        <f aca="false">IF(AND(ISNUMBER(J74),ISNUMBER(M74)),IF(M74&gt;=J74,(M74-J74)*1440,""),"")</f>
        <v>11.6003166662833</v>
      </c>
      <c r="O74" s="54" t="str">
        <f aca="false">IF(N74="","",LOOKUP(N74,Tiempos!$A$6:$A$10,Tiempos!$B$6:$B$10))</f>
        <v>10 a 30 min</v>
      </c>
      <c r="P74" s="54" t="s">
        <v>219</v>
      </c>
      <c r="Q74" s="54" t="s">
        <v>214</v>
      </c>
      <c r="R74" s="54" t="s">
        <v>128</v>
      </c>
      <c r="S74" s="54" t="s">
        <v>220</v>
      </c>
      <c r="T74" s="58" t="n">
        <v>82.1</v>
      </c>
      <c r="U74" s="54" t="s">
        <v>214</v>
      </c>
      <c r="V74" s="58" t="n">
        <v>4.37</v>
      </c>
      <c r="W74" s="57" t="s">
        <v>311</v>
      </c>
      <c r="X74" s="55" t="n">
        <v>4</v>
      </c>
      <c r="Y74" s="54" t="s">
        <v>214</v>
      </c>
      <c r="Z74" s="56" t="n">
        <v>46307.9221112732</v>
      </c>
      <c r="AA74" s="58" t="n">
        <f aca="false">IF(AND(ISNUMBER(M74),ISNUMBER(Z74)),IF(Z74&gt;=M74,(Z74-M74)*1440,""),"")</f>
        <v>11.4878333278333</v>
      </c>
      <c r="AB74" s="57" t="s">
        <v>312</v>
      </c>
      <c r="AC74" s="56" t="n">
        <v>46307.9621383102</v>
      </c>
      <c r="AD74" s="58" t="n">
        <f aca="false">IF(AND(ISNUMBER(Z74),ISNUMBER(AC74)),IF(AC74&gt;=Z74,(AC74-Z74)*1440,""),"")</f>
        <v>57.6389333233167</v>
      </c>
      <c r="AE74" s="54" t="s">
        <v>223</v>
      </c>
      <c r="AF74" s="54" t="s">
        <v>214</v>
      </c>
      <c r="AG74" s="54" t="s">
        <v>214</v>
      </c>
      <c r="AH74" s="58" t="n">
        <v>3.4</v>
      </c>
      <c r="AI74" s="55" t="n">
        <v>2</v>
      </c>
      <c r="AJ74" s="54" t="s">
        <v>288</v>
      </c>
      <c r="AK74" s="54" t="s">
        <v>212</v>
      </c>
    </row>
    <row r="75" customFormat="false" ht="15" hidden="false" customHeight="false" outlineLevel="0" collapsed="false">
      <c r="A75" s="54" t="s">
        <v>29</v>
      </c>
      <c r="B75" s="55" t="n">
        <v>1584</v>
      </c>
      <c r="C75" s="54" t="s">
        <v>127</v>
      </c>
      <c r="D75" s="54" t="s">
        <v>212</v>
      </c>
      <c r="E75" s="54"/>
      <c r="F75" s="56" t="n">
        <v>46307.9216277315</v>
      </c>
      <c r="G75" s="54" t="s">
        <v>214</v>
      </c>
      <c r="H75" s="54" t="s">
        <v>214</v>
      </c>
      <c r="I75" s="57"/>
      <c r="J75" s="56"/>
      <c r="K75" s="56"/>
      <c r="L75" s="58" t="str">
        <f aca="false">IF(AND(ISNUMBER(J75),ISNUMBER(K75)),IF(K75&gt;=J75,(K75-J75)*1440,""),"")</f>
        <v/>
      </c>
      <c r="M75" s="56"/>
      <c r="N75" s="58" t="str">
        <f aca="false">IF(AND(ISNUMBER(J75),ISNUMBER(M75)),IF(M75&gt;=J75,(M75-J75)*1440,""),"")</f>
        <v/>
      </c>
      <c r="O75" s="54" t="str">
        <f aca="false">IF(N75="","",LOOKUP(N75,Tiempos!$A$6:$A$10,Tiempos!$B$6:$B$10))</f>
        <v/>
      </c>
      <c r="P75" s="54"/>
      <c r="Q75" s="54"/>
      <c r="R75" s="54"/>
      <c r="S75" s="54"/>
      <c r="T75" s="58"/>
      <c r="U75" s="54"/>
      <c r="V75" s="58"/>
      <c r="W75" s="57"/>
      <c r="X75" s="55"/>
      <c r="Y75" s="54"/>
      <c r="Z75" s="56"/>
      <c r="AA75" s="58" t="str">
        <f aca="false">IF(AND(ISNUMBER(M75),ISNUMBER(Z75)),IF(Z75&gt;=M75,(Z75-M75)*1440,""),"")</f>
        <v/>
      </c>
      <c r="AB75" s="57"/>
      <c r="AC75" s="56"/>
      <c r="AD75" s="58" t="str">
        <f aca="false">IF(AND(ISNUMBER(Z75),ISNUMBER(AC75)),IF(AC75&gt;=Z75,(AC75-Z75)*1440,""),"")</f>
        <v/>
      </c>
      <c r="AE75" s="54"/>
      <c r="AF75" s="54"/>
      <c r="AG75" s="54"/>
      <c r="AH75" s="58"/>
      <c r="AI75" s="55" t="n">
        <v>2</v>
      </c>
      <c r="AJ75" s="54" t="s">
        <v>288</v>
      </c>
      <c r="AK75" s="54" t="s">
        <v>212</v>
      </c>
    </row>
    <row r="76" customFormat="false" ht="15" hidden="false" customHeight="false" outlineLevel="0" collapsed="false">
      <c r="A76" s="54" t="s">
        <v>29</v>
      </c>
      <c r="B76" s="55" t="n">
        <v>1592</v>
      </c>
      <c r="C76" s="54" t="s">
        <v>127</v>
      </c>
      <c r="D76" s="54" t="s">
        <v>214</v>
      </c>
      <c r="E76" s="54" t="s">
        <v>224</v>
      </c>
      <c r="F76" s="56" t="n">
        <v>46307.9583342361</v>
      </c>
      <c r="G76" s="54" t="s">
        <v>214</v>
      </c>
      <c r="H76" s="54" t="s">
        <v>214</v>
      </c>
      <c r="I76" s="57" t="s">
        <v>313</v>
      </c>
      <c r="J76" s="56" t="n">
        <v>46307.9588202778</v>
      </c>
      <c r="K76" s="56" t="n">
        <v>46308.2997766782</v>
      </c>
      <c r="L76" s="58" t="n">
        <f aca="false">IF(AND(ISNUMBER(J76),ISNUMBER(K76)),IF(K76&gt;=J76,(K76-J76)*1440,""),"")</f>
        <v>490.977216664467</v>
      </c>
      <c r="M76" s="56" t="n">
        <v>46308.301274213</v>
      </c>
      <c r="N76" s="58" t="n">
        <f aca="false">IF(AND(ISNUMBER(J76),ISNUMBER(M76)),IF(M76&gt;=J76,(M76-J76)*1440,""),"")</f>
        <v>493.133666653883</v>
      </c>
      <c r="O76" s="54" t="str">
        <f aca="false">IF(N76="","",LOOKUP(N76,Tiempos!$A$6:$A$10,Tiempos!$B$6:$B$10))</f>
        <v>30 min o más</v>
      </c>
      <c r="P76" s="54" t="s">
        <v>229</v>
      </c>
      <c r="Q76" s="54" t="s">
        <v>214</v>
      </c>
      <c r="R76" s="54" t="s">
        <v>127</v>
      </c>
      <c r="S76" s="54" t="s">
        <v>220</v>
      </c>
      <c r="T76" s="58" t="n">
        <v>114.7</v>
      </c>
      <c r="U76" s="54" t="s">
        <v>214</v>
      </c>
      <c r="V76" s="58" t="n">
        <v>2.16</v>
      </c>
      <c r="W76" s="57" t="s">
        <v>314</v>
      </c>
      <c r="X76" s="55" t="n">
        <v>2</v>
      </c>
      <c r="Y76" s="54" t="s">
        <v>212</v>
      </c>
      <c r="Z76" s="56"/>
      <c r="AA76" s="58" t="str">
        <f aca="false">IF(AND(ISNUMBER(M76),ISNUMBER(Z76)),IF(Z76&gt;=M76,(Z76-M76)*1440,""),"")</f>
        <v/>
      </c>
      <c r="AB76" s="57"/>
      <c r="AC76" s="56"/>
      <c r="AD76" s="58" t="str">
        <f aca="false">IF(AND(ISNUMBER(Z76),ISNUMBER(AC76)),IF(AC76&gt;=Z76,(AC76-Z76)*1440,""),"")</f>
        <v/>
      </c>
      <c r="AE76" s="54"/>
      <c r="AF76" s="54" t="s">
        <v>214</v>
      </c>
      <c r="AG76" s="54"/>
      <c r="AH76" s="58"/>
      <c r="AI76" s="55" t="n">
        <v>2</v>
      </c>
      <c r="AJ76" s="54" t="s">
        <v>288</v>
      </c>
      <c r="AK76" s="54" t="s">
        <v>212</v>
      </c>
    </row>
    <row r="77" customFormat="false" ht="15" hidden="false" customHeight="false" outlineLevel="0" collapsed="false">
      <c r="A77" s="54" t="s">
        <v>29</v>
      </c>
      <c r="B77" s="55" t="n">
        <v>1619</v>
      </c>
      <c r="C77" s="54" t="s">
        <v>127</v>
      </c>
      <c r="D77" s="54" t="s">
        <v>212</v>
      </c>
      <c r="E77" s="54"/>
      <c r="F77" s="56" t="n">
        <v>46308.3837409375</v>
      </c>
      <c r="G77" s="54" t="s">
        <v>212</v>
      </c>
      <c r="H77" s="54" t="s">
        <v>212</v>
      </c>
      <c r="I77" s="57"/>
      <c r="J77" s="56"/>
      <c r="K77" s="56"/>
      <c r="L77" s="58" t="str">
        <f aca="false">IF(AND(ISNUMBER(J77),ISNUMBER(K77)),IF(K77&gt;=J77,(K77-J77)*1440,""),"")</f>
        <v/>
      </c>
      <c r="M77" s="56"/>
      <c r="N77" s="58" t="str">
        <f aca="false">IF(AND(ISNUMBER(J77),ISNUMBER(M77)),IF(M77&gt;=J77,(M77-J77)*1440,""),"")</f>
        <v/>
      </c>
      <c r="O77" s="54" t="str">
        <f aca="false">IF(N77="","",LOOKUP(N77,Tiempos!$A$6:$A$10,Tiempos!$B$6:$B$10))</f>
        <v/>
      </c>
      <c r="P77" s="54"/>
      <c r="Q77" s="54"/>
      <c r="R77" s="54"/>
      <c r="S77" s="54"/>
      <c r="T77" s="58"/>
      <c r="U77" s="54"/>
      <c r="V77" s="58"/>
      <c r="W77" s="57"/>
      <c r="X77" s="55"/>
      <c r="Y77" s="54"/>
      <c r="Z77" s="56"/>
      <c r="AA77" s="58" t="str">
        <f aca="false">IF(AND(ISNUMBER(M77),ISNUMBER(Z77)),IF(Z77&gt;=M77,(Z77-M77)*1440,""),"")</f>
        <v/>
      </c>
      <c r="AB77" s="57"/>
      <c r="AC77" s="56"/>
      <c r="AD77" s="58" t="str">
        <f aca="false">IF(AND(ISNUMBER(Z77),ISNUMBER(AC77)),IF(AC77&gt;=Z77,(AC77-Z77)*1440,""),"")</f>
        <v/>
      </c>
      <c r="AE77" s="54"/>
      <c r="AF77" s="54"/>
      <c r="AG77" s="54"/>
      <c r="AH77" s="58"/>
      <c r="AI77" s="55" t="n">
        <v>2</v>
      </c>
      <c r="AJ77" s="54" t="s">
        <v>288</v>
      </c>
      <c r="AK77" s="54" t="s">
        <v>212</v>
      </c>
    </row>
    <row r="78" customFormat="false" ht="15" hidden="false" customHeight="false" outlineLevel="0" collapsed="false">
      <c r="A78" s="54" t="s">
        <v>29</v>
      </c>
      <c r="B78" s="55" t="n">
        <v>1637</v>
      </c>
      <c r="C78" s="54" t="s">
        <v>127</v>
      </c>
      <c r="D78" s="54" t="s">
        <v>214</v>
      </c>
      <c r="E78" s="54" t="s">
        <v>242</v>
      </c>
      <c r="F78" s="56" t="n">
        <v>46308.4507403241</v>
      </c>
      <c r="G78" s="54" t="s">
        <v>212</v>
      </c>
      <c r="H78" s="54" t="s">
        <v>212</v>
      </c>
      <c r="I78" s="57" t="s">
        <v>315</v>
      </c>
      <c r="J78" s="56" t="n">
        <v>46308.4531487037</v>
      </c>
      <c r="K78" s="56" t="n">
        <v>46308.4543976389</v>
      </c>
      <c r="L78" s="58" t="n">
        <f aca="false">IF(AND(ISNUMBER(J78),ISNUMBER(K78)),IF(K78&gt;=J78,(K78-J78)*1440,""),"")</f>
        <v>1.79846666868333</v>
      </c>
      <c r="M78" s="56" t="n">
        <v>46308.4572235417</v>
      </c>
      <c r="N78" s="58" t="n">
        <f aca="false">IF(AND(ISNUMBER(J78),ISNUMBER(M78)),IF(M78&gt;=J78,(M78-J78)*1440,""),"")</f>
        <v>5.86776666458333</v>
      </c>
      <c r="O78" s="54" t="str">
        <f aca="false">IF(N78="","",LOOKUP(N78,Tiempos!$A$6:$A$10,Tiempos!$B$6:$B$10))</f>
        <v>4 a 6 min</v>
      </c>
      <c r="P78" s="54" t="s">
        <v>229</v>
      </c>
      <c r="Q78" s="54" t="s">
        <v>214</v>
      </c>
      <c r="R78" s="54" t="s">
        <v>130</v>
      </c>
      <c r="S78" s="54" t="s">
        <v>215</v>
      </c>
      <c r="T78" s="58" t="n">
        <v>146.7</v>
      </c>
      <c r="U78" s="54" t="s">
        <v>212</v>
      </c>
      <c r="V78" s="58" t="n">
        <v>4.07</v>
      </c>
      <c r="W78" s="57" t="s">
        <v>316</v>
      </c>
      <c r="X78" s="55" t="n">
        <v>2</v>
      </c>
      <c r="Y78" s="54" t="s">
        <v>212</v>
      </c>
      <c r="Z78" s="56"/>
      <c r="AA78" s="58" t="str">
        <f aca="false">IF(AND(ISNUMBER(M78),ISNUMBER(Z78)),IF(Z78&gt;=M78,(Z78-M78)*1440,""),"")</f>
        <v/>
      </c>
      <c r="AB78" s="57"/>
      <c r="AC78" s="56"/>
      <c r="AD78" s="58" t="str">
        <f aca="false">IF(AND(ISNUMBER(Z78),ISNUMBER(AC78)),IF(AC78&gt;=Z78,(AC78-Z78)*1440,""),"")</f>
        <v/>
      </c>
      <c r="AE78" s="54"/>
      <c r="AF78" s="54" t="s">
        <v>214</v>
      </c>
      <c r="AG78" s="54"/>
      <c r="AH78" s="58"/>
      <c r="AI78" s="55" t="n">
        <v>2</v>
      </c>
      <c r="AJ78" s="54" t="s">
        <v>288</v>
      </c>
      <c r="AK78" s="54" t="s">
        <v>212</v>
      </c>
    </row>
    <row r="79" customFormat="false" ht="15" hidden="false" customHeight="false" outlineLevel="0" collapsed="false">
      <c r="A79" s="54" t="s">
        <v>29</v>
      </c>
      <c r="B79" s="55" t="n">
        <v>1655</v>
      </c>
      <c r="C79" s="54" t="s">
        <v>127</v>
      </c>
      <c r="D79" s="54" t="s">
        <v>214</v>
      </c>
      <c r="E79" s="54" t="s">
        <v>289</v>
      </c>
      <c r="F79" s="56" t="n">
        <v>46308.5310152199</v>
      </c>
      <c r="G79" s="54" t="s">
        <v>212</v>
      </c>
      <c r="H79" s="54" t="s">
        <v>212</v>
      </c>
      <c r="I79" s="57" t="s">
        <v>317</v>
      </c>
      <c r="J79" s="56" t="n">
        <v>46308.5321228935</v>
      </c>
      <c r="K79" s="56" t="n">
        <v>46308.5334026042</v>
      </c>
      <c r="L79" s="58" t="n">
        <f aca="false">IF(AND(ISNUMBER(J79),ISNUMBER(K79)),IF(K79&gt;=J79,(K79-J79)*1440,""),"")</f>
        <v>1.84278333093333</v>
      </c>
      <c r="M79" s="56" t="n">
        <v>46308.5358862384</v>
      </c>
      <c r="N79" s="58" t="n">
        <f aca="false">IF(AND(ISNUMBER(J79),ISNUMBER(M79)),IF(M79&gt;=J79,(M79-J79)*1440,""),"")</f>
        <v>5.4192166496</v>
      </c>
      <c r="O79" s="54" t="str">
        <f aca="false">IF(N79="","",LOOKUP(N79,Tiempos!$A$6:$A$10,Tiempos!$B$6:$B$10))</f>
        <v>4 a 6 min</v>
      </c>
      <c r="P79" s="54" t="s">
        <v>234</v>
      </c>
      <c r="Q79" s="54" t="s">
        <v>214</v>
      </c>
      <c r="R79" s="54" t="s">
        <v>127</v>
      </c>
      <c r="S79" s="54" t="s">
        <v>220</v>
      </c>
      <c r="T79" s="58" t="n">
        <v>136.3</v>
      </c>
      <c r="U79" s="54" t="s">
        <v>212</v>
      </c>
      <c r="V79" s="58"/>
      <c r="W79" s="57" t="s">
        <v>318</v>
      </c>
      <c r="X79" s="55" t="n">
        <v>2</v>
      </c>
      <c r="Y79" s="54" t="s">
        <v>212</v>
      </c>
      <c r="Z79" s="56"/>
      <c r="AA79" s="58" t="str">
        <f aca="false">IF(AND(ISNUMBER(M79),ISNUMBER(Z79)),IF(Z79&gt;=M79,(Z79-M79)*1440,""),"")</f>
        <v/>
      </c>
      <c r="AB79" s="57"/>
      <c r="AC79" s="56"/>
      <c r="AD79" s="58" t="str">
        <f aca="false">IF(AND(ISNUMBER(Z79),ISNUMBER(AC79)),IF(AC79&gt;=Z79,(AC79-Z79)*1440,""),"")</f>
        <v/>
      </c>
      <c r="AE79" s="54"/>
      <c r="AF79" s="54" t="s">
        <v>214</v>
      </c>
      <c r="AG79" s="54"/>
      <c r="AH79" s="58"/>
      <c r="AI79" s="55" t="n">
        <v>2</v>
      </c>
      <c r="AJ79" s="54" t="s">
        <v>288</v>
      </c>
      <c r="AK79" s="54" t="s">
        <v>212</v>
      </c>
    </row>
    <row r="80" customFormat="false" ht="15" hidden="false" customHeight="false" outlineLevel="0" collapsed="false">
      <c r="A80" s="54" t="s">
        <v>29</v>
      </c>
      <c r="B80" s="55" t="n">
        <v>1656</v>
      </c>
      <c r="C80" s="54" t="s">
        <v>127</v>
      </c>
      <c r="D80" s="54" t="s">
        <v>214</v>
      </c>
      <c r="E80" s="54" t="s">
        <v>217</v>
      </c>
      <c r="F80" s="56" t="n">
        <v>46308.5377894213</v>
      </c>
      <c r="G80" s="54" t="s">
        <v>212</v>
      </c>
      <c r="H80" s="54" t="s">
        <v>214</v>
      </c>
      <c r="I80" s="57" t="s">
        <v>319</v>
      </c>
      <c r="J80" s="56" t="n">
        <v>46308.5380657176</v>
      </c>
      <c r="K80" s="56" t="n">
        <v>46308.5382546644</v>
      </c>
      <c r="L80" s="58" t="n">
        <f aca="false">IF(AND(ISNUMBER(J80),ISNUMBER(K80)),IF(K80&gt;=J80,(K80-J80)*1440,""),"")</f>
        <v>0.27208333485</v>
      </c>
      <c r="M80" s="56" t="n">
        <v>46308.5424147917</v>
      </c>
      <c r="N80" s="58" t="n">
        <f aca="false">IF(AND(ISNUMBER(J80),ISNUMBER(M80)),IF(M80&gt;=J80,(M80-J80)*1440,""),"")</f>
        <v>6.2626666529</v>
      </c>
      <c r="O80" s="54" t="str">
        <f aca="false">IF(N80="","",LOOKUP(N80,Tiempos!$A$6:$A$10,Tiempos!$B$6:$B$10))</f>
        <v>6 a 10 min</v>
      </c>
      <c r="P80" s="54" t="s">
        <v>229</v>
      </c>
      <c r="Q80" s="54" t="s">
        <v>214</v>
      </c>
      <c r="R80" s="54" t="s">
        <v>127</v>
      </c>
      <c r="S80" s="54" t="s">
        <v>220</v>
      </c>
      <c r="T80" s="58" t="n">
        <v>111.9</v>
      </c>
      <c r="U80" s="54" t="s">
        <v>214</v>
      </c>
      <c r="V80" s="58" t="n">
        <v>5.99</v>
      </c>
      <c r="W80" s="57" t="s">
        <v>320</v>
      </c>
      <c r="X80" s="55" t="n">
        <v>2</v>
      </c>
      <c r="Y80" s="54" t="s">
        <v>212</v>
      </c>
      <c r="Z80" s="56"/>
      <c r="AA80" s="58" t="str">
        <f aca="false">IF(AND(ISNUMBER(M80),ISNUMBER(Z80)),IF(Z80&gt;=M80,(Z80-M80)*1440,""),"")</f>
        <v/>
      </c>
      <c r="AB80" s="57"/>
      <c r="AC80" s="56"/>
      <c r="AD80" s="58" t="str">
        <f aca="false">IF(AND(ISNUMBER(Z80),ISNUMBER(AC80)),IF(AC80&gt;=Z80,(AC80-Z80)*1440,""),"")</f>
        <v/>
      </c>
      <c r="AE80" s="54"/>
      <c r="AF80" s="54" t="s">
        <v>214</v>
      </c>
      <c r="AG80" s="54"/>
      <c r="AH80" s="58"/>
      <c r="AI80" s="55" t="n">
        <v>2</v>
      </c>
      <c r="AJ80" s="54" t="s">
        <v>288</v>
      </c>
      <c r="AK80" s="54" t="s">
        <v>212</v>
      </c>
    </row>
    <row r="81" customFormat="false" ht="15" hidden="false" customHeight="false" outlineLevel="0" collapsed="false">
      <c r="A81" s="54" t="s">
        <v>29</v>
      </c>
      <c r="B81" s="55" t="n">
        <v>1657</v>
      </c>
      <c r="C81" s="54" t="s">
        <v>129</v>
      </c>
      <c r="D81" s="54" t="s">
        <v>212</v>
      </c>
      <c r="E81" s="54"/>
      <c r="F81" s="56" t="n">
        <v>46308.5379027662</v>
      </c>
      <c r="G81" s="54" t="s">
        <v>212</v>
      </c>
      <c r="H81" s="54" t="s">
        <v>214</v>
      </c>
      <c r="I81" s="57"/>
      <c r="J81" s="56"/>
      <c r="K81" s="56"/>
      <c r="L81" s="58" t="str">
        <f aca="false">IF(AND(ISNUMBER(J81),ISNUMBER(K81)),IF(K81&gt;=J81,(K81-J81)*1440,""),"")</f>
        <v/>
      </c>
      <c r="M81" s="56"/>
      <c r="N81" s="58" t="str">
        <f aca="false">IF(AND(ISNUMBER(J81),ISNUMBER(M81)),IF(M81&gt;=J81,(M81-J81)*1440,""),"")</f>
        <v/>
      </c>
      <c r="O81" s="54" t="str">
        <f aca="false">IF(N81="","",LOOKUP(N81,Tiempos!$A$6:$A$10,Tiempos!$B$6:$B$10))</f>
        <v/>
      </c>
      <c r="P81" s="54"/>
      <c r="Q81" s="54"/>
      <c r="R81" s="54"/>
      <c r="S81" s="54"/>
      <c r="T81" s="58"/>
      <c r="U81" s="54"/>
      <c r="V81" s="58"/>
      <c r="W81" s="57"/>
      <c r="X81" s="55"/>
      <c r="Y81" s="54"/>
      <c r="Z81" s="56"/>
      <c r="AA81" s="58" t="str">
        <f aca="false">IF(AND(ISNUMBER(M81),ISNUMBER(Z81)),IF(Z81&gt;=M81,(Z81-M81)*1440,""),"")</f>
        <v/>
      </c>
      <c r="AB81" s="57"/>
      <c r="AC81" s="56"/>
      <c r="AD81" s="58" t="str">
        <f aca="false">IF(AND(ISNUMBER(Z81),ISNUMBER(AC81)),IF(AC81&gt;=Z81,(AC81-Z81)*1440,""),"")</f>
        <v/>
      </c>
      <c r="AE81" s="54"/>
      <c r="AF81" s="54"/>
      <c r="AG81" s="54"/>
      <c r="AH81" s="58"/>
      <c r="AI81" s="55" t="n">
        <v>3</v>
      </c>
      <c r="AJ81" s="54" t="s">
        <v>288</v>
      </c>
      <c r="AK81" s="54" t="s">
        <v>212</v>
      </c>
    </row>
    <row r="82" customFormat="false" ht="15" hidden="false" customHeight="false" outlineLevel="0" collapsed="false">
      <c r="A82" s="54" t="s">
        <v>29</v>
      </c>
      <c r="B82" s="55" t="n">
        <v>1680</v>
      </c>
      <c r="C82" s="54" t="s">
        <v>128</v>
      </c>
      <c r="D82" s="54" t="s">
        <v>212</v>
      </c>
      <c r="E82" s="54"/>
      <c r="F82" s="56" t="n">
        <v>46308.6621885301</v>
      </c>
      <c r="G82" s="54" t="s">
        <v>212</v>
      </c>
      <c r="H82" s="54" t="s">
        <v>214</v>
      </c>
      <c r="I82" s="57"/>
      <c r="J82" s="56"/>
      <c r="K82" s="56"/>
      <c r="L82" s="58" t="str">
        <f aca="false">IF(AND(ISNUMBER(J82),ISNUMBER(K82)),IF(K82&gt;=J82,(K82-J82)*1440,""),"")</f>
        <v/>
      </c>
      <c r="M82" s="56"/>
      <c r="N82" s="58" t="str">
        <f aca="false">IF(AND(ISNUMBER(J82),ISNUMBER(M82)),IF(M82&gt;=J82,(M82-J82)*1440,""),"")</f>
        <v/>
      </c>
      <c r="O82" s="54" t="str">
        <f aca="false">IF(N82="","",LOOKUP(N82,Tiempos!$A$6:$A$10,Tiempos!$B$6:$B$10))</f>
        <v/>
      </c>
      <c r="P82" s="54"/>
      <c r="Q82" s="54"/>
      <c r="R82" s="54"/>
      <c r="S82" s="54"/>
      <c r="T82" s="58"/>
      <c r="U82" s="54"/>
      <c r="V82" s="58"/>
      <c r="W82" s="57"/>
      <c r="X82" s="55"/>
      <c r="Y82" s="54"/>
      <c r="Z82" s="56"/>
      <c r="AA82" s="58" t="str">
        <f aca="false">IF(AND(ISNUMBER(M82),ISNUMBER(Z82)),IF(Z82&gt;=M82,(Z82-M82)*1440,""),"")</f>
        <v/>
      </c>
      <c r="AB82" s="57"/>
      <c r="AC82" s="56"/>
      <c r="AD82" s="58" t="str">
        <f aca="false">IF(AND(ISNUMBER(Z82),ISNUMBER(AC82)),IF(AC82&gt;=Z82,(AC82-Z82)*1440,""),"")</f>
        <v/>
      </c>
      <c r="AE82" s="54"/>
      <c r="AF82" s="54"/>
      <c r="AG82" s="54"/>
      <c r="AH82" s="58"/>
      <c r="AI82" s="55" t="n">
        <v>2</v>
      </c>
      <c r="AJ82" s="54" t="s">
        <v>216</v>
      </c>
      <c r="AK82" s="54" t="s">
        <v>212</v>
      </c>
    </row>
    <row r="83" customFormat="false" ht="15" hidden="false" customHeight="false" outlineLevel="0" collapsed="false">
      <c r="A83" s="54" t="s">
        <v>29</v>
      </c>
      <c r="B83" s="55" t="n">
        <v>1688</v>
      </c>
      <c r="C83" s="54" t="s">
        <v>129</v>
      </c>
      <c r="D83" s="54" t="s">
        <v>214</v>
      </c>
      <c r="E83" s="54" t="s">
        <v>217</v>
      </c>
      <c r="F83" s="56" t="n">
        <v>46308.6884949074</v>
      </c>
      <c r="G83" s="54" t="s">
        <v>212</v>
      </c>
      <c r="H83" s="54" t="s">
        <v>214</v>
      </c>
      <c r="I83" s="57" t="s">
        <v>321</v>
      </c>
      <c r="J83" s="56" t="n">
        <v>46308.6899145486</v>
      </c>
      <c r="K83" s="56" t="n">
        <v>46308.6903640162</v>
      </c>
      <c r="L83" s="58" t="n">
        <f aca="false">IF(AND(ISNUMBER(J83),ISNUMBER(K83)),IF(K83&gt;=J83,(K83-J83)*1440,""),"")</f>
        <v>0.647233348566667</v>
      </c>
      <c r="M83" s="56" t="n">
        <v>46308.6922906713</v>
      </c>
      <c r="N83" s="58" t="n">
        <f aca="false">IF(AND(ISNUMBER(J83),ISNUMBER(M83)),IF(M83&gt;=J83,(M83-J83)*1440,""),"")</f>
        <v>3.42161666485</v>
      </c>
      <c r="O83" s="54" t="str">
        <f aca="false">IF(N83="","",LOOKUP(N83,Tiempos!$A$6:$A$10,Tiempos!$B$6:$B$10))</f>
        <v>Menos de 4 min</v>
      </c>
      <c r="P83" s="54" t="s">
        <v>219</v>
      </c>
      <c r="Q83" s="54" t="s">
        <v>214</v>
      </c>
      <c r="R83" s="54" t="s">
        <v>129</v>
      </c>
      <c r="S83" s="54" t="s">
        <v>220</v>
      </c>
      <c r="T83" s="58" t="n">
        <v>118.4</v>
      </c>
      <c r="U83" s="54" t="s">
        <v>214</v>
      </c>
      <c r="V83" s="58" t="n">
        <v>2.77</v>
      </c>
      <c r="W83" s="57" t="s">
        <v>322</v>
      </c>
      <c r="X83" s="55" t="n">
        <v>4</v>
      </c>
      <c r="Y83" s="54" t="s">
        <v>214</v>
      </c>
      <c r="Z83" s="56" t="n">
        <v>46308.6969796991</v>
      </c>
      <c r="AA83" s="58" t="n">
        <f aca="false">IF(AND(ISNUMBER(M83),ISNUMBER(Z83)),IF(Z83&gt;=M83,(Z83-M83)*1440,""),"")</f>
        <v>6.75219999393333</v>
      </c>
      <c r="AB83" s="57" t="s">
        <v>323</v>
      </c>
      <c r="AC83" s="56" t="n">
        <v>46308.6986338773</v>
      </c>
      <c r="AD83" s="58" t="n">
        <f aca="false">IF(AND(ISNUMBER(Z83),ISNUMBER(AC83)),IF(AC83&gt;=Z83,(AC83-Z83)*1440,""),"")</f>
        <v>2.38201667436667</v>
      </c>
      <c r="AE83" s="54" t="s">
        <v>223</v>
      </c>
      <c r="AF83" s="54" t="s">
        <v>214</v>
      </c>
      <c r="AG83" s="54" t="s">
        <v>214</v>
      </c>
      <c r="AH83" s="58" t="n">
        <v>3.8</v>
      </c>
      <c r="AI83" s="55" t="n">
        <v>2</v>
      </c>
      <c r="AJ83" s="54" t="s">
        <v>288</v>
      </c>
      <c r="AK83" s="54" t="s">
        <v>212</v>
      </c>
    </row>
    <row r="84" customFormat="false" ht="15" hidden="false" customHeight="false" outlineLevel="0" collapsed="false">
      <c r="A84" s="54" t="s">
        <v>29</v>
      </c>
      <c r="B84" s="55" t="n">
        <v>1694</v>
      </c>
      <c r="C84" s="54" t="s">
        <v>129</v>
      </c>
      <c r="D84" s="54" t="s">
        <v>212</v>
      </c>
      <c r="E84" s="54"/>
      <c r="F84" s="56" t="n">
        <v>46308.6973787037</v>
      </c>
      <c r="G84" s="54" t="s">
        <v>212</v>
      </c>
      <c r="H84" s="54" t="s">
        <v>214</v>
      </c>
      <c r="I84" s="57"/>
      <c r="J84" s="56"/>
      <c r="K84" s="56"/>
      <c r="L84" s="58" t="str">
        <f aca="false">IF(AND(ISNUMBER(J84),ISNUMBER(K84)),IF(K84&gt;=J84,(K84-J84)*1440,""),"")</f>
        <v/>
      </c>
      <c r="M84" s="56"/>
      <c r="N84" s="58" t="str">
        <f aca="false">IF(AND(ISNUMBER(J84),ISNUMBER(M84)),IF(M84&gt;=J84,(M84-J84)*1440,""),"")</f>
        <v/>
      </c>
      <c r="O84" s="54" t="str">
        <f aca="false">IF(N84="","",LOOKUP(N84,Tiempos!$A$6:$A$10,Tiempos!$B$6:$B$10))</f>
        <v/>
      </c>
      <c r="P84" s="54"/>
      <c r="Q84" s="54"/>
      <c r="R84" s="54"/>
      <c r="S84" s="54"/>
      <c r="T84" s="58"/>
      <c r="U84" s="54"/>
      <c r="V84" s="58"/>
      <c r="W84" s="57"/>
      <c r="X84" s="55"/>
      <c r="Y84" s="54"/>
      <c r="Z84" s="56"/>
      <c r="AA84" s="58" t="str">
        <f aca="false">IF(AND(ISNUMBER(M84),ISNUMBER(Z84)),IF(Z84&gt;=M84,(Z84-M84)*1440,""),"")</f>
        <v/>
      </c>
      <c r="AB84" s="57"/>
      <c r="AC84" s="56"/>
      <c r="AD84" s="58" t="str">
        <f aca="false">IF(AND(ISNUMBER(Z84),ISNUMBER(AC84)),IF(AC84&gt;=Z84,(AC84-Z84)*1440,""),"")</f>
        <v/>
      </c>
      <c r="AE84" s="54"/>
      <c r="AF84" s="54"/>
      <c r="AG84" s="54"/>
      <c r="AH84" s="58"/>
      <c r="AI84" s="55" t="n">
        <v>2</v>
      </c>
      <c r="AJ84" s="54" t="s">
        <v>288</v>
      </c>
      <c r="AK84" s="54" t="s">
        <v>212</v>
      </c>
    </row>
    <row r="85" customFormat="false" ht="15" hidden="false" customHeight="false" outlineLevel="0" collapsed="false">
      <c r="A85" s="54" t="s">
        <v>29</v>
      </c>
      <c r="B85" s="55" t="n">
        <v>1726</v>
      </c>
      <c r="C85" s="54" t="s">
        <v>128</v>
      </c>
      <c r="D85" s="54" t="s">
        <v>212</v>
      </c>
      <c r="E85" s="54"/>
      <c r="F85" s="56" t="n">
        <v>46308.8318244792</v>
      </c>
      <c r="G85" s="54" t="s">
        <v>212</v>
      </c>
      <c r="H85" s="54" t="s">
        <v>214</v>
      </c>
      <c r="I85" s="57"/>
      <c r="J85" s="56"/>
      <c r="K85" s="56"/>
      <c r="L85" s="58" t="str">
        <f aca="false">IF(AND(ISNUMBER(J85),ISNUMBER(K85)),IF(K85&gt;=J85,(K85-J85)*1440,""),"")</f>
        <v/>
      </c>
      <c r="M85" s="56"/>
      <c r="N85" s="58" t="str">
        <f aca="false">IF(AND(ISNUMBER(J85),ISNUMBER(M85)),IF(M85&gt;=J85,(M85-J85)*1440,""),"")</f>
        <v/>
      </c>
      <c r="O85" s="54" t="str">
        <f aca="false">IF(N85="","",LOOKUP(N85,Tiempos!$A$6:$A$10,Tiempos!$B$6:$B$10))</f>
        <v/>
      </c>
      <c r="P85" s="54"/>
      <c r="Q85" s="54"/>
      <c r="R85" s="54"/>
      <c r="S85" s="54"/>
      <c r="T85" s="58"/>
      <c r="U85" s="54"/>
      <c r="V85" s="58"/>
      <c r="W85" s="57"/>
      <c r="X85" s="55"/>
      <c r="Y85" s="54"/>
      <c r="Z85" s="56"/>
      <c r="AA85" s="58" t="str">
        <f aca="false">IF(AND(ISNUMBER(M85),ISNUMBER(Z85)),IF(Z85&gt;=M85,(Z85-M85)*1440,""),"")</f>
        <v/>
      </c>
      <c r="AB85" s="57"/>
      <c r="AC85" s="56"/>
      <c r="AD85" s="58" t="str">
        <f aca="false">IF(AND(ISNUMBER(Z85),ISNUMBER(AC85)),IF(AC85&gt;=Z85,(AC85-Z85)*1440,""),"")</f>
        <v/>
      </c>
      <c r="AE85" s="54"/>
      <c r="AF85" s="54"/>
      <c r="AG85" s="54"/>
      <c r="AH85" s="58"/>
      <c r="AI85" s="55" t="n">
        <v>2</v>
      </c>
      <c r="AJ85" s="54" t="s">
        <v>288</v>
      </c>
      <c r="AK85" s="54" t="s">
        <v>212</v>
      </c>
    </row>
    <row r="86" customFormat="false" ht="15" hidden="false" customHeight="false" outlineLevel="0" collapsed="false">
      <c r="A86" s="54" t="s">
        <v>29</v>
      </c>
      <c r="B86" s="55" t="n">
        <v>1723</v>
      </c>
      <c r="C86" s="54" t="s">
        <v>127</v>
      </c>
      <c r="D86" s="54" t="s">
        <v>212</v>
      </c>
      <c r="E86" s="54"/>
      <c r="F86" s="56" t="n">
        <v>46308.8442733565</v>
      </c>
      <c r="G86" s="54" t="s">
        <v>212</v>
      </c>
      <c r="H86" s="54" t="s">
        <v>212</v>
      </c>
      <c r="I86" s="57"/>
      <c r="J86" s="56"/>
      <c r="K86" s="56"/>
      <c r="L86" s="58" t="str">
        <f aca="false">IF(AND(ISNUMBER(J86),ISNUMBER(K86)),IF(K86&gt;=J86,(K86-J86)*1440,""),"")</f>
        <v/>
      </c>
      <c r="M86" s="56"/>
      <c r="N86" s="58" t="str">
        <f aca="false">IF(AND(ISNUMBER(J86),ISNUMBER(M86)),IF(M86&gt;=J86,(M86-J86)*1440,""),"")</f>
        <v/>
      </c>
      <c r="O86" s="54" t="str">
        <f aca="false">IF(N86="","",LOOKUP(N86,Tiempos!$A$6:$A$10,Tiempos!$B$6:$B$10))</f>
        <v/>
      </c>
      <c r="P86" s="54"/>
      <c r="Q86" s="54"/>
      <c r="R86" s="54"/>
      <c r="S86" s="54"/>
      <c r="T86" s="58"/>
      <c r="U86" s="54"/>
      <c r="V86" s="58"/>
      <c r="W86" s="57"/>
      <c r="X86" s="55"/>
      <c r="Y86" s="54"/>
      <c r="Z86" s="56"/>
      <c r="AA86" s="58" t="str">
        <f aca="false">IF(AND(ISNUMBER(M86),ISNUMBER(Z86)),IF(Z86&gt;=M86,(Z86-M86)*1440,""),"")</f>
        <v/>
      </c>
      <c r="AB86" s="57"/>
      <c r="AC86" s="56"/>
      <c r="AD86" s="58" t="str">
        <f aca="false">IF(AND(ISNUMBER(Z86),ISNUMBER(AC86)),IF(AC86&gt;=Z86,(AC86-Z86)*1440,""),"")</f>
        <v/>
      </c>
      <c r="AE86" s="54"/>
      <c r="AF86" s="54"/>
      <c r="AG86" s="54"/>
      <c r="AH86" s="58"/>
      <c r="AI86" s="55" t="n">
        <v>1</v>
      </c>
      <c r="AJ86" s="54" t="s">
        <v>288</v>
      </c>
      <c r="AK86" s="54" t="s">
        <v>212</v>
      </c>
    </row>
    <row r="87" customFormat="false" ht="15" hidden="false" customHeight="false" outlineLevel="0" collapsed="false">
      <c r="A87" s="54" t="s">
        <v>29</v>
      </c>
      <c r="B87" s="55" t="n">
        <v>1744</v>
      </c>
      <c r="C87" s="54" t="s">
        <v>128</v>
      </c>
      <c r="D87" s="54" t="s">
        <v>214</v>
      </c>
      <c r="E87" s="54" t="s">
        <v>217</v>
      </c>
      <c r="F87" s="56" t="n">
        <v>46308.8737303125</v>
      </c>
      <c r="G87" s="54" t="s">
        <v>212</v>
      </c>
      <c r="H87" s="54" t="s">
        <v>212</v>
      </c>
      <c r="I87" s="57" t="s">
        <v>324</v>
      </c>
      <c r="J87" s="56" t="n">
        <v>46308.8743241551</v>
      </c>
      <c r="K87" s="56" t="n">
        <v>46308.8765957292</v>
      </c>
      <c r="L87" s="58" t="n">
        <f aca="false">IF(AND(ISNUMBER(J87),ISNUMBER(K87)),IF(K87&gt;=J87,(K87-J87)*1440,""),"")</f>
        <v>3.27106667216667</v>
      </c>
      <c r="M87" s="56" t="n">
        <v>46308.878749919</v>
      </c>
      <c r="N87" s="58" t="n">
        <f aca="false">IF(AND(ISNUMBER(J87),ISNUMBER(M87)),IF(M87&gt;=J87,(M87-J87)*1440,""),"")</f>
        <v>6.37309999786667</v>
      </c>
      <c r="O87" s="54" t="str">
        <f aca="false">IF(N87="","",LOOKUP(N87,Tiempos!$A$6:$A$10,Tiempos!$B$6:$B$10))</f>
        <v>6 a 10 min</v>
      </c>
      <c r="P87" s="54" t="s">
        <v>244</v>
      </c>
      <c r="Q87" s="54" t="s">
        <v>214</v>
      </c>
      <c r="R87" s="54" t="s">
        <v>128</v>
      </c>
      <c r="S87" s="54" t="s">
        <v>220</v>
      </c>
      <c r="T87" s="58" t="n">
        <v>76.2</v>
      </c>
      <c r="U87" s="54" t="s">
        <v>212</v>
      </c>
      <c r="V87" s="58" t="n">
        <v>3.1</v>
      </c>
      <c r="W87" s="57" t="s">
        <v>325</v>
      </c>
      <c r="X87" s="55" t="n">
        <v>3</v>
      </c>
      <c r="Y87" s="54" t="s">
        <v>214</v>
      </c>
      <c r="Z87" s="56" t="n">
        <v>46308.8832687616</v>
      </c>
      <c r="AA87" s="58" t="n">
        <f aca="false">IF(AND(ISNUMBER(M87),ISNUMBER(Z87)),IF(Z87&gt;=M87,(Z87-M87)*1440,""),"")</f>
        <v>6.5071333351</v>
      </c>
      <c r="AB87" s="57" t="s">
        <v>326</v>
      </c>
      <c r="AC87" s="56" t="n">
        <v>46308.8854949884</v>
      </c>
      <c r="AD87" s="58" t="n">
        <f aca="false">IF(AND(ISNUMBER(Z87),ISNUMBER(AC87)),IF(AC87&gt;=Z87,(AC87-Z87)*1440,""),"")</f>
        <v>3.20576668018333</v>
      </c>
      <c r="AE87" s="54" t="s">
        <v>302</v>
      </c>
      <c r="AF87" s="54" t="s">
        <v>212</v>
      </c>
      <c r="AG87" s="54" t="s">
        <v>212</v>
      </c>
      <c r="AH87" s="58"/>
      <c r="AI87" s="55" t="n">
        <v>2</v>
      </c>
      <c r="AJ87" s="54" t="s">
        <v>307</v>
      </c>
      <c r="AK87" s="54" t="s">
        <v>212</v>
      </c>
    </row>
    <row r="88" customFormat="false" ht="15" hidden="false" customHeight="false" outlineLevel="0" collapsed="false">
      <c r="A88" s="54" t="s">
        <v>29</v>
      </c>
      <c r="B88" s="55" t="n">
        <v>1760</v>
      </c>
      <c r="C88" s="54" t="s">
        <v>127</v>
      </c>
      <c r="D88" s="54" t="s">
        <v>212</v>
      </c>
      <c r="E88" s="54"/>
      <c r="F88" s="56" t="n">
        <v>46308.9579556366</v>
      </c>
      <c r="G88" s="54" t="s">
        <v>214</v>
      </c>
      <c r="H88" s="54" t="s">
        <v>212</v>
      </c>
      <c r="I88" s="57"/>
      <c r="J88" s="56"/>
      <c r="K88" s="56"/>
      <c r="L88" s="58" t="str">
        <f aca="false">IF(AND(ISNUMBER(J88),ISNUMBER(K88)),IF(K88&gt;=J88,(K88-J88)*1440,""),"")</f>
        <v/>
      </c>
      <c r="M88" s="56"/>
      <c r="N88" s="58" t="str">
        <f aca="false">IF(AND(ISNUMBER(J88),ISNUMBER(M88)),IF(M88&gt;=J88,(M88-J88)*1440,""),"")</f>
        <v/>
      </c>
      <c r="O88" s="54" t="str">
        <f aca="false">IF(N88="","",LOOKUP(N88,Tiempos!$A$6:$A$10,Tiempos!$B$6:$B$10))</f>
        <v/>
      </c>
      <c r="P88" s="54"/>
      <c r="Q88" s="54"/>
      <c r="R88" s="54"/>
      <c r="S88" s="54"/>
      <c r="T88" s="58"/>
      <c r="U88" s="54"/>
      <c r="V88" s="58"/>
      <c r="W88" s="57"/>
      <c r="X88" s="55"/>
      <c r="Y88" s="54"/>
      <c r="Z88" s="56"/>
      <c r="AA88" s="58" t="str">
        <f aca="false">IF(AND(ISNUMBER(M88),ISNUMBER(Z88)),IF(Z88&gt;=M88,(Z88-M88)*1440,""),"")</f>
        <v/>
      </c>
      <c r="AB88" s="57"/>
      <c r="AC88" s="56"/>
      <c r="AD88" s="58" t="str">
        <f aca="false">IF(AND(ISNUMBER(Z88),ISNUMBER(AC88)),IF(AC88&gt;=Z88,(AC88-Z88)*1440,""),"")</f>
        <v/>
      </c>
      <c r="AE88" s="54"/>
      <c r="AF88" s="54"/>
      <c r="AG88" s="54"/>
      <c r="AH88" s="58"/>
      <c r="AI88" s="55" t="n">
        <v>1</v>
      </c>
      <c r="AJ88" s="54" t="s">
        <v>288</v>
      </c>
      <c r="AK88" s="54" t="s">
        <v>212</v>
      </c>
    </row>
    <row r="89" customFormat="false" ht="15" hidden="false" customHeight="false" outlineLevel="0" collapsed="false">
      <c r="A89" s="54" t="s">
        <v>29</v>
      </c>
      <c r="B89" s="55" t="n">
        <v>1774</v>
      </c>
      <c r="C89" s="54" t="s">
        <v>127</v>
      </c>
      <c r="D89" s="54" t="s">
        <v>211</v>
      </c>
      <c r="E89" s="54"/>
      <c r="F89" s="56" t="n">
        <v>46309.1047287037</v>
      </c>
      <c r="G89" s="54" t="s">
        <v>214</v>
      </c>
      <c r="H89" s="54" t="s">
        <v>214</v>
      </c>
      <c r="I89" s="57" t="s">
        <v>327</v>
      </c>
      <c r="J89" s="56" t="n">
        <v>46309.8767848495</v>
      </c>
      <c r="K89" s="56" t="n">
        <v>46309.8781731713</v>
      </c>
      <c r="L89" s="58" t="n">
        <f aca="false">IF(AND(ISNUMBER(J89),ISNUMBER(K89)),IF(K89&gt;=J89,(K89-J89)*1440,""),"")</f>
        <v>1.9991833472</v>
      </c>
      <c r="M89" s="56" t="n">
        <v>46309.8781731713</v>
      </c>
      <c r="N89" s="58" t="n">
        <f aca="false">IF(AND(ISNUMBER(J89),ISNUMBER(M89)),IF(M89&gt;=J89,(M89-J89)*1440,""),"")</f>
        <v>1.9991833472</v>
      </c>
      <c r="O89" s="54" t="str">
        <f aca="false">IF(N89="","",LOOKUP(N89,Tiempos!$A$6:$A$10,Tiempos!$B$6:$B$10))</f>
        <v>Menos de 4 min</v>
      </c>
      <c r="P89" s="54" t="s">
        <v>226</v>
      </c>
      <c r="Q89" s="54" t="s">
        <v>212</v>
      </c>
      <c r="R89" s="54" t="s">
        <v>127</v>
      </c>
      <c r="S89" s="54" t="s">
        <v>220</v>
      </c>
      <c r="T89" s="58"/>
      <c r="U89" s="54"/>
      <c r="V89" s="58"/>
      <c r="W89" s="57"/>
      <c r="X89" s="55" t="n">
        <v>0</v>
      </c>
      <c r="Y89" s="54" t="s">
        <v>212</v>
      </c>
      <c r="Z89" s="56"/>
      <c r="AA89" s="58" t="str">
        <f aca="false">IF(AND(ISNUMBER(M89),ISNUMBER(Z89)),IF(Z89&gt;=M89,(Z89-M89)*1440,""),"")</f>
        <v/>
      </c>
      <c r="AB89" s="57"/>
      <c r="AC89" s="56"/>
      <c r="AD89" s="58" t="str">
        <f aca="false">IF(AND(ISNUMBER(Z89),ISNUMBER(AC89)),IF(AC89&gt;=Z89,(AC89-Z89)*1440,""),"")</f>
        <v/>
      </c>
      <c r="AE89" s="54"/>
      <c r="AF89" s="54" t="s">
        <v>212</v>
      </c>
      <c r="AG89" s="54"/>
      <c r="AH89" s="58"/>
      <c r="AI89" s="55" t="n">
        <v>1</v>
      </c>
      <c r="AJ89" s="54" t="s">
        <v>288</v>
      </c>
      <c r="AK89" s="54" t="s">
        <v>212</v>
      </c>
    </row>
    <row r="90" customFormat="false" ht="15" hidden="false" customHeight="false" outlineLevel="0" collapsed="false">
      <c r="A90" s="54" t="s">
        <v>29</v>
      </c>
      <c r="B90" s="55" t="n">
        <v>1756</v>
      </c>
      <c r="C90" s="54" t="s">
        <v>127</v>
      </c>
      <c r="D90" s="54" t="s">
        <v>212</v>
      </c>
      <c r="E90" s="54"/>
      <c r="F90" s="56" t="n">
        <v>46309.2968176042</v>
      </c>
      <c r="G90" s="54" t="s">
        <v>214</v>
      </c>
      <c r="H90" s="54" t="s">
        <v>214</v>
      </c>
      <c r="I90" s="57"/>
      <c r="J90" s="56"/>
      <c r="K90" s="56"/>
      <c r="L90" s="58" t="str">
        <f aca="false">IF(AND(ISNUMBER(J90),ISNUMBER(K90)),IF(K90&gt;=J90,(K90-J90)*1440,""),"")</f>
        <v/>
      </c>
      <c r="M90" s="56"/>
      <c r="N90" s="58" t="str">
        <f aca="false">IF(AND(ISNUMBER(J90),ISNUMBER(M90)),IF(M90&gt;=J90,(M90-J90)*1440,""),"")</f>
        <v/>
      </c>
      <c r="O90" s="54" t="str">
        <f aca="false">IF(N90="","",LOOKUP(N90,Tiempos!$A$6:$A$10,Tiempos!$B$6:$B$10))</f>
        <v/>
      </c>
      <c r="P90" s="54"/>
      <c r="Q90" s="54"/>
      <c r="R90" s="54"/>
      <c r="S90" s="54"/>
      <c r="T90" s="58"/>
      <c r="U90" s="54"/>
      <c r="V90" s="58"/>
      <c r="W90" s="57"/>
      <c r="X90" s="55"/>
      <c r="Y90" s="54"/>
      <c r="Z90" s="56"/>
      <c r="AA90" s="58" t="str">
        <f aca="false">IF(AND(ISNUMBER(M90),ISNUMBER(Z90)),IF(Z90&gt;=M90,(Z90-M90)*1440,""),"")</f>
        <v/>
      </c>
      <c r="AB90" s="57"/>
      <c r="AC90" s="56"/>
      <c r="AD90" s="58" t="str">
        <f aca="false">IF(AND(ISNUMBER(Z90),ISNUMBER(AC90)),IF(AC90&gt;=Z90,(AC90-Z90)*1440,""),"")</f>
        <v/>
      </c>
      <c r="AE90" s="54"/>
      <c r="AF90" s="54"/>
      <c r="AG90" s="54"/>
      <c r="AH90" s="58"/>
      <c r="AI90" s="55" t="n">
        <v>3</v>
      </c>
      <c r="AJ90" s="54" t="s">
        <v>288</v>
      </c>
      <c r="AK90" s="54" t="s">
        <v>212</v>
      </c>
    </row>
    <row r="91" customFormat="false" ht="15" hidden="false" customHeight="false" outlineLevel="0" collapsed="false">
      <c r="A91" s="54" t="s">
        <v>29</v>
      </c>
      <c r="B91" s="55" t="n">
        <v>1775</v>
      </c>
      <c r="C91" s="54" t="s">
        <v>127</v>
      </c>
      <c r="D91" s="54" t="s">
        <v>212</v>
      </c>
      <c r="E91" s="54"/>
      <c r="F91" s="56" t="n">
        <v>46309.3078289815</v>
      </c>
      <c r="G91" s="54" t="s">
        <v>214</v>
      </c>
      <c r="H91" s="54" t="s">
        <v>214</v>
      </c>
      <c r="I91" s="57"/>
      <c r="J91" s="56"/>
      <c r="K91" s="56"/>
      <c r="L91" s="58" t="str">
        <f aca="false">IF(AND(ISNUMBER(J91),ISNUMBER(K91)),IF(K91&gt;=J91,(K91-J91)*1440,""),"")</f>
        <v/>
      </c>
      <c r="M91" s="56"/>
      <c r="N91" s="58" t="str">
        <f aca="false">IF(AND(ISNUMBER(J91),ISNUMBER(M91)),IF(M91&gt;=J91,(M91-J91)*1440,""),"")</f>
        <v/>
      </c>
      <c r="O91" s="54" t="str">
        <f aca="false">IF(N91="","",LOOKUP(N91,Tiempos!$A$6:$A$10,Tiempos!$B$6:$B$10))</f>
        <v/>
      </c>
      <c r="P91" s="54"/>
      <c r="Q91" s="54"/>
      <c r="R91" s="54"/>
      <c r="S91" s="54"/>
      <c r="T91" s="58"/>
      <c r="U91" s="54"/>
      <c r="V91" s="58"/>
      <c r="W91" s="57"/>
      <c r="X91" s="55"/>
      <c r="Y91" s="54"/>
      <c r="Z91" s="56"/>
      <c r="AA91" s="58" t="str">
        <f aca="false">IF(AND(ISNUMBER(M91),ISNUMBER(Z91)),IF(Z91&gt;=M91,(Z91-M91)*1440,""),"")</f>
        <v/>
      </c>
      <c r="AB91" s="57"/>
      <c r="AC91" s="56"/>
      <c r="AD91" s="58" t="str">
        <f aca="false">IF(AND(ISNUMBER(Z91),ISNUMBER(AC91)),IF(AC91&gt;=Z91,(AC91-Z91)*1440,""),"")</f>
        <v/>
      </c>
      <c r="AE91" s="54"/>
      <c r="AF91" s="54"/>
      <c r="AG91" s="54"/>
      <c r="AH91" s="58"/>
      <c r="AI91" s="55" t="n">
        <v>2</v>
      </c>
      <c r="AJ91" s="54" t="s">
        <v>288</v>
      </c>
      <c r="AK91" s="54" t="s">
        <v>212</v>
      </c>
    </row>
    <row r="92" customFormat="false" ht="15" hidden="false" customHeight="false" outlineLevel="0" collapsed="false">
      <c r="A92" s="54" t="s">
        <v>29</v>
      </c>
      <c r="B92" s="55" t="n">
        <v>1807</v>
      </c>
      <c r="C92" s="54" t="s">
        <v>303</v>
      </c>
      <c r="D92" s="54" t="s">
        <v>211</v>
      </c>
      <c r="E92" s="54"/>
      <c r="F92" s="56" t="n">
        <v>46309.3923145949</v>
      </c>
      <c r="G92" s="54" t="s">
        <v>212</v>
      </c>
      <c r="H92" s="54" t="s">
        <v>214</v>
      </c>
      <c r="I92" s="57" t="s">
        <v>328</v>
      </c>
      <c r="J92" s="56" t="n">
        <v>46309.5710546181</v>
      </c>
      <c r="K92" s="56" t="n">
        <v>46309.5720004977</v>
      </c>
      <c r="L92" s="58" t="n">
        <f aca="false">IF(AND(ISNUMBER(J92),ISNUMBER(K92)),IF(K92&gt;=J92,(K92-J92)*1440,""),"")</f>
        <v>1.36206665191667</v>
      </c>
      <c r="M92" s="56" t="n">
        <v>46309.5720004977</v>
      </c>
      <c r="N92" s="58" t="n">
        <f aca="false">IF(AND(ISNUMBER(J92),ISNUMBER(M92)),IF(M92&gt;=J92,(M92-J92)*1440,""),"")</f>
        <v>1.36206665191667</v>
      </c>
      <c r="O92" s="54" t="str">
        <f aca="false">IF(N92="","",LOOKUP(N92,Tiempos!$A$6:$A$10,Tiempos!$B$6:$B$10))</f>
        <v>Menos de 4 min</v>
      </c>
      <c r="P92" s="54" t="s">
        <v>226</v>
      </c>
      <c r="Q92" s="54" t="s">
        <v>212</v>
      </c>
      <c r="R92" s="54" t="s">
        <v>130</v>
      </c>
      <c r="S92" s="54" t="s">
        <v>215</v>
      </c>
      <c r="T92" s="58"/>
      <c r="U92" s="54"/>
      <c r="V92" s="58"/>
      <c r="W92" s="57"/>
      <c r="X92" s="55" t="n">
        <v>0</v>
      </c>
      <c r="Y92" s="54" t="s">
        <v>212</v>
      </c>
      <c r="Z92" s="56"/>
      <c r="AA92" s="58" t="str">
        <f aca="false">IF(AND(ISNUMBER(M92),ISNUMBER(Z92)),IF(Z92&gt;=M92,(Z92-M92)*1440,""),"")</f>
        <v/>
      </c>
      <c r="AB92" s="57"/>
      <c r="AC92" s="56"/>
      <c r="AD92" s="58" t="str">
        <f aca="false">IF(AND(ISNUMBER(Z92),ISNUMBER(AC92)),IF(AC92&gt;=Z92,(AC92-Z92)*1440,""),"")</f>
        <v/>
      </c>
      <c r="AE92" s="54"/>
      <c r="AF92" s="54" t="s">
        <v>212</v>
      </c>
      <c r="AG92" s="54"/>
      <c r="AH92" s="58"/>
      <c r="AI92" s="55" t="n">
        <v>3</v>
      </c>
      <c r="AJ92" s="54" t="s">
        <v>288</v>
      </c>
      <c r="AK92" s="54" t="s">
        <v>212</v>
      </c>
    </row>
    <row r="93" customFormat="false" ht="15" hidden="false" customHeight="false" outlineLevel="0" collapsed="false">
      <c r="A93" s="54" t="s">
        <v>29</v>
      </c>
      <c r="B93" s="55" t="n">
        <v>1812</v>
      </c>
      <c r="C93" s="54" t="s">
        <v>127</v>
      </c>
      <c r="D93" s="54" t="s">
        <v>212</v>
      </c>
      <c r="E93" s="54"/>
      <c r="F93" s="56" t="n">
        <v>46309.4020845949</v>
      </c>
      <c r="G93" s="54" t="s">
        <v>212</v>
      </c>
      <c r="H93" s="54" t="s">
        <v>214</v>
      </c>
      <c r="I93" s="57"/>
      <c r="J93" s="56"/>
      <c r="K93" s="56"/>
      <c r="L93" s="58" t="str">
        <f aca="false">IF(AND(ISNUMBER(J93),ISNUMBER(K93)),IF(K93&gt;=J93,(K93-J93)*1440,""),"")</f>
        <v/>
      </c>
      <c r="M93" s="56"/>
      <c r="N93" s="58" t="str">
        <f aca="false">IF(AND(ISNUMBER(J93),ISNUMBER(M93)),IF(M93&gt;=J93,(M93-J93)*1440,""),"")</f>
        <v/>
      </c>
      <c r="O93" s="54" t="str">
        <f aca="false">IF(N93="","",LOOKUP(N93,Tiempos!$A$6:$A$10,Tiempos!$B$6:$B$10))</f>
        <v/>
      </c>
      <c r="P93" s="54"/>
      <c r="Q93" s="54"/>
      <c r="R93" s="54"/>
      <c r="S93" s="54"/>
      <c r="T93" s="58"/>
      <c r="U93" s="54"/>
      <c r="V93" s="58"/>
      <c r="W93" s="57"/>
      <c r="X93" s="55"/>
      <c r="Y93" s="54"/>
      <c r="Z93" s="56"/>
      <c r="AA93" s="58" t="str">
        <f aca="false">IF(AND(ISNUMBER(M93),ISNUMBER(Z93)),IF(Z93&gt;=M93,(Z93-M93)*1440,""),"")</f>
        <v/>
      </c>
      <c r="AB93" s="57"/>
      <c r="AC93" s="56"/>
      <c r="AD93" s="58" t="str">
        <f aca="false">IF(AND(ISNUMBER(Z93),ISNUMBER(AC93)),IF(AC93&gt;=Z93,(AC93-Z93)*1440,""),"")</f>
        <v/>
      </c>
      <c r="AE93" s="54"/>
      <c r="AF93" s="54"/>
      <c r="AG93" s="54"/>
      <c r="AH93" s="58"/>
      <c r="AI93" s="55" t="n">
        <v>2</v>
      </c>
      <c r="AJ93" s="54" t="s">
        <v>288</v>
      </c>
      <c r="AK93" s="54" t="s">
        <v>212</v>
      </c>
    </row>
    <row r="94" customFormat="false" ht="15" hidden="false" customHeight="false" outlineLevel="0" collapsed="false">
      <c r="A94" s="54" t="s">
        <v>29</v>
      </c>
      <c r="B94" s="55" t="n">
        <v>1821</v>
      </c>
      <c r="C94" s="54" t="s">
        <v>127</v>
      </c>
      <c r="D94" s="54" t="s">
        <v>212</v>
      </c>
      <c r="E94" s="54"/>
      <c r="F94" s="56" t="n">
        <v>46309.4485331134</v>
      </c>
      <c r="G94" s="54" t="s">
        <v>212</v>
      </c>
      <c r="H94" s="54" t="s">
        <v>212</v>
      </c>
      <c r="I94" s="57"/>
      <c r="J94" s="56"/>
      <c r="K94" s="56"/>
      <c r="L94" s="58" t="str">
        <f aca="false">IF(AND(ISNUMBER(J94),ISNUMBER(K94)),IF(K94&gt;=J94,(K94-J94)*1440,""),"")</f>
        <v/>
      </c>
      <c r="M94" s="56"/>
      <c r="N94" s="58" t="str">
        <f aca="false">IF(AND(ISNUMBER(J94),ISNUMBER(M94)),IF(M94&gt;=J94,(M94-J94)*1440,""),"")</f>
        <v/>
      </c>
      <c r="O94" s="54" t="str">
        <f aca="false">IF(N94="","",LOOKUP(N94,Tiempos!$A$6:$A$10,Tiempos!$B$6:$B$10))</f>
        <v/>
      </c>
      <c r="P94" s="54"/>
      <c r="Q94" s="54"/>
      <c r="R94" s="54"/>
      <c r="S94" s="54"/>
      <c r="T94" s="58"/>
      <c r="U94" s="54"/>
      <c r="V94" s="58"/>
      <c r="W94" s="57"/>
      <c r="X94" s="55"/>
      <c r="Y94" s="54"/>
      <c r="Z94" s="56"/>
      <c r="AA94" s="58" t="str">
        <f aca="false">IF(AND(ISNUMBER(M94),ISNUMBER(Z94)),IF(Z94&gt;=M94,(Z94-M94)*1440,""),"")</f>
        <v/>
      </c>
      <c r="AB94" s="57"/>
      <c r="AC94" s="56"/>
      <c r="AD94" s="58" t="str">
        <f aca="false">IF(AND(ISNUMBER(Z94),ISNUMBER(AC94)),IF(AC94&gt;=Z94,(AC94-Z94)*1440,""),"")</f>
        <v/>
      </c>
      <c r="AE94" s="54"/>
      <c r="AF94" s="54"/>
      <c r="AG94" s="54"/>
      <c r="AH94" s="58"/>
      <c r="AI94" s="55" t="n">
        <v>1</v>
      </c>
      <c r="AJ94" s="54" t="s">
        <v>288</v>
      </c>
      <c r="AK94" s="54" t="s">
        <v>212</v>
      </c>
    </row>
    <row r="95" customFormat="false" ht="15" hidden="false" customHeight="false" outlineLevel="0" collapsed="false">
      <c r="A95" s="54" t="s">
        <v>29</v>
      </c>
      <c r="B95" s="55" t="n">
        <v>1841</v>
      </c>
      <c r="C95" s="54" t="s">
        <v>127</v>
      </c>
      <c r="D95" s="54" t="s">
        <v>212</v>
      </c>
      <c r="E95" s="54"/>
      <c r="F95" s="56" t="n">
        <v>46309.4942914699</v>
      </c>
      <c r="G95" s="54" t="s">
        <v>212</v>
      </c>
      <c r="H95" s="54" t="s">
        <v>214</v>
      </c>
      <c r="I95" s="57"/>
      <c r="J95" s="56"/>
      <c r="K95" s="56"/>
      <c r="L95" s="58" t="str">
        <f aca="false">IF(AND(ISNUMBER(J95),ISNUMBER(K95)),IF(K95&gt;=J95,(K95-J95)*1440,""),"")</f>
        <v/>
      </c>
      <c r="M95" s="56"/>
      <c r="N95" s="58" t="str">
        <f aca="false">IF(AND(ISNUMBER(J95),ISNUMBER(M95)),IF(M95&gt;=J95,(M95-J95)*1440,""),"")</f>
        <v/>
      </c>
      <c r="O95" s="54" t="str">
        <f aca="false">IF(N95="","",LOOKUP(N95,Tiempos!$A$6:$A$10,Tiempos!$B$6:$B$10))</f>
        <v/>
      </c>
      <c r="P95" s="54"/>
      <c r="Q95" s="54"/>
      <c r="R95" s="54"/>
      <c r="S95" s="54"/>
      <c r="T95" s="58"/>
      <c r="U95" s="54"/>
      <c r="V95" s="58"/>
      <c r="W95" s="57"/>
      <c r="X95" s="55"/>
      <c r="Y95" s="54"/>
      <c r="Z95" s="56"/>
      <c r="AA95" s="58" t="str">
        <f aca="false">IF(AND(ISNUMBER(M95),ISNUMBER(Z95)),IF(Z95&gt;=M95,(Z95-M95)*1440,""),"")</f>
        <v/>
      </c>
      <c r="AB95" s="57"/>
      <c r="AC95" s="56"/>
      <c r="AD95" s="58" t="str">
        <f aca="false">IF(AND(ISNUMBER(Z95),ISNUMBER(AC95)),IF(AC95&gt;=Z95,(AC95-Z95)*1440,""),"")</f>
        <v/>
      </c>
      <c r="AE95" s="54"/>
      <c r="AF95" s="54"/>
      <c r="AG95" s="54"/>
      <c r="AH95" s="58"/>
      <c r="AI95" s="55" t="n">
        <v>2</v>
      </c>
      <c r="AJ95" s="54" t="s">
        <v>288</v>
      </c>
      <c r="AK95" s="54" t="s">
        <v>212</v>
      </c>
    </row>
    <row r="96" customFormat="false" ht="15" hidden="false" customHeight="false" outlineLevel="0" collapsed="false">
      <c r="A96" s="54" t="s">
        <v>29</v>
      </c>
      <c r="B96" s="55" t="n">
        <v>1838</v>
      </c>
      <c r="C96" s="54" t="s">
        <v>127</v>
      </c>
      <c r="D96" s="54" t="s">
        <v>212</v>
      </c>
      <c r="E96" s="54"/>
      <c r="F96" s="56" t="n">
        <v>46309.5060046296</v>
      </c>
      <c r="G96" s="54" t="s">
        <v>212</v>
      </c>
      <c r="H96" s="54" t="s">
        <v>214</v>
      </c>
      <c r="I96" s="57"/>
      <c r="J96" s="56"/>
      <c r="K96" s="56"/>
      <c r="L96" s="58" t="str">
        <f aca="false">IF(AND(ISNUMBER(J96),ISNUMBER(K96)),IF(K96&gt;=J96,(K96-J96)*1440,""),"")</f>
        <v/>
      </c>
      <c r="M96" s="56"/>
      <c r="N96" s="58" t="str">
        <f aca="false">IF(AND(ISNUMBER(J96),ISNUMBER(M96)),IF(M96&gt;=J96,(M96-J96)*1440,""),"")</f>
        <v/>
      </c>
      <c r="O96" s="54" t="str">
        <f aca="false">IF(N96="","",LOOKUP(N96,Tiempos!$A$6:$A$10,Tiempos!$B$6:$B$10))</f>
        <v/>
      </c>
      <c r="P96" s="54"/>
      <c r="Q96" s="54"/>
      <c r="R96" s="54"/>
      <c r="S96" s="54"/>
      <c r="T96" s="58"/>
      <c r="U96" s="54"/>
      <c r="V96" s="58"/>
      <c r="W96" s="57"/>
      <c r="X96" s="55"/>
      <c r="Y96" s="54"/>
      <c r="Z96" s="56"/>
      <c r="AA96" s="58" t="str">
        <f aca="false">IF(AND(ISNUMBER(M96),ISNUMBER(Z96)),IF(Z96&gt;=M96,(Z96-M96)*1440,""),"")</f>
        <v/>
      </c>
      <c r="AB96" s="57"/>
      <c r="AC96" s="56"/>
      <c r="AD96" s="58" t="str">
        <f aca="false">IF(AND(ISNUMBER(Z96),ISNUMBER(AC96)),IF(AC96&gt;=Z96,(AC96-Z96)*1440,""),"")</f>
        <v/>
      </c>
      <c r="AE96" s="54"/>
      <c r="AF96" s="54"/>
      <c r="AG96" s="54"/>
      <c r="AH96" s="58"/>
      <c r="AI96" s="55" t="n">
        <v>1</v>
      </c>
      <c r="AJ96" s="54" t="s">
        <v>288</v>
      </c>
      <c r="AK96" s="54" t="s">
        <v>212</v>
      </c>
    </row>
    <row r="97" customFormat="false" ht="15" hidden="false" customHeight="false" outlineLevel="0" collapsed="false">
      <c r="A97" s="54" t="s">
        <v>29</v>
      </c>
      <c r="B97" s="55" t="n">
        <v>1853</v>
      </c>
      <c r="C97" s="54" t="s">
        <v>127</v>
      </c>
      <c r="D97" s="54" t="s">
        <v>212</v>
      </c>
      <c r="E97" s="54"/>
      <c r="F97" s="56" t="n">
        <v>46309.5659980787</v>
      </c>
      <c r="G97" s="54" t="s">
        <v>212</v>
      </c>
      <c r="H97" s="54" t="s">
        <v>212</v>
      </c>
      <c r="I97" s="57"/>
      <c r="J97" s="56"/>
      <c r="K97" s="56"/>
      <c r="L97" s="58" t="str">
        <f aca="false">IF(AND(ISNUMBER(J97),ISNUMBER(K97)),IF(K97&gt;=J97,(K97-J97)*1440,""),"")</f>
        <v/>
      </c>
      <c r="M97" s="56"/>
      <c r="N97" s="58" t="str">
        <f aca="false">IF(AND(ISNUMBER(J97),ISNUMBER(M97)),IF(M97&gt;=J97,(M97-J97)*1440,""),"")</f>
        <v/>
      </c>
      <c r="O97" s="54" t="str">
        <f aca="false">IF(N97="","",LOOKUP(N97,Tiempos!$A$6:$A$10,Tiempos!$B$6:$B$10))</f>
        <v/>
      </c>
      <c r="P97" s="54"/>
      <c r="Q97" s="54"/>
      <c r="R97" s="54"/>
      <c r="S97" s="54"/>
      <c r="T97" s="58"/>
      <c r="U97" s="54"/>
      <c r="V97" s="58"/>
      <c r="W97" s="57"/>
      <c r="X97" s="55"/>
      <c r="Y97" s="54"/>
      <c r="Z97" s="56"/>
      <c r="AA97" s="58" t="str">
        <f aca="false">IF(AND(ISNUMBER(M97),ISNUMBER(Z97)),IF(Z97&gt;=M97,(Z97-M97)*1440,""),"")</f>
        <v/>
      </c>
      <c r="AB97" s="57"/>
      <c r="AC97" s="56"/>
      <c r="AD97" s="58" t="str">
        <f aca="false">IF(AND(ISNUMBER(Z97),ISNUMBER(AC97)),IF(AC97&gt;=Z97,(AC97-Z97)*1440,""),"")</f>
        <v/>
      </c>
      <c r="AE97" s="54"/>
      <c r="AF97" s="54"/>
      <c r="AG97" s="54"/>
      <c r="AH97" s="58"/>
      <c r="AI97" s="55" t="n">
        <v>1</v>
      </c>
      <c r="AJ97" s="54" t="s">
        <v>288</v>
      </c>
      <c r="AK97" s="54" t="s">
        <v>212</v>
      </c>
    </row>
    <row r="98" customFormat="false" ht="15" hidden="false" customHeight="false" outlineLevel="0" collapsed="false">
      <c r="A98" s="54" t="s">
        <v>29</v>
      </c>
      <c r="B98" s="55" t="n">
        <v>1893</v>
      </c>
      <c r="C98" s="54" t="s">
        <v>128</v>
      </c>
      <c r="D98" s="54" t="s">
        <v>211</v>
      </c>
      <c r="E98" s="54"/>
      <c r="F98" s="56" t="n">
        <v>46309.7466388657</v>
      </c>
      <c r="G98" s="54" t="s">
        <v>212</v>
      </c>
      <c r="H98" s="54" t="s">
        <v>214</v>
      </c>
      <c r="I98" s="57" t="s">
        <v>329</v>
      </c>
      <c r="J98" s="56" t="n">
        <v>46310.6804701968</v>
      </c>
      <c r="K98" s="56" t="n">
        <v>46310.6850244213</v>
      </c>
      <c r="L98" s="58" t="n">
        <f aca="false">IF(AND(ISNUMBER(J98),ISNUMBER(K98)),IF(K98&gt;=J98,(K98-J98)*1440,""),"")</f>
        <v>6.55808333073334</v>
      </c>
      <c r="M98" s="56" t="n">
        <v>46310.6850244213</v>
      </c>
      <c r="N98" s="58" t="n">
        <f aca="false">IF(AND(ISNUMBER(J98),ISNUMBER(M98)),IF(M98&gt;=J98,(M98-J98)*1440,""),"")</f>
        <v>6.55808333073334</v>
      </c>
      <c r="O98" s="54" t="str">
        <f aca="false">IF(N98="","",LOOKUP(N98,Tiempos!$A$6:$A$10,Tiempos!$B$6:$B$10))</f>
        <v>6 a 10 min</v>
      </c>
      <c r="P98" s="54" t="s">
        <v>226</v>
      </c>
      <c r="Q98" s="54" t="s">
        <v>212</v>
      </c>
      <c r="R98" s="54" t="s">
        <v>128</v>
      </c>
      <c r="S98" s="54" t="s">
        <v>220</v>
      </c>
      <c r="T98" s="58"/>
      <c r="U98" s="54"/>
      <c r="V98" s="58"/>
      <c r="W98" s="57"/>
      <c r="X98" s="55" t="n">
        <v>0</v>
      </c>
      <c r="Y98" s="54" t="s">
        <v>214</v>
      </c>
      <c r="Z98" s="56" t="n">
        <v>46310.6885219676</v>
      </c>
      <c r="AA98" s="58" t="n">
        <f aca="false">IF(AND(ISNUMBER(M98),ISNUMBER(Z98)),IF(Z98&gt;=M98,(Z98-M98)*1440,""),"")</f>
        <v>5.0364666595</v>
      </c>
      <c r="AB98" s="57" t="s">
        <v>330</v>
      </c>
      <c r="AC98" s="56" t="n">
        <v>46310.6909375347</v>
      </c>
      <c r="AD98" s="58" t="n">
        <f aca="false">IF(AND(ISNUMBER(Z98),ISNUMBER(AC98)),IF(AC98&gt;=Z98,(AC98-Z98)*1440,""),"")</f>
        <v>3.47841666311667</v>
      </c>
      <c r="AE98" s="54" t="s">
        <v>331</v>
      </c>
      <c r="AF98" s="54" t="s">
        <v>212</v>
      </c>
      <c r="AG98" s="54" t="s">
        <v>212</v>
      </c>
      <c r="AH98" s="58"/>
      <c r="AI98" s="55" t="n">
        <v>2</v>
      </c>
      <c r="AJ98" s="54" t="s">
        <v>332</v>
      </c>
      <c r="AK98" s="54" t="s">
        <v>212</v>
      </c>
    </row>
    <row r="99" customFormat="false" ht="15" hidden="false" customHeight="false" outlineLevel="0" collapsed="false">
      <c r="A99" s="54" t="s">
        <v>29</v>
      </c>
      <c r="B99" s="55" t="n">
        <v>1898</v>
      </c>
      <c r="C99" s="54" t="s">
        <v>129</v>
      </c>
      <c r="D99" s="54" t="s">
        <v>212</v>
      </c>
      <c r="E99" s="54"/>
      <c r="F99" s="56" t="n">
        <v>46309.7690741551</v>
      </c>
      <c r="G99" s="54" t="s">
        <v>212</v>
      </c>
      <c r="H99" s="54" t="s">
        <v>214</v>
      </c>
      <c r="I99" s="57"/>
      <c r="J99" s="56"/>
      <c r="K99" s="56"/>
      <c r="L99" s="58" t="str">
        <f aca="false">IF(AND(ISNUMBER(J99),ISNUMBER(K99)),IF(K99&gt;=J99,(K99-J99)*1440,""),"")</f>
        <v/>
      </c>
      <c r="M99" s="56"/>
      <c r="N99" s="58" t="str">
        <f aca="false">IF(AND(ISNUMBER(J99),ISNUMBER(M99)),IF(M99&gt;=J99,(M99-J99)*1440,""),"")</f>
        <v/>
      </c>
      <c r="O99" s="54" t="str">
        <f aca="false">IF(N99="","",LOOKUP(N99,Tiempos!$A$6:$A$10,Tiempos!$B$6:$B$10))</f>
        <v/>
      </c>
      <c r="P99" s="54"/>
      <c r="Q99" s="54"/>
      <c r="R99" s="54"/>
      <c r="S99" s="54"/>
      <c r="T99" s="58"/>
      <c r="U99" s="54"/>
      <c r="V99" s="58"/>
      <c r="W99" s="57"/>
      <c r="X99" s="55"/>
      <c r="Y99" s="54"/>
      <c r="Z99" s="56"/>
      <c r="AA99" s="58" t="str">
        <f aca="false">IF(AND(ISNUMBER(M99),ISNUMBER(Z99)),IF(Z99&gt;=M99,(Z99-M99)*1440,""),"")</f>
        <v/>
      </c>
      <c r="AB99" s="57"/>
      <c r="AC99" s="56"/>
      <c r="AD99" s="58" t="str">
        <f aca="false">IF(AND(ISNUMBER(Z99),ISNUMBER(AC99)),IF(AC99&gt;=Z99,(AC99-Z99)*1440,""),"")</f>
        <v/>
      </c>
      <c r="AE99" s="54"/>
      <c r="AF99" s="54"/>
      <c r="AG99" s="54"/>
      <c r="AH99" s="58"/>
      <c r="AI99" s="55" t="n">
        <v>2</v>
      </c>
      <c r="AJ99" s="54" t="s">
        <v>288</v>
      </c>
      <c r="AK99" s="54" t="s">
        <v>212</v>
      </c>
    </row>
    <row r="100" customFormat="false" ht="15" hidden="false" customHeight="false" outlineLevel="0" collapsed="false">
      <c r="A100" s="54" t="s">
        <v>29</v>
      </c>
      <c r="B100" s="55" t="n">
        <v>1912</v>
      </c>
      <c r="C100" s="54" t="s">
        <v>128</v>
      </c>
      <c r="D100" s="54" t="s">
        <v>214</v>
      </c>
      <c r="E100" s="54" t="s">
        <v>233</v>
      </c>
      <c r="F100" s="56" t="n">
        <v>46309.8574380671</v>
      </c>
      <c r="G100" s="54" t="s">
        <v>212</v>
      </c>
      <c r="H100" s="54" t="s">
        <v>214</v>
      </c>
      <c r="I100" s="57" t="s">
        <v>333</v>
      </c>
      <c r="J100" s="56" t="n">
        <v>46309.8812545255</v>
      </c>
      <c r="K100" s="56" t="n">
        <v>46309.8826666088</v>
      </c>
      <c r="L100" s="58" t="n">
        <f aca="false">IF(AND(ISNUMBER(J100),ISNUMBER(K100)),IF(K100&gt;=J100,(K100-J100)*1440,""),"")</f>
        <v>2.03340000471667</v>
      </c>
      <c r="M100" s="56" t="n">
        <v>46309.8873452662</v>
      </c>
      <c r="N100" s="58" t="n">
        <f aca="false">IF(AND(ISNUMBER(J100),ISNUMBER(M100)),IF(M100&gt;=J100,(M100-J100)*1440,""),"")</f>
        <v>8.77066666376667</v>
      </c>
      <c r="O100" s="54" t="str">
        <f aca="false">IF(N100="","",LOOKUP(N100,Tiempos!$A$6:$A$10,Tiempos!$B$6:$B$10))</f>
        <v>6 a 10 min</v>
      </c>
      <c r="P100" s="54" t="s">
        <v>244</v>
      </c>
      <c r="Q100" s="54" t="s">
        <v>214</v>
      </c>
      <c r="R100" s="54" t="s">
        <v>128</v>
      </c>
      <c r="S100" s="54" t="s">
        <v>220</v>
      </c>
      <c r="T100" s="58" t="n">
        <v>80.6</v>
      </c>
      <c r="U100" s="54" t="s">
        <v>214</v>
      </c>
      <c r="V100" s="58" t="n">
        <v>6.74</v>
      </c>
      <c r="W100" s="57" t="s">
        <v>334</v>
      </c>
      <c r="X100" s="55" t="n">
        <v>3</v>
      </c>
      <c r="Y100" s="54" t="s">
        <v>214</v>
      </c>
      <c r="Z100" s="56" t="n">
        <v>46310.3045191088</v>
      </c>
      <c r="AA100" s="58" t="n">
        <f aca="false">IF(AND(ISNUMBER(M100),ISNUMBER(Z100)),IF(Z100&gt;=M100,(Z100-M100)*1440,""),"")</f>
        <v>600.73033332475</v>
      </c>
      <c r="AB100" s="57" t="s">
        <v>335</v>
      </c>
      <c r="AC100" s="56" t="n">
        <v>46310.3049396181</v>
      </c>
      <c r="AD100" s="58" t="n">
        <f aca="false">IF(AND(ISNUMBER(Z100),ISNUMBER(AC100)),IF(AC100&gt;=Z100,(AC100-Z100)*1440,""),"")</f>
        <v>0.60553334885</v>
      </c>
      <c r="AE100" s="54" t="s">
        <v>302</v>
      </c>
      <c r="AF100" s="54" t="s">
        <v>214</v>
      </c>
      <c r="AG100" s="54" t="s">
        <v>212</v>
      </c>
      <c r="AH100" s="58"/>
      <c r="AI100" s="55" t="n">
        <v>1</v>
      </c>
      <c r="AJ100" s="54" t="s">
        <v>288</v>
      </c>
      <c r="AK100" s="54" t="s">
        <v>212</v>
      </c>
    </row>
    <row r="101" customFormat="false" ht="15" hidden="false" customHeight="false" outlineLevel="0" collapsed="false">
      <c r="A101" s="54" t="s">
        <v>29</v>
      </c>
      <c r="B101" s="55" t="n">
        <v>1927</v>
      </c>
      <c r="C101" s="54" t="s">
        <v>127</v>
      </c>
      <c r="D101" s="54" t="s">
        <v>214</v>
      </c>
      <c r="E101" s="54" t="s">
        <v>242</v>
      </c>
      <c r="F101" s="56" t="n">
        <v>46309.9200553357</v>
      </c>
      <c r="G101" s="54" t="s">
        <v>214</v>
      </c>
      <c r="H101" s="54" t="s">
        <v>214</v>
      </c>
      <c r="I101" s="57" t="s">
        <v>336</v>
      </c>
      <c r="J101" s="56" t="n">
        <v>46309.9213893866</v>
      </c>
      <c r="K101" s="56" t="n">
        <v>46309.9251945602</v>
      </c>
      <c r="L101" s="58" t="n">
        <f aca="false">IF(AND(ISNUMBER(J101),ISNUMBER(K101)),IF(K101&gt;=J101,(K101-J101)*1440,""),"")</f>
        <v>5.4794500221</v>
      </c>
      <c r="M101" s="56" t="n">
        <v>46310.2939161574</v>
      </c>
      <c r="N101" s="58" t="n">
        <f aca="false">IF(AND(ISNUMBER(J101),ISNUMBER(M101)),IF(M101&gt;=J101,(M101-J101)*1440,""),"")</f>
        <v>536.438550014267</v>
      </c>
      <c r="O101" s="54" t="str">
        <f aca="false">IF(N101="","",LOOKUP(N101,Tiempos!$A$6:$A$10,Tiempos!$B$6:$B$10))</f>
        <v>30 min o más</v>
      </c>
      <c r="P101" s="54" t="s">
        <v>229</v>
      </c>
      <c r="Q101" s="54" t="s">
        <v>214</v>
      </c>
      <c r="R101" s="54" t="s">
        <v>127</v>
      </c>
      <c r="S101" s="54" t="s">
        <v>220</v>
      </c>
      <c r="T101" s="58" t="n">
        <v>108.3</v>
      </c>
      <c r="U101" s="54" t="s">
        <v>214</v>
      </c>
      <c r="V101" s="58" t="n">
        <v>3.12</v>
      </c>
      <c r="W101" s="57" t="s">
        <v>337</v>
      </c>
      <c r="X101" s="55" t="n">
        <v>2</v>
      </c>
      <c r="Y101" s="54" t="s">
        <v>212</v>
      </c>
      <c r="Z101" s="56"/>
      <c r="AA101" s="58" t="str">
        <f aca="false">IF(AND(ISNUMBER(M101),ISNUMBER(Z101)),IF(Z101&gt;=M101,(Z101-M101)*1440,""),"")</f>
        <v/>
      </c>
      <c r="AB101" s="57"/>
      <c r="AC101" s="56"/>
      <c r="AD101" s="58" t="str">
        <f aca="false">IF(AND(ISNUMBER(Z101),ISNUMBER(AC101)),IF(AC101&gt;=Z101,(AC101-Z101)*1440,""),"")</f>
        <v/>
      </c>
      <c r="AE101" s="54"/>
      <c r="AF101" s="54" t="s">
        <v>214</v>
      </c>
      <c r="AG101" s="54"/>
      <c r="AH101" s="58"/>
      <c r="AI101" s="55" t="n">
        <v>2</v>
      </c>
      <c r="AJ101" s="54" t="s">
        <v>288</v>
      </c>
      <c r="AK101" s="54" t="s">
        <v>212</v>
      </c>
    </row>
    <row r="102" customFormat="false" ht="15" hidden="false" customHeight="false" outlineLevel="0" collapsed="false">
      <c r="A102" s="54" t="s">
        <v>29</v>
      </c>
      <c r="B102" s="55" t="n">
        <v>1933</v>
      </c>
      <c r="C102" s="54" t="s">
        <v>127</v>
      </c>
      <c r="D102" s="54" t="s">
        <v>212</v>
      </c>
      <c r="E102" s="54"/>
      <c r="F102" s="56" t="n">
        <v>46310.2963437963</v>
      </c>
      <c r="G102" s="54" t="s">
        <v>214</v>
      </c>
      <c r="H102" s="54" t="s">
        <v>212</v>
      </c>
      <c r="I102" s="57"/>
      <c r="J102" s="56"/>
      <c r="K102" s="56"/>
      <c r="L102" s="58" t="str">
        <f aca="false">IF(AND(ISNUMBER(J102),ISNUMBER(K102)),IF(K102&gt;=J102,(K102-J102)*1440,""),"")</f>
        <v/>
      </c>
      <c r="M102" s="56"/>
      <c r="N102" s="58" t="str">
        <f aca="false">IF(AND(ISNUMBER(J102),ISNUMBER(M102)),IF(M102&gt;=J102,(M102-J102)*1440,""),"")</f>
        <v/>
      </c>
      <c r="O102" s="54" t="str">
        <f aca="false">IF(N102="","",LOOKUP(N102,Tiempos!$A$6:$A$10,Tiempos!$B$6:$B$10))</f>
        <v/>
      </c>
      <c r="P102" s="54"/>
      <c r="Q102" s="54"/>
      <c r="R102" s="54"/>
      <c r="S102" s="54"/>
      <c r="T102" s="58"/>
      <c r="U102" s="54"/>
      <c r="V102" s="58"/>
      <c r="W102" s="57"/>
      <c r="X102" s="55"/>
      <c r="Y102" s="54"/>
      <c r="Z102" s="56"/>
      <c r="AA102" s="58" t="str">
        <f aca="false">IF(AND(ISNUMBER(M102),ISNUMBER(Z102)),IF(Z102&gt;=M102,(Z102-M102)*1440,""),"")</f>
        <v/>
      </c>
      <c r="AB102" s="57"/>
      <c r="AC102" s="56"/>
      <c r="AD102" s="58" t="str">
        <f aca="false">IF(AND(ISNUMBER(Z102),ISNUMBER(AC102)),IF(AC102&gt;=Z102,(AC102-Z102)*1440,""),"")</f>
        <v/>
      </c>
      <c r="AE102" s="54"/>
      <c r="AF102" s="54"/>
      <c r="AG102" s="54"/>
      <c r="AH102" s="58"/>
      <c r="AI102" s="55" t="n">
        <v>2</v>
      </c>
      <c r="AJ102" s="54" t="s">
        <v>288</v>
      </c>
      <c r="AK102" s="54" t="s">
        <v>212</v>
      </c>
    </row>
    <row r="103" customFormat="false" ht="15" hidden="false" customHeight="false" outlineLevel="0" collapsed="false">
      <c r="A103" s="54" t="s">
        <v>29</v>
      </c>
      <c r="B103" s="55" t="n">
        <v>1947</v>
      </c>
      <c r="C103" s="54" t="s">
        <v>127</v>
      </c>
      <c r="D103" s="54" t="s">
        <v>214</v>
      </c>
      <c r="E103" s="54" t="s">
        <v>217</v>
      </c>
      <c r="F103" s="56" t="n">
        <v>46310.3034377315</v>
      </c>
      <c r="G103" s="54" t="s">
        <v>214</v>
      </c>
      <c r="H103" s="54" t="s">
        <v>214</v>
      </c>
      <c r="I103" s="57" t="s">
        <v>338</v>
      </c>
      <c r="J103" s="56" t="n">
        <v>46310.3169346065</v>
      </c>
      <c r="K103" s="56" t="n">
        <v>46310.3173127083</v>
      </c>
      <c r="L103" s="58" t="n">
        <f aca="false">IF(AND(ISNUMBER(J103),ISNUMBER(K103)),IF(K103&gt;=J103,(K103-J103)*1440,""),"")</f>
        <v>0.544466678983333</v>
      </c>
      <c r="M103" s="56" t="n">
        <v>46310.3191039468</v>
      </c>
      <c r="N103" s="58" t="n">
        <f aca="false">IF(AND(ISNUMBER(J103),ISNUMBER(M103)),IF(M103&gt;=J103,(M103-J103)*1440,""),"")</f>
        <v>3.12384999473333</v>
      </c>
      <c r="O103" s="54" t="str">
        <f aca="false">IF(N103="","",LOOKUP(N103,Tiempos!$A$6:$A$10,Tiempos!$B$6:$B$10))</f>
        <v>Menos de 4 min</v>
      </c>
      <c r="P103" s="54" t="s">
        <v>229</v>
      </c>
      <c r="Q103" s="54" t="s">
        <v>214</v>
      </c>
      <c r="R103" s="54" t="s">
        <v>127</v>
      </c>
      <c r="S103" s="54" t="s">
        <v>220</v>
      </c>
      <c r="T103" s="58" t="n">
        <v>106</v>
      </c>
      <c r="U103" s="54" t="s">
        <v>214</v>
      </c>
      <c r="V103" s="58" t="n">
        <v>2.58</v>
      </c>
      <c r="W103" s="57" t="s">
        <v>320</v>
      </c>
      <c r="X103" s="55" t="n">
        <v>2</v>
      </c>
      <c r="Y103" s="54" t="s">
        <v>214</v>
      </c>
      <c r="Z103" s="56" t="n">
        <v>46310.3386184259</v>
      </c>
      <c r="AA103" s="58" t="n">
        <f aca="false">IF(AND(ISNUMBER(M103),ISNUMBER(Z103)),IF(Z103&gt;=M103,(Z103-M103)*1440,""),"")</f>
        <v>28.1008500081833</v>
      </c>
      <c r="AB103" s="57" t="s">
        <v>339</v>
      </c>
      <c r="AC103" s="56" t="n">
        <v>46310.3389622685</v>
      </c>
      <c r="AD103" s="58" t="n">
        <f aca="false">IF(AND(ISNUMBER(Z103),ISNUMBER(AC103)),IF(AC103&gt;=Z103,(AC103-Z103)*1440,""),"")</f>
        <v>0.495133332433333</v>
      </c>
      <c r="AE103" s="54" t="s">
        <v>302</v>
      </c>
      <c r="AF103" s="54" t="s">
        <v>212</v>
      </c>
      <c r="AG103" s="54" t="s">
        <v>212</v>
      </c>
      <c r="AH103" s="58"/>
      <c r="AI103" s="55" t="n">
        <v>2</v>
      </c>
      <c r="AJ103" s="54" t="s">
        <v>307</v>
      </c>
      <c r="AK103" s="54" t="s">
        <v>212</v>
      </c>
    </row>
    <row r="104" customFormat="false" ht="15" hidden="false" customHeight="false" outlineLevel="0" collapsed="false">
      <c r="A104" s="54" t="s">
        <v>29</v>
      </c>
      <c r="B104" s="55" t="n">
        <v>1972</v>
      </c>
      <c r="C104" s="54" t="s">
        <v>127</v>
      </c>
      <c r="D104" s="54" t="s">
        <v>212</v>
      </c>
      <c r="E104" s="54"/>
      <c r="F104" s="56" t="n">
        <v>46310.4335112847</v>
      </c>
      <c r="G104" s="54" t="s">
        <v>212</v>
      </c>
      <c r="H104" s="54" t="s">
        <v>214</v>
      </c>
      <c r="I104" s="57"/>
      <c r="J104" s="56"/>
      <c r="K104" s="56"/>
      <c r="L104" s="58" t="str">
        <f aca="false">IF(AND(ISNUMBER(J104),ISNUMBER(K104)),IF(K104&gt;=J104,(K104-J104)*1440,""),"")</f>
        <v/>
      </c>
      <c r="M104" s="56"/>
      <c r="N104" s="58" t="str">
        <f aca="false">IF(AND(ISNUMBER(J104),ISNUMBER(M104)),IF(M104&gt;=J104,(M104-J104)*1440,""),"")</f>
        <v/>
      </c>
      <c r="O104" s="54" t="str">
        <f aca="false">IF(N104="","",LOOKUP(N104,Tiempos!$A$6:$A$10,Tiempos!$B$6:$B$10))</f>
        <v/>
      </c>
      <c r="P104" s="54"/>
      <c r="Q104" s="54"/>
      <c r="R104" s="54"/>
      <c r="S104" s="54"/>
      <c r="T104" s="58"/>
      <c r="U104" s="54"/>
      <c r="V104" s="58"/>
      <c r="W104" s="57"/>
      <c r="X104" s="55"/>
      <c r="Y104" s="54"/>
      <c r="Z104" s="56"/>
      <c r="AA104" s="58" t="str">
        <f aca="false">IF(AND(ISNUMBER(M104),ISNUMBER(Z104)),IF(Z104&gt;=M104,(Z104-M104)*1440,""),"")</f>
        <v/>
      </c>
      <c r="AB104" s="57"/>
      <c r="AC104" s="56"/>
      <c r="AD104" s="58" t="str">
        <f aca="false">IF(AND(ISNUMBER(Z104),ISNUMBER(AC104)),IF(AC104&gt;=Z104,(AC104-Z104)*1440,""),"")</f>
        <v/>
      </c>
      <c r="AE104" s="54"/>
      <c r="AF104" s="54"/>
      <c r="AG104" s="54"/>
      <c r="AH104" s="58"/>
      <c r="AI104" s="55" t="n">
        <v>2</v>
      </c>
      <c r="AJ104" s="54" t="s">
        <v>288</v>
      </c>
      <c r="AK104" s="54" t="s">
        <v>212</v>
      </c>
    </row>
    <row r="105" customFormat="false" ht="15" hidden="false" customHeight="false" outlineLevel="0" collapsed="false">
      <c r="A105" s="54" t="s">
        <v>29</v>
      </c>
      <c r="B105" s="55" t="n">
        <v>1992</v>
      </c>
      <c r="C105" s="54" t="s">
        <v>127</v>
      </c>
      <c r="D105" s="54" t="s">
        <v>214</v>
      </c>
      <c r="E105" s="54" t="s">
        <v>233</v>
      </c>
      <c r="F105" s="56" t="n">
        <v>46310.5105892361</v>
      </c>
      <c r="G105" s="54" t="s">
        <v>212</v>
      </c>
      <c r="H105" s="54" t="s">
        <v>212</v>
      </c>
      <c r="I105" s="57" t="s">
        <v>340</v>
      </c>
      <c r="J105" s="56" t="n">
        <v>46310.5116997454</v>
      </c>
      <c r="K105" s="56" t="n">
        <v>46310.5136836343</v>
      </c>
      <c r="L105" s="58" t="n">
        <f aca="false">IF(AND(ISNUMBER(J105),ISNUMBER(K105)),IF(K105&gt;=J105,(K105-J105)*1440,""),"")</f>
        <v>2.85679999271667</v>
      </c>
      <c r="M105" s="56" t="n">
        <v>46310.5156170139</v>
      </c>
      <c r="N105" s="58" t="n">
        <f aca="false">IF(AND(ISNUMBER(J105),ISNUMBER(M105)),IF(M105&gt;=J105,(M105-J105)*1440,""),"")</f>
        <v>5.6408666598</v>
      </c>
      <c r="O105" s="54" t="str">
        <f aca="false">IF(N105="","",LOOKUP(N105,Tiempos!$A$6:$A$10,Tiempos!$B$6:$B$10))</f>
        <v>4 a 6 min</v>
      </c>
      <c r="P105" s="54" t="s">
        <v>229</v>
      </c>
      <c r="Q105" s="54" t="s">
        <v>214</v>
      </c>
      <c r="R105" s="54" t="s">
        <v>130</v>
      </c>
      <c r="S105" s="54" t="s">
        <v>215</v>
      </c>
      <c r="T105" s="58" t="n">
        <v>107.5</v>
      </c>
      <c r="U105" s="54" t="s">
        <v>212</v>
      </c>
      <c r="V105" s="58" t="n">
        <v>2.78</v>
      </c>
      <c r="W105" s="57" t="s">
        <v>235</v>
      </c>
      <c r="X105" s="55" t="n">
        <v>2</v>
      </c>
      <c r="Y105" s="54" t="s">
        <v>212</v>
      </c>
      <c r="Z105" s="56"/>
      <c r="AA105" s="58" t="str">
        <f aca="false">IF(AND(ISNUMBER(M105),ISNUMBER(Z105)),IF(Z105&gt;=M105,(Z105-M105)*1440,""),"")</f>
        <v/>
      </c>
      <c r="AB105" s="57"/>
      <c r="AC105" s="56"/>
      <c r="AD105" s="58" t="str">
        <f aca="false">IF(AND(ISNUMBER(Z105),ISNUMBER(AC105)),IF(AC105&gt;=Z105,(AC105-Z105)*1440,""),"")</f>
        <v/>
      </c>
      <c r="AE105" s="54"/>
      <c r="AF105" s="54" t="s">
        <v>214</v>
      </c>
      <c r="AG105" s="54"/>
      <c r="AH105" s="58"/>
      <c r="AI105" s="55" t="n">
        <v>2</v>
      </c>
      <c r="AJ105" s="54" t="s">
        <v>288</v>
      </c>
      <c r="AK105" s="54" t="s">
        <v>212</v>
      </c>
    </row>
    <row r="106" customFormat="false" ht="15" hidden="false" customHeight="false" outlineLevel="0" collapsed="false">
      <c r="A106" s="54" t="s">
        <v>29</v>
      </c>
      <c r="B106" s="55" t="n">
        <v>2005</v>
      </c>
      <c r="C106" s="54" t="s">
        <v>128</v>
      </c>
      <c r="D106" s="54" t="s">
        <v>214</v>
      </c>
      <c r="E106" s="54" t="s">
        <v>278</v>
      </c>
      <c r="F106" s="56" t="n">
        <v>46310.5685322685</v>
      </c>
      <c r="G106" s="54" t="s">
        <v>212</v>
      </c>
      <c r="H106" s="54" t="s">
        <v>214</v>
      </c>
      <c r="I106" s="57" t="s">
        <v>341</v>
      </c>
      <c r="J106" s="56" t="n">
        <v>46310.5705206597</v>
      </c>
      <c r="K106" s="56" t="n">
        <v>46310.5714471528</v>
      </c>
      <c r="L106" s="58" t="n">
        <f aca="false">IF(AND(ISNUMBER(J106),ISNUMBER(K106)),IF(K106&gt;=J106,(K106-J106)*1440,""),"")</f>
        <v>1.33415001095</v>
      </c>
      <c r="M106" s="56" t="n">
        <v>46310.5742412153</v>
      </c>
      <c r="N106" s="58" t="n">
        <f aca="false">IF(AND(ISNUMBER(J106),ISNUMBER(M106)),IF(M106&gt;=J106,(M106-J106)*1440,""),"")</f>
        <v>5.35760001161667</v>
      </c>
      <c r="O106" s="54" t="str">
        <f aca="false">IF(N106="","",LOOKUP(N106,Tiempos!$A$6:$A$10,Tiempos!$B$6:$B$10))</f>
        <v>4 a 6 min</v>
      </c>
      <c r="P106" s="54" t="s">
        <v>229</v>
      </c>
      <c r="Q106" s="54" t="s">
        <v>214</v>
      </c>
      <c r="R106" s="54" t="s">
        <v>130</v>
      </c>
      <c r="S106" s="54" t="s">
        <v>215</v>
      </c>
      <c r="T106" s="58" t="n">
        <v>106.7</v>
      </c>
      <c r="U106" s="54" t="s">
        <v>212</v>
      </c>
      <c r="V106" s="58" t="n">
        <v>4.02</v>
      </c>
      <c r="W106" s="57" t="s">
        <v>235</v>
      </c>
      <c r="X106" s="55" t="n">
        <v>2</v>
      </c>
      <c r="Y106" s="54" t="s">
        <v>212</v>
      </c>
      <c r="Z106" s="56"/>
      <c r="AA106" s="58" t="str">
        <f aca="false">IF(AND(ISNUMBER(M106),ISNUMBER(Z106)),IF(Z106&gt;=M106,(Z106-M106)*1440,""),"")</f>
        <v/>
      </c>
      <c r="AB106" s="57"/>
      <c r="AC106" s="56"/>
      <c r="AD106" s="58" t="str">
        <f aca="false">IF(AND(ISNUMBER(Z106),ISNUMBER(AC106)),IF(AC106&gt;=Z106,(AC106-Z106)*1440,""),"")</f>
        <v/>
      </c>
      <c r="AE106" s="54"/>
      <c r="AF106" s="54" t="s">
        <v>214</v>
      </c>
      <c r="AG106" s="54"/>
      <c r="AH106" s="58"/>
      <c r="AI106" s="55" t="n">
        <v>2</v>
      </c>
      <c r="AJ106" s="54" t="s">
        <v>288</v>
      </c>
      <c r="AK106" s="54" t="s">
        <v>212</v>
      </c>
    </row>
    <row r="107" customFormat="false" ht="15" hidden="false" customHeight="false" outlineLevel="0" collapsed="false">
      <c r="A107" s="54" t="s">
        <v>29</v>
      </c>
      <c r="B107" s="55" t="n">
        <v>2076</v>
      </c>
      <c r="C107" s="54" t="s">
        <v>127</v>
      </c>
      <c r="D107" s="54" t="s">
        <v>212</v>
      </c>
      <c r="E107" s="54"/>
      <c r="F107" s="56" t="n">
        <v>46310.8463514468</v>
      </c>
      <c r="G107" s="54" t="s">
        <v>212</v>
      </c>
      <c r="H107" s="54" t="s">
        <v>212</v>
      </c>
      <c r="I107" s="57"/>
      <c r="J107" s="56"/>
      <c r="K107" s="56"/>
      <c r="L107" s="58" t="str">
        <f aca="false">IF(AND(ISNUMBER(J107),ISNUMBER(K107)),IF(K107&gt;=J107,(K107-J107)*1440,""),"")</f>
        <v/>
      </c>
      <c r="M107" s="56"/>
      <c r="N107" s="58" t="str">
        <f aca="false">IF(AND(ISNUMBER(J107),ISNUMBER(M107)),IF(M107&gt;=J107,(M107-J107)*1440,""),"")</f>
        <v/>
      </c>
      <c r="O107" s="54" t="str">
        <f aca="false">IF(N107="","",LOOKUP(N107,Tiempos!$A$6:$A$10,Tiempos!$B$6:$B$10))</f>
        <v/>
      </c>
      <c r="P107" s="54"/>
      <c r="Q107" s="54"/>
      <c r="R107" s="54"/>
      <c r="S107" s="54"/>
      <c r="T107" s="58"/>
      <c r="U107" s="54"/>
      <c r="V107" s="58"/>
      <c r="W107" s="57"/>
      <c r="X107" s="55"/>
      <c r="Y107" s="54"/>
      <c r="Z107" s="56"/>
      <c r="AA107" s="58" t="str">
        <f aca="false">IF(AND(ISNUMBER(M107),ISNUMBER(Z107)),IF(Z107&gt;=M107,(Z107-M107)*1440,""),"")</f>
        <v/>
      </c>
      <c r="AB107" s="57"/>
      <c r="AC107" s="56"/>
      <c r="AD107" s="58" t="str">
        <f aca="false">IF(AND(ISNUMBER(Z107),ISNUMBER(AC107)),IF(AC107&gt;=Z107,(AC107-Z107)*1440,""),"")</f>
        <v/>
      </c>
      <c r="AE107" s="54"/>
      <c r="AF107" s="54"/>
      <c r="AG107" s="54"/>
      <c r="AH107" s="58"/>
      <c r="AI107" s="55" t="n">
        <v>2</v>
      </c>
      <c r="AJ107" s="54" t="s">
        <v>288</v>
      </c>
      <c r="AK107" s="54" t="s">
        <v>212</v>
      </c>
    </row>
    <row r="108" customFormat="false" ht="15" hidden="false" customHeight="false" outlineLevel="0" collapsed="false">
      <c r="A108" s="54" t="s">
        <v>29</v>
      </c>
      <c r="B108" s="55" t="n">
        <v>2080</v>
      </c>
      <c r="C108" s="54" t="s">
        <v>303</v>
      </c>
      <c r="D108" s="54" t="s">
        <v>212</v>
      </c>
      <c r="E108" s="54"/>
      <c r="F108" s="56" t="n">
        <v>46310.8829906597</v>
      </c>
      <c r="G108" s="54" t="s">
        <v>212</v>
      </c>
      <c r="H108" s="54" t="s">
        <v>212</v>
      </c>
      <c r="I108" s="57"/>
      <c r="J108" s="56"/>
      <c r="K108" s="56"/>
      <c r="L108" s="58" t="str">
        <f aca="false">IF(AND(ISNUMBER(J108),ISNUMBER(K108)),IF(K108&gt;=J108,(K108-J108)*1440,""),"")</f>
        <v/>
      </c>
      <c r="M108" s="56"/>
      <c r="N108" s="58" t="str">
        <f aca="false">IF(AND(ISNUMBER(J108),ISNUMBER(M108)),IF(M108&gt;=J108,(M108-J108)*1440,""),"")</f>
        <v/>
      </c>
      <c r="O108" s="54" t="str">
        <f aca="false">IF(N108="","",LOOKUP(N108,Tiempos!$A$6:$A$10,Tiempos!$B$6:$B$10))</f>
        <v/>
      </c>
      <c r="P108" s="54"/>
      <c r="Q108" s="54"/>
      <c r="R108" s="54"/>
      <c r="S108" s="54"/>
      <c r="T108" s="58"/>
      <c r="U108" s="54"/>
      <c r="V108" s="58"/>
      <c r="W108" s="57"/>
      <c r="X108" s="55"/>
      <c r="Y108" s="54"/>
      <c r="Z108" s="56"/>
      <c r="AA108" s="58" t="str">
        <f aca="false">IF(AND(ISNUMBER(M108),ISNUMBER(Z108)),IF(Z108&gt;=M108,(Z108-M108)*1440,""),"")</f>
        <v/>
      </c>
      <c r="AB108" s="57"/>
      <c r="AC108" s="56"/>
      <c r="AD108" s="58" t="str">
        <f aca="false">IF(AND(ISNUMBER(Z108),ISNUMBER(AC108)),IF(AC108&gt;=Z108,(AC108-Z108)*1440,""),"")</f>
        <v/>
      </c>
      <c r="AE108" s="54"/>
      <c r="AF108" s="54"/>
      <c r="AG108" s="54"/>
      <c r="AH108" s="58"/>
      <c r="AI108" s="55" t="n">
        <v>1</v>
      </c>
      <c r="AJ108" s="54" t="s">
        <v>288</v>
      </c>
      <c r="AK108" s="54" t="s">
        <v>212</v>
      </c>
    </row>
    <row r="109" customFormat="false" ht="15" hidden="false" customHeight="false" outlineLevel="0" collapsed="false">
      <c r="A109" s="54" t="s">
        <v>27</v>
      </c>
      <c r="B109" s="55" t="n">
        <v>271</v>
      </c>
      <c r="C109" s="54" t="s">
        <v>127</v>
      </c>
      <c r="D109" s="54" t="s">
        <v>212</v>
      </c>
      <c r="E109" s="54"/>
      <c r="F109" s="56" t="n">
        <v>46300.5172463079</v>
      </c>
      <c r="G109" s="54" t="s">
        <v>212</v>
      </c>
      <c r="H109" s="54" t="s">
        <v>214</v>
      </c>
      <c r="I109" s="57"/>
      <c r="J109" s="56"/>
      <c r="K109" s="56"/>
      <c r="L109" s="58" t="str">
        <f aca="false">IF(AND(ISNUMBER(J109),ISNUMBER(K109)),IF(K109&gt;=J109,(K109-J109)*1440,""),"")</f>
        <v/>
      </c>
      <c r="M109" s="56"/>
      <c r="N109" s="58" t="str">
        <f aca="false">IF(AND(ISNUMBER(J109),ISNUMBER(M109)),IF(M109&gt;=J109,(M109-J109)*1440,""),"")</f>
        <v/>
      </c>
      <c r="O109" s="54" t="str">
        <f aca="false">IF(N109="","",LOOKUP(N109,Tiempos!$A$6:$A$10,Tiempos!$B$6:$B$10))</f>
        <v/>
      </c>
      <c r="P109" s="54"/>
      <c r="Q109" s="54"/>
      <c r="R109" s="54"/>
      <c r="S109" s="54"/>
      <c r="T109" s="58"/>
      <c r="U109" s="54"/>
      <c r="V109" s="58"/>
      <c r="W109" s="57"/>
      <c r="X109" s="55"/>
      <c r="Y109" s="54"/>
      <c r="Z109" s="56"/>
      <c r="AA109" s="58" t="str">
        <f aca="false">IF(AND(ISNUMBER(M109),ISNUMBER(Z109)),IF(Z109&gt;=M109,(Z109-M109)*1440,""),"")</f>
        <v/>
      </c>
      <c r="AB109" s="57"/>
      <c r="AC109" s="56"/>
      <c r="AD109" s="58" t="str">
        <f aca="false">IF(AND(ISNUMBER(Z109),ISNUMBER(AC109)),IF(AC109&gt;=Z109,(AC109-Z109)*1440,""),"")</f>
        <v/>
      </c>
      <c r="AE109" s="54"/>
      <c r="AF109" s="54"/>
      <c r="AG109" s="54"/>
      <c r="AH109" s="58"/>
      <c r="AI109" s="55" t="n">
        <v>1</v>
      </c>
      <c r="AJ109" s="54" t="s">
        <v>216</v>
      </c>
      <c r="AK109" s="54" t="s">
        <v>212</v>
      </c>
    </row>
    <row r="110" customFormat="false" ht="15" hidden="false" customHeight="false" outlineLevel="0" collapsed="false">
      <c r="A110" s="54" t="s">
        <v>27</v>
      </c>
      <c r="B110" s="55" t="n">
        <v>276</v>
      </c>
      <c r="C110" s="54" t="s">
        <v>127</v>
      </c>
      <c r="D110" s="54" t="s">
        <v>214</v>
      </c>
      <c r="E110" s="54" t="s">
        <v>224</v>
      </c>
      <c r="F110" s="56" t="n">
        <v>46300.517896331</v>
      </c>
      <c r="G110" s="54" t="s">
        <v>212</v>
      </c>
      <c r="H110" s="54" t="s">
        <v>214</v>
      </c>
      <c r="I110" s="57" t="s">
        <v>342</v>
      </c>
      <c r="J110" s="56" t="n">
        <v>46300.5183382755</v>
      </c>
      <c r="K110" s="56" t="n">
        <v>46300.5184967245</v>
      </c>
      <c r="L110" s="58" t="n">
        <f aca="false">IF(AND(ISNUMBER(J110),ISNUMBER(K110)),IF(K110&gt;=J110,(K110-J110)*1440,""),"")</f>
        <v>0.2281666675</v>
      </c>
      <c r="M110" s="56" t="n">
        <v>46300.5202525695</v>
      </c>
      <c r="N110" s="58" t="n">
        <f aca="false">IF(AND(ISNUMBER(J110),ISNUMBER(M110)),IF(M110&gt;=J110,(M110-J110)*1440,""),"")</f>
        <v>2.75658333906667</v>
      </c>
      <c r="O110" s="54" t="str">
        <f aca="false">IF(N110="","",LOOKUP(N110,Tiempos!$A$6:$A$10,Tiempos!$B$6:$B$10))</f>
        <v>Menos de 4 min</v>
      </c>
      <c r="P110" s="54" t="s">
        <v>343</v>
      </c>
      <c r="Q110" s="54" t="s">
        <v>214</v>
      </c>
      <c r="R110" s="54" t="s">
        <v>127</v>
      </c>
      <c r="S110" s="54" t="s">
        <v>220</v>
      </c>
      <c r="T110" s="58" t="n">
        <v>103.9</v>
      </c>
      <c r="U110" s="54" t="s">
        <v>214</v>
      </c>
      <c r="V110" s="58" t="n">
        <v>2.53</v>
      </c>
      <c r="W110" s="57"/>
      <c r="X110" s="55" t="n">
        <v>0</v>
      </c>
      <c r="Y110" s="54" t="s">
        <v>212</v>
      </c>
      <c r="Z110" s="56"/>
      <c r="AA110" s="58" t="str">
        <f aca="false">IF(AND(ISNUMBER(M110),ISNUMBER(Z110)),IF(Z110&gt;=M110,(Z110-M110)*1440,""),"")</f>
        <v/>
      </c>
      <c r="AB110" s="57"/>
      <c r="AC110" s="56"/>
      <c r="AD110" s="58" t="str">
        <f aca="false">IF(AND(ISNUMBER(Z110),ISNUMBER(AC110)),IF(AC110&gt;=Z110,(AC110-Z110)*1440,""),"")</f>
        <v/>
      </c>
      <c r="AE110" s="54"/>
      <c r="AF110" s="54" t="s">
        <v>214</v>
      </c>
      <c r="AG110" s="54"/>
      <c r="AH110" s="58"/>
      <c r="AI110" s="55" t="n">
        <v>2</v>
      </c>
      <c r="AJ110" s="54" t="s">
        <v>216</v>
      </c>
      <c r="AK110" s="54" t="s">
        <v>212</v>
      </c>
    </row>
    <row r="111" customFormat="false" ht="15" hidden="false" customHeight="false" outlineLevel="0" collapsed="false">
      <c r="A111" s="54" t="s">
        <v>27</v>
      </c>
      <c r="B111" s="55" t="n">
        <v>278</v>
      </c>
      <c r="C111" s="54" t="s">
        <v>127</v>
      </c>
      <c r="D111" s="54" t="s">
        <v>214</v>
      </c>
      <c r="E111" s="54" t="s">
        <v>233</v>
      </c>
      <c r="F111" s="56" t="n">
        <v>46300.5230641319</v>
      </c>
      <c r="G111" s="54" t="s">
        <v>212</v>
      </c>
      <c r="H111" s="54" t="s">
        <v>214</v>
      </c>
      <c r="I111" s="57" t="s">
        <v>344</v>
      </c>
      <c r="J111" s="56" t="n">
        <v>46300.523616412</v>
      </c>
      <c r="K111" s="56" t="n">
        <v>46300.5237755324</v>
      </c>
      <c r="L111" s="58" t="n">
        <f aca="false">IF(AND(ISNUMBER(J111),ISNUMBER(K111)),IF(K111&gt;=J111,(K111-J111)*1440,""),"")</f>
        <v>0.229133331433333</v>
      </c>
      <c r="M111" s="56" t="n">
        <v>46300.5254364931</v>
      </c>
      <c r="N111" s="58" t="n">
        <f aca="false">IF(AND(ISNUMBER(J111),ISNUMBER(M111)),IF(M111&gt;=J111,(M111-J111)*1440,""),"")</f>
        <v>2.62091666226667</v>
      </c>
      <c r="O111" s="54" t="str">
        <f aca="false">IF(N111="","",LOOKUP(N111,Tiempos!$A$6:$A$10,Tiempos!$B$6:$B$10))</f>
        <v>Menos de 4 min</v>
      </c>
      <c r="P111" s="54" t="s">
        <v>229</v>
      </c>
      <c r="Q111" s="54" t="s">
        <v>214</v>
      </c>
      <c r="R111" s="54" t="s">
        <v>127</v>
      </c>
      <c r="S111" s="54" t="s">
        <v>220</v>
      </c>
      <c r="T111" s="58" t="n">
        <v>110.2</v>
      </c>
      <c r="U111" s="54" t="s">
        <v>214</v>
      </c>
      <c r="V111" s="58" t="n">
        <v>2.39</v>
      </c>
      <c r="W111" s="57" t="s">
        <v>249</v>
      </c>
      <c r="X111" s="55" t="n">
        <v>2</v>
      </c>
      <c r="Y111" s="54" t="s">
        <v>214</v>
      </c>
      <c r="Z111" s="56" t="n">
        <v>46300.5257227199</v>
      </c>
      <c r="AA111" s="58" t="n">
        <f aca="false">IF(AND(ISNUMBER(M111),ISNUMBER(Z111)),IF(Z111&gt;=M111,(Z111-M111)*1440,""),"")</f>
        <v>0.412166666933333</v>
      </c>
      <c r="AB111" s="57" t="s">
        <v>345</v>
      </c>
      <c r="AC111" s="56" t="n">
        <v>46300.5260399306</v>
      </c>
      <c r="AD111" s="58" t="n">
        <f aca="false">IF(AND(ISNUMBER(Z111),ISNUMBER(AC111)),IF(AC111&gt;=Z111,(AC111-Z111)*1440,""),"")</f>
        <v>0.456783338433333</v>
      </c>
      <c r="AE111" s="54" t="s">
        <v>346</v>
      </c>
      <c r="AF111" s="54" t="s">
        <v>214</v>
      </c>
      <c r="AG111" s="54" t="s">
        <v>214</v>
      </c>
      <c r="AH111" s="58" t="n">
        <v>4.2</v>
      </c>
      <c r="AI111" s="55" t="n">
        <v>2</v>
      </c>
      <c r="AJ111" s="54" t="s">
        <v>216</v>
      </c>
      <c r="AK111" s="54" t="s">
        <v>212</v>
      </c>
    </row>
    <row r="112" customFormat="false" ht="15" hidden="false" customHeight="false" outlineLevel="0" collapsed="false">
      <c r="A112" s="54" t="s">
        <v>27</v>
      </c>
      <c r="B112" s="55" t="n">
        <v>282</v>
      </c>
      <c r="C112" s="54" t="s">
        <v>127</v>
      </c>
      <c r="D112" s="54" t="s">
        <v>212</v>
      </c>
      <c r="E112" s="54"/>
      <c r="F112" s="56" t="n">
        <v>46300.5365576852</v>
      </c>
      <c r="G112" s="54" t="s">
        <v>212</v>
      </c>
      <c r="H112" s="54" t="s">
        <v>214</v>
      </c>
      <c r="I112" s="57"/>
      <c r="J112" s="56"/>
      <c r="K112" s="56"/>
      <c r="L112" s="58" t="str">
        <f aca="false">IF(AND(ISNUMBER(J112),ISNUMBER(K112)),IF(K112&gt;=J112,(K112-J112)*1440,""),"")</f>
        <v/>
      </c>
      <c r="M112" s="56"/>
      <c r="N112" s="58" t="str">
        <f aca="false">IF(AND(ISNUMBER(J112),ISNUMBER(M112)),IF(M112&gt;=J112,(M112-J112)*1440,""),"")</f>
        <v/>
      </c>
      <c r="O112" s="54" t="str">
        <f aca="false">IF(N112="","",LOOKUP(N112,Tiempos!$A$6:$A$10,Tiempos!$B$6:$B$10))</f>
        <v/>
      </c>
      <c r="P112" s="54"/>
      <c r="Q112" s="54"/>
      <c r="R112" s="54"/>
      <c r="S112" s="54"/>
      <c r="T112" s="58"/>
      <c r="U112" s="54"/>
      <c r="V112" s="58"/>
      <c r="W112" s="57"/>
      <c r="X112" s="55"/>
      <c r="Y112" s="54"/>
      <c r="Z112" s="56"/>
      <c r="AA112" s="58" t="str">
        <f aca="false">IF(AND(ISNUMBER(M112),ISNUMBER(Z112)),IF(Z112&gt;=M112,(Z112-M112)*1440,""),"")</f>
        <v/>
      </c>
      <c r="AB112" s="57"/>
      <c r="AC112" s="56"/>
      <c r="AD112" s="58" t="str">
        <f aca="false">IF(AND(ISNUMBER(Z112),ISNUMBER(AC112)),IF(AC112&gt;=Z112,(AC112-Z112)*1440,""),"")</f>
        <v/>
      </c>
      <c r="AE112" s="54"/>
      <c r="AF112" s="54"/>
      <c r="AG112" s="54"/>
      <c r="AH112" s="58"/>
      <c r="AI112" s="55" t="n">
        <v>1</v>
      </c>
      <c r="AJ112" s="54" t="s">
        <v>347</v>
      </c>
      <c r="AK112" s="54" t="s">
        <v>212</v>
      </c>
    </row>
    <row r="113" customFormat="false" ht="15" hidden="false" customHeight="false" outlineLevel="0" collapsed="false">
      <c r="A113" s="54" t="s">
        <v>27</v>
      </c>
      <c r="B113" s="55" t="n">
        <v>277</v>
      </c>
      <c r="C113" s="54" t="s">
        <v>128</v>
      </c>
      <c r="D113" s="54" t="s">
        <v>214</v>
      </c>
      <c r="E113" s="54" t="s">
        <v>233</v>
      </c>
      <c r="F113" s="56" t="n">
        <v>46300.5420327662</v>
      </c>
      <c r="G113" s="54" t="s">
        <v>212</v>
      </c>
      <c r="H113" s="54" t="s">
        <v>214</v>
      </c>
      <c r="I113" s="57" t="s">
        <v>348</v>
      </c>
      <c r="J113" s="56" t="n">
        <v>46300.5923435995</v>
      </c>
      <c r="K113" s="56" t="n">
        <v>46300.593047963</v>
      </c>
      <c r="L113" s="58" t="n">
        <f aca="false">IF(AND(ISNUMBER(J113),ISNUMBER(K113)),IF(K113&gt;=J113,(K113-J113)*1440,""),"")</f>
        <v>1.01428332155</v>
      </c>
      <c r="M113" s="56" t="n">
        <v>46300.5974060995</v>
      </c>
      <c r="N113" s="58" t="n">
        <f aca="false">IF(AND(ISNUMBER(J113),ISNUMBER(M113)),IF(M113&gt;=J113,(M113-J113)*1440,""),"")</f>
        <v>7.2900000005</v>
      </c>
      <c r="O113" s="54" t="str">
        <f aca="false">IF(N113="","",LOOKUP(N113,Tiempos!$A$6:$A$10,Tiempos!$B$6:$B$10))</f>
        <v>6 a 10 min</v>
      </c>
      <c r="P113" s="54" t="s">
        <v>229</v>
      </c>
      <c r="Q113" s="54" t="s">
        <v>214</v>
      </c>
      <c r="R113" s="54" t="s">
        <v>128</v>
      </c>
      <c r="S113" s="54" t="s">
        <v>220</v>
      </c>
      <c r="T113" s="58" t="n">
        <v>99.1</v>
      </c>
      <c r="U113" s="54" t="s">
        <v>212</v>
      </c>
      <c r="V113" s="58" t="n">
        <v>6.28</v>
      </c>
      <c r="W113" s="57" t="s">
        <v>235</v>
      </c>
      <c r="X113" s="55" t="n">
        <v>2</v>
      </c>
      <c r="Y113" s="54" t="s">
        <v>212</v>
      </c>
      <c r="Z113" s="56"/>
      <c r="AA113" s="58" t="str">
        <f aca="false">IF(AND(ISNUMBER(M113),ISNUMBER(Z113)),IF(Z113&gt;=M113,(Z113-M113)*1440,""),"")</f>
        <v/>
      </c>
      <c r="AB113" s="57"/>
      <c r="AC113" s="56"/>
      <c r="AD113" s="58" t="str">
        <f aca="false">IF(AND(ISNUMBER(Z113),ISNUMBER(AC113)),IF(AC113&gt;=Z113,(AC113-Z113)*1440,""),"")</f>
        <v/>
      </c>
      <c r="AE113" s="54"/>
      <c r="AF113" s="54" t="s">
        <v>214</v>
      </c>
      <c r="AG113" s="54"/>
      <c r="AH113" s="58"/>
      <c r="AI113" s="55" t="n">
        <v>1</v>
      </c>
      <c r="AJ113" s="54" t="s">
        <v>216</v>
      </c>
      <c r="AK113" s="54" t="s">
        <v>212</v>
      </c>
    </row>
    <row r="114" customFormat="false" ht="15" hidden="false" customHeight="false" outlineLevel="0" collapsed="false">
      <c r="A114" s="54" t="s">
        <v>27</v>
      </c>
      <c r="B114" s="55" t="n">
        <v>280</v>
      </c>
      <c r="C114" s="54" t="s">
        <v>127</v>
      </c>
      <c r="D114" s="54" t="s">
        <v>212</v>
      </c>
      <c r="E114" s="54"/>
      <c r="F114" s="56" t="n">
        <v>46300.5453259491</v>
      </c>
      <c r="G114" s="54" t="s">
        <v>212</v>
      </c>
      <c r="H114" s="54" t="s">
        <v>214</v>
      </c>
      <c r="I114" s="57"/>
      <c r="J114" s="56"/>
      <c r="K114" s="56"/>
      <c r="L114" s="58" t="str">
        <f aca="false">IF(AND(ISNUMBER(J114),ISNUMBER(K114)),IF(K114&gt;=J114,(K114-J114)*1440,""),"")</f>
        <v/>
      </c>
      <c r="M114" s="56"/>
      <c r="N114" s="58" t="str">
        <f aca="false">IF(AND(ISNUMBER(J114),ISNUMBER(M114)),IF(M114&gt;=J114,(M114-J114)*1440,""),"")</f>
        <v/>
      </c>
      <c r="O114" s="54" t="str">
        <f aca="false">IF(N114="","",LOOKUP(N114,Tiempos!$A$6:$A$10,Tiempos!$B$6:$B$10))</f>
        <v/>
      </c>
      <c r="P114" s="54"/>
      <c r="Q114" s="54"/>
      <c r="R114" s="54"/>
      <c r="S114" s="54"/>
      <c r="T114" s="58"/>
      <c r="U114" s="54"/>
      <c r="V114" s="58"/>
      <c r="W114" s="57"/>
      <c r="X114" s="55"/>
      <c r="Y114" s="54"/>
      <c r="Z114" s="56"/>
      <c r="AA114" s="58" t="str">
        <f aca="false">IF(AND(ISNUMBER(M114),ISNUMBER(Z114)),IF(Z114&gt;=M114,(Z114-M114)*1440,""),"")</f>
        <v/>
      </c>
      <c r="AB114" s="57"/>
      <c r="AC114" s="56"/>
      <c r="AD114" s="58" t="str">
        <f aca="false">IF(AND(ISNUMBER(Z114),ISNUMBER(AC114)),IF(AC114&gt;=Z114,(AC114-Z114)*1440,""),"")</f>
        <v/>
      </c>
      <c r="AE114" s="54"/>
      <c r="AF114" s="54"/>
      <c r="AG114" s="54"/>
      <c r="AH114" s="58"/>
      <c r="AI114" s="55" t="n">
        <v>1</v>
      </c>
      <c r="AJ114" s="54" t="s">
        <v>216</v>
      </c>
      <c r="AK114" s="54" t="s">
        <v>212</v>
      </c>
    </row>
    <row r="115" customFormat="false" ht="15" hidden="false" customHeight="false" outlineLevel="0" collapsed="false">
      <c r="A115" s="54" t="s">
        <v>27</v>
      </c>
      <c r="B115" s="55" t="n">
        <v>285</v>
      </c>
      <c r="C115" s="54" t="s">
        <v>128</v>
      </c>
      <c r="D115" s="54" t="s">
        <v>212</v>
      </c>
      <c r="E115" s="54"/>
      <c r="F115" s="56" t="n">
        <v>46300.5727740509</v>
      </c>
      <c r="G115" s="54" t="s">
        <v>212</v>
      </c>
      <c r="H115" s="54" t="s">
        <v>214</v>
      </c>
      <c r="I115" s="57"/>
      <c r="J115" s="56"/>
      <c r="K115" s="56"/>
      <c r="L115" s="58" t="str">
        <f aca="false">IF(AND(ISNUMBER(J115),ISNUMBER(K115)),IF(K115&gt;=J115,(K115-J115)*1440,""),"")</f>
        <v/>
      </c>
      <c r="M115" s="56"/>
      <c r="N115" s="58" t="str">
        <f aca="false">IF(AND(ISNUMBER(J115),ISNUMBER(M115)),IF(M115&gt;=J115,(M115-J115)*1440,""),"")</f>
        <v/>
      </c>
      <c r="O115" s="54" t="str">
        <f aca="false">IF(N115="","",LOOKUP(N115,Tiempos!$A$6:$A$10,Tiempos!$B$6:$B$10))</f>
        <v/>
      </c>
      <c r="P115" s="54"/>
      <c r="Q115" s="54"/>
      <c r="R115" s="54"/>
      <c r="S115" s="54"/>
      <c r="T115" s="58"/>
      <c r="U115" s="54"/>
      <c r="V115" s="58"/>
      <c r="W115" s="57"/>
      <c r="X115" s="55"/>
      <c r="Y115" s="54"/>
      <c r="Z115" s="56"/>
      <c r="AA115" s="58" t="str">
        <f aca="false">IF(AND(ISNUMBER(M115),ISNUMBER(Z115)),IF(Z115&gt;=M115,(Z115-M115)*1440,""),"")</f>
        <v/>
      </c>
      <c r="AB115" s="57"/>
      <c r="AC115" s="56"/>
      <c r="AD115" s="58" t="str">
        <f aca="false">IF(AND(ISNUMBER(Z115),ISNUMBER(AC115)),IF(AC115&gt;=Z115,(AC115-Z115)*1440,""),"")</f>
        <v/>
      </c>
      <c r="AE115" s="54"/>
      <c r="AF115" s="54"/>
      <c r="AG115" s="54"/>
      <c r="AH115" s="58"/>
      <c r="AI115" s="55" t="n">
        <v>1</v>
      </c>
      <c r="AJ115" s="54" t="s">
        <v>216</v>
      </c>
      <c r="AK115" s="54" t="s">
        <v>212</v>
      </c>
    </row>
    <row r="116" customFormat="false" ht="15" hidden="false" customHeight="false" outlineLevel="0" collapsed="false">
      <c r="A116" s="54" t="s">
        <v>27</v>
      </c>
      <c r="B116" s="55" t="n">
        <v>291</v>
      </c>
      <c r="C116" s="54" t="s">
        <v>129</v>
      </c>
      <c r="D116" s="54" t="s">
        <v>212</v>
      </c>
      <c r="E116" s="54"/>
      <c r="F116" s="56" t="n">
        <v>46300.5736720023</v>
      </c>
      <c r="G116" s="54" t="s">
        <v>212</v>
      </c>
      <c r="H116" s="54" t="s">
        <v>212</v>
      </c>
      <c r="I116" s="57"/>
      <c r="J116" s="56"/>
      <c r="K116" s="56"/>
      <c r="L116" s="58" t="str">
        <f aca="false">IF(AND(ISNUMBER(J116),ISNUMBER(K116)),IF(K116&gt;=J116,(K116-J116)*1440,""),"")</f>
        <v/>
      </c>
      <c r="M116" s="56"/>
      <c r="N116" s="58" t="str">
        <f aca="false">IF(AND(ISNUMBER(J116),ISNUMBER(M116)),IF(M116&gt;=J116,(M116-J116)*1440,""),"")</f>
        <v/>
      </c>
      <c r="O116" s="54" t="str">
        <f aca="false">IF(N116="","",LOOKUP(N116,Tiempos!$A$6:$A$10,Tiempos!$B$6:$B$10))</f>
        <v/>
      </c>
      <c r="P116" s="54"/>
      <c r="Q116" s="54"/>
      <c r="R116" s="54"/>
      <c r="S116" s="54"/>
      <c r="T116" s="58"/>
      <c r="U116" s="54"/>
      <c r="V116" s="58"/>
      <c r="W116" s="57"/>
      <c r="X116" s="55"/>
      <c r="Y116" s="54"/>
      <c r="Z116" s="56"/>
      <c r="AA116" s="58" t="str">
        <f aca="false">IF(AND(ISNUMBER(M116),ISNUMBER(Z116)),IF(Z116&gt;=M116,(Z116-M116)*1440,""),"")</f>
        <v/>
      </c>
      <c r="AB116" s="57"/>
      <c r="AC116" s="56"/>
      <c r="AD116" s="58" t="str">
        <f aca="false">IF(AND(ISNUMBER(Z116),ISNUMBER(AC116)),IF(AC116&gt;=Z116,(AC116-Z116)*1440,""),"")</f>
        <v/>
      </c>
      <c r="AE116" s="54"/>
      <c r="AF116" s="54"/>
      <c r="AG116" s="54"/>
      <c r="AH116" s="58"/>
      <c r="AI116" s="55" t="n">
        <v>2</v>
      </c>
      <c r="AJ116" s="54" t="s">
        <v>216</v>
      </c>
      <c r="AK116" s="54" t="s">
        <v>212</v>
      </c>
    </row>
    <row r="117" customFormat="false" ht="15" hidden="false" customHeight="false" outlineLevel="0" collapsed="false">
      <c r="A117" s="54" t="s">
        <v>27</v>
      </c>
      <c r="B117" s="55" t="n">
        <v>287</v>
      </c>
      <c r="C117" s="54" t="s">
        <v>129</v>
      </c>
      <c r="D117" s="54" t="s">
        <v>214</v>
      </c>
      <c r="E117" s="54" t="s">
        <v>217</v>
      </c>
      <c r="F117" s="56" t="n">
        <v>46300.5818028009</v>
      </c>
      <c r="G117" s="54" t="s">
        <v>212</v>
      </c>
      <c r="H117" s="54" t="s">
        <v>214</v>
      </c>
      <c r="I117" s="57" t="s">
        <v>349</v>
      </c>
      <c r="J117" s="56" t="n">
        <v>46300.6295782755</v>
      </c>
      <c r="K117" s="56" t="n">
        <v>46300.629961956</v>
      </c>
      <c r="L117" s="58" t="n">
        <f aca="false">IF(AND(ISNUMBER(J117),ISNUMBER(K117)),IF(K117&gt;=J117,(K117-J117)*1440,""),"")</f>
        <v>0.552500010233333</v>
      </c>
      <c r="M117" s="56" t="n">
        <v>46300.629961956</v>
      </c>
      <c r="N117" s="58" t="n">
        <f aca="false">IF(AND(ISNUMBER(J117),ISNUMBER(M117)),IF(M117&gt;=J117,(M117-J117)*1440,""),"")</f>
        <v>0.552500010233333</v>
      </c>
      <c r="O117" s="54" t="str">
        <f aca="false">IF(N117="","",LOOKUP(N117,Tiempos!$A$6:$A$10,Tiempos!$B$6:$B$10))</f>
        <v>Menos de 4 min</v>
      </c>
      <c r="P117" s="54" t="s">
        <v>226</v>
      </c>
      <c r="Q117" s="54" t="s">
        <v>212</v>
      </c>
      <c r="R117" s="54" t="s">
        <v>127</v>
      </c>
      <c r="S117" s="54" t="s">
        <v>220</v>
      </c>
      <c r="T117" s="58"/>
      <c r="U117" s="54"/>
      <c r="V117" s="58"/>
      <c r="W117" s="57"/>
      <c r="X117" s="55" t="n">
        <v>0</v>
      </c>
      <c r="Y117" s="54" t="s">
        <v>214</v>
      </c>
      <c r="Z117" s="56" t="n">
        <v>46300.8692220718</v>
      </c>
      <c r="AA117" s="58" t="n">
        <f aca="false">IF(AND(ISNUMBER(M117),ISNUMBER(Z117)),IF(Z117&gt;=M117,(Z117-M117)*1440,""),"")</f>
        <v>344.534566656217</v>
      </c>
      <c r="AB117" s="57" t="s">
        <v>350</v>
      </c>
      <c r="AC117" s="56" t="n">
        <v>46303.7135173148</v>
      </c>
      <c r="AD117" s="58" t="n">
        <f aca="false">IF(AND(ISNUMBER(Z117),ISNUMBER(AC117)),IF(AC117&gt;=Z117,(AC117-Z117)*1440,""),"")</f>
        <v>4095.78515000058</v>
      </c>
      <c r="AE117" s="54" t="s">
        <v>247</v>
      </c>
      <c r="AF117" s="54" t="s">
        <v>214</v>
      </c>
      <c r="AG117" s="54" t="s">
        <v>212</v>
      </c>
      <c r="AH117" s="58"/>
      <c r="AI117" s="55" t="n">
        <v>1</v>
      </c>
      <c r="AJ117" s="54" t="s">
        <v>216</v>
      </c>
      <c r="AK117" s="54" t="s">
        <v>212</v>
      </c>
    </row>
    <row r="118" customFormat="false" ht="15" hidden="false" customHeight="false" outlineLevel="0" collapsed="false">
      <c r="A118" s="54" t="s">
        <v>27</v>
      </c>
      <c r="B118" s="55" t="n">
        <v>292</v>
      </c>
      <c r="C118" s="54" t="s">
        <v>127</v>
      </c>
      <c r="D118" s="54" t="s">
        <v>212</v>
      </c>
      <c r="E118" s="54"/>
      <c r="F118" s="56" t="n">
        <v>46300.5992744444</v>
      </c>
      <c r="G118" s="54" t="s">
        <v>212</v>
      </c>
      <c r="H118" s="54" t="s">
        <v>214</v>
      </c>
      <c r="I118" s="57"/>
      <c r="J118" s="56"/>
      <c r="K118" s="56"/>
      <c r="L118" s="58" t="str">
        <f aca="false">IF(AND(ISNUMBER(J118),ISNUMBER(K118)),IF(K118&gt;=J118,(K118-J118)*1440,""),"")</f>
        <v/>
      </c>
      <c r="M118" s="56"/>
      <c r="N118" s="58" t="str">
        <f aca="false">IF(AND(ISNUMBER(J118),ISNUMBER(M118)),IF(M118&gt;=J118,(M118-J118)*1440,""),"")</f>
        <v/>
      </c>
      <c r="O118" s="54" t="str">
        <f aca="false">IF(N118="","",LOOKUP(N118,Tiempos!$A$6:$A$10,Tiempos!$B$6:$B$10))</f>
        <v/>
      </c>
      <c r="P118" s="54"/>
      <c r="Q118" s="54"/>
      <c r="R118" s="54"/>
      <c r="S118" s="54"/>
      <c r="T118" s="58"/>
      <c r="U118" s="54"/>
      <c r="V118" s="58"/>
      <c r="W118" s="57"/>
      <c r="X118" s="55"/>
      <c r="Y118" s="54"/>
      <c r="Z118" s="56"/>
      <c r="AA118" s="58" t="str">
        <f aca="false">IF(AND(ISNUMBER(M118),ISNUMBER(Z118)),IF(Z118&gt;=M118,(Z118-M118)*1440,""),"")</f>
        <v/>
      </c>
      <c r="AB118" s="57"/>
      <c r="AC118" s="56"/>
      <c r="AD118" s="58" t="str">
        <f aca="false">IF(AND(ISNUMBER(Z118),ISNUMBER(AC118)),IF(AC118&gt;=Z118,(AC118-Z118)*1440,""),"")</f>
        <v/>
      </c>
      <c r="AE118" s="54"/>
      <c r="AF118" s="54"/>
      <c r="AG118" s="54"/>
      <c r="AH118" s="58"/>
      <c r="AI118" s="55" t="n">
        <v>1</v>
      </c>
      <c r="AJ118" s="54" t="s">
        <v>216</v>
      </c>
      <c r="AK118" s="54" t="s">
        <v>212</v>
      </c>
    </row>
    <row r="119" customFormat="false" ht="15" hidden="false" customHeight="false" outlineLevel="0" collapsed="false">
      <c r="A119" s="54" t="s">
        <v>27</v>
      </c>
      <c r="B119" s="55" t="n">
        <v>296</v>
      </c>
      <c r="C119" s="54" t="s">
        <v>129</v>
      </c>
      <c r="D119" s="54" t="s">
        <v>214</v>
      </c>
      <c r="E119" s="54" t="s">
        <v>242</v>
      </c>
      <c r="F119" s="56" t="n">
        <v>46300.6145827546</v>
      </c>
      <c r="G119" s="54" t="s">
        <v>212</v>
      </c>
      <c r="H119" s="54" t="s">
        <v>214</v>
      </c>
      <c r="I119" s="57" t="s">
        <v>351</v>
      </c>
      <c r="J119" s="56" t="n">
        <v>46300.6353246991</v>
      </c>
      <c r="K119" s="56" t="n">
        <v>46300.6354556713</v>
      </c>
      <c r="L119" s="58" t="n">
        <f aca="false">IF(AND(ISNUMBER(J119),ISNUMBER(K119)),IF(K119&gt;=J119,(K119-J119)*1440,""),"")</f>
        <v>0.18859999835</v>
      </c>
      <c r="M119" s="56" t="n">
        <v>46300.6396398495</v>
      </c>
      <c r="N119" s="58" t="n">
        <f aca="false">IF(AND(ISNUMBER(J119),ISNUMBER(M119)),IF(M119&gt;=J119,(M119-J119)*1440,""),"")</f>
        <v>6.2138166488</v>
      </c>
      <c r="O119" s="54" t="str">
        <f aca="false">IF(N119="","",LOOKUP(N119,Tiempos!$A$6:$A$10,Tiempos!$B$6:$B$10))</f>
        <v>6 a 10 min</v>
      </c>
      <c r="P119" s="54" t="s">
        <v>229</v>
      </c>
      <c r="Q119" s="54" t="s">
        <v>214</v>
      </c>
      <c r="R119" s="54" t="s">
        <v>127</v>
      </c>
      <c r="S119" s="54" t="s">
        <v>220</v>
      </c>
      <c r="T119" s="58" t="n">
        <v>107</v>
      </c>
      <c r="U119" s="54" t="s">
        <v>214</v>
      </c>
      <c r="V119" s="58" t="n">
        <v>6.03</v>
      </c>
      <c r="W119" s="57" t="s">
        <v>352</v>
      </c>
      <c r="X119" s="55" t="n">
        <v>2</v>
      </c>
      <c r="Y119" s="54" t="s">
        <v>212</v>
      </c>
      <c r="Z119" s="56"/>
      <c r="AA119" s="58" t="str">
        <f aca="false">IF(AND(ISNUMBER(M119),ISNUMBER(Z119)),IF(Z119&gt;=M119,(Z119-M119)*1440,""),"")</f>
        <v/>
      </c>
      <c r="AB119" s="57"/>
      <c r="AC119" s="56"/>
      <c r="AD119" s="58" t="str">
        <f aca="false">IF(AND(ISNUMBER(Z119),ISNUMBER(AC119)),IF(AC119&gt;=Z119,(AC119-Z119)*1440,""),"")</f>
        <v/>
      </c>
      <c r="AE119" s="54"/>
      <c r="AF119" s="54" t="s">
        <v>214</v>
      </c>
      <c r="AG119" s="54"/>
      <c r="AH119" s="58"/>
      <c r="AI119" s="55" t="n">
        <v>2</v>
      </c>
      <c r="AJ119" s="54" t="s">
        <v>216</v>
      </c>
      <c r="AK119" s="54" t="s">
        <v>212</v>
      </c>
    </row>
    <row r="120" customFormat="false" ht="15" hidden="false" customHeight="false" outlineLevel="0" collapsed="false">
      <c r="A120" s="54" t="s">
        <v>27</v>
      </c>
      <c r="B120" s="55" t="n">
        <v>295</v>
      </c>
      <c r="C120" s="54" t="s">
        <v>129</v>
      </c>
      <c r="D120" s="54" t="s">
        <v>214</v>
      </c>
      <c r="E120" s="54" t="s">
        <v>242</v>
      </c>
      <c r="F120" s="56" t="n">
        <v>46300.6147936227</v>
      </c>
      <c r="G120" s="54" t="s">
        <v>212</v>
      </c>
      <c r="H120" s="54" t="s">
        <v>214</v>
      </c>
      <c r="I120" s="57" t="s">
        <v>353</v>
      </c>
      <c r="J120" s="56" t="n">
        <v>46300.6198023843</v>
      </c>
      <c r="K120" s="56" t="n">
        <v>46300.6202295833</v>
      </c>
      <c r="L120" s="58" t="n">
        <f aca="false">IF(AND(ISNUMBER(J120),ISNUMBER(K120)),IF(K120&gt;=J120,(K120-J120)*1440,""),"")</f>
        <v>0.61516668065</v>
      </c>
      <c r="M120" s="56" t="n">
        <v>46300.6202295833</v>
      </c>
      <c r="N120" s="58" t="n">
        <f aca="false">IF(AND(ISNUMBER(J120),ISNUMBER(M120)),IF(M120&gt;=J120,(M120-J120)*1440,""),"")</f>
        <v>0.61516668065</v>
      </c>
      <c r="O120" s="54" t="str">
        <f aca="false">IF(N120="","",LOOKUP(N120,Tiempos!$A$6:$A$10,Tiempos!$B$6:$B$10))</f>
        <v>Menos de 4 min</v>
      </c>
      <c r="P120" s="54" t="s">
        <v>226</v>
      </c>
      <c r="Q120" s="54" t="s">
        <v>212</v>
      </c>
      <c r="R120" s="54" t="s">
        <v>129</v>
      </c>
      <c r="S120" s="54" t="s">
        <v>220</v>
      </c>
      <c r="T120" s="58"/>
      <c r="U120" s="54"/>
      <c r="V120" s="58"/>
      <c r="W120" s="57"/>
      <c r="X120" s="55" t="n">
        <v>0</v>
      </c>
      <c r="Y120" s="54" t="s">
        <v>214</v>
      </c>
      <c r="Z120" s="56" t="n">
        <v>46300.6203711458</v>
      </c>
      <c r="AA120" s="58" t="n">
        <f aca="false">IF(AND(ISNUMBER(M120),ISNUMBER(Z120)),IF(Z120&gt;=M120,(Z120-M120)*1440,""),"")</f>
        <v>0.203849991083333</v>
      </c>
      <c r="AB120" s="57" t="s">
        <v>354</v>
      </c>
      <c r="AC120" s="56" t="n">
        <v>46300.6212406366</v>
      </c>
      <c r="AD120" s="58" t="n">
        <f aca="false">IF(AND(ISNUMBER(Z120),ISNUMBER(AC120)),IF(AC120&gt;=Z120,(AC120-Z120)*1440,""),"")</f>
        <v>1.25206665135</v>
      </c>
      <c r="AE120" s="54" t="s">
        <v>346</v>
      </c>
      <c r="AF120" s="54" t="s">
        <v>214</v>
      </c>
      <c r="AG120" s="54" t="s">
        <v>214</v>
      </c>
      <c r="AH120" s="58" t="n">
        <v>1.8</v>
      </c>
      <c r="AI120" s="55" t="n">
        <v>2</v>
      </c>
      <c r="AJ120" s="54" t="s">
        <v>216</v>
      </c>
      <c r="AK120" s="54" t="s">
        <v>212</v>
      </c>
    </row>
    <row r="121" customFormat="false" ht="15" hidden="false" customHeight="false" outlineLevel="0" collapsed="false">
      <c r="A121" s="54" t="s">
        <v>27</v>
      </c>
      <c r="B121" s="55" t="n">
        <v>298</v>
      </c>
      <c r="C121" s="54" t="s">
        <v>127</v>
      </c>
      <c r="D121" s="54" t="s">
        <v>214</v>
      </c>
      <c r="E121" s="54" t="s">
        <v>242</v>
      </c>
      <c r="F121" s="56" t="n">
        <v>46300.6202997454</v>
      </c>
      <c r="G121" s="54" t="s">
        <v>212</v>
      </c>
      <c r="H121" s="54" t="s">
        <v>214</v>
      </c>
      <c r="I121" s="57" t="s">
        <v>355</v>
      </c>
      <c r="J121" s="56" t="n">
        <v>46300.6208640394</v>
      </c>
      <c r="K121" s="56" t="n">
        <v>46300.6209384607</v>
      </c>
      <c r="L121" s="58" t="n">
        <f aca="false">IF(AND(ISNUMBER(J121),ISNUMBER(K121)),IF(K121&gt;=J121,(K121-J121)*1440,""),"")</f>
        <v>0.107166665833333</v>
      </c>
      <c r="M121" s="56" t="n">
        <v>46300.623036007</v>
      </c>
      <c r="N121" s="58" t="n">
        <f aca="false">IF(AND(ISNUMBER(J121),ISNUMBER(M121)),IF(M121&gt;=J121,(M121-J121)*1440,""),"")</f>
        <v>3.12763334483333</v>
      </c>
      <c r="O121" s="54" t="str">
        <f aca="false">IF(N121="","",LOOKUP(N121,Tiempos!$A$6:$A$10,Tiempos!$B$6:$B$10))</f>
        <v>Menos de 4 min</v>
      </c>
      <c r="P121" s="54" t="s">
        <v>229</v>
      </c>
      <c r="Q121" s="54" t="s">
        <v>214</v>
      </c>
      <c r="R121" s="54" t="s">
        <v>127</v>
      </c>
      <c r="S121" s="54" t="s">
        <v>220</v>
      </c>
      <c r="T121" s="58" t="n">
        <v>108.5</v>
      </c>
      <c r="U121" s="54" t="s">
        <v>214</v>
      </c>
      <c r="V121" s="58" t="n">
        <v>3.02</v>
      </c>
      <c r="W121" s="57" t="s">
        <v>356</v>
      </c>
      <c r="X121" s="55" t="n">
        <v>2</v>
      </c>
      <c r="Y121" s="54" t="s">
        <v>214</v>
      </c>
      <c r="Z121" s="56" t="n">
        <v>46300.6266603935</v>
      </c>
      <c r="AA121" s="58" t="n">
        <f aca="false">IF(AND(ISNUMBER(M121),ISNUMBER(Z121)),IF(Z121&gt;=M121,(Z121-M121)*1440,""),"")</f>
        <v>5.21911665913333</v>
      </c>
      <c r="AB121" s="57" t="s">
        <v>357</v>
      </c>
      <c r="AC121" s="56" t="n">
        <v>46300.6269586458</v>
      </c>
      <c r="AD121" s="58" t="n">
        <f aca="false">IF(AND(ISNUMBER(Z121),ISNUMBER(AC121)),IF(AC121&gt;=Z121,(AC121-Z121)*1440,""),"")</f>
        <v>0.429483333133333</v>
      </c>
      <c r="AE121" s="54" t="s">
        <v>293</v>
      </c>
      <c r="AF121" s="54" t="s">
        <v>214</v>
      </c>
      <c r="AG121" s="54" t="s">
        <v>214</v>
      </c>
      <c r="AH121" s="58" t="n">
        <v>3.9</v>
      </c>
      <c r="AI121" s="55" t="n">
        <v>2</v>
      </c>
      <c r="AJ121" s="54" t="s">
        <v>216</v>
      </c>
      <c r="AK121" s="54" t="s">
        <v>212</v>
      </c>
    </row>
    <row r="122" customFormat="false" ht="15" hidden="false" customHeight="false" outlineLevel="0" collapsed="false">
      <c r="A122" s="54" t="s">
        <v>27</v>
      </c>
      <c r="B122" s="55" t="n">
        <v>307</v>
      </c>
      <c r="C122" s="54" t="s">
        <v>128</v>
      </c>
      <c r="D122" s="54" t="s">
        <v>212</v>
      </c>
      <c r="E122" s="54"/>
      <c r="F122" s="56" t="n">
        <v>46300.6640579167</v>
      </c>
      <c r="G122" s="54" t="s">
        <v>212</v>
      </c>
      <c r="H122" s="54" t="s">
        <v>214</v>
      </c>
      <c r="I122" s="57"/>
      <c r="J122" s="56"/>
      <c r="K122" s="56"/>
      <c r="L122" s="58" t="str">
        <f aca="false">IF(AND(ISNUMBER(J122),ISNUMBER(K122)),IF(K122&gt;=J122,(K122-J122)*1440,""),"")</f>
        <v/>
      </c>
      <c r="M122" s="56"/>
      <c r="N122" s="58" t="str">
        <f aca="false">IF(AND(ISNUMBER(J122),ISNUMBER(M122)),IF(M122&gt;=J122,(M122-J122)*1440,""),"")</f>
        <v/>
      </c>
      <c r="O122" s="54" t="str">
        <f aca="false">IF(N122="","",LOOKUP(N122,Tiempos!$A$6:$A$10,Tiempos!$B$6:$B$10))</f>
        <v/>
      </c>
      <c r="P122" s="54"/>
      <c r="Q122" s="54"/>
      <c r="R122" s="54"/>
      <c r="S122" s="54"/>
      <c r="T122" s="58"/>
      <c r="U122" s="54"/>
      <c r="V122" s="58"/>
      <c r="W122" s="57"/>
      <c r="X122" s="55"/>
      <c r="Y122" s="54"/>
      <c r="Z122" s="56"/>
      <c r="AA122" s="58" t="str">
        <f aca="false">IF(AND(ISNUMBER(M122),ISNUMBER(Z122)),IF(Z122&gt;=M122,(Z122-M122)*1440,""),"")</f>
        <v/>
      </c>
      <c r="AB122" s="57"/>
      <c r="AC122" s="56"/>
      <c r="AD122" s="58" t="str">
        <f aca="false">IF(AND(ISNUMBER(Z122),ISNUMBER(AC122)),IF(AC122&gt;=Z122,(AC122-Z122)*1440,""),"")</f>
        <v/>
      </c>
      <c r="AE122" s="54"/>
      <c r="AF122" s="54"/>
      <c r="AG122" s="54"/>
      <c r="AH122" s="58"/>
      <c r="AI122" s="55" t="n">
        <v>3</v>
      </c>
      <c r="AJ122" s="54" t="s">
        <v>216</v>
      </c>
      <c r="AK122" s="54" t="s">
        <v>212</v>
      </c>
    </row>
    <row r="123" customFormat="false" ht="15" hidden="false" customHeight="false" outlineLevel="0" collapsed="false">
      <c r="A123" s="54" t="s">
        <v>27</v>
      </c>
      <c r="B123" s="55" t="n">
        <v>308</v>
      </c>
      <c r="C123" s="54" t="s">
        <v>127</v>
      </c>
      <c r="D123" s="54" t="s">
        <v>214</v>
      </c>
      <c r="E123" s="54" t="s">
        <v>278</v>
      </c>
      <c r="F123" s="56" t="n">
        <v>46300.6858734259</v>
      </c>
      <c r="G123" s="54" t="s">
        <v>212</v>
      </c>
      <c r="H123" s="54" t="s">
        <v>212</v>
      </c>
      <c r="I123" s="57" t="s">
        <v>358</v>
      </c>
      <c r="J123" s="56" t="n">
        <v>46300.7231019792</v>
      </c>
      <c r="K123" s="56" t="n">
        <v>46300.7298226389</v>
      </c>
      <c r="L123" s="58" t="n">
        <f aca="false">IF(AND(ISNUMBER(J123),ISNUMBER(K123)),IF(K123&gt;=J123,(K123-J123)*1440,""),"")</f>
        <v>9.67774999095</v>
      </c>
      <c r="M123" s="56" t="n">
        <v>46300.7395503241</v>
      </c>
      <c r="N123" s="58" t="n">
        <f aca="false">IF(AND(ISNUMBER(J123),ISNUMBER(M123)),IF(M123&gt;=J123,(M123-J123)*1440,""),"")</f>
        <v>23.68561666225</v>
      </c>
      <c r="O123" s="54" t="str">
        <f aca="false">IF(N123="","",LOOKUP(N123,Tiempos!$A$6:$A$10,Tiempos!$B$6:$B$10))</f>
        <v>10 a 30 min</v>
      </c>
      <c r="P123" s="54" t="s">
        <v>229</v>
      </c>
      <c r="Q123" s="54" t="s">
        <v>214</v>
      </c>
      <c r="R123" s="54" t="s">
        <v>127</v>
      </c>
      <c r="S123" s="54" t="s">
        <v>220</v>
      </c>
      <c r="T123" s="58" t="n">
        <v>115.5</v>
      </c>
      <c r="U123" s="54" t="s">
        <v>214</v>
      </c>
      <c r="V123" s="58" t="n">
        <v>14.01</v>
      </c>
      <c r="W123" s="57" t="s">
        <v>359</v>
      </c>
      <c r="X123" s="55" t="n">
        <v>2</v>
      </c>
      <c r="Y123" s="54" t="s">
        <v>214</v>
      </c>
      <c r="Z123" s="56" t="n">
        <v>46300.7545063889</v>
      </c>
      <c r="AA123" s="58" t="n">
        <f aca="false">IF(AND(ISNUMBER(M123),ISNUMBER(Z123)),IF(Z123&gt;=M123,(Z123-M123)*1440,""),"")</f>
        <v>21.53673333115</v>
      </c>
      <c r="AB123" s="57" t="s">
        <v>360</v>
      </c>
      <c r="AC123" s="56" t="n">
        <v>46300.7569769676</v>
      </c>
      <c r="AD123" s="58" t="n">
        <f aca="false">IF(AND(ISNUMBER(Z123),ISNUMBER(AC123)),IF(AC123&gt;=Z123,(AC123-Z123)*1440,""),"")</f>
        <v>3.55763332801667</v>
      </c>
      <c r="AE123" s="54" t="s">
        <v>293</v>
      </c>
      <c r="AF123" s="54" t="s">
        <v>214</v>
      </c>
      <c r="AG123" s="54" t="s">
        <v>214</v>
      </c>
      <c r="AH123" s="58" t="n">
        <v>4</v>
      </c>
      <c r="AI123" s="55" t="n">
        <v>1</v>
      </c>
      <c r="AJ123" s="54" t="s">
        <v>216</v>
      </c>
      <c r="AK123" s="54" t="s">
        <v>212</v>
      </c>
    </row>
    <row r="124" customFormat="false" ht="15" hidden="false" customHeight="false" outlineLevel="0" collapsed="false">
      <c r="A124" s="54" t="s">
        <v>27</v>
      </c>
      <c r="B124" s="55" t="n">
        <v>313</v>
      </c>
      <c r="C124" s="54" t="s">
        <v>129</v>
      </c>
      <c r="D124" s="54" t="s">
        <v>214</v>
      </c>
      <c r="E124" s="54" t="s">
        <v>289</v>
      </c>
      <c r="F124" s="56" t="n">
        <v>46300.6951763657</v>
      </c>
      <c r="G124" s="54" t="s">
        <v>212</v>
      </c>
      <c r="H124" s="54" t="s">
        <v>214</v>
      </c>
      <c r="I124" s="57" t="s">
        <v>361</v>
      </c>
      <c r="J124" s="56" t="n">
        <v>46300.7020130324</v>
      </c>
      <c r="K124" s="56" t="n">
        <v>46300.703089456</v>
      </c>
      <c r="L124" s="58" t="n">
        <f aca="false">IF(AND(ISNUMBER(J124),ISNUMBER(K124)),IF(K124&gt;=J124,(K124-J124)*1440,""),"")</f>
        <v>1.55005000415</v>
      </c>
      <c r="M124" s="56" t="n">
        <v>46300.703089456</v>
      </c>
      <c r="N124" s="58" t="n">
        <f aca="false">IF(AND(ISNUMBER(J124),ISNUMBER(M124)),IF(M124&gt;=J124,(M124-J124)*1440,""),"")</f>
        <v>1.55005000415</v>
      </c>
      <c r="O124" s="54" t="str">
        <f aca="false">IF(N124="","",LOOKUP(N124,Tiempos!$A$6:$A$10,Tiempos!$B$6:$B$10))</f>
        <v>Menos de 4 min</v>
      </c>
      <c r="P124" s="54" t="s">
        <v>226</v>
      </c>
      <c r="Q124" s="54" t="s">
        <v>212</v>
      </c>
      <c r="R124" s="54" t="s">
        <v>129</v>
      </c>
      <c r="S124" s="54" t="s">
        <v>220</v>
      </c>
      <c r="T124" s="58"/>
      <c r="U124" s="54"/>
      <c r="V124" s="58"/>
      <c r="W124" s="57"/>
      <c r="X124" s="55" t="n">
        <v>0</v>
      </c>
      <c r="Y124" s="54" t="s">
        <v>212</v>
      </c>
      <c r="Z124" s="56"/>
      <c r="AA124" s="58" t="str">
        <f aca="false">IF(AND(ISNUMBER(M124),ISNUMBER(Z124)),IF(Z124&gt;=M124,(Z124-M124)*1440,""),"")</f>
        <v/>
      </c>
      <c r="AB124" s="57"/>
      <c r="AC124" s="56"/>
      <c r="AD124" s="58" t="str">
        <f aca="false">IF(AND(ISNUMBER(Z124),ISNUMBER(AC124)),IF(AC124&gt;=Z124,(AC124-Z124)*1440,""),"")</f>
        <v/>
      </c>
      <c r="AE124" s="54"/>
      <c r="AF124" s="54" t="s">
        <v>214</v>
      </c>
      <c r="AG124" s="54"/>
      <c r="AH124" s="58"/>
      <c r="AI124" s="55" t="n">
        <v>2</v>
      </c>
      <c r="AJ124" s="54" t="s">
        <v>216</v>
      </c>
      <c r="AK124" s="54" t="s">
        <v>212</v>
      </c>
    </row>
    <row r="125" customFormat="false" ht="15" hidden="false" customHeight="false" outlineLevel="0" collapsed="false">
      <c r="A125" s="54" t="s">
        <v>27</v>
      </c>
      <c r="B125" s="55" t="n">
        <v>311</v>
      </c>
      <c r="C125" s="54" t="s">
        <v>128</v>
      </c>
      <c r="D125" s="54" t="s">
        <v>212</v>
      </c>
      <c r="E125" s="54"/>
      <c r="F125" s="56" t="n">
        <v>46300.704500787</v>
      </c>
      <c r="G125" s="54" t="s">
        <v>212</v>
      </c>
      <c r="H125" s="54" t="s">
        <v>214</v>
      </c>
      <c r="I125" s="57"/>
      <c r="J125" s="56"/>
      <c r="K125" s="56"/>
      <c r="L125" s="58" t="str">
        <f aca="false">IF(AND(ISNUMBER(J125),ISNUMBER(K125)),IF(K125&gt;=J125,(K125-J125)*1440,""),"")</f>
        <v/>
      </c>
      <c r="M125" s="56"/>
      <c r="N125" s="58" t="str">
        <f aca="false">IF(AND(ISNUMBER(J125),ISNUMBER(M125)),IF(M125&gt;=J125,(M125-J125)*1440,""),"")</f>
        <v/>
      </c>
      <c r="O125" s="54" t="str">
        <f aca="false">IF(N125="","",LOOKUP(N125,Tiempos!$A$6:$A$10,Tiempos!$B$6:$B$10))</f>
        <v/>
      </c>
      <c r="P125" s="54"/>
      <c r="Q125" s="54"/>
      <c r="R125" s="54"/>
      <c r="S125" s="54"/>
      <c r="T125" s="58"/>
      <c r="U125" s="54"/>
      <c r="V125" s="58"/>
      <c r="W125" s="57"/>
      <c r="X125" s="55"/>
      <c r="Y125" s="54"/>
      <c r="Z125" s="56"/>
      <c r="AA125" s="58" t="str">
        <f aca="false">IF(AND(ISNUMBER(M125),ISNUMBER(Z125)),IF(Z125&gt;=M125,(Z125-M125)*1440,""),"")</f>
        <v/>
      </c>
      <c r="AB125" s="57"/>
      <c r="AC125" s="56"/>
      <c r="AD125" s="58" t="str">
        <f aca="false">IF(AND(ISNUMBER(Z125),ISNUMBER(AC125)),IF(AC125&gt;=Z125,(AC125-Z125)*1440,""),"")</f>
        <v/>
      </c>
      <c r="AE125" s="54"/>
      <c r="AF125" s="54"/>
      <c r="AG125" s="54"/>
      <c r="AH125" s="58"/>
      <c r="AI125" s="55" t="n">
        <v>1</v>
      </c>
      <c r="AJ125" s="54" t="s">
        <v>216</v>
      </c>
      <c r="AK125" s="54" t="s">
        <v>212</v>
      </c>
    </row>
    <row r="126" customFormat="false" ht="15" hidden="false" customHeight="false" outlineLevel="0" collapsed="false">
      <c r="A126" s="54" t="s">
        <v>27</v>
      </c>
      <c r="B126" s="55" t="n">
        <v>314</v>
      </c>
      <c r="C126" s="54" t="s">
        <v>127</v>
      </c>
      <c r="D126" s="54" t="s">
        <v>212</v>
      </c>
      <c r="E126" s="54"/>
      <c r="F126" s="56" t="n">
        <v>46300.7207455208</v>
      </c>
      <c r="G126" s="54" t="s">
        <v>212</v>
      </c>
      <c r="H126" s="54" t="s">
        <v>212</v>
      </c>
      <c r="I126" s="57"/>
      <c r="J126" s="56"/>
      <c r="K126" s="56"/>
      <c r="L126" s="58" t="str">
        <f aca="false">IF(AND(ISNUMBER(J126),ISNUMBER(K126)),IF(K126&gt;=J126,(K126-J126)*1440,""),"")</f>
        <v/>
      </c>
      <c r="M126" s="56"/>
      <c r="N126" s="58" t="str">
        <f aca="false">IF(AND(ISNUMBER(J126),ISNUMBER(M126)),IF(M126&gt;=J126,(M126-J126)*1440,""),"")</f>
        <v/>
      </c>
      <c r="O126" s="54" t="str">
        <f aca="false">IF(N126="","",LOOKUP(N126,Tiempos!$A$6:$A$10,Tiempos!$B$6:$B$10))</f>
        <v/>
      </c>
      <c r="P126" s="54"/>
      <c r="Q126" s="54"/>
      <c r="R126" s="54"/>
      <c r="S126" s="54"/>
      <c r="T126" s="58"/>
      <c r="U126" s="54"/>
      <c r="V126" s="58"/>
      <c r="W126" s="57"/>
      <c r="X126" s="55"/>
      <c r="Y126" s="54"/>
      <c r="Z126" s="56"/>
      <c r="AA126" s="58" t="str">
        <f aca="false">IF(AND(ISNUMBER(M126),ISNUMBER(Z126)),IF(Z126&gt;=M126,(Z126-M126)*1440,""),"")</f>
        <v/>
      </c>
      <c r="AB126" s="57"/>
      <c r="AC126" s="56"/>
      <c r="AD126" s="58" t="str">
        <f aca="false">IF(AND(ISNUMBER(Z126),ISNUMBER(AC126)),IF(AC126&gt;=Z126,(AC126-Z126)*1440,""),"")</f>
        <v/>
      </c>
      <c r="AE126" s="54"/>
      <c r="AF126" s="54"/>
      <c r="AG126" s="54"/>
      <c r="AH126" s="58"/>
      <c r="AI126" s="55" t="n">
        <v>2</v>
      </c>
      <c r="AJ126" s="54" t="s">
        <v>216</v>
      </c>
      <c r="AK126" s="54" t="s">
        <v>212</v>
      </c>
    </row>
    <row r="127" customFormat="false" ht="15" hidden="false" customHeight="false" outlineLevel="0" collapsed="false">
      <c r="A127" s="54" t="s">
        <v>27</v>
      </c>
      <c r="B127" s="55" t="n">
        <v>317</v>
      </c>
      <c r="C127" s="54" t="s">
        <v>129</v>
      </c>
      <c r="D127" s="54" t="s">
        <v>214</v>
      </c>
      <c r="E127" s="54" t="s">
        <v>233</v>
      </c>
      <c r="F127" s="56" t="n">
        <v>46300.7505958449</v>
      </c>
      <c r="G127" s="54" t="s">
        <v>212</v>
      </c>
      <c r="H127" s="54" t="s">
        <v>214</v>
      </c>
      <c r="I127" s="57" t="s">
        <v>362</v>
      </c>
      <c r="J127" s="56" t="n">
        <v>46300.7516020718</v>
      </c>
      <c r="K127" s="56" t="n">
        <v>46300.7544644676</v>
      </c>
      <c r="L127" s="58" t="n">
        <f aca="false">IF(AND(ISNUMBER(J127),ISNUMBER(K127)),IF(K127&gt;=J127,(K127-J127)*1440,""),"")</f>
        <v>4.12184999206667</v>
      </c>
      <c r="M127" s="56" t="n">
        <v>46300.7544644676</v>
      </c>
      <c r="N127" s="58" t="n">
        <f aca="false">IF(AND(ISNUMBER(J127),ISNUMBER(M127)),IF(M127&gt;=J127,(M127-J127)*1440,""),"")</f>
        <v>4.12184999206667</v>
      </c>
      <c r="O127" s="54" t="str">
        <f aca="false">IF(N127="","",LOOKUP(N127,Tiempos!$A$6:$A$10,Tiempos!$B$6:$B$10))</f>
        <v>4 a 6 min</v>
      </c>
      <c r="P127" s="54" t="s">
        <v>226</v>
      </c>
      <c r="Q127" s="54" t="s">
        <v>212</v>
      </c>
      <c r="R127" s="54" t="s">
        <v>129</v>
      </c>
      <c r="S127" s="54" t="s">
        <v>220</v>
      </c>
      <c r="T127" s="58"/>
      <c r="U127" s="54"/>
      <c r="V127" s="58"/>
      <c r="W127" s="57"/>
      <c r="X127" s="55" t="n">
        <v>0</v>
      </c>
      <c r="Y127" s="54" t="s">
        <v>214</v>
      </c>
      <c r="Z127" s="56" t="n">
        <v>46300.7559232986</v>
      </c>
      <c r="AA127" s="58" t="n">
        <f aca="false">IF(AND(ISNUMBER(M127),ISNUMBER(Z127)),IF(Z127&gt;=M127,(Z127-M127)*1440,""),"")</f>
        <v>2.10071667213333</v>
      </c>
      <c r="AB127" s="57" t="s">
        <v>363</v>
      </c>
      <c r="AC127" s="56" t="n">
        <v>46300.7564040509</v>
      </c>
      <c r="AD127" s="58" t="n">
        <f aca="false">IF(AND(ISNUMBER(Z127),ISNUMBER(AC127)),IF(AC127&gt;=Z127,(AC127-Z127)*1440,""),"")</f>
        <v>0.692283322566667</v>
      </c>
      <c r="AE127" s="54" t="s">
        <v>223</v>
      </c>
      <c r="AF127" s="54" t="s">
        <v>214</v>
      </c>
      <c r="AG127" s="54" t="s">
        <v>214</v>
      </c>
      <c r="AH127" s="58" t="n">
        <v>2.8</v>
      </c>
      <c r="AI127" s="55" t="n">
        <v>2</v>
      </c>
      <c r="AJ127" s="54" t="s">
        <v>216</v>
      </c>
      <c r="AK127" s="54" t="s">
        <v>212</v>
      </c>
    </row>
    <row r="128" customFormat="false" ht="15" hidden="false" customHeight="false" outlineLevel="0" collapsed="false">
      <c r="A128" s="54" t="s">
        <v>27</v>
      </c>
      <c r="B128" s="55" t="n">
        <v>321</v>
      </c>
      <c r="C128" s="54" t="s">
        <v>129</v>
      </c>
      <c r="D128" s="54" t="s">
        <v>212</v>
      </c>
      <c r="E128" s="54"/>
      <c r="F128" s="56" t="n">
        <v>46300.767224132</v>
      </c>
      <c r="G128" s="54" t="s">
        <v>212</v>
      </c>
      <c r="H128" s="54" t="s">
        <v>212</v>
      </c>
      <c r="I128" s="57"/>
      <c r="J128" s="56"/>
      <c r="K128" s="56"/>
      <c r="L128" s="58" t="str">
        <f aca="false">IF(AND(ISNUMBER(J128),ISNUMBER(K128)),IF(K128&gt;=J128,(K128-J128)*1440,""),"")</f>
        <v/>
      </c>
      <c r="M128" s="56"/>
      <c r="N128" s="58" t="str">
        <f aca="false">IF(AND(ISNUMBER(J128),ISNUMBER(M128)),IF(M128&gt;=J128,(M128-J128)*1440,""),"")</f>
        <v/>
      </c>
      <c r="O128" s="54" t="str">
        <f aca="false">IF(N128="","",LOOKUP(N128,Tiempos!$A$6:$A$10,Tiempos!$B$6:$B$10))</f>
        <v/>
      </c>
      <c r="P128" s="54"/>
      <c r="Q128" s="54"/>
      <c r="R128" s="54"/>
      <c r="S128" s="54"/>
      <c r="T128" s="58"/>
      <c r="U128" s="54"/>
      <c r="V128" s="58"/>
      <c r="W128" s="57"/>
      <c r="X128" s="55"/>
      <c r="Y128" s="54"/>
      <c r="Z128" s="56"/>
      <c r="AA128" s="58" t="str">
        <f aca="false">IF(AND(ISNUMBER(M128),ISNUMBER(Z128)),IF(Z128&gt;=M128,(Z128-M128)*1440,""),"")</f>
        <v/>
      </c>
      <c r="AB128" s="57"/>
      <c r="AC128" s="56"/>
      <c r="AD128" s="58" t="str">
        <f aca="false">IF(AND(ISNUMBER(Z128),ISNUMBER(AC128)),IF(AC128&gt;=Z128,(AC128-Z128)*1440,""),"")</f>
        <v/>
      </c>
      <c r="AE128" s="54"/>
      <c r="AF128" s="54"/>
      <c r="AG128" s="54"/>
      <c r="AH128" s="58"/>
      <c r="AI128" s="55" t="n">
        <v>2</v>
      </c>
      <c r="AJ128" s="54" t="s">
        <v>216</v>
      </c>
      <c r="AK128" s="54" t="s">
        <v>212</v>
      </c>
    </row>
    <row r="129" customFormat="false" ht="15" hidden="false" customHeight="false" outlineLevel="0" collapsed="false">
      <c r="A129" s="54" t="s">
        <v>27</v>
      </c>
      <c r="B129" s="55" t="n">
        <v>319</v>
      </c>
      <c r="C129" s="54" t="s">
        <v>128</v>
      </c>
      <c r="D129" s="54" t="s">
        <v>212</v>
      </c>
      <c r="E129" s="54"/>
      <c r="F129" s="56" t="n">
        <v>46300.7809039931</v>
      </c>
      <c r="G129" s="54" t="s">
        <v>212</v>
      </c>
      <c r="H129" s="54" t="s">
        <v>214</v>
      </c>
      <c r="I129" s="57"/>
      <c r="J129" s="56"/>
      <c r="K129" s="56"/>
      <c r="L129" s="58" t="str">
        <f aca="false">IF(AND(ISNUMBER(J129),ISNUMBER(K129)),IF(K129&gt;=J129,(K129-J129)*1440,""),"")</f>
        <v/>
      </c>
      <c r="M129" s="56"/>
      <c r="N129" s="58" t="str">
        <f aca="false">IF(AND(ISNUMBER(J129),ISNUMBER(M129)),IF(M129&gt;=J129,(M129-J129)*1440,""),"")</f>
        <v/>
      </c>
      <c r="O129" s="54" t="str">
        <f aca="false">IF(N129="","",LOOKUP(N129,Tiempos!$A$6:$A$10,Tiempos!$B$6:$B$10))</f>
        <v/>
      </c>
      <c r="P129" s="54"/>
      <c r="Q129" s="54"/>
      <c r="R129" s="54"/>
      <c r="S129" s="54"/>
      <c r="T129" s="58"/>
      <c r="U129" s="54"/>
      <c r="V129" s="58"/>
      <c r="W129" s="57"/>
      <c r="X129" s="55"/>
      <c r="Y129" s="54"/>
      <c r="Z129" s="56"/>
      <c r="AA129" s="58" t="str">
        <f aca="false">IF(AND(ISNUMBER(M129),ISNUMBER(Z129)),IF(Z129&gt;=M129,(Z129-M129)*1440,""),"")</f>
        <v/>
      </c>
      <c r="AB129" s="57"/>
      <c r="AC129" s="56"/>
      <c r="AD129" s="58" t="str">
        <f aca="false">IF(AND(ISNUMBER(Z129),ISNUMBER(AC129)),IF(AC129&gt;=Z129,(AC129-Z129)*1440,""),"")</f>
        <v/>
      </c>
      <c r="AE129" s="54"/>
      <c r="AF129" s="54"/>
      <c r="AG129" s="54"/>
      <c r="AH129" s="58"/>
      <c r="AI129" s="55" t="n">
        <v>1</v>
      </c>
      <c r="AJ129" s="54" t="s">
        <v>216</v>
      </c>
      <c r="AK129" s="54" t="s">
        <v>212</v>
      </c>
    </row>
    <row r="130" customFormat="false" ht="15" hidden="false" customHeight="false" outlineLevel="0" collapsed="false">
      <c r="A130" s="54" t="s">
        <v>27</v>
      </c>
      <c r="B130" s="55" t="n">
        <v>322</v>
      </c>
      <c r="C130" s="54" t="s">
        <v>127</v>
      </c>
      <c r="D130" s="54" t="s">
        <v>212</v>
      </c>
      <c r="E130" s="54"/>
      <c r="F130" s="56" t="n">
        <v>46300.8034651505</v>
      </c>
      <c r="G130" s="54" t="s">
        <v>212</v>
      </c>
      <c r="H130" s="54" t="s">
        <v>214</v>
      </c>
      <c r="I130" s="57"/>
      <c r="J130" s="56"/>
      <c r="K130" s="56"/>
      <c r="L130" s="58" t="str">
        <f aca="false">IF(AND(ISNUMBER(J130),ISNUMBER(K130)),IF(K130&gt;=J130,(K130-J130)*1440,""),"")</f>
        <v/>
      </c>
      <c r="M130" s="56"/>
      <c r="N130" s="58" t="str">
        <f aca="false">IF(AND(ISNUMBER(J130),ISNUMBER(M130)),IF(M130&gt;=J130,(M130-J130)*1440,""),"")</f>
        <v/>
      </c>
      <c r="O130" s="54" t="str">
        <f aca="false">IF(N130="","",LOOKUP(N130,Tiempos!$A$6:$A$10,Tiempos!$B$6:$B$10))</f>
        <v/>
      </c>
      <c r="P130" s="54"/>
      <c r="Q130" s="54"/>
      <c r="R130" s="54"/>
      <c r="S130" s="54"/>
      <c r="T130" s="58"/>
      <c r="U130" s="54"/>
      <c r="V130" s="58"/>
      <c r="W130" s="57"/>
      <c r="X130" s="55"/>
      <c r="Y130" s="54"/>
      <c r="Z130" s="56"/>
      <c r="AA130" s="58" t="str">
        <f aca="false">IF(AND(ISNUMBER(M130),ISNUMBER(Z130)),IF(Z130&gt;=M130,(Z130-M130)*1440,""),"")</f>
        <v/>
      </c>
      <c r="AB130" s="57"/>
      <c r="AC130" s="56"/>
      <c r="AD130" s="58" t="str">
        <f aca="false">IF(AND(ISNUMBER(Z130),ISNUMBER(AC130)),IF(AC130&gt;=Z130,(AC130-Z130)*1440,""),"")</f>
        <v/>
      </c>
      <c r="AE130" s="54"/>
      <c r="AF130" s="54"/>
      <c r="AG130" s="54"/>
      <c r="AH130" s="58"/>
      <c r="AI130" s="55" t="n">
        <v>1</v>
      </c>
      <c r="AJ130" s="54" t="s">
        <v>216</v>
      </c>
      <c r="AK130" s="54" t="s">
        <v>212</v>
      </c>
    </row>
    <row r="131" customFormat="false" ht="15" hidden="false" customHeight="false" outlineLevel="0" collapsed="false">
      <c r="A131" s="54" t="s">
        <v>27</v>
      </c>
      <c r="B131" s="55" t="n">
        <v>323</v>
      </c>
      <c r="C131" s="54" t="s">
        <v>127</v>
      </c>
      <c r="D131" s="54" t="s">
        <v>212</v>
      </c>
      <c r="E131" s="54"/>
      <c r="F131" s="56" t="n">
        <v>46300.8209820486</v>
      </c>
      <c r="G131" s="54" t="s">
        <v>212</v>
      </c>
      <c r="H131" s="54" t="s">
        <v>214</v>
      </c>
      <c r="I131" s="57"/>
      <c r="J131" s="56"/>
      <c r="K131" s="56"/>
      <c r="L131" s="58" t="str">
        <f aca="false">IF(AND(ISNUMBER(J131),ISNUMBER(K131)),IF(K131&gt;=J131,(K131-J131)*1440,""),"")</f>
        <v/>
      </c>
      <c r="M131" s="56"/>
      <c r="N131" s="58" t="str">
        <f aca="false">IF(AND(ISNUMBER(J131),ISNUMBER(M131)),IF(M131&gt;=J131,(M131-J131)*1440,""),"")</f>
        <v/>
      </c>
      <c r="O131" s="54" t="str">
        <f aca="false">IF(N131="","",LOOKUP(N131,Tiempos!$A$6:$A$10,Tiempos!$B$6:$B$10))</f>
        <v/>
      </c>
      <c r="P131" s="54"/>
      <c r="Q131" s="54"/>
      <c r="R131" s="54"/>
      <c r="S131" s="54"/>
      <c r="T131" s="58"/>
      <c r="U131" s="54"/>
      <c r="V131" s="58"/>
      <c r="W131" s="57"/>
      <c r="X131" s="55"/>
      <c r="Y131" s="54"/>
      <c r="Z131" s="56"/>
      <c r="AA131" s="58" t="str">
        <f aca="false">IF(AND(ISNUMBER(M131),ISNUMBER(Z131)),IF(Z131&gt;=M131,(Z131-M131)*1440,""),"")</f>
        <v/>
      </c>
      <c r="AB131" s="57"/>
      <c r="AC131" s="56"/>
      <c r="AD131" s="58" t="str">
        <f aca="false">IF(AND(ISNUMBER(Z131),ISNUMBER(AC131)),IF(AC131&gt;=Z131,(AC131-Z131)*1440,""),"")</f>
        <v/>
      </c>
      <c r="AE131" s="54"/>
      <c r="AF131" s="54"/>
      <c r="AG131" s="54"/>
      <c r="AH131" s="58"/>
      <c r="AI131" s="55" t="n">
        <v>1</v>
      </c>
      <c r="AJ131" s="54" t="s">
        <v>216</v>
      </c>
      <c r="AK131" s="54" t="s">
        <v>212</v>
      </c>
    </row>
    <row r="132" customFormat="false" ht="15" hidden="false" customHeight="false" outlineLevel="0" collapsed="false">
      <c r="A132" s="54" t="s">
        <v>27</v>
      </c>
      <c r="B132" s="55" t="n">
        <v>330</v>
      </c>
      <c r="C132" s="54" t="s">
        <v>127</v>
      </c>
      <c r="D132" s="54" t="s">
        <v>212</v>
      </c>
      <c r="E132" s="54"/>
      <c r="F132" s="56" t="n">
        <v>46300.8830181482</v>
      </c>
      <c r="G132" s="54" t="s">
        <v>212</v>
      </c>
      <c r="H132" s="54" t="s">
        <v>214</v>
      </c>
      <c r="I132" s="57"/>
      <c r="J132" s="56"/>
      <c r="K132" s="56"/>
      <c r="L132" s="58" t="str">
        <f aca="false">IF(AND(ISNUMBER(J132),ISNUMBER(K132)),IF(K132&gt;=J132,(K132-J132)*1440,""),"")</f>
        <v/>
      </c>
      <c r="M132" s="56"/>
      <c r="N132" s="58" t="str">
        <f aca="false">IF(AND(ISNUMBER(J132),ISNUMBER(M132)),IF(M132&gt;=J132,(M132-J132)*1440,""),"")</f>
        <v/>
      </c>
      <c r="O132" s="54" t="str">
        <f aca="false">IF(N132="","",LOOKUP(N132,Tiempos!$A$6:$A$10,Tiempos!$B$6:$B$10))</f>
        <v/>
      </c>
      <c r="P132" s="54"/>
      <c r="Q132" s="54"/>
      <c r="R132" s="54"/>
      <c r="S132" s="54"/>
      <c r="T132" s="58"/>
      <c r="U132" s="54"/>
      <c r="V132" s="58"/>
      <c r="W132" s="57"/>
      <c r="X132" s="55"/>
      <c r="Y132" s="54"/>
      <c r="Z132" s="56"/>
      <c r="AA132" s="58" t="str">
        <f aca="false">IF(AND(ISNUMBER(M132),ISNUMBER(Z132)),IF(Z132&gt;=M132,(Z132-M132)*1440,""),"")</f>
        <v/>
      </c>
      <c r="AB132" s="57"/>
      <c r="AC132" s="56"/>
      <c r="AD132" s="58" t="str">
        <f aca="false">IF(AND(ISNUMBER(Z132),ISNUMBER(AC132)),IF(AC132&gt;=Z132,(AC132-Z132)*1440,""),"")</f>
        <v/>
      </c>
      <c r="AE132" s="54"/>
      <c r="AF132" s="54"/>
      <c r="AG132" s="54"/>
      <c r="AH132" s="58"/>
      <c r="AI132" s="55" t="n">
        <v>3</v>
      </c>
      <c r="AJ132" s="54" t="s">
        <v>216</v>
      </c>
      <c r="AK132" s="54" t="s">
        <v>212</v>
      </c>
    </row>
    <row r="133" customFormat="false" ht="15" hidden="false" customHeight="false" outlineLevel="0" collapsed="false">
      <c r="A133" s="54" t="s">
        <v>27</v>
      </c>
      <c r="B133" s="55" t="n">
        <v>336</v>
      </c>
      <c r="C133" s="54" t="s">
        <v>128</v>
      </c>
      <c r="D133" s="54" t="s">
        <v>212</v>
      </c>
      <c r="E133" s="54"/>
      <c r="F133" s="56" t="n">
        <v>46300.9031839699</v>
      </c>
      <c r="G133" s="54" t="s">
        <v>212</v>
      </c>
      <c r="H133" s="54" t="s">
        <v>214</v>
      </c>
      <c r="I133" s="57"/>
      <c r="J133" s="56"/>
      <c r="K133" s="56"/>
      <c r="L133" s="58" t="str">
        <f aca="false">IF(AND(ISNUMBER(J133),ISNUMBER(K133)),IF(K133&gt;=J133,(K133-J133)*1440,""),"")</f>
        <v/>
      </c>
      <c r="M133" s="56"/>
      <c r="N133" s="58" t="str">
        <f aca="false">IF(AND(ISNUMBER(J133),ISNUMBER(M133)),IF(M133&gt;=J133,(M133-J133)*1440,""),"")</f>
        <v/>
      </c>
      <c r="O133" s="54" t="str">
        <f aca="false">IF(N133="","",LOOKUP(N133,Tiempos!$A$6:$A$10,Tiempos!$B$6:$B$10))</f>
        <v/>
      </c>
      <c r="P133" s="54"/>
      <c r="Q133" s="54"/>
      <c r="R133" s="54"/>
      <c r="S133" s="54"/>
      <c r="T133" s="58"/>
      <c r="U133" s="54"/>
      <c r="V133" s="58"/>
      <c r="W133" s="57"/>
      <c r="X133" s="55"/>
      <c r="Y133" s="54"/>
      <c r="Z133" s="56"/>
      <c r="AA133" s="58" t="str">
        <f aca="false">IF(AND(ISNUMBER(M133),ISNUMBER(Z133)),IF(Z133&gt;=M133,(Z133-M133)*1440,""),"")</f>
        <v/>
      </c>
      <c r="AB133" s="57"/>
      <c r="AC133" s="56"/>
      <c r="AD133" s="58" t="str">
        <f aca="false">IF(AND(ISNUMBER(Z133),ISNUMBER(AC133)),IF(AC133&gt;=Z133,(AC133-Z133)*1440,""),"")</f>
        <v/>
      </c>
      <c r="AE133" s="54"/>
      <c r="AF133" s="54"/>
      <c r="AG133" s="54"/>
      <c r="AH133" s="58"/>
      <c r="AI133" s="55" t="n">
        <v>2</v>
      </c>
      <c r="AJ133" s="54" t="s">
        <v>216</v>
      </c>
      <c r="AK133" s="54" t="s">
        <v>212</v>
      </c>
    </row>
    <row r="134" customFormat="false" ht="15" hidden="false" customHeight="false" outlineLevel="0" collapsed="false">
      <c r="A134" s="54" t="s">
        <v>27</v>
      </c>
      <c r="B134" s="55" t="n">
        <v>331</v>
      </c>
      <c r="C134" s="54" t="s">
        <v>127</v>
      </c>
      <c r="D134" s="54" t="s">
        <v>212</v>
      </c>
      <c r="E134" s="54"/>
      <c r="F134" s="56" t="n">
        <v>46300.9048352894</v>
      </c>
      <c r="G134" s="54" t="s">
        <v>212</v>
      </c>
      <c r="H134" s="54" t="s">
        <v>214</v>
      </c>
      <c r="I134" s="57"/>
      <c r="J134" s="56"/>
      <c r="K134" s="56"/>
      <c r="L134" s="58" t="str">
        <f aca="false">IF(AND(ISNUMBER(J134),ISNUMBER(K134)),IF(K134&gt;=J134,(K134-J134)*1440,""),"")</f>
        <v/>
      </c>
      <c r="M134" s="56"/>
      <c r="N134" s="58" t="str">
        <f aca="false">IF(AND(ISNUMBER(J134),ISNUMBER(M134)),IF(M134&gt;=J134,(M134-J134)*1440,""),"")</f>
        <v/>
      </c>
      <c r="O134" s="54" t="str">
        <f aca="false">IF(N134="","",LOOKUP(N134,Tiempos!$A$6:$A$10,Tiempos!$B$6:$B$10))</f>
        <v/>
      </c>
      <c r="P134" s="54"/>
      <c r="Q134" s="54"/>
      <c r="R134" s="54"/>
      <c r="S134" s="54"/>
      <c r="T134" s="58"/>
      <c r="U134" s="54"/>
      <c r="V134" s="58"/>
      <c r="W134" s="57"/>
      <c r="X134" s="55"/>
      <c r="Y134" s="54"/>
      <c r="Z134" s="56"/>
      <c r="AA134" s="58" t="str">
        <f aca="false">IF(AND(ISNUMBER(M134),ISNUMBER(Z134)),IF(Z134&gt;=M134,(Z134-M134)*1440,""),"")</f>
        <v/>
      </c>
      <c r="AB134" s="57"/>
      <c r="AC134" s="56"/>
      <c r="AD134" s="58" t="str">
        <f aca="false">IF(AND(ISNUMBER(Z134),ISNUMBER(AC134)),IF(AC134&gt;=Z134,(AC134-Z134)*1440,""),"")</f>
        <v/>
      </c>
      <c r="AE134" s="54"/>
      <c r="AF134" s="54"/>
      <c r="AG134" s="54"/>
      <c r="AH134" s="58"/>
      <c r="AI134" s="55" t="n">
        <v>1</v>
      </c>
      <c r="AJ134" s="54" t="s">
        <v>216</v>
      </c>
      <c r="AK134" s="54" t="s">
        <v>212</v>
      </c>
    </row>
    <row r="135" customFormat="false" ht="15" hidden="false" customHeight="false" outlineLevel="0" collapsed="false">
      <c r="A135" s="54" t="s">
        <v>27</v>
      </c>
      <c r="B135" s="55" t="n">
        <v>334</v>
      </c>
      <c r="C135" s="54" t="s">
        <v>127</v>
      </c>
      <c r="D135" s="54" t="s">
        <v>212</v>
      </c>
      <c r="E135" s="54"/>
      <c r="F135" s="56" t="n">
        <v>46300.9197287732</v>
      </c>
      <c r="G135" s="54" t="s">
        <v>214</v>
      </c>
      <c r="H135" s="54" t="s">
        <v>214</v>
      </c>
      <c r="I135" s="57"/>
      <c r="J135" s="56"/>
      <c r="K135" s="56"/>
      <c r="L135" s="58" t="str">
        <f aca="false">IF(AND(ISNUMBER(J135),ISNUMBER(K135)),IF(K135&gt;=J135,(K135-J135)*1440,""),"")</f>
        <v/>
      </c>
      <c r="M135" s="56"/>
      <c r="N135" s="58" t="str">
        <f aca="false">IF(AND(ISNUMBER(J135),ISNUMBER(M135)),IF(M135&gt;=J135,(M135-J135)*1440,""),"")</f>
        <v/>
      </c>
      <c r="O135" s="54" t="str">
        <f aca="false">IF(N135="","",LOOKUP(N135,Tiempos!$A$6:$A$10,Tiempos!$B$6:$B$10))</f>
        <v/>
      </c>
      <c r="P135" s="54"/>
      <c r="Q135" s="54"/>
      <c r="R135" s="54"/>
      <c r="S135" s="54"/>
      <c r="T135" s="58"/>
      <c r="U135" s="54"/>
      <c r="V135" s="58"/>
      <c r="W135" s="57"/>
      <c r="X135" s="55"/>
      <c r="Y135" s="54"/>
      <c r="Z135" s="56"/>
      <c r="AA135" s="58" t="str">
        <f aca="false">IF(AND(ISNUMBER(M135),ISNUMBER(Z135)),IF(Z135&gt;=M135,(Z135-M135)*1440,""),"")</f>
        <v/>
      </c>
      <c r="AB135" s="57"/>
      <c r="AC135" s="56"/>
      <c r="AD135" s="58" t="str">
        <f aca="false">IF(AND(ISNUMBER(Z135),ISNUMBER(AC135)),IF(AC135&gt;=Z135,(AC135-Z135)*1440,""),"")</f>
        <v/>
      </c>
      <c r="AE135" s="54"/>
      <c r="AF135" s="54"/>
      <c r="AG135" s="54"/>
      <c r="AH135" s="58"/>
      <c r="AI135" s="55" t="n">
        <v>1</v>
      </c>
      <c r="AJ135" s="54" t="s">
        <v>216</v>
      </c>
      <c r="AK135" s="54" t="s">
        <v>212</v>
      </c>
    </row>
    <row r="136" customFormat="false" ht="15" hidden="false" customHeight="false" outlineLevel="0" collapsed="false">
      <c r="A136" s="54" t="s">
        <v>27</v>
      </c>
      <c r="B136" s="55" t="n">
        <v>335</v>
      </c>
      <c r="C136" s="54" t="s">
        <v>127</v>
      </c>
      <c r="D136" s="54" t="s">
        <v>212</v>
      </c>
      <c r="E136" s="54"/>
      <c r="F136" s="56" t="n">
        <v>46300.9228157639</v>
      </c>
      <c r="G136" s="54" t="s">
        <v>214</v>
      </c>
      <c r="H136" s="54" t="s">
        <v>214</v>
      </c>
      <c r="I136" s="57"/>
      <c r="J136" s="56"/>
      <c r="K136" s="56"/>
      <c r="L136" s="58" t="str">
        <f aca="false">IF(AND(ISNUMBER(J136),ISNUMBER(K136)),IF(K136&gt;=J136,(K136-J136)*1440,""),"")</f>
        <v/>
      </c>
      <c r="M136" s="56"/>
      <c r="N136" s="58" t="str">
        <f aca="false">IF(AND(ISNUMBER(J136),ISNUMBER(M136)),IF(M136&gt;=J136,(M136-J136)*1440,""),"")</f>
        <v/>
      </c>
      <c r="O136" s="54" t="str">
        <f aca="false">IF(N136="","",LOOKUP(N136,Tiempos!$A$6:$A$10,Tiempos!$B$6:$B$10))</f>
        <v/>
      </c>
      <c r="P136" s="54"/>
      <c r="Q136" s="54"/>
      <c r="R136" s="54"/>
      <c r="S136" s="54"/>
      <c r="T136" s="58"/>
      <c r="U136" s="54"/>
      <c r="V136" s="58"/>
      <c r="W136" s="57"/>
      <c r="X136" s="55"/>
      <c r="Y136" s="54"/>
      <c r="Z136" s="56"/>
      <c r="AA136" s="58" t="str">
        <f aca="false">IF(AND(ISNUMBER(M136),ISNUMBER(Z136)),IF(Z136&gt;=M136,(Z136-M136)*1440,""),"")</f>
        <v/>
      </c>
      <c r="AB136" s="57"/>
      <c r="AC136" s="56"/>
      <c r="AD136" s="58" t="str">
        <f aca="false">IF(AND(ISNUMBER(Z136),ISNUMBER(AC136)),IF(AC136&gt;=Z136,(AC136-Z136)*1440,""),"")</f>
        <v/>
      </c>
      <c r="AE136" s="54"/>
      <c r="AF136" s="54"/>
      <c r="AG136" s="54"/>
      <c r="AH136" s="58"/>
      <c r="AI136" s="55" t="n">
        <v>1</v>
      </c>
      <c r="AJ136" s="54" t="s">
        <v>216</v>
      </c>
      <c r="AK136" s="54" t="s">
        <v>212</v>
      </c>
    </row>
    <row r="137" customFormat="false" ht="15" hidden="false" customHeight="false" outlineLevel="0" collapsed="false">
      <c r="A137" s="54" t="s">
        <v>27</v>
      </c>
      <c r="B137" s="55" t="n">
        <v>342</v>
      </c>
      <c r="C137" s="54" t="s">
        <v>127</v>
      </c>
      <c r="D137" s="54" t="s">
        <v>212</v>
      </c>
      <c r="E137" s="54"/>
      <c r="F137" s="56" t="n">
        <v>46301.0003228357</v>
      </c>
      <c r="G137" s="54" t="s">
        <v>214</v>
      </c>
      <c r="H137" s="54" t="s">
        <v>212</v>
      </c>
      <c r="I137" s="57"/>
      <c r="J137" s="56"/>
      <c r="K137" s="56"/>
      <c r="L137" s="58" t="str">
        <f aca="false">IF(AND(ISNUMBER(J137),ISNUMBER(K137)),IF(K137&gt;=J137,(K137-J137)*1440,""),"")</f>
        <v/>
      </c>
      <c r="M137" s="56"/>
      <c r="N137" s="58" t="str">
        <f aca="false">IF(AND(ISNUMBER(J137),ISNUMBER(M137)),IF(M137&gt;=J137,(M137-J137)*1440,""),"")</f>
        <v/>
      </c>
      <c r="O137" s="54" t="str">
        <f aca="false">IF(N137="","",LOOKUP(N137,Tiempos!$A$6:$A$10,Tiempos!$B$6:$B$10))</f>
        <v/>
      </c>
      <c r="P137" s="54"/>
      <c r="Q137" s="54"/>
      <c r="R137" s="54"/>
      <c r="S137" s="54"/>
      <c r="T137" s="58"/>
      <c r="U137" s="54"/>
      <c r="V137" s="58"/>
      <c r="W137" s="57"/>
      <c r="X137" s="55"/>
      <c r="Y137" s="54"/>
      <c r="Z137" s="56"/>
      <c r="AA137" s="58" t="str">
        <f aca="false">IF(AND(ISNUMBER(M137),ISNUMBER(Z137)),IF(Z137&gt;=M137,(Z137-M137)*1440,""),"")</f>
        <v/>
      </c>
      <c r="AB137" s="57"/>
      <c r="AC137" s="56"/>
      <c r="AD137" s="58" t="str">
        <f aca="false">IF(AND(ISNUMBER(Z137),ISNUMBER(AC137)),IF(AC137&gt;=Z137,(AC137-Z137)*1440,""),"")</f>
        <v/>
      </c>
      <c r="AE137" s="54"/>
      <c r="AF137" s="54"/>
      <c r="AG137" s="54"/>
      <c r="AH137" s="58"/>
      <c r="AI137" s="55" t="n">
        <v>1</v>
      </c>
      <c r="AJ137" s="54" t="s">
        <v>216</v>
      </c>
      <c r="AK137" s="54" t="s">
        <v>212</v>
      </c>
    </row>
    <row r="138" customFormat="false" ht="15" hidden="false" customHeight="false" outlineLevel="0" collapsed="false">
      <c r="A138" s="54" t="s">
        <v>27</v>
      </c>
      <c r="B138" s="55" t="n">
        <v>348</v>
      </c>
      <c r="C138" s="54" t="s">
        <v>127</v>
      </c>
      <c r="D138" s="54" t="s">
        <v>214</v>
      </c>
      <c r="E138" s="54" t="s">
        <v>233</v>
      </c>
      <c r="F138" s="56" t="n">
        <v>46301.3257227778</v>
      </c>
      <c r="G138" s="54" t="s">
        <v>214</v>
      </c>
      <c r="H138" s="54" t="s">
        <v>214</v>
      </c>
      <c r="I138" s="57" t="s">
        <v>364</v>
      </c>
      <c r="J138" s="56" t="n">
        <v>46301.3394710995</v>
      </c>
      <c r="K138" s="56" t="n">
        <v>46301.3417799769</v>
      </c>
      <c r="L138" s="58" t="n">
        <f aca="false">IF(AND(ISNUMBER(J138),ISNUMBER(K138)),IF(K138&gt;=J138,(K138-J138)*1440,""),"")</f>
        <v>3.32478334545</v>
      </c>
      <c r="M138" s="56" t="n">
        <v>46301.345327963</v>
      </c>
      <c r="N138" s="58" t="n">
        <f aca="false">IF(AND(ISNUMBER(J138),ISNUMBER(M138)),IF(M138&gt;=J138,(M138-J138)*1440,""),"")</f>
        <v>8.43388334498333</v>
      </c>
      <c r="O138" s="54" t="str">
        <f aca="false">IF(N138="","",LOOKUP(N138,Tiempos!$A$6:$A$10,Tiempos!$B$6:$B$10))</f>
        <v>6 a 10 min</v>
      </c>
      <c r="P138" s="54" t="s">
        <v>229</v>
      </c>
      <c r="Q138" s="54" t="s">
        <v>214</v>
      </c>
      <c r="R138" s="54" t="s">
        <v>130</v>
      </c>
      <c r="S138" s="54" t="s">
        <v>215</v>
      </c>
      <c r="T138" s="58" t="n">
        <v>108.3</v>
      </c>
      <c r="U138" s="54" t="s">
        <v>214</v>
      </c>
      <c r="V138" s="58" t="n">
        <v>5.11</v>
      </c>
      <c r="W138" s="57" t="s">
        <v>235</v>
      </c>
      <c r="X138" s="55" t="n">
        <v>2</v>
      </c>
      <c r="Y138" s="54" t="s">
        <v>214</v>
      </c>
      <c r="Z138" s="56" t="n">
        <v>46301.5051321528</v>
      </c>
      <c r="AA138" s="58" t="n">
        <f aca="false">IF(AND(ISNUMBER(M138),ISNUMBER(Z138)),IF(Z138&gt;=M138,(Z138-M138)*1440,""),"")</f>
        <v>230.118033337633</v>
      </c>
      <c r="AB138" s="57" t="s">
        <v>365</v>
      </c>
      <c r="AC138" s="56" t="n">
        <v>46301.5066933449</v>
      </c>
      <c r="AD138" s="58" t="n">
        <f aca="false">IF(AND(ISNUMBER(Z138),ISNUMBER(AC138)),IF(AC138&gt;=Z138,(AC138-Z138)*1440,""),"")</f>
        <v>2.24811667226667</v>
      </c>
      <c r="AE138" s="54" t="s">
        <v>366</v>
      </c>
      <c r="AF138" s="54" t="s">
        <v>214</v>
      </c>
      <c r="AG138" s="54" t="s">
        <v>212</v>
      </c>
      <c r="AH138" s="58"/>
      <c r="AI138" s="55" t="n">
        <v>2</v>
      </c>
      <c r="AJ138" s="54" t="s">
        <v>216</v>
      </c>
      <c r="AK138" s="54" t="s">
        <v>212</v>
      </c>
    </row>
    <row r="139" customFormat="false" ht="15" hidden="false" customHeight="false" outlineLevel="0" collapsed="false">
      <c r="A139" s="54" t="s">
        <v>27</v>
      </c>
      <c r="B139" s="55" t="n">
        <v>350</v>
      </c>
      <c r="C139" s="54" t="s">
        <v>127</v>
      </c>
      <c r="D139" s="54" t="s">
        <v>214</v>
      </c>
      <c r="E139" s="54" t="s">
        <v>224</v>
      </c>
      <c r="F139" s="56" t="n">
        <v>46301.3489793866</v>
      </c>
      <c r="G139" s="54" t="s">
        <v>212</v>
      </c>
      <c r="H139" s="54" t="s">
        <v>214</v>
      </c>
      <c r="I139" s="57" t="s">
        <v>367</v>
      </c>
      <c r="J139" s="56" t="n">
        <v>46301.3561891204</v>
      </c>
      <c r="K139" s="56" t="n">
        <v>46301.3566526736</v>
      </c>
      <c r="L139" s="58" t="n">
        <f aca="false">IF(AND(ISNUMBER(J139),ISNUMBER(K139)),IF(K139&gt;=J139,(K139-J139)*1440,""),"")</f>
        <v>0.667516663666667</v>
      </c>
      <c r="M139" s="56" t="n">
        <v>46301.3597209259</v>
      </c>
      <c r="N139" s="58" t="n">
        <f aca="false">IF(AND(ISNUMBER(J139),ISNUMBER(M139)),IF(M139&gt;=J139,(M139-J139)*1440,""),"")</f>
        <v>5.08579998508333</v>
      </c>
      <c r="O139" s="54" t="str">
        <f aca="false">IF(N139="","",LOOKUP(N139,Tiempos!$A$6:$A$10,Tiempos!$B$6:$B$10))</f>
        <v>4 a 6 min</v>
      </c>
      <c r="P139" s="54" t="s">
        <v>229</v>
      </c>
      <c r="Q139" s="54" t="s">
        <v>214</v>
      </c>
      <c r="R139" s="54" t="s">
        <v>130</v>
      </c>
      <c r="S139" s="54" t="s">
        <v>215</v>
      </c>
      <c r="T139" s="58" t="n">
        <v>108.6</v>
      </c>
      <c r="U139" s="54" t="s">
        <v>214</v>
      </c>
      <c r="V139" s="58" t="n">
        <v>4.42</v>
      </c>
      <c r="W139" s="57" t="s">
        <v>368</v>
      </c>
      <c r="X139" s="55" t="n">
        <v>2</v>
      </c>
      <c r="Y139" s="54" t="s">
        <v>214</v>
      </c>
      <c r="Z139" s="56" t="n">
        <v>46301.3634569792</v>
      </c>
      <c r="AA139" s="58" t="n">
        <f aca="false">IF(AND(ISNUMBER(M139),ISNUMBER(Z139)),IF(Z139&gt;=M139,(Z139-M139)*1440,""),"")</f>
        <v>5.37991668213333</v>
      </c>
      <c r="AB139" s="57" t="s">
        <v>369</v>
      </c>
      <c r="AC139" s="56" t="n">
        <v>46301.3640459144</v>
      </c>
      <c r="AD139" s="58" t="n">
        <f aca="false">IF(AND(ISNUMBER(Z139),ISNUMBER(AC139)),IF(AC139&gt;=Z139,(AC139-Z139)*1440,""),"")</f>
        <v>0.848066661266667</v>
      </c>
      <c r="AE139" s="54" t="s">
        <v>247</v>
      </c>
      <c r="AF139" s="54" t="s">
        <v>212</v>
      </c>
      <c r="AG139" s="54" t="s">
        <v>212</v>
      </c>
      <c r="AH139" s="58"/>
      <c r="AI139" s="55" t="n">
        <v>1</v>
      </c>
      <c r="AJ139" s="54" t="s">
        <v>216</v>
      </c>
      <c r="AK139" s="54" t="s">
        <v>212</v>
      </c>
    </row>
    <row r="140" customFormat="false" ht="15" hidden="false" customHeight="false" outlineLevel="0" collapsed="false">
      <c r="A140" s="54" t="s">
        <v>27</v>
      </c>
      <c r="B140" s="55" t="n">
        <v>357</v>
      </c>
      <c r="C140" s="54" t="s">
        <v>127</v>
      </c>
      <c r="D140" s="54" t="s">
        <v>212</v>
      </c>
      <c r="E140" s="54"/>
      <c r="F140" s="56" t="n">
        <v>46301.3546454861</v>
      </c>
      <c r="G140" s="54" t="s">
        <v>212</v>
      </c>
      <c r="H140" s="54" t="s">
        <v>214</v>
      </c>
      <c r="I140" s="57"/>
      <c r="J140" s="56"/>
      <c r="K140" s="56"/>
      <c r="L140" s="58" t="str">
        <f aca="false">IF(AND(ISNUMBER(J140),ISNUMBER(K140)),IF(K140&gt;=J140,(K140-J140)*1440,""),"")</f>
        <v/>
      </c>
      <c r="M140" s="56"/>
      <c r="N140" s="58" t="str">
        <f aca="false">IF(AND(ISNUMBER(J140),ISNUMBER(M140)),IF(M140&gt;=J140,(M140-J140)*1440,""),"")</f>
        <v/>
      </c>
      <c r="O140" s="54" t="str">
        <f aca="false">IF(N140="","",LOOKUP(N140,Tiempos!$A$6:$A$10,Tiempos!$B$6:$B$10))</f>
        <v/>
      </c>
      <c r="P140" s="54"/>
      <c r="Q140" s="54"/>
      <c r="R140" s="54"/>
      <c r="S140" s="54"/>
      <c r="T140" s="58"/>
      <c r="U140" s="54"/>
      <c r="V140" s="58"/>
      <c r="W140" s="57"/>
      <c r="X140" s="55"/>
      <c r="Y140" s="54"/>
      <c r="Z140" s="56"/>
      <c r="AA140" s="58" t="str">
        <f aca="false">IF(AND(ISNUMBER(M140),ISNUMBER(Z140)),IF(Z140&gt;=M140,(Z140-M140)*1440,""),"")</f>
        <v/>
      </c>
      <c r="AB140" s="57"/>
      <c r="AC140" s="56"/>
      <c r="AD140" s="58" t="str">
        <f aca="false">IF(AND(ISNUMBER(Z140),ISNUMBER(AC140)),IF(AC140&gt;=Z140,(AC140-Z140)*1440,""),"")</f>
        <v/>
      </c>
      <c r="AE140" s="54"/>
      <c r="AF140" s="54"/>
      <c r="AG140" s="54"/>
      <c r="AH140" s="58"/>
      <c r="AI140" s="55" t="n">
        <v>2</v>
      </c>
      <c r="AJ140" s="54" t="s">
        <v>216</v>
      </c>
      <c r="AK140" s="54" t="s">
        <v>212</v>
      </c>
    </row>
    <row r="141" customFormat="false" ht="15" hidden="false" customHeight="false" outlineLevel="0" collapsed="false">
      <c r="A141" s="54" t="s">
        <v>27</v>
      </c>
      <c r="B141" s="55" t="n">
        <v>359</v>
      </c>
      <c r="C141" s="54" t="s">
        <v>127</v>
      </c>
      <c r="D141" s="54" t="s">
        <v>214</v>
      </c>
      <c r="E141" s="54" t="s">
        <v>242</v>
      </c>
      <c r="F141" s="56" t="n">
        <v>46301.3770744907</v>
      </c>
      <c r="G141" s="54" t="s">
        <v>212</v>
      </c>
      <c r="H141" s="54" t="s">
        <v>214</v>
      </c>
      <c r="I141" s="57" t="s">
        <v>370</v>
      </c>
      <c r="J141" s="56" t="n">
        <v>46301.3784844792</v>
      </c>
      <c r="K141" s="56" t="n">
        <v>46301.3811883912</v>
      </c>
      <c r="L141" s="58" t="n">
        <f aca="false">IF(AND(ISNUMBER(J141),ISNUMBER(K141)),IF(K141&gt;=J141,(K141-J141)*1440,""),"")</f>
        <v>3.89363333698333</v>
      </c>
      <c r="M141" s="56" t="n">
        <v>46301.3893119676</v>
      </c>
      <c r="N141" s="58" t="n">
        <f aca="false">IF(AND(ISNUMBER(J141),ISNUMBER(M141)),IF(M141&gt;=J141,(M141-J141)*1440,""),"")</f>
        <v>15.59158332295</v>
      </c>
      <c r="O141" s="54" t="str">
        <f aca="false">IF(N141="","",LOOKUP(N141,Tiempos!$A$6:$A$10,Tiempos!$B$6:$B$10))</f>
        <v>10 a 30 min</v>
      </c>
      <c r="P141" s="54" t="s">
        <v>229</v>
      </c>
      <c r="Q141" s="54" t="s">
        <v>214</v>
      </c>
      <c r="R141" s="54" t="s">
        <v>127</v>
      </c>
      <c r="S141" s="54" t="s">
        <v>220</v>
      </c>
      <c r="T141" s="58" t="n">
        <v>103.4</v>
      </c>
      <c r="U141" s="54" t="s">
        <v>214</v>
      </c>
      <c r="V141" s="58" t="n">
        <v>3.75</v>
      </c>
      <c r="W141" s="57" t="s">
        <v>371</v>
      </c>
      <c r="X141" s="55" t="n">
        <v>2</v>
      </c>
      <c r="Y141" s="54" t="s">
        <v>214</v>
      </c>
      <c r="Z141" s="56" t="n">
        <v>46301.438283912</v>
      </c>
      <c r="AA141" s="58" t="n">
        <f aca="false">IF(AND(ISNUMBER(M141),ISNUMBER(Z141)),IF(Z141&gt;=M141,(Z141-M141)*1440,""),"")</f>
        <v>70.5196000006833</v>
      </c>
      <c r="AB141" s="57" t="s">
        <v>372</v>
      </c>
      <c r="AC141" s="56" t="n">
        <v>46301.4404282176</v>
      </c>
      <c r="AD141" s="58" t="n">
        <f aca="false">IF(AND(ISNUMBER(Z141),ISNUMBER(AC141)),IF(AC141&gt;=Z141,(AC141-Z141)*1440,""),"")</f>
        <v>3.08779999496667</v>
      </c>
      <c r="AE141" s="54" t="s">
        <v>346</v>
      </c>
      <c r="AF141" s="54" t="s">
        <v>214</v>
      </c>
      <c r="AG141" s="54" t="s">
        <v>214</v>
      </c>
      <c r="AH141" s="58" t="n">
        <v>3.1</v>
      </c>
      <c r="AI141" s="55" t="n">
        <v>2</v>
      </c>
      <c r="AJ141" s="54" t="s">
        <v>216</v>
      </c>
      <c r="AK141" s="54" t="s">
        <v>212</v>
      </c>
    </row>
    <row r="142" customFormat="false" ht="15" hidden="false" customHeight="false" outlineLevel="0" collapsed="false">
      <c r="A142" s="54" t="s">
        <v>27</v>
      </c>
      <c r="B142" s="55" t="n">
        <v>366</v>
      </c>
      <c r="C142" s="54" t="s">
        <v>127</v>
      </c>
      <c r="D142" s="54" t="s">
        <v>214</v>
      </c>
      <c r="E142" s="54" t="s">
        <v>217</v>
      </c>
      <c r="F142" s="56" t="n">
        <v>46301.4421982292</v>
      </c>
      <c r="G142" s="54" t="s">
        <v>212</v>
      </c>
      <c r="H142" s="54" t="s">
        <v>214</v>
      </c>
      <c r="I142" s="57" t="s">
        <v>373</v>
      </c>
      <c r="J142" s="56" t="n">
        <v>46301.4425270255</v>
      </c>
      <c r="K142" s="56" t="n">
        <v>46301.446723588</v>
      </c>
      <c r="L142" s="58" t="n">
        <f aca="false">IF(AND(ISNUMBER(J142),ISNUMBER(K142)),IF(K142&gt;=J142,(K142-J142)*1440,""),"")</f>
        <v>6.04304997715</v>
      </c>
      <c r="M142" s="56" t="n">
        <v>46301.4502052546</v>
      </c>
      <c r="N142" s="58" t="n">
        <f aca="false">IF(AND(ISNUMBER(J142),ISNUMBER(M142)),IF(M142&gt;=J142,(M142-J142)*1440,""),"")</f>
        <v>11.0566499875833</v>
      </c>
      <c r="O142" s="54" t="str">
        <f aca="false">IF(N142="","",LOOKUP(N142,Tiempos!$A$6:$A$10,Tiempos!$B$6:$B$10))</f>
        <v>10 a 30 min</v>
      </c>
      <c r="P142" s="54" t="s">
        <v>229</v>
      </c>
      <c r="Q142" s="54" t="s">
        <v>214</v>
      </c>
      <c r="R142" s="54" t="s">
        <v>130</v>
      </c>
      <c r="S142" s="54" t="s">
        <v>215</v>
      </c>
      <c r="T142" s="58" t="n">
        <v>117.4</v>
      </c>
      <c r="U142" s="54" t="s">
        <v>214</v>
      </c>
      <c r="V142" s="58" t="n">
        <v>5.01</v>
      </c>
      <c r="W142" s="57" t="s">
        <v>374</v>
      </c>
      <c r="X142" s="55" t="n">
        <v>2</v>
      </c>
      <c r="Y142" s="54" t="s">
        <v>214</v>
      </c>
      <c r="Z142" s="56" t="n">
        <v>46301.4505127431</v>
      </c>
      <c r="AA142" s="58" t="n">
        <f aca="false">IF(AND(ISNUMBER(M142),ISNUMBER(Z142)),IF(Z142&gt;=M142,(Z142-M142)*1440,""),"")</f>
        <v>0.442783328466667</v>
      </c>
      <c r="AB142" s="57" t="s">
        <v>375</v>
      </c>
      <c r="AC142" s="56" t="n">
        <v>46301.4506245023</v>
      </c>
      <c r="AD142" s="58" t="n">
        <f aca="false">IF(AND(ISNUMBER(Z142),ISNUMBER(AC142)),IF(AC142&gt;=Z142,(AC142-Z142)*1440,""),"")</f>
        <v>0.160933326683333</v>
      </c>
      <c r="AE142" s="54" t="s">
        <v>346</v>
      </c>
      <c r="AF142" s="54" t="s">
        <v>214</v>
      </c>
      <c r="AG142" s="54" t="s">
        <v>214</v>
      </c>
      <c r="AH142" s="58" t="n">
        <v>0.1</v>
      </c>
      <c r="AI142" s="55" t="n">
        <v>4</v>
      </c>
      <c r="AJ142" s="54" t="s">
        <v>347</v>
      </c>
      <c r="AK142" s="54" t="s">
        <v>212</v>
      </c>
    </row>
    <row r="143" customFormat="false" ht="15" hidden="false" customHeight="false" outlineLevel="0" collapsed="false">
      <c r="A143" s="54" t="s">
        <v>27</v>
      </c>
      <c r="B143" s="55" t="n">
        <v>367</v>
      </c>
      <c r="C143" s="54" t="s">
        <v>127</v>
      </c>
      <c r="D143" s="54" t="s">
        <v>214</v>
      </c>
      <c r="E143" s="54" t="s">
        <v>233</v>
      </c>
      <c r="F143" s="56" t="n">
        <v>46301.4471674421</v>
      </c>
      <c r="G143" s="54" t="s">
        <v>212</v>
      </c>
      <c r="H143" s="54" t="s">
        <v>214</v>
      </c>
      <c r="I143" s="57" t="s">
        <v>376</v>
      </c>
      <c r="J143" s="56" t="n">
        <v>46301.4492632292</v>
      </c>
      <c r="K143" s="56" t="n">
        <v>46301.4541326157</v>
      </c>
      <c r="L143" s="58" t="n">
        <f aca="false">IF(AND(ISNUMBER(J143),ISNUMBER(K143)),IF(K143&gt;=J143,(K143-J143)*1440,""),"")</f>
        <v>7.01191665836667</v>
      </c>
      <c r="M143" s="56" t="n">
        <v>46301.4584608796</v>
      </c>
      <c r="N143" s="58" t="n">
        <f aca="false">IF(AND(ISNUMBER(J143),ISNUMBER(M143)),IF(M143&gt;=J143,(M143-J143)*1440,""),"")</f>
        <v>13.24461665585</v>
      </c>
      <c r="O143" s="54" t="str">
        <f aca="false">IF(N143="","",LOOKUP(N143,Tiempos!$A$6:$A$10,Tiempos!$B$6:$B$10))</f>
        <v>10 a 30 min</v>
      </c>
      <c r="P143" s="54" t="s">
        <v>229</v>
      </c>
      <c r="Q143" s="54" t="s">
        <v>214</v>
      </c>
      <c r="R143" s="54" t="s">
        <v>130</v>
      </c>
      <c r="S143" s="54" t="s">
        <v>215</v>
      </c>
      <c r="T143" s="58" t="n">
        <v>103.2</v>
      </c>
      <c r="U143" s="54" t="s">
        <v>214</v>
      </c>
      <c r="V143" s="58" t="n">
        <v>6.23</v>
      </c>
      <c r="W143" s="57" t="s">
        <v>235</v>
      </c>
      <c r="X143" s="55" t="n">
        <v>2</v>
      </c>
      <c r="Y143" s="54" t="s">
        <v>214</v>
      </c>
      <c r="Z143" s="56" t="n">
        <v>46301.4807535764</v>
      </c>
      <c r="AA143" s="58" t="n">
        <f aca="false">IF(AND(ISNUMBER(M143),ISNUMBER(Z143)),IF(Z143&gt;=M143,(Z143-M143)*1440,""),"")</f>
        <v>32.1014833368667</v>
      </c>
      <c r="AB143" s="57" t="s">
        <v>377</v>
      </c>
      <c r="AC143" s="56" t="n">
        <v>46301.4819091898</v>
      </c>
      <c r="AD143" s="58" t="n">
        <f aca="false">IF(AND(ISNUMBER(Z143),ISNUMBER(AC143)),IF(AC143&gt;=Z143,(AC143-Z143)*1440,""),"")</f>
        <v>1.66408333461667</v>
      </c>
      <c r="AE143" s="54" t="s">
        <v>346</v>
      </c>
      <c r="AF143" s="54" t="s">
        <v>214</v>
      </c>
      <c r="AG143" s="54" t="s">
        <v>214</v>
      </c>
      <c r="AH143" s="58" t="n">
        <v>1.2</v>
      </c>
      <c r="AI143" s="55" t="n">
        <v>2</v>
      </c>
      <c r="AJ143" s="54" t="s">
        <v>216</v>
      </c>
      <c r="AK143" s="54" t="s">
        <v>212</v>
      </c>
    </row>
    <row r="144" customFormat="false" ht="15" hidden="false" customHeight="false" outlineLevel="0" collapsed="false">
      <c r="A144" s="54" t="s">
        <v>27</v>
      </c>
      <c r="B144" s="55" t="n">
        <v>369</v>
      </c>
      <c r="C144" s="54" t="s">
        <v>127</v>
      </c>
      <c r="D144" s="54" t="s">
        <v>214</v>
      </c>
      <c r="E144" s="54" t="s">
        <v>278</v>
      </c>
      <c r="F144" s="56" t="n">
        <v>46301.4634494676</v>
      </c>
      <c r="G144" s="54" t="s">
        <v>212</v>
      </c>
      <c r="H144" s="54" t="s">
        <v>214</v>
      </c>
      <c r="I144" s="57" t="s">
        <v>378</v>
      </c>
      <c r="J144" s="56" t="n">
        <v>46301.4695465972</v>
      </c>
      <c r="K144" s="56" t="n">
        <v>46301.469709456</v>
      </c>
      <c r="L144" s="58" t="n">
        <f aca="false">IF(AND(ISNUMBER(J144),ISNUMBER(K144)),IF(K144&gt;=J144,(K144-J144)*1440,""),"")</f>
        <v>0.234516650666667</v>
      </c>
      <c r="M144" s="56" t="n">
        <v>46301.4728776042</v>
      </c>
      <c r="N144" s="58" t="n">
        <f aca="false">IF(AND(ISNUMBER(J144),ISNUMBER(M144)),IF(M144&gt;=J144,(M144-J144)*1440,""),"")</f>
        <v>4.79664998476667</v>
      </c>
      <c r="O144" s="54" t="str">
        <f aca="false">IF(N144="","",LOOKUP(N144,Tiempos!$A$6:$A$10,Tiempos!$B$6:$B$10))</f>
        <v>4 a 6 min</v>
      </c>
      <c r="P144" s="54" t="s">
        <v>229</v>
      </c>
      <c r="Q144" s="54" t="s">
        <v>214</v>
      </c>
      <c r="R144" s="54" t="s">
        <v>127</v>
      </c>
      <c r="S144" s="54" t="s">
        <v>220</v>
      </c>
      <c r="T144" s="58" t="n">
        <v>108.8</v>
      </c>
      <c r="U144" s="54" t="s">
        <v>214</v>
      </c>
      <c r="V144" s="58" t="n">
        <v>3.01</v>
      </c>
      <c r="W144" s="57" t="s">
        <v>379</v>
      </c>
      <c r="X144" s="55" t="n">
        <v>2</v>
      </c>
      <c r="Y144" s="54" t="s">
        <v>212</v>
      </c>
      <c r="Z144" s="56"/>
      <c r="AA144" s="58" t="str">
        <f aca="false">IF(AND(ISNUMBER(M144),ISNUMBER(Z144)),IF(Z144&gt;=M144,(Z144-M144)*1440,""),"")</f>
        <v/>
      </c>
      <c r="AB144" s="57"/>
      <c r="AC144" s="56"/>
      <c r="AD144" s="58" t="str">
        <f aca="false">IF(AND(ISNUMBER(Z144),ISNUMBER(AC144)),IF(AC144&gt;=Z144,(AC144-Z144)*1440,""),"")</f>
        <v/>
      </c>
      <c r="AE144" s="54"/>
      <c r="AF144" s="54" t="s">
        <v>214</v>
      </c>
      <c r="AG144" s="54"/>
      <c r="AH144" s="58"/>
      <c r="AI144" s="55" t="n">
        <v>2</v>
      </c>
      <c r="AJ144" s="54" t="s">
        <v>216</v>
      </c>
      <c r="AK144" s="54" t="s">
        <v>212</v>
      </c>
    </row>
    <row r="145" customFormat="false" ht="15" hidden="false" customHeight="false" outlineLevel="0" collapsed="false">
      <c r="A145" s="54" t="s">
        <v>27</v>
      </c>
      <c r="B145" s="55" t="n">
        <v>376</v>
      </c>
      <c r="C145" s="54" t="s">
        <v>127</v>
      </c>
      <c r="D145" s="54" t="s">
        <v>214</v>
      </c>
      <c r="E145" s="54" t="s">
        <v>217</v>
      </c>
      <c r="F145" s="56" t="n">
        <v>46301.4884363542</v>
      </c>
      <c r="G145" s="54" t="s">
        <v>212</v>
      </c>
      <c r="H145" s="54" t="s">
        <v>214</v>
      </c>
      <c r="I145" s="57" t="s">
        <v>380</v>
      </c>
      <c r="J145" s="56" t="n">
        <v>46301.4921797801</v>
      </c>
      <c r="K145" s="56" t="n">
        <v>46301.5005668519</v>
      </c>
      <c r="L145" s="58" t="n">
        <f aca="false">IF(AND(ISNUMBER(J145),ISNUMBER(K145)),IF(K145&gt;=J145,(K145-J145)*1440,""),"")</f>
        <v>12.0773833303167</v>
      </c>
      <c r="M145" s="56" t="n">
        <v>46301.5031084491</v>
      </c>
      <c r="N145" s="58" t="n">
        <f aca="false">IF(AND(ISNUMBER(J145),ISNUMBER(M145)),IF(M145&gt;=J145,(M145-J145)*1440,""),"")</f>
        <v>15.7372833369167</v>
      </c>
      <c r="O145" s="54" t="str">
        <f aca="false">IF(N145="","",LOOKUP(N145,Tiempos!$A$6:$A$10,Tiempos!$B$6:$B$10))</f>
        <v>10 a 30 min</v>
      </c>
      <c r="P145" s="54" t="s">
        <v>229</v>
      </c>
      <c r="Q145" s="54" t="s">
        <v>214</v>
      </c>
      <c r="R145" s="54" t="s">
        <v>127</v>
      </c>
      <c r="S145" s="54" t="s">
        <v>220</v>
      </c>
      <c r="T145" s="58" t="n">
        <v>108.4</v>
      </c>
      <c r="U145" s="54" t="s">
        <v>214</v>
      </c>
      <c r="V145" s="58" t="n">
        <v>3.66</v>
      </c>
      <c r="W145" s="57" t="s">
        <v>381</v>
      </c>
      <c r="X145" s="55" t="n">
        <v>2</v>
      </c>
      <c r="Y145" s="54" t="s">
        <v>212</v>
      </c>
      <c r="Z145" s="56"/>
      <c r="AA145" s="58" t="str">
        <f aca="false">IF(AND(ISNUMBER(M145),ISNUMBER(Z145)),IF(Z145&gt;=M145,(Z145-M145)*1440,""),"")</f>
        <v/>
      </c>
      <c r="AB145" s="57"/>
      <c r="AC145" s="56"/>
      <c r="AD145" s="58" t="str">
        <f aca="false">IF(AND(ISNUMBER(Z145),ISNUMBER(AC145)),IF(AC145&gt;=Z145,(AC145-Z145)*1440,""),"")</f>
        <v/>
      </c>
      <c r="AE145" s="54"/>
      <c r="AF145" s="54" t="s">
        <v>214</v>
      </c>
      <c r="AG145" s="54"/>
      <c r="AH145" s="58"/>
      <c r="AI145" s="55" t="n">
        <v>3</v>
      </c>
      <c r="AJ145" s="54" t="s">
        <v>216</v>
      </c>
      <c r="AK145" s="54" t="s">
        <v>212</v>
      </c>
    </row>
    <row r="146" customFormat="false" ht="15" hidden="false" customHeight="false" outlineLevel="0" collapsed="false">
      <c r="A146" s="54" t="s">
        <v>27</v>
      </c>
      <c r="B146" s="55" t="n">
        <v>378</v>
      </c>
      <c r="C146" s="54" t="s">
        <v>127</v>
      </c>
      <c r="D146" s="54" t="s">
        <v>212</v>
      </c>
      <c r="E146" s="54"/>
      <c r="F146" s="56" t="n">
        <v>46301.5170830324</v>
      </c>
      <c r="G146" s="54" t="s">
        <v>212</v>
      </c>
      <c r="H146" s="54" t="s">
        <v>212</v>
      </c>
      <c r="I146" s="57"/>
      <c r="J146" s="56"/>
      <c r="K146" s="56"/>
      <c r="L146" s="58" t="str">
        <f aca="false">IF(AND(ISNUMBER(J146),ISNUMBER(K146)),IF(K146&gt;=J146,(K146-J146)*1440,""),"")</f>
        <v/>
      </c>
      <c r="M146" s="56"/>
      <c r="N146" s="58" t="str">
        <f aca="false">IF(AND(ISNUMBER(J146),ISNUMBER(M146)),IF(M146&gt;=J146,(M146-J146)*1440,""),"")</f>
        <v/>
      </c>
      <c r="O146" s="54" t="str">
        <f aca="false">IF(N146="","",LOOKUP(N146,Tiempos!$A$6:$A$10,Tiempos!$B$6:$B$10))</f>
        <v/>
      </c>
      <c r="P146" s="54"/>
      <c r="Q146" s="54"/>
      <c r="R146" s="54"/>
      <c r="S146" s="54"/>
      <c r="T146" s="58"/>
      <c r="U146" s="54"/>
      <c r="V146" s="58"/>
      <c r="W146" s="57"/>
      <c r="X146" s="55"/>
      <c r="Y146" s="54"/>
      <c r="Z146" s="56"/>
      <c r="AA146" s="58" t="str">
        <f aca="false">IF(AND(ISNUMBER(M146),ISNUMBER(Z146)),IF(Z146&gt;=M146,(Z146-M146)*1440,""),"")</f>
        <v/>
      </c>
      <c r="AB146" s="57"/>
      <c r="AC146" s="56"/>
      <c r="AD146" s="58" t="str">
        <f aca="false">IF(AND(ISNUMBER(Z146),ISNUMBER(AC146)),IF(AC146&gt;=Z146,(AC146-Z146)*1440,""),"")</f>
        <v/>
      </c>
      <c r="AE146" s="54"/>
      <c r="AF146" s="54"/>
      <c r="AG146" s="54"/>
      <c r="AH146" s="58"/>
      <c r="AI146" s="55" t="n">
        <v>1</v>
      </c>
      <c r="AJ146" s="54" t="s">
        <v>216</v>
      </c>
      <c r="AK146" s="54" t="s">
        <v>212</v>
      </c>
    </row>
    <row r="147" customFormat="false" ht="15" hidden="false" customHeight="false" outlineLevel="0" collapsed="false">
      <c r="A147" s="54" t="s">
        <v>27</v>
      </c>
      <c r="B147" s="55" t="n">
        <v>388</v>
      </c>
      <c r="C147" s="54" t="s">
        <v>127</v>
      </c>
      <c r="D147" s="54" t="s">
        <v>214</v>
      </c>
      <c r="E147" s="54" t="s">
        <v>233</v>
      </c>
      <c r="F147" s="56" t="n">
        <v>46301.5192594213</v>
      </c>
      <c r="G147" s="54" t="s">
        <v>212</v>
      </c>
      <c r="H147" s="54" t="s">
        <v>214</v>
      </c>
      <c r="I147" s="57" t="s">
        <v>382</v>
      </c>
      <c r="J147" s="56" t="n">
        <v>46301.5202756481</v>
      </c>
      <c r="K147" s="56" t="n">
        <v>46301.5211514815</v>
      </c>
      <c r="L147" s="58" t="n">
        <f aca="false">IF(AND(ISNUMBER(J147),ISNUMBER(K147)),IF(K147&gt;=J147,(K147-J147)*1440,""),"")</f>
        <v>1.2612000131</v>
      </c>
      <c r="M147" s="56" t="n">
        <v>46301.5233383912</v>
      </c>
      <c r="N147" s="58" t="n">
        <f aca="false">IF(AND(ISNUMBER(J147),ISNUMBER(M147)),IF(M147&gt;=J147,(M147-J147)*1440,""),"")</f>
        <v>4.41035002818333</v>
      </c>
      <c r="O147" s="54" t="str">
        <f aca="false">IF(N147="","",LOOKUP(N147,Tiempos!$A$6:$A$10,Tiempos!$B$6:$B$10))</f>
        <v>4 a 6 min</v>
      </c>
      <c r="P147" s="54" t="s">
        <v>229</v>
      </c>
      <c r="Q147" s="54" t="s">
        <v>214</v>
      </c>
      <c r="R147" s="54" t="s">
        <v>127</v>
      </c>
      <c r="S147" s="54" t="s">
        <v>220</v>
      </c>
      <c r="T147" s="58" t="n">
        <v>110.3</v>
      </c>
      <c r="U147" s="54" t="s">
        <v>212</v>
      </c>
      <c r="V147" s="58" t="n">
        <v>3.15</v>
      </c>
      <c r="W147" s="57" t="s">
        <v>337</v>
      </c>
      <c r="X147" s="55" t="n">
        <v>2</v>
      </c>
      <c r="Y147" s="54" t="s">
        <v>212</v>
      </c>
      <c r="Z147" s="56"/>
      <c r="AA147" s="58" t="str">
        <f aca="false">IF(AND(ISNUMBER(M147),ISNUMBER(Z147)),IF(Z147&gt;=M147,(Z147-M147)*1440,""),"")</f>
        <v/>
      </c>
      <c r="AB147" s="57"/>
      <c r="AC147" s="56"/>
      <c r="AD147" s="58" t="str">
        <f aca="false">IF(AND(ISNUMBER(Z147),ISNUMBER(AC147)),IF(AC147&gt;=Z147,(AC147-Z147)*1440,""),"")</f>
        <v/>
      </c>
      <c r="AE147" s="54"/>
      <c r="AF147" s="54" t="s">
        <v>214</v>
      </c>
      <c r="AG147" s="54"/>
      <c r="AH147" s="58"/>
      <c r="AI147" s="55" t="n">
        <v>2</v>
      </c>
      <c r="AJ147" s="54" t="s">
        <v>216</v>
      </c>
      <c r="AK147" s="54" t="s">
        <v>212</v>
      </c>
    </row>
    <row r="148" customFormat="false" ht="15" hidden="false" customHeight="false" outlineLevel="0" collapsed="false">
      <c r="A148" s="54" t="s">
        <v>27</v>
      </c>
      <c r="B148" s="55" t="n">
        <v>398</v>
      </c>
      <c r="C148" s="54" t="s">
        <v>303</v>
      </c>
      <c r="D148" s="54" t="s">
        <v>212</v>
      </c>
      <c r="E148" s="54"/>
      <c r="F148" s="56" t="n">
        <v>46301.5310305093</v>
      </c>
      <c r="G148" s="54" t="s">
        <v>212</v>
      </c>
      <c r="H148" s="54" t="s">
        <v>214</v>
      </c>
      <c r="I148" s="57"/>
      <c r="J148" s="56"/>
      <c r="K148" s="56"/>
      <c r="L148" s="58" t="str">
        <f aca="false">IF(AND(ISNUMBER(J148),ISNUMBER(K148)),IF(K148&gt;=J148,(K148-J148)*1440,""),"")</f>
        <v/>
      </c>
      <c r="M148" s="56"/>
      <c r="N148" s="58" t="str">
        <f aca="false">IF(AND(ISNUMBER(J148),ISNUMBER(M148)),IF(M148&gt;=J148,(M148-J148)*1440,""),"")</f>
        <v/>
      </c>
      <c r="O148" s="54" t="str">
        <f aca="false">IF(N148="","",LOOKUP(N148,Tiempos!$A$6:$A$10,Tiempos!$B$6:$B$10))</f>
        <v/>
      </c>
      <c r="P148" s="54"/>
      <c r="Q148" s="54"/>
      <c r="R148" s="54"/>
      <c r="S148" s="54"/>
      <c r="T148" s="58"/>
      <c r="U148" s="54"/>
      <c r="V148" s="58"/>
      <c r="W148" s="57"/>
      <c r="X148" s="55"/>
      <c r="Y148" s="54"/>
      <c r="Z148" s="56"/>
      <c r="AA148" s="58" t="str">
        <f aca="false">IF(AND(ISNUMBER(M148),ISNUMBER(Z148)),IF(Z148&gt;=M148,(Z148-M148)*1440,""),"")</f>
        <v/>
      </c>
      <c r="AB148" s="57"/>
      <c r="AC148" s="56"/>
      <c r="AD148" s="58" t="str">
        <f aca="false">IF(AND(ISNUMBER(Z148),ISNUMBER(AC148)),IF(AC148&gt;=Z148,(AC148-Z148)*1440,""),"")</f>
        <v/>
      </c>
      <c r="AE148" s="54"/>
      <c r="AF148" s="54"/>
      <c r="AG148" s="54"/>
      <c r="AH148" s="58"/>
      <c r="AI148" s="55" t="n">
        <v>2</v>
      </c>
      <c r="AJ148" s="54" t="s">
        <v>216</v>
      </c>
      <c r="AK148" s="54" t="s">
        <v>212</v>
      </c>
    </row>
    <row r="149" customFormat="false" ht="15" hidden="false" customHeight="false" outlineLevel="0" collapsed="false">
      <c r="A149" s="54" t="s">
        <v>27</v>
      </c>
      <c r="B149" s="55" t="n">
        <v>404</v>
      </c>
      <c r="C149" s="54" t="s">
        <v>129</v>
      </c>
      <c r="D149" s="54" t="s">
        <v>212</v>
      </c>
      <c r="E149" s="54"/>
      <c r="F149" s="56" t="n">
        <v>46301.5420552662</v>
      </c>
      <c r="G149" s="54" t="s">
        <v>212</v>
      </c>
      <c r="H149" s="54" t="s">
        <v>214</v>
      </c>
      <c r="I149" s="57"/>
      <c r="J149" s="56"/>
      <c r="K149" s="56"/>
      <c r="L149" s="58" t="str">
        <f aca="false">IF(AND(ISNUMBER(J149),ISNUMBER(K149)),IF(K149&gt;=J149,(K149-J149)*1440,""),"")</f>
        <v/>
      </c>
      <c r="M149" s="56"/>
      <c r="N149" s="58" t="str">
        <f aca="false">IF(AND(ISNUMBER(J149),ISNUMBER(M149)),IF(M149&gt;=J149,(M149-J149)*1440,""),"")</f>
        <v/>
      </c>
      <c r="O149" s="54" t="str">
        <f aca="false">IF(N149="","",LOOKUP(N149,Tiempos!$A$6:$A$10,Tiempos!$B$6:$B$10))</f>
        <v/>
      </c>
      <c r="P149" s="54"/>
      <c r="Q149" s="54"/>
      <c r="R149" s="54"/>
      <c r="S149" s="54"/>
      <c r="T149" s="58"/>
      <c r="U149" s="54"/>
      <c r="V149" s="58"/>
      <c r="W149" s="57"/>
      <c r="X149" s="55"/>
      <c r="Y149" s="54"/>
      <c r="Z149" s="56"/>
      <c r="AA149" s="58" t="str">
        <f aca="false">IF(AND(ISNUMBER(M149),ISNUMBER(Z149)),IF(Z149&gt;=M149,(Z149-M149)*1440,""),"")</f>
        <v/>
      </c>
      <c r="AB149" s="57"/>
      <c r="AC149" s="56"/>
      <c r="AD149" s="58" t="str">
        <f aca="false">IF(AND(ISNUMBER(Z149),ISNUMBER(AC149)),IF(AC149&gt;=Z149,(AC149-Z149)*1440,""),"")</f>
        <v/>
      </c>
      <c r="AE149" s="54"/>
      <c r="AF149" s="54"/>
      <c r="AG149" s="54"/>
      <c r="AH149" s="58"/>
      <c r="AI149" s="55" t="n">
        <v>2</v>
      </c>
      <c r="AJ149" s="54" t="s">
        <v>216</v>
      </c>
      <c r="AK149" s="54" t="s">
        <v>212</v>
      </c>
    </row>
    <row r="150" customFormat="false" ht="15" hidden="false" customHeight="false" outlineLevel="0" collapsed="false">
      <c r="A150" s="54" t="s">
        <v>27</v>
      </c>
      <c r="B150" s="55" t="n">
        <v>392</v>
      </c>
      <c r="C150" s="54" t="s">
        <v>127</v>
      </c>
      <c r="D150" s="54" t="s">
        <v>212</v>
      </c>
      <c r="E150" s="54"/>
      <c r="F150" s="56" t="n">
        <v>46301.543290081</v>
      </c>
      <c r="G150" s="54" t="s">
        <v>212</v>
      </c>
      <c r="H150" s="54" t="s">
        <v>214</v>
      </c>
      <c r="I150" s="57"/>
      <c r="J150" s="56"/>
      <c r="K150" s="56"/>
      <c r="L150" s="58" t="str">
        <f aca="false">IF(AND(ISNUMBER(J150),ISNUMBER(K150)),IF(K150&gt;=J150,(K150-J150)*1440,""),"")</f>
        <v/>
      </c>
      <c r="M150" s="56"/>
      <c r="N150" s="58" t="str">
        <f aca="false">IF(AND(ISNUMBER(J150),ISNUMBER(M150)),IF(M150&gt;=J150,(M150-J150)*1440,""),"")</f>
        <v/>
      </c>
      <c r="O150" s="54" t="str">
        <f aca="false">IF(N150="","",LOOKUP(N150,Tiempos!$A$6:$A$10,Tiempos!$B$6:$B$10))</f>
        <v/>
      </c>
      <c r="P150" s="54"/>
      <c r="Q150" s="54"/>
      <c r="R150" s="54"/>
      <c r="S150" s="54"/>
      <c r="T150" s="58"/>
      <c r="U150" s="54"/>
      <c r="V150" s="58"/>
      <c r="W150" s="57"/>
      <c r="X150" s="55"/>
      <c r="Y150" s="54"/>
      <c r="Z150" s="56"/>
      <c r="AA150" s="58" t="str">
        <f aca="false">IF(AND(ISNUMBER(M150),ISNUMBER(Z150)),IF(Z150&gt;=M150,(Z150-M150)*1440,""),"")</f>
        <v/>
      </c>
      <c r="AB150" s="57"/>
      <c r="AC150" s="56"/>
      <c r="AD150" s="58" t="str">
        <f aca="false">IF(AND(ISNUMBER(Z150),ISNUMBER(AC150)),IF(AC150&gt;=Z150,(AC150-Z150)*1440,""),"")</f>
        <v/>
      </c>
      <c r="AE150" s="54"/>
      <c r="AF150" s="54"/>
      <c r="AG150" s="54"/>
      <c r="AH150" s="58"/>
      <c r="AI150" s="55" t="n">
        <v>1</v>
      </c>
      <c r="AJ150" s="54" t="s">
        <v>216</v>
      </c>
      <c r="AK150" s="54" t="s">
        <v>212</v>
      </c>
    </row>
    <row r="151" customFormat="false" ht="15" hidden="false" customHeight="false" outlineLevel="0" collapsed="false">
      <c r="A151" s="54" t="s">
        <v>27</v>
      </c>
      <c r="B151" s="55" t="n">
        <v>406</v>
      </c>
      <c r="C151" s="54" t="s">
        <v>129</v>
      </c>
      <c r="D151" s="54" t="s">
        <v>212</v>
      </c>
      <c r="E151" s="54"/>
      <c r="F151" s="56" t="n">
        <v>46301.5497705903</v>
      </c>
      <c r="G151" s="54" t="s">
        <v>212</v>
      </c>
      <c r="H151" s="54" t="s">
        <v>212</v>
      </c>
      <c r="I151" s="57"/>
      <c r="J151" s="56"/>
      <c r="K151" s="56"/>
      <c r="L151" s="58" t="str">
        <f aca="false">IF(AND(ISNUMBER(J151),ISNUMBER(K151)),IF(K151&gt;=J151,(K151-J151)*1440,""),"")</f>
        <v/>
      </c>
      <c r="M151" s="56"/>
      <c r="N151" s="58" t="str">
        <f aca="false">IF(AND(ISNUMBER(J151),ISNUMBER(M151)),IF(M151&gt;=J151,(M151-J151)*1440,""),"")</f>
        <v/>
      </c>
      <c r="O151" s="54" t="str">
        <f aca="false">IF(N151="","",LOOKUP(N151,Tiempos!$A$6:$A$10,Tiempos!$B$6:$B$10))</f>
        <v/>
      </c>
      <c r="P151" s="54"/>
      <c r="Q151" s="54"/>
      <c r="R151" s="54"/>
      <c r="S151" s="54"/>
      <c r="T151" s="58"/>
      <c r="U151" s="54"/>
      <c r="V151" s="58"/>
      <c r="W151" s="57"/>
      <c r="X151" s="55"/>
      <c r="Y151" s="54"/>
      <c r="Z151" s="56"/>
      <c r="AA151" s="58" t="str">
        <f aca="false">IF(AND(ISNUMBER(M151),ISNUMBER(Z151)),IF(Z151&gt;=M151,(Z151-M151)*1440,""),"")</f>
        <v/>
      </c>
      <c r="AB151" s="57"/>
      <c r="AC151" s="56"/>
      <c r="AD151" s="58" t="str">
        <f aca="false">IF(AND(ISNUMBER(Z151),ISNUMBER(AC151)),IF(AC151&gt;=Z151,(AC151-Z151)*1440,""),"")</f>
        <v/>
      </c>
      <c r="AE151" s="54"/>
      <c r="AF151" s="54"/>
      <c r="AG151" s="54"/>
      <c r="AH151" s="58"/>
      <c r="AI151" s="55" t="n">
        <v>2</v>
      </c>
      <c r="AJ151" s="54" t="s">
        <v>216</v>
      </c>
      <c r="AK151" s="54" t="s">
        <v>212</v>
      </c>
    </row>
    <row r="152" customFormat="false" ht="15" hidden="false" customHeight="false" outlineLevel="0" collapsed="false">
      <c r="A152" s="54" t="s">
        <v>27</v>
      </c>
      <c r="B152" s="55" t="n">
        <v>407</v>
      </c>
      <c r="C152" s="54" t="s">
        <v>128</v>
      </c>
      <c r="D152" s="54" t="s">
        <v>212</v>
      </c>
      <c r="E152" s="54"/>
      <c r="F152" s="56" t="n">
        <v>46301.5503685301</v>
      </c>
      <c r="G152" s="54" t="s">
        <v>212</v>
      </c>
      <c r="H152" s="54" t="s">
        <v>214</v>
      </c>
      <c r="I152" s="57"/>
      <c r="J152" s="56"/>
      <c r="K152" s="56"/>
      <c r="L152" s="58" t="str">
        <f aca="false">IF(AND(ISNUMBER(J152),ISNUMBER(K152)),IF(K152&gt;=J152,(K152-J152)*1440,""),"")</f>
        <v/>
      </c>
      <c r="M152" s="56"/>
      <c r="N152" s="58" t="str">
        <f aca="false">IF(AND(ISNUMBER(J152),ISNUMBER(M152)),IF(M152&gt;=J152,(M152-J152)*1440,""),"")</f>
        <v/>
      </c>
      <c r="O152" s="54" t="str">
        <f aca="false">IF(N152="","",LOOKUP(N152,Tiempos!$A$6:$A$10,Tiempos!$B$6:$B$10))</f>
        <v/>
      </c>
      <c r="P152" s="54"/>
      <c r="Q152" s="54"/>
      <c r="R152" s="54"/>
      <c r="S152" s="54"/>
      <c r="T152" s="58"/>
      <c r="U152" s="54"/>
      <c r="V152" s="58"/>
      <c r="W152" s="57"/>
      <c r="X152" s="55"/>
      <c r="Y152" s="54"/>
      <c r="Z152" s="56"/>
      <c r="AA152" s="58" t="str">
        <f aca="false">IF(AND(ISNUMBER(M152),ISNUMBER(Z152)),IF(Z152&gt;=M152,(Z152-M152)*1440,""),"")</f>
        <v/>
      </c>
      <c r="AB152" s="57"/>
      <c r="AC152" s="56"/>
      <c r="AD152" s="58" t="str">
        <f aca="false">IF(AND(ISNUMBER(Z152),ISNUMBER(AC152)),IF(AC152&gt;=Z152,(AC152-Z152)*1440,""),"")</f>
        <v/>
      </c>
      <c r="AE152" s="54"/>
      <c r="AF152" s="54"/>
      <c r="AG152" s="54"/>
      <c r="AH152" s="58"/>
      <c r="AI152" s="55" t="n">
        <v>3</v>
      </c>
      <c r="AJ152" s="54" t="s">
        <v>216</v>
      </c>
      <c r="AK152" s="54" t="s">
        <v>212</v>
      </c>
    </row>
    <row r="153" customFormat="false" ht="15" hidden="false" customHeight="false" outlineLevel="0" collapsed="false">
      <c r="A153" s="54" t="s">
        <v>27</v>
      </c>
      <c r="B153" s="55" t="n">
        <v>413</v>
      </c>
      <c r="C153" s="54" t="s">
        <v>128</v>
      </c>
      <c r="D153" s="54" t="s">
        <v>212</v>
      </c>
      <c r="E153" s="54"/>
      <c r="F153" s="56" t="n">
        <v>46301.5786620718</v>
      </c>
      <c r="G153" s="54" t="s">
        <v>212</v>
      </c>
      <c r="H153" s="54" t="s">
        <v>214</v>
      </c>
      <c r="I153" s="57"/>
      <c r="J153" s="56"/>
      <c r="K153" s="56"/>
      <c r="L153" s="58" t="str">
        <f aca="false">IF(AND(ISNUMBER(J153),ISNUMBER(K153)),IF(K153&gt;=J153,(K153-J153)*1440,""),"")</f>
        <v/>
      </c>
      <c r="M153" s="56"/>
      <c r="N153" s="58" t="str">
        <f aca="false">IF(AND(ISNUMBER(J153),ISNUMBER(M153)),IF(M153&gt;=J153,(M153-J153)*1440,""),"")</f>
        <v/>
      </c>
      <c r="O153" s="54" t="str">
        <f aca="false">IF(N153="","",LOOKUP(N153,Tiempos!$A$6:$A$10,Tiempos!$B$6:$B$10))</f>
        <v/>
      </c>
      <c r="P153" s="54"/>
      <c r="Q153" s="54"/>
      <c r="R153" s="54"/>
      <c r="S153" s="54"/>
      <c r="T153" s="58"/>
      <c r="U153" s="54"/>
      <c r="V153" s="58"/>
      <c r="W153" s="57"/>
      <c r="X153" s="55"/>
      <c r="Y153" s="54"/>
      <c r="Z153" s="56"/>
      <c r="AA153" s="58" t="str">
        <f aca="false">IF(AND(ISNUMBER(M153),ISNUMBER(Z153)),IF(Z153&gt;=M153,(Z153-M153)*1440,""),"")</f>
        <v/>
      </c>
      <c r="AB153" s="57"/>
      <c r="AC153" s="56"/>
      <c r="AD153" s="58" t="str">
        <f aca="false">IF(AND(ISNUMBER(Z153),ISNUMBER(AC153)),IF(AC153&gt;=Z153,(AC153-Z153)*1440,""),"")</f>
        <v/>
      </c>
      <c r="AE153" s="54"/>
      <c r="AF153" s="54"/>
      <c r="AG153" s="54"/>
      <c r="AH153" s="58"/>
      <c r="AI153" s="55" t="n">
        <v>2</v>
      </c>
      <c r="AJ153" s="54" t="s">
        <v>216</v>
      </c>
      <c r="AK153" s="54" t="s">
        <v>212</v>
      </c>
    </row>
    <row r="154" customFormat="false" ht="15" hidden="false" customHeight="false" outlineLevel="0" collapsed="false">
      <c r="A154" s="54" t="s">
        <v>27</v>
      </c>
      <c r="B154" s="55" t="n">
        <v>417</v>
      </c>
      <c r="C154" s="54" t="s">
        <v>128</v>
      </c>
      <c r="D154" s="54" t="s">
        <v>214</v>
      </c>
      <c r="E154" s="54" t="s">
        <v>233</v>
      </c>
      <c r="F154" s="56" t="n">
        <v>46301.6000587153</v>
      </c>
      <c r="G154" s="54" t="s">
        <v>212</v>
      </c>
      <c r="H154" s="54" t="s">
        <v>214</v>
      </c>
      <c r="I154" s="57" t="s">
        <v>383</v>
      </c>
      <c r="J154" s="56" t="n">
        <v>46301.6029627546</v>
      </c>
      <c r="K154" s="56" t="n">
        <v>46301.6034922107</v>
      </c>
      <c r="L154" s="58" t="n">
        <f aca="false">IF(AND(ISNUMBER(J154),ISNUMBER(K154)),IF(K154&gt;=J154,(K154-J154)*1440,""),"")</f>
        <v>0.762416665666667</v>
      </c>
      <c r="M154" s="56" t="n">
        <v>46301.6066069329</v>
      </c>
      <c r="N154" s="58" t="n">
        <f aca="false">IF(AND(ISNUMBER(J154),ISNUMBER(M154)),IF(M154&gt;=J154,(M154-J154)*1440,""),"")</f>
        <v>5.24761667008333</v>
      </c>
      <c r="O154" s="54" t="str">
        <f aca="false">IF(N154="","",LOOKUP(N154,Tiempos!$A$6:$A$10,Tiempos!$B$6:$B$10))</f>
        <v>4 a 6 min</v>
      </c>
      <c r="P154" s="54" t="s">
        <v>244</v>
      </c>
      <c r="Q154" s="54" t="s">
        <v>214</v>
      </c>
      <c r="R154" s="54" t="s">
        <v>128</v>
      </c>
      <c r="S154" s="54" t="s">
        <v>220</v>
      </c>
      <c r="T154" s="58" t="n">
        <v>103.7</v>
      </c>
      <c r="U154" s="54" t="s">
        <v>214</v>
      </c>
      <c r="V154" s="58" t="n">
        <v>4.49</v>
      </c>
      <c r="W154" s="57" t="s">
        <v>384</v>
      </c>
      <c r="X154" s="55" t="n">
        <v>3</v>
      </c>
      <c r="Y154" s="54" t="s">
        <v>214</v>
      </c>
      <c r="Z154" s="56" t="n">
        <v>46301.6086003588</v>
      </c>
      <c r="AA154" s="58" t="n">
        <f aca="false">IF(AND(ISNUMBER(M154),ISNUMBER(Z154)),IF(Z154&gt;=M154,(Z154-M154)*1440,""),"")</f>
        <v>2.87053333245</v>
      </c>
      <c r="AB154" s="57" t="s">
        <v>385</v>
      </c>
      <c r="AC154" s="56" t="n">
        <v>46301.6091404977</v>
      </c>
      <c r="AD154" s="58" t="n">
        <f aca="false">IF(AND(ISNUMBER(Z154),ISNUMBER(AC154)),IF(AC154&gt;=Z154,(AC154-Z154)*1440,""),"")</f>
        <v>0.777799993516667</v>
      </c>
      <c r="AE154" s="54" t="s">
        <v>346</v>
      </c>
      <c r="AF154" s="54" t="s">
        <v>214</v>
      </c>
      <c r="AG154" s="54" t="s">
        <v>214</v>
      </c>
      <c r="AH154" s="58" t="n">
        <v>10.8</v>
      </c>
      <c r="AI154" s="55" t="n">
        <v>2</v>
      </c>
      <c r="AJ154" s="54" t="s">
        <v>216</v>
      </c>
      <c r="AK154" s="54" t="s">
        <v>212</v>
      </c>
    </row>
    <row r="155" customFormat="false" ht="15" hidden="false" customHeight="false" outlineLevel="0" collapsed="false">
      <c r="A155" s="54" t="s">
        <v>27</v>
      </c>
      <c r="B155" s="55" t="n">
        <v>422</v>
      </c>
      <c r="C155" s="54" t="s">
        <v>128</v>
      </c>
      <c r="D155" s="54" t="s">
        <v>212</v>
      </c>
      <c r="E155" s="54"/>
      <c r="F155" s="56" t="n">
        <v>46301.6270771528</v>
      </c>
      <c r="G155" s="54" t="s">
        <v>212</v>
      </c>
      <c r="H155" s="54" t="s">
        <v>214</v>
      </c>
      <c r="I155" s="57"/>
      <c r="J155" s="56"/>
      <c r="K155" s="56"/>
      <c r="L155" s="58" t="str">
        <f aca="false">IF(AND(ISNUMBER(J155),ISNUMBER(K155)),IF(K155&gt;=J155,(K155-J155)*1440,""),"")</f>
        <v/>
      </c>
      <c r="M155" s="56"/>
      <c r="N155" s="58" t="str">
        <f aca="false">IF(AND(ISNUMBER(J155),ISNUMBER(M155)),IF(M155&gt;=J155,(M155-J155)*1440,""),"")</f>
        <v/>
      </c>
      <c r="O155" s="54" t="str">
        <f aca="false">IF(N155="","",LOOKUP(N155,Tiempos!$A$6:$A$10,Tiempos!$B$6:$B$10))</f>
        <v/>
      </c>
      <c r="P155" s="54"/>
      <c r="Q155" s="54"/>
      <c r="R155" s="54"/>
      <c r="S155" s="54"/>
      <c r="T155" s="58"/>
      <c r="U155" s="54"/>
      <c r="V155" s="58"/>
      <c r="W155" s="57"/>
      <c r="X155" s="55"/>
      <c r="Y155" s="54"/>
      <c r="Z155" s="56"/>
      <c r="AA155" s="58" t="str">
        <f aca="false">IF(AND(ISNUMBER(M155),ISNUMBER(Z155)),IF(Z155&gt;=M155,(Z155-M155)*1440,""),"")</f>
        <v/>
      </c>
      <c r="AB155" s="57"/>
      <c r="AC155" s="56"/>
      <c r="AD155" s="58" t="str">
        <f aca="false">IF(AND(ISNUMBER(Z155),ISNUMBER(AC155)),IF(AC155&gt;=Z155,(AC155-Z155)*1440,""),"")</f>
        <v/>
      </c>
      <c r="AE155" s="54"/>
      <c r="AF155" s="54"/>
      <c r="AG155" s="54"/>
      <c r="AH155" s="58"/>
      <c r="AI155" s="55" t="n">
        <v>3</v>
      </c>
      <c r="AJ155" s="54" t="s">
        <v>216</v>
      </c>
      <c r="AK155" s="54" t="s">
        <v>212</v>
      </c>
    </row>
    <row r="156" customFormat="false" ht="15" hidden="false" customHeight="false" outlineLevel="0" collapsed="false">
      <c r="A156" s="54" t="s">
        <v>27</v>
      </c>
      <c r="B156" s="55" t="n">
        <v>423</v>
      </c>
      <c r="C156" s="54" t="s">
        <v>128</v>
      </c>
      <c r="D156" s="54" t="s">
        <v>214</v>
      </c>
      <c r="E156" s="54" t="s">
        <v>217</v>
      </c>
      <c r="F156" s="56" t="n">
        <v>46301.6292641667</v>
      </c>
      <c r="G156" s="54" t="s">
        <v>212</v>
      </c>
      <c r="H156" s="54" t="s">
        <v>212</v>
      </c>
      <c r="I156" s="57" t="s">
        <v>386</v>
      </c>
      <c r="J156" s="56" t="n">
        <v>46301.6303353472</v>
      </c>
      <c r="K156" s="56" t="n">
        <v>46301.6320479977</v>
      </c>
      <c r="L156" s="58" t="n">
        <f aca="false">IF(AND(ISNUMBER(J156),ISNUMBER(K156)),IF(K156&gt;=J156,(K156-J156)*1440,""),"")</f>
        <v>2.46621668455</v>
      </c>
      <c r="M156" s="56" t="n">
        <v>46301.6339137616</v>
      </c>
      <c r="N156" s="58" t="n">
        <f aca="false">IF(AND(ISNUMBER(J156),ISNUMBER(M156)),IF(M156&gt;=J156,(M156-J156)*1440,""),"")</f>
        <v>5.15291667076667</v>
      </c>
      <c r="O156" s="54" t="str">
        <f aca="false">IF(N156="","",LOOKUP(N156,Tiempos!$A$6:$A$10,Tiempos!$B$6:$B$10))</f>
        <v>4 a 6 min</v>
      </c>
      <c r="P156" s="54" t="s">
        <v>244</v>
      </c>
      <c r="Q156" s="54" t="s">
        <v>214</v>
      </c>
      <c r="R156" s="54" t="s">
        <v>128</v>
      </c>
      <c r="S156" s="54" t="s">
        <v>220</v>
      </c>
      <c r="T156" s="58" t="n">
        <v>97</v>
      </c>
      <c r="U156" s="54" t="s">
        <v>212</v>
      </c>
      <c r="V156" s="58" t="n">
        <v>2.69</v>
      </c>
      <c r="W156" s="57" t="s">
        <v>387</v>
      </c>
      <c r="X156" s="55" t="n">
        <v>3</v>
      </c>
      <c r="Y156" s="54" t="s">
        <v>212</v>
      </c>
      <c r="Z156" s="56"/>
      <c r="AA156" s="58" t="str">
        <f aca="false">IF(AND(ISNUMBER(M156),ISNUMBER(Z156)),IF(Z156&gt;=M156,(Z156-M156)*1440,""),"")</f>
        <v/>
      </c>
      <c r="AB156" s="57"/>
      <c r="AC156" s="56"/>
      <c r="AD156" s="58" t="str">
        <f aca="false">IF(AND(ISNUMBER(Z156),ISNUMBER(AC156)),IF(AC156&gt;=Z156,(AC156-Z156)*1440,""),"")</f>
        <v/>
      </c>
      <c r="AE156" s="54"/>
      <c r="AF156" s="54" t="s">
        <v>214</v>
      </c>
      <c r="AG156" s="54"/>
      <c r="AH156" s="58"/>
      <c r="AI156" s="55" t="n">
        <v>2</v>
      </c>
      <c r="AJ156" s="54" t="s">
        <v>216</v>
      </c>
      <c r="AK156" s="54" t="s">
        <v>212</v>
      </c>
    </row>
    <row r="157" customFormat="false" ht="15" hidden="false" customHeight="false" outlineLevel="0" collapsed="false">
      <c r="A157" s="54" t="s">
        <v>27</v>
      </c>
      <c r="B157" s="55" t="n">
        <v>424</v>
      </c>
      <c r="C157" s="54" t="s">
        <v>128</v>
      </c>
      <c r="D157" s="54" t="s">
        <v>212</v>
      </c>
      <c r="E157" s="54"/>
      <c r="F157" s="56" t="n">
        <v>46301.6573995718</v>
      </c>
      <c r="G157" s="54" t="s">
        <v>212</v>
      </c>
      <c r="H157" s="54" t="s">
        <v>212</v>
      </c>
      <c r="I157" s="57"/>
      <c r="J157" s="56"/>
      <c r="K157" s="56"/>
      <c r="L157" s="58" t="str">
        <f aca="false">IF(AND(ISNUMBER(J157),ISNUMBER(K157)),IF(K157&gt;=J157,(K157-J157)*1440,""),"")</f>
        <v/>
      </c>
      <c r="M157" s="56"/>
      <c r="N157" s="58" t="str">
        <f aca="false">IF(AND(ISNUMBER(J157),ISNUMBER(M157)),IF(M157&gt;=J157,(M157-J157)*1440,""),"")</f>
        <v/>
      </c>
      <c r="O157" s="54" t="str">
        <f aca="false">IF(N157="","",LOOKUP(N157,Tiempos!$A$6:$A$10,Tiempos!$B$6:$B$10))</f>
        <v/>
      </c>
      <c r="P157" s="54"/>
      <c r="Q157" s="54"/>
      <c r="R157" s="54"/>
      <c r="S157" s="54"/>
      <c r="T157" s="58"/>
      <c r="U157" s="54"/>
      <c r="V157" s="58"/>
      <c r="W157" s="57"/>
      <c r="X157" s="55"/>
      <c r="Y157" s="54"/>
      <c r="Z157" s="56"/>
      <c r="AA157" s="58" t="str">
        <f aca="false">IF(AND(ISNUMBER(M157),ISNUMBER(Z157)),IF(Z157&gt;=M157,(Z157-M157)*1440,""),"")</f>
        <v/>
      </c>
      <c r="AB157" s="57"/>
      <c r="AC157" s="56"/>
      <c r="AD157" s="58" t="str">
        <f aca="false">IF(AND(ISNUMBER(Z157),ISNUMBER(AC157)),IF(AC157&gt;=Z157,(AC157-Z157)*1440,""),"")</f>
        <v/>
      </c>
      <c r="AE157" s="54"/>
      <c r="AF157" s="54"/>
      <c r="AG157" s="54"/>
      <c r="AH157" s="58"/>
      <c r="AI157" s="55" t="n">
        <v>1</v>
      </c>
      <c r="AJ157" s="54" t="s">
        <v>216</v>
      </c>
      <c r="AK157" s="54" t="s">
        <v>212</v>
      </c>
    </row>
    <row r="158" customFormat="false" ht="15" hidden="false" customHeight="false" outlineLevel="0" collapsed="false">
      <c r="A158" s="54" t="s">
        <v>27</v>
      </c>
      <c r="B158" s="55" t="n">
        <v>433</v>
      </c>
      <c r="C158" s="54" t="s">
        <v>127</v>
      </c>
      <c r="D158" s="54" t="s">
        <v>214</v>
      </c>
      <c r="E158" s="54" t="s">
        <v>233</v>
      </c>
      <c r="F158" s="56" t="n">
        <v>46301.6662586458</v>
      </c>
      <c r="G158" s="54" t="s">
        <v>212</v>
      </c>
      <c r="H158" s="54" t="s">
        <v>214</v>
      </c>
      <c r="I158" s="57" t="s">
        <v>388</v>
      </c>
      <c r="J158" s="56" t="n">
        <v>46301.6677640741</v>
      </c>
      <c r="K158" s="56" t="n">
        <v>46301.6680729514</v>
      </c>
      <c r="L158" s="58" t="n">
        <f aca="false">IF(AND(ISNUMBER(J158),ISNUMBER(K158)),IF(K158&gt;=J158,(K158-J158)*1440,""),"")</f>
        <v>0.44478334485</v>
      </c>
      <c r="M158" s="56" t="n">
        <v>46301.6720600926</v>
      </c>
      <c r="N158" s="58" t="n">
        <f aca="false">IF(AND(ISNUMBER(J158),ISNUMBER(M158)),IF(M158&gt;=J158,(M158-J158)*1440,""),"")</f>
        <v>6.18626667418333</v>
      </c>
      <c r="O158" s="54" t="str">
        <f aca="false">IF(N158="","",LOOKUP(N158,Tiempos!$A$6:$A$10,Tiempos!$B$6:$B$10))</f>
        <v>6 a 10 min</v>
      </c>
      <c r="P158" s="54" t="s">
        <v>229</v>
      </c>
      <c r="Q158" s="54" t="s">
        <v>214</v>
      </c>
      <c r="R158" s="54" t="s">
        <v>127</v>
      </c>
      <c r="S158" s="54" t="s">
        <v>220</v>
      </c>
      <c r="T158" s="58" t="n">
        <v>101.8</v>
      </c>
      <c r="U158" s="54" t="s">
        <v>214</v>
      </c>
      <c r="V158" s="58" t="n">
        <v>5.74</v>
      </c>
      <c r="W158" s="57" t="s">
        <v>249</v>
      </c>
      <c r="X158" s="55" t="n">
        <v>2</v>
      </c>
      <c r="Y158" s="54" t="s">
        <v>214</v>
      </c>
      <c r="Z158" s="56" t="n">
        <v>46306.6418118866</v>
      </c>
      <c r="AA158" s="58" t="n">
        <f aca="false">IF(AND(ISNUMBER(M158),ISNUMBER(Z158)),IF(Z158&gt;=M158,(Z158-M158)*1440,""),"")</f>
        <v>7156.44258333952</v>
      </c>
      <c r="AB158" s="57" t="s">
        <v>389</v>
      </c>
      <c r="AC158" s="56"/>
      <c r="AD158" s="58" t="str">
        <f aca="false">IF(AND(ISNUMBER(Z158),ISNUMBER(AC158)),IF(AC158&gt;=Z158,(AC158-Z158)*1440,""),"")</f>
        <v/>
      </c>
      <c r="AE158" s="54" t="s">
        <v>302</v>
      </c>
      <c r="AF158" s="54" t="s">
        <v>214</v>
      </c>
      <c r="AG158" s="54" t="s">
        <v>212</v>
      </c>
      <c r="AH158" s="58"/>
      <c r="AI158" s="55" t="n">
        <v>2</v>
      </c>
      <c r="AJ158" s="54" t="s">
        <v>216</v>
      </c>
      <c r="AK158" s="54" t="s">
        <v>212</v>
      </c>
    </row>
    <row r="159" customFormat="false" ht="15" hidden="false" customHeight="false" outlineLevel="0" collapsed="false">
      <c r="A159" s="54" t="s">
        <v>27</v>
      </c>
      <c r="B159" s="55" t="n">
        <v>435</v>
      </c>
      <c r="C159" s="54" t="s">
        <v>129</v>
      </c>
      <c r="D159" s="54" t="s">
        <v>214</v>
      </c>
      <c r="E159" s="54" t="s">
        <v>217</v>
      </c>
      <c r="F159" s="56" t="n">
        <v>46301.6770950926</v>
      </c>
      <c r="G159" s="54" t="s">
        <v>212</v>
      </c>
      <c r="H159" s="54" t="s">
        <v>212</v>
      </c>
      <c r="I159" s="57" t="s">
        <v>390</v>
      </c>
      <c r="J159" s="56" t="n">
        <v>46301.6774284954</v>
      </c>
      <c r="K159" s="56" t="n">
        <v>46301.6776711806</v>
      </c>
      <c r="L159" s="58" t="n">
        <f aca="false">IF(AND(ISNUMBER(J159),ISNUMBER(K159)),IF(K159&gt;=J159,(K159-J159)*1440,""),"")</f>
        <v>0.349466667966667</v>
      </c>
      <c r="M159" s="56" t="n">
        <v>46301.6801170949</v>
      </c>
      <c r="N159" s="58" t="n">
        <f aca="false">IF(AND(ISNUMBER(J159),ISNUMBER(M159)),IF(M159&gt;=J159,(M159-J159)*1440,""),"")</f>
        <v>3.87158331576667</v>
      </c>
      <c r="O159" s="54" t="str">
        <f aca="false">IF(N159="","",LOOKUP(N159,Tiempos!$A$6:$A$10,Tiempos!$B$6:$B$10))</f>
        <v>Menos de 4 min</v>
      </c>
      <c r="P159" s="54" t="s">
        <v>244</v>
      </c>
      <c r="Q159" s="54" t="s">
        <v>214</v>
      </c>
      <c r="R159" s="54" t="s">
        <v>129</v>
      </c>
      <c r="S159" s="54" t="s">
        <v>220</v>
      </c>
      <c r="T159" s="58" t="n">
        <v>102.4</v>
      </c>
      <c r="U159" s="54" t="s">
        <v>212</v>
      </c>
      <c r="V159" s="58" t="n">
        <v>3.52</v>
      </c>
      <c r="W159" s="57" t="s">
        <v>391</v>
      </c>
      <c r="X159" s="55" t="n">
        <v>3</v>
      </c>
      <c r="Y159" s="54" t="s">
        <v>212</v>
      </c>
      <c r="Z159" s="56"/>
      <c r="AA159" s="58" t="str">
        <f aca="false">IF(AND(ISNUMBER(M159),ISNUMBER(Z159)),IF(Z159&gt;=M159,(Z159-M159)*1440,""),"")</f>
        <v/>
      </c>
      <c r="AB159" s="57"/>
      <c r="AC159" s="56"/>
      <c r="AD159" s="58" t="str">
        <f aca="false">IF(AND(ISNUMBER(Z159),ISNUMBER(AC159)),IF(AC159&gt;=Z159,(AC159-Z159)*1440,""),"")</f>
        <v/>
      </c>
      <c r="AE159" s="54"/>
      <c r="AF159" s="54" t="s">
        <v>214</v>
      </c>
      <c r="AG159" s="54"/>
      <c r="AH159" s="58"/>
      <c r="AI159" s="55" t="n">
        <v>2</v>
      </c>
      <c r="AJ159" s="54" t="s">
        <v>216</v>
      </c>
      <c r="AK159" s="54" t="s">
        <v>212</v>
      </c>
    </row>
    <row r="160" customFormat="false" ht="15" hidden="false" customHeight="false" outlineLevel="0" collapsed="false">
      <c r="A160" s="54" t="s">
        <v>27</v>
      </c>
      <c r="B160" s="55" t="n">
        <v>438</v>
      </c>
      <c r="C160" s="54" t="s">
        <v>129</v>
      </c>
      <c r="D160" s="54" t="s">
        <v>214</v>
      </c>
      <c r="E160" s="54" t="s">
        <v>233</v>
      </c>
      <c r="F160" s="56" t="n">
        <v>46301.6977730208</v>
      </c>
      <c r="G160" s="54" t="s">
        <v>212</v>
      </c>
      <c r="H160" s="54" t="s">
        <v>214</v>
      </c>
      <c r="I160" s="57" t="s">
        <v>392</v>
      </c>
      <c r="J160" s="56" t="n">
        <v>46301.7012408218</v>
      </c>
      <c r="K160" s="56" t="n">
        <v>46301.7037665857</v>
      </c>
      <c r="L160" s="58" t="n">
        <f aca="false">IF(AND(ISNUMBER(J160),ISNUMBER(K160)),IF(K160&gt;=J160,(K160-J160)*1440,""),"")</f>
        <v>3.63709999363333</v>
      </c>
      <c r="M160" s="56" t="n">
        <v>46301.7037665857</v>
      </c>
      <c r="N160" s="58" t="n">
        <f aca="false">IF(AND(ISNUMBER(J160),ISNUMBER(M160)),IF(M160&gt;=J160,(M160-J160)*1440,""),"")</f>
        <v>3.63709999363333</v>
      </c>
      <c r="O160" s="54" t="str">
        <f aca="false">IF(N160="","",LOOKUP(N160,Tiempos!$A$6:$A$10,Tiempos!$B$6:$B$10))</f>
        <v>Menos de 4 min</v>
      </c>
      <c r="P160" s="54" t="s">
        <v>272</v>
      </c>
      <c r="Q160" s="54" t="s">
        <v>214</v>
      </c>
      <c r="R160" s="54" t="s">
        <v>129</v>
      </c>
      <c r="S160" s="54" t="s">
        <v>220</v>
      </c>
      <c r="T160" s="58" t="n">
        <v>86.4</v>
      </c>
      <c r="U160" s="54" t="s">
        <v>214</v>
      </c>
      <c r="V160" s="58"/>
      <c r="W160" s="57" t="s">
        <v>393</v>
      </c>
      <c r="X160" s="55" t="n">
        <v>3</v>
      </c>
      <c r="Y160" s="54" t="s">
        <v>212</v>
      </c>
      <c r="Z160" s="56"/>
      <c r="AA160" s="58" t="str">
        <f aca="false">IF(AND(ISNUMBER(M160),ISNUMBER(Z160)),IF(Z160&gt;=M160,(Z160-M160)*1440,""),"")</f>
        <v/>
      </c>
      <c r="AB160" s="57"/>
      <c r="AC160" s="56"/>
      <c r="AD160" s="58" t="str">
        <f aca="false">IF(AND(ISNUMBER(Z160),ISNUMBER(AC160)),IF(AC160&gt;=Z160,(AC160-Z160)*1440,""),"")</f>
        <v/>
      </c>
      <c r="AE160" s="54"/>
      <c r="AF160" s="54" t="s">
        <v>214</v>
      </c>
      <c r="AG160" s="54"/>
      <c r="AH160" s="58"/>
      <c r="AI160" s="55" t="n">
        <v>2</v>
      </c>
      <c r="AJ160" s="54" t="s">
        <v>216</v>
      </c>
      <c r="AK160" s="54" t="s">
        <v>212</v>
      </c>
    </row>
    <row r="161" customFormat="false" ht="15" hidden="false" customHeight="false" outlineLevel="0" collapsed="false">
      <c r="A161" s="54" t="s">
        <v>27</v>
      </c>
      <c r="B161" s="55" t="n">
        <v>442</v>
      </c>
      <c r="C161" s="54" t="s">
        <v>127</v>
      </c>
      <c r="D161" s="54" t="s">
        <v>212</v>
      </c>
      <c r="E161" s="54"/>
      <c r="F161" s="56" t="n">
        <v>46301.7062831713</v>
      </c>
      <c r="G161" s="54" t="s">
        <v>212</v>
      </c>
      <c r="H161" s="54" t="s">
        <v>214</v>
      </c>
      <c r="I161" s="57"/>
      <c r="J161" s="56"/>
      <c r="K161" s="56"/>
      <c r="L161" s="58" t="str">
        <f aca="false">IF(AND(ISNUMBER(J161),ISNUMBER(K161)),IF(K161&gt;=J161,(K161-J161)*1440,""),"")</f>
        <v/>
      </c>
      <c r="M161" s="56"/>
      <c r="N161" s="58" t="str">
        <f aca="false">IF(AND(ISNUMBER(J161),ISNUMBER(M161)),IF(M161&gt;=J161,(M161-J161)*1440,""),"")</f>
        <v/>
      </c>
      <c r="O161" s="54" t="str">
        <f aca="false">IF(N161="","",LOOKUP(N161,Tiempos!$A$6:$A$10,Tiempos!$B$6:$B$10))</f>
        <v/>
      </c>
      <c r="P161" s="54"/>
      <c r="Q161" s="54"/>
      <c r="R161" s="54"/>
      <c r="S161" s="54"/>
      <c r="T161" s="58"/>
      <c r="U161" s="54"/>
      <c r="V161" s="58"/>
      <c r="W161" s="57"/>
      <c r="X161" s="55"/>
      <c r="Y161" s="54"/>
      <c r="Z161" s="56"/>
      <c r="AA161" s="58" t="str">
        <f aca="false">IF(AND(ISNUMBER(M161),ISNUMBER(Z161)),IF(Z161&gt;=M161,(Z161-M161)*1440,""),"")</f>
        <v/>
      </c>
      <c r="AB161" s="57"/>
      <c r="AC161" s="56"/>
      <c r="AD161" s="58" t="str">
        <f aca="false">IF(AND(ISNUMBER(Z161),ISNUMBER(AC161)),IF(AC161&gt;=Z161,(AC161-Z161)*1440,""),"")</f>
        <v/>
      </c>
      <c r="AE161" s="54"/>
      <c r="AF161" s="54"/>
      <c r="AG161" s="54"/>
      <c r="AH161" s="58"/>
      <c r="AI161" s="55" t="n">
        <v>2</v>
      </c>
      <c r="AJ161" s="54" t="s">
        <v>216</v>
      </c>
      <c r="AK161" s="54" t="s">
        <v>212</v>
      </c>
    </row>
    <row r="162" customFormat="false" ht="15" hidden="false" customHeight="false" outlineLevel="0" collapsed="false">
      <c r="A162" s="54" t="s">
        <v>27</v>
      </c>
      <c r="B162" s="55" t="n">
        <v>440</v>
      </c>
      <c r="C162" s="54" t="s">
        <v>127</v>
      </c>
      <c r="D162" s="54" t="s">
        <v>212</v>
      </c>
      <c r="E162" s="54"/>
      <c r="F162" s="56" t="n">
        <v>46301.7083777199</v>
      </c>
      <c r="G162" s="54" t="s">
        <v>212</v>
      </c>
      <c r="H162" s="54" t="s">
        <v>214</v>
      </c>
      <c r="I162" s="57"/>
      <c r="J162" s="56"/>
      <c r="K162" s="56"/>
      <c r="L162" s="58" t="str">
        <f aca="false">IF(AND(ISNUMBER(J162),ISNUMBER(K162)),IF(K162&gt;=J162,(K162-J162)*1440,""),"")</f>
        <v/>
      </c>
      <c r="M162" s="56"/>
      <c r="N162" s="58" t="str">
        <f aca="false">IF(AND(ISNUMBER(J162),ISNUMBER(M162)),IF(M162&gt;=J162,(M162-J162)*1440,""),"")</f>
        <v/>
      </c>
      <c r="O162" s="54" t="str">
        <f aca="false">IF(N162="","",LOOKUP(N162,Tiempos!$A$6:$A$10,Tiempos!$B$6:$B$10))</f>
        <v/>
      </c>
      <c r="P162" s="54"/>
      <c r="Q162" s="54"/>
      <c r="R162" s="54"/>
      <c r="S162" s="54"/>
      <c r="T162" s="58"/>
      <c r="U162" s="54"/>
      <c r="V162" s="58"/>
      <c r="W162" s="57"/>
      <c r="X162" s="55"/>
      <c r="Y162" s="54"/>
      <c r="Z162" s="56"/>
      <c r="AA162" s="58" t="str">
        <f aca="false">IF(AND(ISNUMBER(M162),ISNUMBER(Z162)),IF(Z162&gt;=M162,(Z162-M162)*1440,""),"")</f>
        <v/>
      </c>
      <c r="AB162" s="57"/>
      <c r="AC162" s="56"/>
      <c r="AD162" s="58" t="str">
        <f aca="false">IF(AND(ISNUMBER(Z162),ISNUMBER(AC162)),IF(AC162&gt;=Z162,(AC162-Z162)*1440,""),"")</f>
        <v/>
      </c>
      <c r="AE162" s="54"/>
      <c r="AF162" s="54"/>
      <c r="AG162" s="54"/>
      <c r="AH162" s="58"/>
      <c r="AI162" s="55" t="n">
        <v>2</v>
      </c>
      <c r="AJ162" s="54" t="s">
        <v>216</v>
      </c>
      <c r="AK162" s="54" t="s">
        <v>212</v>
      </c>
    </row>
    <row r="163" customFormat="false" ht="15" hidden="false" customHeight="false" outlineLevel="0" collapsed="false">
      <c r="A163" s="54" t="s">
        <v>27</v>
      </c>
      <c r="B163" s="55" t="n">
        <v>450</v>
      </c>
      <c r="C163" s="54" t="s">
        <v>128</v>
      </c>
      <c r="D163" s="54" t="s">
        <v>214</v>
      </c>
      <c r="E163" s="54" t="s">
        <v>233</v>
      </c>
      <c r="F163" s="56" t="n">
        <v>46301.737929919</v>
      </c>
      <c r="G163" s="54" t="s">
        <v>212</v>
      </c>
      <c r="H163" s="54" t="s">
        <v>214</v>
      </c>
      <c r="I163" s="57" t="s">
        <v>394</v>
      </c>
      <c r="J163" s="56" t="n">
        <v>46301.7422245602</v>
      </c>
      <c r="K163" s="56" t="n">
        <v>46301.7438831829</v>
      </c>
      <c r="L163" s="58" t="n">
        <f aca="false">IF(AND(ISNUMBER(J163),ISNUMBER(K163)),IF(K163&gt;=J163,(K163-J163)*1440,""),"")</f>
        <v>2.38841667653333</v>
      </c>
      <c r="M163" s="56" t="n">
        <v>46301.7467500579</v>
      </c>
      <c r="N163" s="58" t="n">
        <f aca="false">IF(AND(ISNUMBER(J163),ISNUMBER(M163)),IF(M163&gt;=J163,(M163-J163)*1440,""),"")</f>
        <v>6.51671667931667</v>
      </c>
      <c r="O163" s="54" t="str">
        <f aca="false">IF(N163="","",LOOKUP(N163,Tiempos!$A$6:$A$10,Tiempos!$B$6:$B$10))</f>
        <v>6 a 10 min</v>
      </c>
      <c r="P163" s="54" t="s">
        <v>244</v>
      </c>
      <c r="Q163" s="54" t="s">
        <v>214</v>
      </c>
      <c r="R163" s="54" t="s">
        <v>128</v>
      </c>
      <c r="S163" s="54" t="s">
        <v>220</v>
      </c>
      <c r="T163" s="58" t="n">
        <v>95.5</v>
      </c>
      <c r="U163" s="54" t="s">
        <v>214</v>
      </c>
      <c r="V163" s="58" t="n">
        <v>4.13</v>
      </c>
      <c r="W163" s="57" t="s">
        <v>395</v>
      </c>
      <c r="X163" s="55" t="n">
        <v>3</v>
      </c>
      <c r="Y163" s="54" t="s">
        <v>214</v>
      </c>
      <c r="Z163" s="56" t="n">
        <v>46301.759639537</v>
      </c>
      <c r="AA163" s="58" t="n">
        <f aca="false">IF(AND(ISNUMBER(M163),ISNUMBER(Z163)),IF(Z163&gt;=M163,(Z163-M163)*1440,""),"")</f>
        <v>18.5608499846333</v>
      </c>
      <c r="AB163" s="57" t="s">
        <v>372</v>
      </c>
      <c r="AC163" s="56" t="n">
        <v>46301.8790682176</v>
      </c>
      <c r="AD163" s="58" t="n">
        <f aca="false">IF(AND(ISNUMBER(Z163),ISNUMBER(AC163)),IF(AC163&gt;=Z163,(AC163-Z163)*1440,""),"")</f>
        <v>171.97730000945</v>
      </c>
      <c r="AE163" s="54" t="s">
        <v>277</v>
      </c>
      <c r="AF163" s="54" t="s">
        <v>214</v>
      </c>
      <c r="AG163" s="54" t="s">
        <v>214</v>
      </c>
      <c r="AH163" s="58" t="n">
        <v>4</v>
      </c>
      <c r="AI163" s="55" t="n">
        <v>3</v>
      </c>
      <c r="AJ163" s="54" t="s">
        <v>216</v>
      </c>
      <c r="AK163" s="54" t="s">
        <v>212</v>
      </c>
    </row>
    <row r="164" customFormat="false" ht="15" hidden="false" customHeight="false" outlineLevel="0" collapsed="false">
      <c r="A164" s="54" t="s">
        <v>27</v>
      </c>
      <c r="B164" s="55" t="n">
        <v>455</v>
      </c>
      <c r="C164" s="54" t="s">
        <v>128</v>
      </c>
      <c r="D164" s="54" t="s">
        <v>214</v>
      </c>
      <c r="E164" s="54" t="s">
        <v>242</v>
      </c>
      <c r="F164" s="56" t="n">
        <v>46301.7730533449</v>
      </c>
      <c r="G164" s="54" t="s">
        <v>212</v>
      </c>
      <c r="H164" s="54" t="s">
        <v>214</v>
      </c>
      <c r="I164" s="57" t="s">
        <v>396</v>
      </c>
      <c r="J164" s="56" t="n">
        <v>46301.7799509259</v>
      </c>
      <c r="K164" s="56" t="n">
        <v>46301.7811333449</v>
      </c>
      <c r="L164" s="58" t="n">
        <f aca="false">IF(AND(ISNUMBER(J164),ISNUMBER(K164)),IF(K164&gt;=J164,(K164-J164)*1440,""),"")</f>
        <v>1.70268333981667</v>
      </c>
      <c r="M164" s="56" t="n">
        <v>46301.783268125</v>
      </c>
      <c r="N164" s="58" t="n">
        <f aca="false">IF(AND(ISNUMBER(J164),ISNUMBER(M164)),IF(M164&gt;=J164,(M164-J164)*1440,""),"")</f>
        <v>4.77676666456667</v>
      </c>
      <c r="O164" s="54" t="str">
        <f aca="false">IF(N164="","",LOOKUP(N164,Tiempos!$A$6:$A$10,Tiempos!$B$6:$B$10))</f>
        <v>4 a 6 min</v>
      </c>
      <c r="P164" s="54" t="s">
        <v>244</v>
      </c>
      <c r="Q164" s="54" t="s">
        <v>214</v>
      </c>
      <c r="R164" s="54" t="s">
        <v>128</v>
      </c>
      <c r="S164" s="54" t="s">
        <v>220</v>
      </c>
      <c r="T164" s="58" t="n">
        <v>95</v>
      </c>
      <c r="U164" s="54" t="s">
        <v>214</v>
      </c>
      <c r="V164" s="58" t="n">
        <v>3.07</v>
      </c>
      <c r="W164" s="57" t="s">
        <v>397</v>
      </c>
      <c r="X164" s="55" t="n">
        <v>3</v>
      </c>
      <c r="Y164" s="54" t="s">
        <v>212</v>
      </c>
      <c r="Z164" s="56"/>
      <c r="AA164" s="58" t="str">
        <f aca="false">IF(AND(ISNUMBER(M164),ISNUMBER(Z164)),IF(Z164&gt;=M164,(Z164-M164)*1440,""),"")</f>
        <v/>
      </c>
      <c r="AB164" s="57"/>
      <c r="AC164" s="56"/>
      <c r="AD164" s="58" t="str">
        <f aca="false">IF(AND(ISNUMBER(Z164),ISNUMBER(AC164)),IF(AC164&gt;=Z164,(AC164-Z164)*1440,""),"")</f>
        <v/>
      </c>
      <c r="AE164" s="54"/>
      <c r="AF164" s="54" t="s">
        <v>214</v>
      </c>
      <c r="AG164" s="54"/>
      <c r="AH164" s="58"/>
      <c r="AI164" s="55" t="n">
        <v>2</v>
      </c>
      <c r="AJ164" s="54" t="s">
        <v>216</v>
      </c>
      <c r="AK164" s="54" t="s">
        <v>212</v>
      </c>
    </row>
    <row r="165" customFormat="false" ht="15" hidden="false" customHeight="false" outlineLevel="0" collapsed="false">
      <c r="A165" s="54" t="s">
        <v>27</v>
      </c>
      <c r="B165" s="55" t="n">
        <v>454</v>
      </c>
      <c r="C165" s="54" t="s">
        <v>127</v>
      </c>
      <c r="D165" s="54" t="s">
        <v>212</v>
      </c>
      <c r="E165" s="54"/>
      <c r="F165" s="56" t="n">
        <v>46301.7907178704</v>
      </c>
      <c r="G165" s="54" t="s">
        <v>212</v>
      </c>
      <c r="H165" s="54" t="s">
        <v>214</v>
      </c>
      <c r="I165" s="57"/>
      <c r="J165" s="56"/>
      <c r="K165" s="56"/>
      <c r="L165" s="58" t="str">
        <f aca="false">IF(AND(ISNUMBER(J165),ISNUMBER(K165)),IF(K165&gt;=J165,(K165-J165)*1440,""),"")</f>
        <v/>
      </c>
      <c r="M165" s="56"/>
      <c r="N165" s="58" t="str">
        <f aca="false">IF(AND(ISNUMBER(J165),ISNUMBER(M165)),IF(M165&gt;=J165,(M165-J165)*1440,""),"")</f>
        <v/>
      </c>
      <c r="O165" s="54" t="str">
        <f aca="false">IF(N165="","",LOOKUP(N165,Tiempos!$A$6:$A$10,Tiempos!$B$6:$B$10))</f>
        <v/>
      </c>
      <c r="P165" s="54"/>
      <c r="Q165" s="54"/>
      <c r="R165" s="54"/>
      <c r="S165" s="54"/>
      <c r="T165" s="58"/>
      <c r="U165" s="54"/>
      <c r="V165" s="58"/>
      <c r="W165" s="57"/>
      <c r="X165" s="55"/>
      <c r="Y165" s="54"/>
      <c r="Z165" s="56"/>
      <c r="AA165" s="58" t="str">
        <f aca="false">IF(AND(ISNUMBER(M165),ISNUMBER(Z165)),IF(Z165&gt;=M165,(Z165-M165)*1440,""),"")</f>
        <v/>
      </c>
      <c r="AB165" s="57"/>
      <c r="AC165" s="56"/>
      <c r="AD165" s="58" t="str">
        <f aca="false">IF(AND(ISNUMBER(Z165),ISNUMBER(AC165)),IF(AC165&gt;=Z165,(AC165-Z165)*1440,""),"")</f>
        <v/>
      </c>
      <c r="AE165" s="54"/>
      <c r="AF165" s="54"/>
      <c r="AG165" s="54"/>
      <c r="AH165" s="58"/>
      <c r="AI165" s="55" t="n">
        <v>1</v>
      </c>
      <c r="AJ165" s="54" t="s">
        <v>216</v>
      </c>
      <c r="AK165" s="54" t="s">
        <v>212</v>
      </c>
    </row>
    <row r="166" customFormat="false" ht="15" hidden="false" customHeight="false" outlineLevel="0" collapsed="false">
      <c r="A166" s="54" t="s">
        <v>27</v>
      </c>
      <c r="B166" s="55" t="n">
        <v>459</v>
      </c>
      <c r="C166" s="54" t="s">
        <v>128</v>
      </c>
      <c r="D166" s="54" t="s">
        <v>214</v>
      </c>
      <c r="E166" s="54" t="s">
        <v>233</v>
      </c>
      <c r="F166" s="56" t="n">
        <v>46301.7984658565</v>
      </c>
      <c r="G166" s="54" t="s">
        <v>212</v>
      </c>
      <c r="H166" s="54" t="s">
        <v>214</v>
      </c>
      <c r="I166" s="57" t="s">
        <v>398</v>
      </c>
      <c r="J166" s="56" t="n">
        <v>46301.799410706</v>
      </c>
      <c r="K166" s="56" t="n">
        <v>46301.799585081</v>
      </c>
      <c r="L166" s="58" t="n">
        <f aca="false">IF(AND(ISNUMBER(J166),ISNUMBER(K166)),IF(K166&gt;=J166,(K166-J166)*1440,""),"")</f>
        <v>0.251100015583333</v>
      </c>
      <c r="M166" s="56" t="n">
        <v>46301.8018313079</v>
      </c>
      <c r="N166" s="58" t="n">
        <f aca="false">IF(AND(ISNUMBER(J166),ISNUMBER(M166)),IF(M166&gt;=J166,(M166-J166)*1440,""),"")</f>
        <v>3.48566668456667</v>
      </c>
      <c r="O166" s="54" t="str">
        <f aca="false">IF(N166="","",LOOKUP(N166,Tiempos!$A$6:$A$10,Tiempos!$B$6:$B$10))</f>
        <v>Menos de 4 min</v>
      </c>
      <c r="P166" s="54" t="s">
        <v>244</v>
      </c>
      <c r="Q166" s="54" t="s">
        <v>214</v>
      </c>
      <c r="R166" s="54" t="s">
        <v>128</v>
      </c>
      <c r="S166" s="54" t="s">
        <v>220</v>
      </c>
      <c r="T166" s="58" t="n">
        <v>87.4</v>
      </c>
      <c r="U166" s="54" t="s">
        <v>214</v>
      </c>
      <c r="V166" s="58" t="n">
        <v>3.23</v>
      </c>
      <c r="W166" s="57" t="s">
        <v>399</v>
      </c>
      <c r="X166" s="55" t="n">
        <v>3</v>
      </c>
      <c r="Y166" s="54" t="s">
        <v>214</v>
      </c>
      <c r="Z166" s="56" t="n">
        <v>46305.6169208449</v>
      </c>
      <c r="AA166" s="58" t="n">
        <f aca="false">IF(AND(ISNUMBER(M166),ISNUMBER(Z166)),IF(Z166&gt;=M166,(Z166-M166)*1440,""),"")</f>
        <v>5493.72893332968</v>
      </c>
      <c r="AB166" s="57" t="s">
        <v>400</v>
      </c>
      <c r="AC166" s="56" t="n">
        <v>46305.6181814468</v>
      </c>
      <c r="AD166" s="58" t="n">
        <f aca="false">IF(AND(ISNUMBER(Z166),ISNUMBER(AC166)),IF(AC166&gt;=Z166,(AC166-Z166)*1440,""),"")</f>
        <v>1.81526667438333</v>
      </c>
      <c r="AE166" s="54" t="s">
        <v>258</v>
      </c>
      <c r="AF166" s="54" t="s">
        <v>214</v>
      </c>
      <c r="AG166" s="54" t="s">
        <v>212</v>
      </c>
      <c r="AH166" s="58"/>
      <c r="AI166" s="55" t="n">
        <v>2</v>
      </c>
      <c r="AJ166" s="54" t="s">
        <v>216</v>
      </c>
      <c r="AK166" s="54" t="s">
        <v>212</v>
      </c>
    </row>
    <row r="167" customFormat="false" ht="15" hidden="false" customHeight="false" outlineLevel="0" collapsed="false">
      <c r="A167" s="54" t="s">
        <v>27</v>
      </c>
      <c r="B167" s="55" t="n">
        <v>461</v>
      </c>
      <c r="C167" s="54" t="s">
        <v>128</v>
      </c>
      <c r="D167" s="54" t="s">
        <v>214</v>
      </c>
      <c r="E167" s="54" t="s">
        <v>289</v>
      </c>
      <c r="F167" s="56" t="n">
        <v>46301.816147882</v>
      </c>
      <c r="G167" s="54" t="s">
        <v>212</v>
      </c>
      <c r="H167" s="54" t="s">
        <v>214</v>
      </c>
      <c r="I167" s="57" t="s">
        <v>401</v>
      </c>
      <c r="J167" s="56" t="n">
        <v>46301.8167784028</v>
      </c>
      <c r="K167" s="56" t="n">
        <v>46301.8175927315</v>
      </c>
      <c r="L167" s="58" t="n">
        <f aca="false">IF(AND(ISNUMBER(J167),ISNUMBER(K167)),IF(K167&gt;=J167,(K167-J167)*1440,""),"")</f>
        <v>1.17263332473333</v>
      </c>
      <c r="M167" s="56" t="n">
        <v>46301.8267637847</v>
      </c>
      <c r="N167" s="58" t="n">
        <f aca="false">IF(AND(ISNUMBER(J167),ISNUMBER(M167)),IF(M167&gt;=J167,(M167-J167)*1440,""),"")</f>
        <v>14.3789499846667</v>
      </c>
      <c r="O167" s="54" t="str">
        <f aca="false">IF(N167="","",LOOKUP(N167,Tiempos!$A$6:$A$10,Tiempos!$B$6:$B$10))</f>
        <v>10 a 30 min</v>
      </c>
      <c r="P167" s="54" t="s">
        <v>244</v>
      </c>
      <c r="Q167" s="54" t="s">
        <v>214</v>
      </c>
      <c r="R167" s="54" t="s">
        <v>128</v>
      </c>
      <c r="S167" s="54" t="s">
        <v>220</v>
      </c>
      <c r="T167" s="58" t="n">
        <v>104</v>
      </c>
      <c r="U167" s="54" t="s">
        <v>214</v>
      </c>
      <c r="V167" s="58" t="n">
        <v>3.95</v>
      </c>
      <c r="W167" s="57" t="s">
        <v>402</v>
      </c>
      <c r="X167" s="55" t="n">
        <v>3</v>
      </c>
      <c r="Y167" s="54" t="s">
        <v>214</v>
      </c>
      <c r="Z167" s="56" t="n">
        <v>46301.8310072685</v>
      </c>
      <c r="AA167" s="58" t="n">
        <f aca="false">IF(AND(ISNUMBER(M167),ISNUMBER(Z167)),IF(Z167&gt;=M167,(Z167-M167)*1440,""),"")</f>
        <v>6.11061667673333</v>
      </c>
      <c r="AB167" s="57" t="s">
        <v>403</v>
      </c>
      <c r="AC167" s="56" t="n">
        <v>46301.8324977315</v>
      </c>
      <c r="AD167" s="58" t="n">
        <f aca="false">IF(AND(ISNUMBER(Z167),ISNUMBER(AC167)),IF(AC167&gt;=Z167,(AC167-Z167)*1440,""),"")</f>
        <v>2.14626665808333</v>
      </c>
      <c r="AE167" s="54" t="s">
        <v>346</v>
      </c>
      <c r="AF167" s="54" t="s">
        <v>214</v>
      </c>
      <c r="AG167" s="54" t="s">
        <v>214</v>
      </c>
      <c r="AH167" s="58" t="n">
        <v>4.2</v>
      </c>
      <c r="AI167" s="55" t="n">
        <v>2</v>
      </c>
      <c r="AJ167" s="54" t="s">
        <v>216</v>
      </c>
      <c r="AK167" s="54" t="s">
        <v>212</v>
      </c>
    </row>
    <row r="168" customFormat="false" ht="15" hidden="false" customHeight="false" outlineLevel="0" collapsed="false">
      <c r="A168" s="54" t="s">
        <v>27</v>
      </c>
      <c r="B168" s="55" t="n">
        <v>474</v>
      </c>
      <c r="C168" s="54" t="s">
        <v>127</v>
      </c>
      <c r="D168" s="54" t="s">
        <v>212</v>
      </c>
      <c r="E168" s="54"/>
      <c r="F168" s="56" t="n">
        <v>46301.8563634838</v>
      </c>
      <c r="G168" s="54" t="s">
        <v>212</v>
      </c>
      <c r="H168" s="54" t="s">
        <v>214</v>
      </c>
      <c r="I168" s="57"/>
      <c r="J168" s="56"/>
      <c r="K168" s="56"/>
      <c r="L168" s="58" t="str">
        <f aca="false">IF(AND(ISNUMBER(J168),ISNUMBER(K168)),IF(K168&gt;=J168,(K168-J168)*1440,""),"")</f>
        <v/>
      </c>
      <c r="M168" s="56"/>
      <c r="N168" s="58" t="str">
        <f aca="false">IF(AND(ISNUMBER(J168),ISNUMBER(M168)),IF(M168&gt;=J168,(M168-J168)*1440,""),"")</f>
        <v/>
      </c>
      <c r="O168" s="54" t="str">
        <f aca="false">IF(N168="","",LOOKUP(N168,Tiempos!$A$6:$A$10,Tiempos!$B$6:$B$10))</f>
        <v/>
      </c>
      <c r="P168" s="54"/>
      <c r="Q168" s="54"/>
      <c r="R168" s="54"/>
      <c r="S168" s="54"/>
      <c r="T168" s="58"/>
      <c r="U168" s="54"/>
      <c r="V168" s="58"/>
      <c r="W168" s="57"/>
      <c r="X168" s="55"/>
      <c r="Y168" s="54"/>
      <c r="Z168" s="56"/>
      <c r="AA168" s="58" t="str">
        <f aca="false">IF(AND(ISNUMBER(M168),ISNUMBER(Z168)),IF(Z168&gt;=M168,(Z168-M168)*1440,""),"")</f>
        <v/>
      </c>
      <c r="AB168" s="57"/>
      <c r="AC168" s="56"/>
      <c r="AD168" s="58" t="str">
        <f aca="false">IF(AND(ISNUMBER(Z168),ISNUMBER(AC168)),IF(AC168&gt;=Z168,(AC168-Z168)*1440,""),"")</f>
        <v/>
      </c>
      <c r="AE168" s="54"/>
      <c r="AF168" s="54"/>
      <c r="AG168" s="54"/>
      <c r="AH168" s="58"/>
      <c r="AI168" s="55" t="n">
        <v>2</v>
      </c>
      <c r="AJ168" s="54" t="s">
        <v>216</v>
      </c>
      <c r="AK168" s="54" t="s">
        <v>212</v>
      </c>
    </row>
    <row r="169" customFormat="false" ht="15" hidden="false" customHeight="false" outlineLevel="0" collapsed="false">
      <c r="A169" s="54" t="s">
        <v>27</v>
      </c>
      <c r="B169" s="55" t="n">
        <v>467</v>
      </c>
      <c r="C169" s="54" t="s">
        <v>127</v>
      </c>
      <c r="D169" s="54" t="s">
        <v>212</v>
      </c>
      <c r="E169" s="54"/>
      <c r="F169" s="56" t="n">
        <v>46301.8616162384</v>
      </c>
      <c r="G169" s="54" t="s">
        <v>212</v>
      </c>
      <c r="H169" s="54" t="s">
        <v>212</v>
      </c>
      <c r="I169" s="57"/>
      <c r="J169" s="56"/>
      <c r="K169" s="56"/>
      <c r="L169" s="58" t="str">
        <f aca="false">IF(AND(ISNUMBER(J169),ISNUMBER(K169)),IF(K169&gt;=J169,(K169-J169)*1440,""),"")</f>
        <v/>
      </c>
      <c r="M169" s="56"/>
      <c r="N169" s="58" t="str">
        <f aca="false">IF(AND(ISNUMBER(J169),ISNUMBER(M169)),IF(M169&gt;=J169,(M169-J169)*1440,""),"")</f>
        <v/>
      </c>
      <c r="O169" s="54" t="str">
        <f aca="false">IF(N169="","",LOOKUP(N169,Tiempos!$A$6:$A$10,Tiempos!$B$6:$B$10))</f>
        <v/>
      </c>
      <c r="P169" s="54"/>
      <c r="Q169" s="54"/>
      <c r="R169" s="54"/>
      <c r="S169" s="54"/>
      <c r="T169" s="58"/>
      <c r="U169" s="54"/>
      <c r="V169" s="58"/>
      <c r="W169" s="57"/>
      <c r="X169" s="55"/>
      <c r="Y169" s="54"/>
      <c r="Z169" s="56"/>
      <c r="AA169" s="58" t="str">
        <f aca="false">IF(AND(ISNUMBER(M169),ISNUMBER(Z169)),IF(Z169&gt;=M169,(Z169-M169)*1440,""),"")</f>
        <v/>
      </c>
      <c r="AB169" s="57"/>
      <c r="AC169" s="56"/>
      <c r="AD169" s="58" t="str">
        <f aca="false">IF(AND(ISNUMBER(Z169),ISNUMBER(AC169)),IF(AC169&gt;=Z169,(AC169-Z169)*1440,""),"")</f>
        <v/>
      </c>
      <c r="AE169" s="54"/>
      <c r="AF169" s="54"/>
      <c r="AG169" s="54"/>
      <c r="AH169" s="58"/>
      <c r="AI169" s="55" t="n">
        <v>1</v>
      </c>
      <c r="AJ169" s="54" t="s">
        <v>216</v>
      </c>
      <c r="AK169" s="54" t="s">
        <v>212</v>
      </c>
    </row>
    <row r="170" customFormat="false" ht="15" hidden="false" customHeight="false" outlineLevel="0" collapsed="false">
      <c r="A170" s="54" t="s">
        <v>27</v>
      </c>
      <c r="B170" s="55" t="n">
        <v>478</v>
      </c>
      <c r="C170" s="54" t="s">
        <v>128</v>
      </c>
      <c r="D170" s="54" t="s">
        <v>214</v>
      </c>
      <c r="E170" s="54" t="s">
        <v>233</v>
      </c>
      <c r="F170" s="56" t="n">
        <v>46301.8699670255</v>
      </c>
      <c r="G170" s="54" t="s">
        <v>212</v>
      </c>
      <c r="H170" s="54" t="s">
        <v>214</v>
      </c>
      <c r="I170" s="57" t="s">
        <v>404</v>
      </c>
      <c r="J170" s="56" t="n">
        <v>46301.8818114468</v>
      </c>
      <c r="K170" s="56" t="n">
        <v>46301.8820818056</v>
      </c>
      <c r="L170" s="58" t="n">
        <f aca="false">IF(AND(ISNUMBER(J170),ISNUMBER(K170)),IF(K170&gt;=J170,(K170-J170)*1440,""),"")</f>
        <v>0.389316655916667</v>
      </c>
      <c r="M170" s="56" t="n">
        <v>46301.8862634028</v>
      </c>
      <c r="N170" s="58" t="n">
        <f aca="false">IF(AND(ISNUMBER(J170),ISNUMBER(M170)),IF(M170&gt;=J170,(M170-J170)*1440,""),"")</f>
        <v>6.4108166762</v>
      </c>
      <c r="O170" s="54" t="str">
        <f aca="false">IF(N170="","",LOOKUP(N170,Tiempos!$A$6:$A$10,Tiempos!$B$6:$B$10))</f>
        <v>6 a 10 min</v>
      </c>
      <c r="P170" s="54" t="s">
        <v>244</v>
      </c>
      <c r="Q170" s="54" t="s">
        <v>214</v>
      </c>
      <c r="R170" s="54" t="s">
        <v>128</v>
      </c>
      <c r="S170" s="54" t="s">
        <v>220</v>
      </c>
      <c r="T170" s="58" t="n">
        <v>73.9</v>
      </c>
      <c r="U170" s="54" t="s">
        <v>214</v>
      </c>
      <c r="V170" s="58" t="n">
        <v>6.02</v>
      </c>
      <c r="W170" s="57" t="s">
        <v>405</v>
      </c>
      <c r="X170" s="55" t="n">
        <v>3</v>
      </c>
      <c r="Y170" s="54" t="s">
        <v>212</v>
      </c>
      <c r="Z170" s="56"/>
      <c r="AA170" s="58" t="str">
        <f aca="false">IF(AND(ISNUMBER(M170),ISNUMBER(Z170)),IF(Z170&gt;=M170,(Z170-M170)*1440,""),"")</f>
        <v/>
      </c>
      <c r="AB170" s="57"/>
      <c r="AC170" s="56"/>
      <c r="AD170" s="58" t="str">
        <f aca="false">IF(AND(ISNUMBER(Z170),ISNUMBER(AC170)),IF(AC170&gt;=Z170,(AC170-Z170)*1440,""),"")</f>
        <v/>
      </c>
      <c r="AE170" s="54"/>
      <c r="AF170" s="54" t="s">
        <v>214</v>
      </c>
      <c r="AG170" s="54"/>
      <c r="AH170" s="58"/>
      <c r="AI170" s="55" t="n">
        <v>2</v>
      </c>
      <c r="AJ170" s="54" t="s">
        <v>216</v>
      </c>
      <c r="AK170" s="54" t="s">
        <v>212</v>
      </c>
    </row>
    <row r="171" customFormat="false" ht="15" hidden="false" customHeight="false" outlineLevel="0" collapsed="false">
      <c r="A171" s="54" t="s">
        <v>27</v>
      </c>
      <c r="B171" s="55" t="n">
        <v>484</v>
      </c>
      <c r="C171" s="54" t="s">
        <v>128</v>
      </c>
      <c r="D171" s="54" t="s">
        <v>214</v>
      </c>
      <c r="E171" s="54" t="s">
        <v>242</v>
      </c>
      <c r="F171" s="56" t="n">
        <v>46301.905069456</v>
      </c>
      <c r="G171" s="54" t="s">
        <v>212</v>
      </c>
      <c r="H171" s="54" t="s">
        <v>212</v>
      </c>
      <c r="I171" s="57" t="s">
        <v>406</v>
      </c>
      <c r="J171" s="56" t="n">
        <v>46301.905414294</v>
      </c>
      <c r="K171" s="56" t="n">
        <v>46301.9058686458</v>
      </c>
      <c r="L171" s="58" t="n">
        <f aca="false">IF(AND(ISNUMBER(J171),ISNUMBER(K171)),IF(K171&gt;=J171,(K171-J171)*1440,""),"")</f>
        <v>0.654266666383333</v>
      </c>
      <c r="M171" s="56" t="n">
        <v>46301.9111202315</v>
      </c>
      <c r="N171" s="58" t="n">
        <f aca="false">IF(AND(ISNUMBER(J171),ISNUMBER(M171)),IF(M171&gt;=J171,(M171-J171)*1440,""),"")</f>
        <v>8.21655000443333</v>
      </c>
      <c r="O171" s="54" t="str">
        <f aca="false">IF(N171="","",LOOKUP(N171,Tiempos!$A$6:$A$10,Tiempos!$B$6:$B$10))</f>
        <v>6 a 10 min</v>
      </c>
      <c r="P171" s="54" t="s">
        <v>244</v>
      </c>
      <c r="Q171" s="54" t="s">
        <v>214</v>
      </c>
      <c r="R171" s="54" t="s">
        <v>128</v>
      </c>
      <c r="S171" s="54" t="s">
        <v>220</v>
      </c>
      <c r="T171" s="58" t="n">
        <v>86.8</v>
      </c>
      <c r="U171" s="54" t="s">
        <v>212</v>
      </c>
      <c r="V171" s="58" t="n">
        <v>6.15</v>
      </c>
      <c r="W171" s="57" t="s">
        <v>407</v>
      </c>
      <c r="X171" s="55" t="n">
        <v>3</v>
      </c>
      <c r="Y171" s="54" t="s">
        <v>212</v>
      </c>
      <c r="Z171" s="56"/>
      <c r="AA171" s="58" t="str">
        <f aca="false">IF(AND(ISNUMBER(M171),ISNUMBER(Z171)),IF(Z171&gt;=M171,(Z171-M171)*1440,""),"")</f>
        <v/>
      </c>
      <c r="AB171" s="57"/>
      <c r="AC171" s="56"/>
      <c r="AD171" s="58" t="str">
        <f aca="false">IF(AND(ISNUMBER(Z171),ISNUMBER(AC171)),IF(AC171&gt;=Z171,(AC171-Z171)*1440,""),"")</f>
        <v/>
      </c>
      <c r="AE171" s="54"/>
      <c r="AF171" s="54" t="s">
        <v>214</v>
      </c>
      <c r="AG171" s="54"/>
      <c r="AH171" s="58"/>
      <c r="AI171" s="55" t="n">
        <v>2</v>
      </c>
      <c r="AJ171" s="54" t="s">
        <v>216</v>
      </c>
      <c r="AK171" s="54" t="s">
        <v>212</v>
      </c>
    </row>
    <row r="172" customFormat="false" ht="15" hidden="false" customHeight="false" outlineLevel="0" collapsed="false">
      <c r="A172" s="54" t="s">
        <v>27</v>
      </c>
      <c r="B172" s="55" t="n">
        <v>487</v>
      </c>
      <c r="C172" s="54" t="s">
        <v>129</v>
      </c>
      <c r="D172" s="54" t="s">
        <v>214</v>
      </c>
      <c r="E172" s="54" t="s">
        <v>289</v>
      </c>
      <c r="F172" s="56" t="n">
        <v>46301.9120462732</v>
      </c>
      <c r="G172" s="54" t="s">
        <v>212</v>
      </c>
      <c r="H172" s="54" t="s">
        <v>212</v>
      </c>
      <c r="I172" s="57" t="s">
        <v>408</v>
      </c>
      <c r="J172" s="56" t="n">
        <v>46301.9152352546</v>
      </c>
      <c r="K172" s="56" t="n">
        <v>46301.9365378125</v>
      </c>
      <c r="L172" s="58" t="n">
        <f aca="false">IF(AND(ISNUMBER(J172),ISNUMBER(K172)),IF(K172&gt;=J172,(K172-J172)*1440,""),"")</f>
        <v>30.6756833335333</v>
      </c>
      <c r="M172" s="56" t="n">
        <v>46301.9365378125</v>
      </c>
      <c r="N172" s="58" t="n">
        <f aca="false">IF(AND(ISNUMBER(J172),ISNUMBER(M172)),IF(M172&gt;=J172,(M172-J172)*1440,""),"")</f>
        <v>30.6756833335333</v>
      </c>
      <c r="O172" s="54" t="str">
        <f aca="false">IF(N172="","",LOOKUP(N172,Tiempos!$A$6:$A$10,Tiempos!$B$6:$B$10))</f>
        <v>30 min o más</v>
      </c>
      <c r="P172" s="54" t="s">
        <v>239</v>
      </c>
      <c r="Q172" s="54" t="s">
        <v>214</v>
      </c>
      <c r="R172" s="54" t="s">
        <v>129</v>
      </c>
      <c r="S172" s="54" t="s">
        <v>220</v>
      </c>
      <c r="T172" s="58" t="n">
        <v>105.1</v>
      </c>
      <c r="U172" s="54" t="s">
        <v>212</v>
      </c>
      <c r="V172" s="58"/>
      <c r="W172" s="57" t="s">
        <v>409</v>
      </c>
      <c r="X172" s="55" t="n">
        <v>4</v>
      </c>
      <c r="Y172" s="54" t="s">
        <v>212</v>
      </c>
      <c r="Z172" s="56"/>
      <c r="AA172" s="58" t="str">
        <f aca="false">IF(AND(ISNUMBER(M172),ISNUMBER(Z172)),IF(Z172&gt;=M172,(Z172-M172)*1440,""),"")</f>
        <v/>
      </c>
      <c r="AB172" s="57"/>
      <c r="AC172" s="56"/>
      <c r="AD172" s="58" t="str">
        <f aca="false">IF(AND(ISNUMBER(Z172),ISNUMBER(AC172)),IF(AC172&gt;=Z172,(AC172-Z172)*1440,""),"")</f>
        <v/>
      </c>
      <c r="AE172" s="54"/>
      <c r="AF172" s="54" t="s">
        <v>214</v>
      </c>
      <c r="AG172" s="54"/>
      <c r="AH172" s="58"/>
      <c r="AI172" s="55" t="n">
        <v>2</v>
      </c>
      <c r="AJ172" s="54" t="s">
        <v>216</v>
      </c>
      <c r="AK172" s="54" t="s">
        <v>212</v>
      </c>
    </row>
    <row r="173" customFormat="false" ht="15" hidden="false" customHeight="false" outlineLevel="0" collapsed="false">
      <c r="A173" s="54" t="s">
        <v>27</v>
      </c>
      <c r="B173" s="55" t="n">
        <v>489</v>
      </c>
      <c r="C173" s="54" t="s">
        <v>128</v>
      </c>
      <c r="D173" s="54" t="s">
        <v>212</v>
      </c>
      <c r="E173" s="54"/>
      <c r="F173" s="56" t="n">
        <v>46301.9212045718</v>
      </c>
      <c r="G173" s="54" t="s">
        <v>214</v>
      </c>
      <c r="H173" s="54" t="s">
        <v>214</v>
      </c>
      <c r="I173" s="57"/>
      <c r="J173" s="56"/>
      <c r="K173" s="56"/>
      <c r="L173" s="58" t="str">
        <f aca="false">IF(AND(ISNUMBER(J173),ISNUMBER(K173)),IF(K173&gt;=J173,(K173-J173)*1440,""),"")</f>
        <v/>
      </c>
      <c r="M173" s="56"/>
      <c r="N173" s="58" t="str">
        <f aca="false">IF(AND(ISNUMBER(J173),ISNUMBER(M173)),IF(M173&gt;=J173,(M173-J173)*1440,""),"")</f>
        <v/>
      </c>
      <c r="O173" s="54" t="str">
        <f aca="false">IF(N173="","",LOOKUP(N173,Tiempos!$A$6:$A$10,Tiempos!$B$6:$B$10))</f>
        <v/>
      </c>
      <c r="P173" s="54"/>
      <c r="Q173" s="54"/>
      <c r="R173" s="54"/>
      <c r="S173" s="54"/>
      <c r="T173" s="58"/>
      <c r="U173" s="54"/>
      <c r="V173" s="58"/>
      <c r="W173" s="57"/>
      <c r="X173" s="55"/>
      <c r="Y173" s="54"/>
      <c r="Z173" s="56"/>
      <c r="AA173" s="58" t="str">
        <f aca="false">IF(AND(ISNUMBER(M173),ISNUMBER(Z173)),IF(Z173&gt;=M173,(Z173-M173)*1440,""),"")</f>
        <v/>
      </c>
      <c r="AB173" s="57"/>
      <c r="AC173" s="56"/>
      <c r="AD173" s="58" t="str">
        <f aca="false">IF(AND(ISNUMBER(Z173),ISNUMBER(AC173)),IF(AC173&gt;=Z173,(AC173-Z173)*1440,""),"")</f>
        <v/>
      </c>
      <c r="AE173" s="54"/>
      <c r="AF173" s="54"/>
      <c r="AG173" s="54"/>
      <c r="AH173" s="58"/>
      <c r="AI173" s="55" t="n">
        <v>3</v>
      </c>
      <c r="AJ173" s="54" t="s">
        <v>216</v>
      </c>
      <c r="AK173" s="54" t="s">
        <v>212</v>
      </c>
    </row>
    <row r="174" customFormat="false" ht="15" hidden="false" customHeight="false" outlineLevel="0" collapsed="false">
      <c r="A174" s="54" t="s">
        <v>27</v>
      </c>
      <c r="B174" s="55" t="n">
        <v>492</v>
      </c>
      <c r="C174" s="54" t="s">
        <v>127</v>
      </c>
      <c r="D174" s="54" t="s">
        <v>212</v>
      </c>
      <c r="E174" s="54"/>
      <c r="F174" s="56" t="n">
        <v>46301.9367428125</v>
      </c>
      <c r="G174" s="54" t="s">
        <v>214</v>
      </c>
      <c r="H174" s="54" t="s">
        <v>214</v>
      </c>
      <c r="I174" s="57"/>
      <c r="J174" s="56"/>
      <c r="K174" s="56"/>
      <c r="L174" s="58" t="str">
        <f aca="false">IF(AND(ISNUMBER(J174),ISNUMBER(K174)),IF(K174&gt;=J174,(K174-J174)*1440,""),"")</f>
        <v/>
      </c>
      <c r="M174" s="56"/>
      <c r="N174" s="58" t="str">
        <f aca="false">IF(AND(ISNUMBER(J174),ISNUMBER(M174)),IF(M174&gt;=J174,(M174-J174)*1440,""),"")</f>
        <v/>
      </c>
      <c r="O174" s="54" t="str">
        <f aca="false">IF(N174="","",LOOKUP(N174,Tiempos!$A$6:$A$10,Tiempos!$B$6:$B$10))</f>
        <v/>
      </c>
      <c r="P174" s="54"/>
      <c r="Q174" s="54"/>
      <c r="R174" s="54"/>
      <c r="S174" s="54"/>
      <c r="T174" s="58"/>
      <c r="U174" s="54"/>
      <c r="V174" s="58"/>
      <c r="W174" s="57"/>
      <c r="X174" s="55"/>
      <c r="Y174" s="54"/>
      <c r="Z174" s="56"/>
      <c r="AA174" s="58" t="str">
        <f aca="false">IF(AND(ISNUMBER(M174),ISNUMBER(Z174)),IF(Z174&gt;=M174,(Z174-M174)*1440,""),"")</f>
        <v/>
      </c>
      <c r="AB174" s="57"/>
      <c r="AC174" s="56"/>
      <c r="AD174" s="58" t="str">
        <f aca="false">IF(AND(ISNUMBER(Z174),ISNUMBER(AC174)),IF(AC174&gt;=Z174,(AC174-Z174)*1440,""),"")</f>
        <v/>
      </c>
      <c r="AE174" s="54"/>
      <c r="AF174" s="54"/>
      <c r="AG174" s="54"/>
      <c r="AH174" s="58"/>
      <c r="AI174" s="55" t="n">
        <v>2</v>
      </c>
      <c r="AJ174" s="54" t="s">
        <v>216</v>
      </c>
      <c r="AK174" s="54" t="s">
        <v>212</v>
      </c>
    </row>
    <row r="175" customFormat="false" ht="15" hidden="false" customHeight="false" outlineLevel="0" collapsed="false">
      <c r="A175" s="54" t="s">
        <v>27</v>
      </c>
      <c r="B175" s="55" t="n">
        <v>500</v>
      </c>
      <c r="C175" s="54" t="s">
        <v>127</v>
      </c>
      <c r="D175" s="54" t="s">
        <v>212</v>
      </c>
      <c r="E175" s="54"/>
      <c r="F175" s="56" t="n">
        <v>46301.9935603472</v>
      </c>
      <c r="G175" s="54" t="s">
        <v>214</v>
      </c>
      <c r="H175" s="54" t="s">
        <v>214</v>
      </c>
      <c r="I175" s="57"/>
      <c r="J175" s="56"/>
      <c r="K175" s="56"/>
      <c r="L175" s="58" t="str">
        <f aca="false">IF(AND(ISNUMBER(J175),ISNUMBER(K175)),IF(K175&gt;=J175,(K175-J175)*1440,""),"")</f>
        <v/>
      </c>
      <c r="M175" s="56"/>
      <c r="N175" s="58" t="str">
        <f aca="false">IF(AND(ISNUMBER(J175),ISNUMBER(M175)),IF(M175&gt;=J175,(M175-J175)*1440,""),"")</f>
        <v/>
      </c>
      <c r="O175" s="54" t="str">
        <f aca="false">IF(N175="","",LOOKUP(N175,Tiempos!$A$6:$A$10,Tiempos!$B$6:$B$10))</f>
        <v/>
      </c>
      <c r="P175" s="54"/>
      <c r="Q175" s="54"/>
      <c r="R175" s="54"/>
      <c r="S175" s="54"/>
      <c r="T175" s="58"/>
      <c r="U175" s="54"/>
      <c r="V175" s="58"/>
      <c r="W175" s="57"/>
      <c r="X175" s="55"/>
      <c r="Y175" s="54"/>
      <c r="Z175" s="56"/>
      <c r="AA175" s="58" t="str">
        <f aca="false">IF(AND(ISNUMBER(M175),ISNUMBER(Z175)),IF(Z175&gt;=M175,(Z175-M175)*1440,""),"")</f>
        <v/>
      </c>
      <c r="AB175" s="57"/>
      <c r="AC175" s="56"/>
      <c r="AD175" s="58" t="str">
        <f aca="false">IF(AND(ISNUMBER(Z175),ISNUMBER(AC175)),IF(AC175&gt;=Z175,(AC175-Z175)*1440,""),"")</f>
        <v/>
      </c>
      <c r="AE175" s="54"/>
      <c r="AF175" s="54"/>
      <c r="AG175" s="54"/>
      <c r="AH175" s="58"/>
      <c r="AI175" s="55" t="n">
        <v>1</v>
      </c>
      <c r="AJ175" s="54" t="s">
        <v>216</v>
      </c>
      <c r="AK175" s="54" t="s">
        <v>212</v>
      </c>
    </row>
    <row r="176" customFormat="false" ht="15" hidden="false" customHeight="false" outlineLevel="0" collapsed="false">
      <c r="A176" s="54" t="s">
        <v>27</v>
      </c>
      <c r="B176" s="55" t="n">
        <v>502</v>
      </c>
      <c r="C176" s="54" t="s">
        <v>127</v>
      </c>
      <c r="D176" s="54" t="s">
        <v>212</v>
      </c>
      <c r="E176" s="54"/>
      <c r="F176" s="56" t="n">
        <v>46301.9953659375</v>
      </c>
      <c r="G176" s="54" t="s">
        <v>214</v>
      </c>
      <c r="H176" s="54" t="s">
        <v>214</v>
      </c>
      <c r="I176" s="57"/>
      <c r="J176" s="56"/>
      <c r="K176" s="56"/>
      <c r="L176" s="58" t="str">
        <f aca="false">IF(AND(ISNUMBER(J176),ISNUMBER(K176)),IF(K176&gt;=J176,(K176-J176)*1440,""),"")</f>
        <v/>
      </c>
      <c r="M176" s="56"/>
      <c r="N176" s="58" t="str">
        <f aca="false">IF(AND(ISNUMBER(J176),ISNUMBER(M176)),IF(M176&gt;=J176,(M176-J176)*1440,""),"")</f>
        <v/>
      </c>
      <c r="O176" s="54" t="str">
        <f aca="false">IF(N176="","",LOOKUP(N176,Tiempos!$A$6:$A$10,Tiempos!$B$6:$B$10))</f>
        <v/>
      </c>
      <c r="P176" s="54"/>
      <c r="Q176" s="54"/>
      <c r="R176" s="54"/>
      <c r="S176" s="54"/>
      <c r="T176" s="58"/>
      <c r="U176" s="54"/>
      <c r="V176" s="58"/>
      <c r="W176" s="57"/>
      <c r="X176" s="55"/>
      <c r="Y176" s="54"/>
      <c r="Z176" s="56"/>
      <c r="AA176" s="58" t="str">
        <f aca="false">IF(AND(ISNUMBER(M176),ISNUMBER(Z176)),IF(Z176&gt;=M176,(Z176-M176)*1440,""),"")</f>
        <v/>
      </c>
      <c r="AB176" s="57"/>
      <c r="AC176" s="56"/>
      <c r="AD176" s="58" t="str">
        <f aca="false">IF(AND(ISNUMBER(Z176),ISNUMBER(AC176)),IF(AC176&gt;=Z176,(AC176-Z176)*1440,""),"")</f>
        <v/>
      </c>
      <c r="AE176" s="54"/>
      <c r="AF176" s="54"/>
      <c r="AG176" s="54"/>
      <c r="AH176" s="58"/>
      <c r="AI176" s="55" t="n">
        <v>1</v>
      </c>
      <c r="AJ176" s="54" t="s">
        <v>216</v>
      </c>
      <c r="AK176" s="54" t="s">
        <v>212</v>
      </c>
    </row>
    <row r="177" customFormat="false" ht="15" hidden="false" customHeight="false" outlineLevel="0" collapsed="false">
      <c r="A177" s="54" t="s">
        <v>27</v>
      </c>
      <c r="B177" s="55" t="n">
        <v>512</v>
      </c>
      <c r="C177" s="54" t="s">
        <v>127</v>
      </c>
      <c r="D177" s="54" t="s">
        <v>212</v>
      </c>
      <c r="E177" s="54"/>
      <c r="F177" s="56" t="n">
        <v>46302.0839531019</v>
      </c>
      <c r="G177" s="54" t="s">
        <v>214</v>
      </c>
      <c r="H177" s="54" t="s">
        <v>214</v>
      </c>
      <c r="I177" s="57"/>
      <c r="J177" s="56"/>
      <c r="K177" s="56"/>
      <c r="L177" s="58" t="str">
        <f aca="false">IF(AND(ISNUMBER(J177),ISNUMBER(K177)),IF(K177&gt;=J177,(K177-J177)*1440,""),"")</f>
        <v/>
      </c>
      <c r="M177" s="56"/>
      <c r="N177" s="58" t="str">
        <f aca="false">IF(AND(ISNUMBER(J177),ISNUMBER(M177)),IF(M177&gt;=J177,(M177-J177)*1440,""),"")</f>
        <v/>
      </c>
      <c r="O177" s="54" t="str">
        <f aca="false">IF(N177="","",LOOKUP(N177,Tiempos!$A$6:$A$10,Tiempos!$B$6:$B$10))</f>
        <v/>
      </c>
      <c r="P177" s="54"/>
      <c r="Q177" s="54"/>
      <c r="R177" s="54"/>
      <c r="S177" s="54"/>
      <c r="T177" s="58"/>
      <c r="U177" s="54"/>
      <c r="V177" s="58"/>
      <c r="W177" s="57"/>
      <c r="X177" s="55"/>
      <c r="Y177" s="54"/>
      <c r="Z177" s="56"/>
      <c r="AA177" s="58" t="str">
        <f aca="false">IF(AND(ISNUMBER(M177),ISNUMBER(Z177)),IF(Z177&gt;=M177,(Z177-M177)*1440,""),"")</f>
        <v/>
      </c>
      <c r="AB177" s="57"/>
      <c r="AC177" s="56"/>
      <c r="AD177" s="58" t="str">
        <f aca="false">IF(AND(ISNUMBER(Z177),ISNUMBER(AC177)),IF(AC177&gt;=Z177,(AC177-Z177)*1440,""),"")</f>
        <v/>
      </c>
      <c r="AE177" s="54"/>
      <c r="AF177" s="54"/>
      <c r="AG177" s="54"/>
      <c r="AH177" s="58"/>
      <c r="AI177" s="55" t="n">
        <v>1</v>
      </c>
      <c r="AJ177" s="54" t="s">
        <v>216</v>
      </c>
      <c r="AK177" s="54" t="s">
        <v>212</v>
      </c>
    </row>
    <row r="178" customFormat="false" ht="15" hidden="false" customHeight="false" outlineLevel="0" collapsed="false">
      <c r="A178" s="54" t="s">
        <v>27</v>
      </c>
      <c r="B178" s="55" t="n">
        <v>518</v>
      </c>
      <c r="C178" s="54" t="s">
        <v>127</v>
      </c>
      <c r="D178" s="54" t="s">
        <v>212</v>
      </c>
      <c r="E178" s="54"/>
      <c r="F178" s="56" t="n">
        <v>46302.2288931019</v>
      </c>
      <c r="G178" s="54" t="s">
        <v>214</v>
      </c>
      <c r="H178" s="54" t="s">
        <v>214</v>
      </c>
      <c r="I178" s="57"/>
      <c r="J178" s="56"/>
      <c r="K178" s="56"/>
      <c r="L178" s="58" t="str">
        <f aca="false">IF(AND(ISNUMBER(J178),ISNUMBER(K178)),IF(K178&gt;=J178,(K178-J178)*1440,""),"")</f>
        <v/>
      </c>
      <c r="M178" s="56"/>
      <c r="N178" s="58" t="str">
        <f aca="false">IF(AND(ISNUMBER(J178),ISNUMBER(M178)),IF(M178&gt;=J178,(M178-J178)*1440,""),"")</f>
        <v/>
      </c>
      <c r="O178" s="54" t="str">
        <f aca="false">IF(N178="","",LOOKUP(N178,Tiempos!$A$6:$A$10,Tiempos!$B$6:$B$10))</f>
        <v/>
      </c>
      <c r="P178" s="54"/>
      <c r="Q178" s="54"/>
      <c r="R178" s="54"/>
      <c r="S178" s="54"/>
      <c r="T178" s="58"/>
      <c r="U178" s="54"/>
      <c r="V178" s="58"/>
      <c r="W178" s="57"/>
      <c r="X178" s="55"/>
      <c r="Y178" s="54"/>
      <c r="Z178" s="56"/>
      <c r="AA178" s="58" t="str">
        <f aca="false">IF(AND(ISNUMBER(M178),ISNUMBER(Z178)),IF(Z178&gt;=M178,(Z178-M178)*1440,""),"")</f>
        <v/>
      </c>
      <c r="AB178" s="57"/>
      <c r="AC178" s="56"/>
      <c r="AD178" s="58" t="str">
        <f aca="false">IF(AND(ISNUMBER(Z178),ISNUMBER(AC178)),IF(AC178&gt;=Z178,(AC178-Z178)*1440,""),"")</f>
        <v/>
      </c>
      <c r="AE178" s="54"/>
      <c r="AF178" s="54"/>
      <c r="AG178" s="54"/>
      <c r="AH178" s="58"/>
      <c r="AI178" s="55" t="n">
        <v>1</v>
      </c>
      <c r="AJ178" s="54" t="s">
        <v>216</v>
      </c>
      <c r="AK178" s="54" t="s">
        <v>212</v>
      </c>
    </row>
    <row r="179" customFormat="false" ht="15" hidden="false" customHeight="false" outlineLevel="0" collapsed="false">
      <c r="A179" s="54" t="s">
        <v>27</v>
      </c>
      <c r="B179" s="55" t="n">
        <v>520</v>
      </c>
      <c r="C179" s="54" t="s">
        <v>127</v>
      </c>
      <c r="D179" s="54" t="s">
        <v>212</v>
      </c>
      <c r="E179" s="54"/>
      <c r="F179" s="56" t="n">
        <v>46302.2796296065</v>
      </c>
      <c r="G179" s="54" t="s">
        <v>214</v>
      </c>
      <c r="H179" s="54" t="s">
        <v>214</v>
      </c>
      <c r="I179" s="57"/>
      <c r="J179" s="56"/>
      <c r="K179" s="56"/>
      <c r="L179" s="58" t="str">
        <f aca="false">IF(AND(ISNUMBER(J179),ISNUMBER(K179)),IF(K179&gt;=J179,(K179-J179)*1440,""),"")</f>
        <v/>
      </c>
      <c r="M179" s="56"/>
      <c r="N179" s="58" t="str">
        <f aca="false">IF(AND(ISNUMBER(J179),ISNUMBER(M179)),IF(M179&gt;=J179,(M179-J179)*1440,""),"")</f>
        <v/>
      </c>
      <c r="O179" s="54" t="str">
        <f aca="false">IF(N179="","",LOOKUP(N179,Tiempos!$A$6:$A$10,Tiempos!$B$6:$B$10))</f>
        <v/>
      </c>
      <c r="P179" s="54"/>
      <c r="Q179" s="54"/>
      <c r="R179" s="54"/>
      <c r="S179" s="54"/>
      <c r="T179" s="58"/>
      <c r="U179" s="54"/>
      <c r="V179" s="58"/>
      <c r="W179" s="57"/>
      <c r="X179" s="55"/>
      <c r="Y179" s="54"/>
      <c r="Z179" s="56"/>
      <c r="AA179" s="58" t="str">
        <f aca="false">IF(AND(ISNUMBER(M179),ISNUMBER(Z179)),IF(Z179&gt;=M179,(Z179-M179)*1440,""),"")</f>
        <v/>
      </c>
      <c r="AB179" s="57"/>
      <c r="AC179" s="56"/>
      <c r="AD179" s="58" t="str">
        <f aca="false">IF(AND(ISNUMBER(Z179),ISNUMBER(AC179)),IF(AC179&gt;=Z179,(AC179-Z179)*1440,""),"")</f>
        <v/>
      </c>
      <c r="AE179" s="54"/>
      <c r="AF179" s="54"/>
      <c r="AG179" s="54"/>
      <c r="AH179" s="58"/>
      <c r="AI179" s="55" t="n">
        <v>1</v>
      </c>
      <c r="AJ179" s="54" t="s">
        <v>216</v>
      </c>
      <c r="AK179" s="54" t="s">
        <v>212</v>
      </c>
    </row>
    <row r="180" customFormat="false" ht="15" hidden="false" customHeight="false" outlineLevel="0" collapsed="false">
      <c r="A180" s="54" t="s">
        <v>27</v>
      </c>
      <c r="B180" s="55" t="n">
        <v>503</v>
      </c>
      <c r="C180" s="54" t="s">
        <v>127</v>
      </c>
      <c r="D180" s="54" t="s">
        <v>212</v>
      </c>
      <c r="E180" s="54"/>
      <c r="F180" s="56" t="n">
        <v>46302.295308287</v>
      </c>
      <c r="G180" s="54" t="s">
        <v>214</v>
      </c>
      <c r="H180" s="54" t="s">
        <v>214</v>
      </c>
      <c r="I180" s="57"/>
      <c r="J180" s="56"/>
      <c r="K180" s="56"/>
      <c r="L180" s="58" t="str">
        <f aca="false">IF(AND(ISNUMBER(J180),ISNUMBER(K180)),IF(K180&gt;=J180,(K180-J180)*1440,""),"")</f>
        <v/>
      </c>
      <c r="M180" s="56"/>
      <c r="N180" s="58" t="str">
        <f aca="false">IF(AND(ISNUMBER(J180),ISNUMBER(M180)),IF(M180&gt;=J180,(M180-J180)*1440,""),"")</f>
        <v/>
      </c>
      <c r="O180" s="54" t="str">
        <f aca="false">IF(N180="","",LOOKUP(N180,Tiempos!$A$6:$A$10,Tiempos!$B$6:$B$10))</f>
        <v/>
      </c>
      <c r="P180" s="54"/>
      <c r="Q180" s="54"/>
      <c r="R180" s="54"/>
      <c r="S180" s="54"/>
      <c r="T180" s="58"/>
      <c r="U180" s="54"/>
      <c r="V180" s="58"/>
      <c r="W180" s="57"/>
      <c r="X180" s="55"/>
      <c r="Y180" s="54"/>
      <c r="Z180" s="56"/>
      <c r="AA180" s="58" t="str">
        <f aca="false">IF(AND(ISNUMBER(M180),ISNUMBER(Z180)),IF(Z180&gt;=M180,(Z180-M180)*1440,""),"")</f>
        <v/>
      </c>
      <c r="AB180" s="57"/>
      <c r="AC180" s="56"/>
      <c r="AD180" s="58" t="str">
        <f aca="false">IF(AND(ISNUMBER(Z180),ISNUMBER(AC180)),IF(AC180&gt;=Z180,(AC180-Z180)*1440,""),"")</f>
        <v/>
      </c>
      <c r="AE180" s="54"/>
      <c r="AF180" s="54"/>
      <c r="AG180" s="54"/>
      <c r="AH180" s="58"/>
      <c r="AI180" s="55" t="n">
        <v>2</v>
      </c>
      <c r="AJ180" s="54" t="s">
        <v>216</v>
      </c>
      <c r="AK180" s="54" t="s">
        <v>212</v>
      </c>
    </row>
    <row r="181" customFormat="false" ht="15" hidden="false" customHeight="false" outlineLevel="0" collapsed="false">
      <c r="A181" s="54" t="s">
        <v>27</v>
      </c>
      <c r="B181" s="55" t="n">
        <v>507</v>
      </c>
      <c r="C181" s="54" t="s">
        <v>127</v>
      </c>
      <c r="D181" s="54" t="s">
        <v>212</v>
      </c>
      <c r="E181" s="54"/>
      <c r="F181" s="56" t="n">
        <v>46302.295788588</v>
      </c>
      <c r="G181" s="54" t="s">
        <v>214</v>
      </c>
      <c r="H181" s="54" t="s">
        <v>214</v>
      </c>
      <c r="I181" s="57"/>
      <c r="J181" s="56"/>
      <c r="K181" s="56"/>
      <c r="L181" s="58" t="str">
        <f aca="false">IF(AND(ISNUMBER(J181),ISNUMBER(K181)),IF(K181&gt;=J181,(K181-J181)*1440,""),"")</f>
        <v/>
      </c>
      <c r="M181" s="56"/>
      <c r="N181" s="58" t="str">
        <f aca="false">IF(AND(ISNUMBER(J181),ISNUMBER(M181)),IF(M181&gt;=J181,(M181-J181)*1440,""),"")</f>
        <v/>
      </c>
      <c r="O181" s="54" t="str">
        <f aca="false">IF(N181="","",LOOKUP(N181,Tiempos!$A$6:$A$10,Tiempos!$B$6:$B$10))</f>
        <v/>
      </c>
      <c r="P181" s="54"/>
      <c r="Q181" s="54"/>
      <c r="R181" s="54"/>
      <c r="S181" s="54"/>
      <c r="T181" s="58"/>
      <c r="U181" s="54"/>
      <c r="V181" s="58"/>
      <c r="W181" s="57"/>
      <c r="X181" s="55"/>
      <c r="Y181" s="54"/>
      <c r="Z181" s="56"/>
      <c r="AA181" s="58" t="str">
        <f aca="false">IF(AND(ISNUMBER(M181),ISNUMBER(Z181)),IF(Z181&gt;=M181,(Z181-M181)*1440,""),"")</f>
        <v/>
      </c>
      <c r="AB181" s="57"/>
      <c r="AC181" s="56"/>
      <c r="AD181" s="58" t="str">
        <f aca="false">IF(AND(ISNUMBER(Z181),ISNUMBER(AC181)),IF(AC181&gt;=Z181,(AC181-Z181)*1440,""),"")</f>
        <v/>
      </c>
      <c r="AE181" s="54"/>
      <c r="AF181" s="54"/>
      <c r="AG181" s="54"/>
      <c r="AH181" s="58"/>
      <c r="AI181" s="55" t="n">
        <v>3</v>
      </c>
      <c r="AJ181" s="54" t="s">
        <v>216</v>
      </c>
      <c r="AK181" s="54" t="s">
        <v>212</v>
      </c>
    </row>
    <row r="182" customFormat="false" ht="15" hidden="false" customHeight="false" outlineLevel="0" collapsed="false">
      <c r="A182" s="54" t="s">
        <v>27</v>
      </c>
      <c r="B182" s="55" t="n">
        <v>510</v>
      </c>
      <c r="C182" s="54" t="s">
        <v>127</v>
      </c>
      <c r="D182" s="54" t="s">
        <v>214</v>
      </c>
      <c r="E182" s="54" t="s">
        <v>217</v>
      </c>
      <c r="F182" s="56" t="n">
        <v>46302.2964571181</v>
      </c>
      <c r="G182" s="54" t="s">
        <v>214</v>
      </c>
      <c r="H182" s="54" t="s">
        <v>214</v>
      </c>
      <c r="I182" s="57" t="s">
        <v>410</v>
      </c>
      <c r="J182" s="56" t="n">
        <v>46302.2986151505</v>
      </c>
      <c r="K182" s="56" t="n">
        <v>46302.298828669</v>
      </c>
      <c r="L182" s="58" t="n">
        <f aca="false">IF(AND(ISNUMBER(J182),ISNUMBER(K182)),IF(K182&gt;=J182,(K182-J182)*1440,""),"")</f>
        <v>0.307466658983333</v>
      </c>
      <c r="M182" s="56" t="n">
        <v>46302.3009367245</v>
      </c>
      <c r="N182" s="58" t="n">
        <f aca="false">IF(AND(ISNUMBER(J182),ISNUMBER(M182)),IF(M182&gt;=J182,(M182-J182)*1440,""),"")</f>
        <v>3.3430666651</v>
      </c>
      <c r="O182" s="54" t="str">
        <f aca="false">IF(N182="","",LOOKUP(N182,Tiempos!$A$6:$A$10,Tiempos!$B$6:$B$10))</f>
        <v>Menos de 4 min</v>
      </c>
      <c r="P182" s="54" t="s">
        <v>229</v>
      </c>
      <c r="Q182" s="54" t="s">
        <v>214</v>
      </c>
      <c r="R182" s="54" t="s">
        <v>127</v>
      </c>
      <c r="S182" s="54" t="s">
        <v>220</v>
      </c>
      <c r="T182" s="58" t="n">
        <v>117.1</v>
      </c>
      <c r="U182" s="54" t="s">
        <v>214</v>
      </c>
      <c r="V182" s="58" t="n">
        <v>2.71</v>
      </c>
      <c r="W182" s="57" t="s">
        <v>411</v>
      </c>
      <c r="X182" s="55" t="n">
        <v>2</v>
      </c>
      <c r="Y182" s="54" t="s">
        <v>212</v>
      </c>
      <c r="Z182" s="56"/>
      <c r="AA182" s="58" t="str">
        <f aca="false">IF(AND(ISNUMBER(M182),ISNUMBER(Z182)),IF(Z182&gt;=M182,(Z182-M182)*1440,""),"")</f>
        <v/>
      </c>
      <c r="AB182" s="57"/>
      <c r="AC182" s="56"/>
      <c r="AD182" s="58" t="str">
        <f aca="false">IF(AND(ISNUMBER(Z182),ISNUMBER(AC182)),IF(AC182&gt;=Z182,(AC182-Z182)*1440,""),"")</f>
        <v/>
      </c>
      <c r="AE182" s="54"/>
      <c r="AF182" s="54" t="s">
        <v>214</v>
      </c>
      <c r="AG182" s="54"/>
      <c r="AH182" s="58"/>
      <c r="AI182" s="55" t="n">
        <v>2</v>
      </c>
      <c r="AJ182" s="54" t="s">
        <v>216</v>
      </c>
      <c r="AK182" s="54" t="s">
        <v>212</v>
      </c>
    </row>
    <row r="183" customFormat="false" ht="15" hidden="false" customHeight="false" outlineLevel="0" collapsed="false">
      <c r="A183" s="54" t="s">
        <v>27</v>
      </c>
      <c r="B183" s="55" t="n">
        <v>516</v>
      </c>
      <c r="C183" s="54" t="s">
        <v>127</v>
      </c>
      <c r="D183" s="54" t="s">
        <v>212</v>
      </c>
      <c r="E183" s="54"/>
      <c r="F183" s="56" t="n">
        <v>46302.2968714931</v>
      </c>
      <c r="G183" s="54" t="s">
        <v>214</v>
      </c>
      <c r="H183" s="54" t="s">
        <v>214</v>
      </c>
      <c r="I183" s="57"/>
      <c r="J183" s="56"/>
      <c r="K183" s="56"/>
      <c r="L183" s="58" t="str">
        <f aca="false">IF(AND(ISNUMBER(J183),ISNUMBER(K183)),IF(K183&gt;=J183,(K183-J183)*1440,""),"")</f>
        <v/>
      </c>
      <c r="M183" s="56"/>
      <c r="N183" s="58" t="str">
        <f aca="false">IF(AND(ISNUMBER(J183),ISNUMBER(M183)),IF(M183&gt;=J183,(M183-J183)*1440,""),"")</f>
        <v/>
      </c>
      <c r="O183" s="54" t="str">
        <f aca="false">IF(N183="","",LOOKUP(N183,Tiempos!$A$6:$A$10,Tiempos!$B$6:$B$10))</f>
        <v/>
      </c>
      <c r="P183" s="54"/>
      <c r="Q183" s="54"/>
      <c r="R183" s="54"/>
      <c r="S183" s="54"/>
      <c r="T183" s="58"/>
      <c r="U183" s="54"/>
      <c r="V183" s="58"/>
      <c r="W183" s="57"/>
      <c r="X183" s="55"/>
      <c r="Y183" s="54"/>
      <c r="Z183" s="56"/>
      <c r="AA183" s="58" t="str">
        <f aca="false">IF(AND(ISNUMBER(M183),ISNUMBER(Z183)),IF(Z183&gt;=M183,(Z183-M183)*1440,""),"")</f>
        <v/>
      </c>
      <c r="AB183" s="57"/>
      <c r="AC183" s="56"/>
      <c r="AD183" s="58" t="str">
        <f aca="false">IF(AND(ISNUMBER(Z183),ISNUMBER(AC183)),IF(AC183&gt;=Z183,(AC183-Z183)*1440,""),"")</f>
        <v/>
      </c>
      <c r="AE183" s="54"/>
      <c r="AF183" s="54"/>
      <c r="AG183" s="54"/>
      <c r="AH183" s="58"/>
      <c r="AI183" s="55" t="n">
        <v>2</v>
      </c>
      <c r="AJ183" s="54" t="s">
        <v>216</v>
      </c>
      <c r="AK183" s="54" t="s">
        <v>212</v>
      </c>
    </row>
    <row r="184" customFormat="false" ht="15" hidden="false" customHeight="false" outlineLevel="0" collapsed="false">
      <c r="A184" s="54" t="s">
        <v>27</v>
      </c>
      <c r="B184" s="55" t="n">
        <v>524</v>
      </c>
      <c r="C184" s="54" t="s">
        <v>127</v>
      </c>
      <c r="D184" s="54" t="s">
        <v>212</v>
      </c>
      <c r="E184" s="54"/>
      <c r="F184" s="56" t="n">
        <v>46302.3121527083</v>
      </c>
      <c r="G184" s="54" t="s">
        <v>214</v>
      </c>
      <c r="H184" s="54" t="s">
        <v>212</v>
      </c>
      <c r="I184" s="57"/>
      <c r="J184" s="56"/>
      <c r="K184" s="56"/>
      <c r="L184" s="58" t="str">
        <f aca="false">IF(AND(ISNUMBER(J184),ISNUMBER(K184)),IF(K184&gt;=J184,(K184-J184)*1440,""),"")</f>
        <v/>
      </c>
      <c r="M184" s="56"/>
      <c r="N184" s="58" t="str">
        <f aca="false">IF(AND(ISNUMBER(J184),ISNUMBER(M184)),IF(M184&gt;=J184,(M184-J184)*1440,""),"")</f>
        <v/>
      </c>
      <c r="O184" s="54" t="str">
        <f aca="false">IF(N184="","",LOOKUP(N184,Tiempos!$A$6:$A$10,Tiempos!$B$6:$B$10))</f>
        <v/>
      </c>
      <c r="P184" s="54"/>
      <c r="Q184" s="54"/>
      <c r="R184" s="54"/>
      <c r="S184" s="54"/>
      <c r="T184" s="58"/>
      <c r="U184" s="54"/>
      <c r="V184" s="58"/>
      <c r="W184" s="57"/>
      <c r="X184" s="55"/>
      <c r="Y184" s="54"/>
      <c r="Z184" s="56"/>
      <c r="AA184" s="58" t="str">
        <f aca="false">IF(AND(ISNUMBER(M184),ISNUMBER(Z184)),IF(Z184&gt;=M184,(Z184-M184)*1440,""),"")</f>
        <v/>
      </c>
      <c r="AB184" s="57"/>
      <c r="AC184" s="56"/>
      <c r="AD184" s="58" t="str">
        <f aca="false">IF(AND(ISNUMBER(Z184),ISNUMBER(AC184)),IF(AC184&gt;=Z184,(AC184-Z184)*1440,""),"")</f>
        <v/>
      </c>
      <c r="AE184" s="54"/>
      <c r="AF184" s="54"/>
      <c r="AG184" s="54"/>
      <c r="AH184" s="58"/>
      <c r="AI184" s="55" t="n">
        <v>1</v>
      </c>
      <c r="AJ184" s="54" t="s">
        <v>216</v>
      </c>
      <c r="AK184" s="54" t="s">
        <v>212</v>
      </c>
    </row>
    <row r="185" customFormat="false" ht="15" hidden="false" customHeight="false" outlineLevel="0" collapsed="false">
      <c r="A185" s="54" t="s">
        <v>27</v>
      </c>
      <c r="B185" s="55" t="n">
        <v>530</v>
      </c>
      <c r="C185" s="54" t="s">
        <v>127</v>
      </c>
      <c r="D185" s="54" t="s">
        <v>212</v>
      </c>
      <c r="E185" s="54"/>
      <c r="F185" s="56" t="n">
        <v>46302.3194577894</v>
      </c>
      <c r="G185" s="54" t="s">
        <v>214</v>
      </c>
      <c r="H185" s="54" t="s">
        <v>214</v>
      </c>
      <c r="I185" s="57"/>
      <c r="J185" s="56"/>
      <c r="K185" s="56"/>
      <c r="L185" s="58" t="str">
        <f aca="false">IF(AND(ISNUMBER(J185),ISNUMBER(K185)),IF(K185&gt;=J185,(K185-J185)*1440,""),"")</f>
        <v/>
      </c>
      <c r="M185" s="56"/>
      <c r="N185" s="58" t="str">
        <f aca="false">IF(AND(ISNUMBER(J185),ISNUMBER(M185)),IF(M185&gt;=J185,(M185-J185)*1440,""),"")</f>
        <v/>
      </c>
      <c r="O185" s="54" t="str">
        <f aca="false">IF(N185="","",LOOKUP(N185,Tiempos!$A$6:$A$10,Tiempos!$B$6:$B$10))</f>
        <v/>
      </c>
      <c r="P185" s="54"/>
      <c r="Q185" s="54"/>
      <c r="R185" s="54"/>
      <c r="S185" s="54"/>
      <c r="T185" s="58"/>
      <c r="U185" s="54"/>
      <c r="V185" s="58"/>
      <c r="W185" s="57"/>
      <c r="X185" s="55"/>
      <c r="Y185" s="54"/>
      <c r="Z185" s="56"/>
      <c r="AA185" s="58" t="str">
        <f aca="false">IF(AND(ISNUMBER(M185),ISNUMBER(Z185)),IF(Z185&gt;=M185,(Z185-M185)*1440,""),"")</f>
        <v/>
      </c>
      <c r="AB185" s="57"/>
      <c r="AC185" s="56"/>
      <c r="AD185" s="58" t="str">
        <f aca="false">IF(AND(ISNUMBER(Z185),ISNUMBER(AC185)),IF(AC185&gt;=Z185,(AC185-Z185)*1440,""),"")</f>
        <v/>
      </c>
      <c r="AE185" s="54"/>
      <c r="AF185" s="54"/>
      <c r="AG185" s="54"/>
      <c r="AH185" s="58"/>
      <c r="AI185" s="55" t="n">
        <v>2</v>
      </c>
      <c r="AJ185" s="54" t="s">
        <v>216</v>
      </c>
      <c r="AK185" s="54" t="s">
        <v>212</v>
      </c>
    </row>
    <row r="186" customFormat="false" ht="15" hidden="false" customHeight="false" outlineLevel="0" collapsed="false">
      <c r="A186" s="54" t="s">
        <v>27</v>
      </c>
      <c r="B186" s="55" t="n">
        <v>551</v>
      </c>
      <c r="C186" s="54" t="s">
        <v>303</v>
      </c>
      <c r="D186" s="54" t="s">
        <v>214</v>
      </c>
      <c r="E186" s="54" t="s">
        <v>412</v>
      </c>
      <c r="F186" s="56" t="n">
        <v>46302.3859196875</v>
      </c>
      <c r="G186" s="54" t="s">
        <v>212</v>
      </c>
      <c r="H186" s="54" t="s">
        <v>214</v>
      </c>
      <c r="I186" s="57" t="s">
        <v>413</v>
      </c>
      <c r="J186" s="56" t="n">
        <v>46302.3866652778</v>
      </c>
      <c r="K186" s="56" t="n">
        <v>46302.4009741551</v>
      </c>
      <c r="L186" s="58" t="n">
        <f aca="false">IF(AND(ISNUMBER(J186),ISNUMBER(K186)),IF(K186&gt;=J186,(K186-J186)*1440,""),"")</f>
        <v>20.6047833280167</v>
      </c>
      <c r="M186" s="56" t="n">
        <v>46302.4011216204</v>
      </c>
      <c r="N186" s="58" t="n">
        <f aca="false">IF(AND(ISNUMBER(J186),ISNUMBER(M186)),IF(M186&gt;=J186,(M186-J186)*1440,""),"")</f>
        <v>20.8171333337667</v>
      </c>
      <c r="O186" s="54" t="str">
        <f aca="false">IF(N186="","",LOOKUP(N186,Tiempos!$A$6:$A$10,Tiempos!$B$6:$B$10))</f>
        <v>10 a 30 min</v>
      </c>
      <c r="P186" s="54" t="s">
        <v>229</v>
      </c>
      <c r="Q186" s="54" t="s">
        <v>214</v>
      </c>
      <c r="R186" s="54" t="s">
        <v>130</v>
      </c>
      <c r="S186" s="54" t="s">
        <v>215</v>
      </c>
      <c r="T186" s="58" t="n">
        <v>108</v>
      </c>
      <c r="U186" s="54" t="s">
        <v>214</v>
      </c>
      <c r="V186" s="58" t="n">
        <v>0.21</v>
      </c>
      <c r="W186" s="57" t="s">
        <v>316</v>
      </c>
      <c r="X186" s="55" t="n">
        <v>2</v>
      </c>
      <c r="Y186" s="54" t="s">
        <v>214</v>
      </c>
      <c r="Z186" s="56" t="n">
        <v>46302.4054016898</v>
      </c>
      <c r="AA186" s="58" t="n">
        <f aca="false">IF(AND(ISNUMBER(M186),ISNUMBER(Z186)),IF(Z186&gt;=M186,(Z186-M186)*1440,""),"")</f>
        <v>6.16330000803333</v>
      </c>
      <c r="AB186" s="57" t="s">
        <v>414</v>
      </c>
      <c r="AC186" s="56" t="n">
        <v>46302.405891088</v>
      </c>
      <c r="AD186" s="58" t="n">
        <f aca="false">IF(AND(ISNUMBER(Z186),ISNUMBER(AC186)),IF(AC186&gt;=Z186,(AC186-Z186)*1440,""),"")</f>
        <v>0.704733319566667</v>
      </c>
      <c r="AE186" s="54" t="s">
        <v>415</v>
      </c>
      <c r="AF186" s="54" t="s">
        <v>214</v>
      </c>
      <c r="AG186" s="54" t="s">
        <v>214</v>
      </c>
      <c r="AH186" s="58" t="n">
        <v>4.1</v>
      </c>
      <c r="AI186" s="55" t="n">
        <v>2</v>
      </c>
      <c r="AJ186" s="54" t="s">
        <v>216</v>
      </c>
      <c r="AK186" s="54" t="s">
        <v>212</v>
      </c>
    </row>
    <row r="187" customFormat="false" ht="15" hidden="false" customHeight="false" outlineLevel="0" collapsed="false">
      <c r="A187" s="54" t="s">
        <v>27</v>
      </c>
      <c r="B187" s="55" t="n">
        <v>549</v>
      </c>
      <c r="C187" s="54" t="s">
        <v>127</v>
      </c>
      <c r="D187" s="54" t="s">
        <v>212</v>
      </c>
      <c r="E187" s="54"/>
      <c r="F187" s="56" t="n">
        <v>46302.4027869097</v>
      </c>
      <c r="G187" s="54" t="s">
        <v>212</v>
      </c>
      <c r="H187" s="54" t="s">
        <v>214</v>
      </c>
      <c r="I187" s="57"/>
      <c r="J187" s="56"/>
      <c r="K187" s="56"/>
      <c r="L187" s="58" t="str">
        <f aca="false">IF(AND(ISNUMBER(J187),ISNUMBER(K187)),IF(K187&gt;=J187,(K187-J187)*1440,""),"")</f>
        <v/>
      </c>
      <c r="M187" s="56"/>
      <c r="N187" s="58" t="str">
        <f aca="false">IF(AND(ISNUMBER(J187),ISNUMBER(M187)),IF(M187&gt;=J187,(M187-J187)*1440,""),"")</f>
        <v/>
      </c>
      <c r="O187" s="54" t="str">
        <f aca="false">IF(N187="","",LOOKUP(N187,Tiempos!$A$6:$A$10,Tiempos!$B$6:$B$10))</f>
        <v/>
      </c>
      <c r="P187" s="54"/>
      <c r="Q187" s="54"/>
      <c r="R187" s="54"/>
      <c r="S187" s="54"/>
      <c r="T187" s="58"/>
      <c r="U187" s="54"/>
      <c r="V187" s="58"/>
      <c r="W187" s="57"/>
      <c r="X187" s="55"/>
      <c r="Y187" s="54"/>
      <c r="Z187" s="56"/>
      <c r="AA187" s="58" t="str">
        <f aca="false">IF(AND(ISNUMBER(M187),ISNUMBER(Z187)),IF(Z187&gt;=M187,(Z187-M187)*1440,""),"")</f>
        <v/>
      </c>
      <c r="AB187" s="57"/>
      <c r="AC187" s="56"/>
      <c r="AD187" s="58" t="str">
        <f aca="false">IF(AND(ISNUMBER(Z187),ISNUMBER(AC187)),IF(AC187&gt;=Z187,(AC187-Z187)*1440,""),"")</f>
        <v/>
      </c>
      <c r="AE187" s="54"/>
      <c r="AF187" s="54"/>
      <c r="AG187" s="54"/>
      <c r="AH187" s="58"/>
      <c r="AI187" s="55" t="n">
        <v>1</v>
      </c>
      <c r="AJ187" s="54" t="s">
        <v>216</v>
      </c>
      <c r="AK187" s="54" t="s">
        <v>212</v>
      </c>
    </row>
    <row r="188" customFormat="false" ht="15" hidden="false" customHeight="false" outlineLevel="0" collapsed="false">
      <c r="A188" s="54" t="s">
        <v>27</v>
      </c>
      <c r="B188" s="55" t="n">
        <v>568</v>
      </c>
      <c r="C188" s="54" t="s">
        <v>127</v>
      </c>
      <c r="D188" s="54" t="s">
        <v>214</v>
      </c>
      <c r="E188" s="54" t="s">
        <v>278</v>
      </c>
      <c r="F188" s="56" t="n">
        <v>46302.4284960648</v>
      </c>
      <c r="G188" s="54" t="s">
        <v>212</v>
      </c>
      <c r="H188" s="54" t="s">
        <v>214</v>
      </c>
      <c r="I188" s="57" t="s">
        <v>416</v>
      </c>
      <c r="J188" s="56" t="n">
        <v>46302.4287221065</v>
      </c>
      <c r="K188" s="56" t="n">
        <v>46302.4298960764</v>
      </c>
      <c r="L188" s="58" t="n">
        <f aca="false">IF(AND(ISNUMBER(J188),ISNUMBER(K188)),IF(K188&gt;=J188,(K188-J188)*1440,""),"")</f>
        <v>1.69051667208333</v>
      </c>
      <c r="M188" s="56" t="n">
        <v>46302.4331221065</v>
      </c>
      <c r="N188" s="58" t="n">
        <f aca="false">IF(AND(ISNUMBER(J188),ISNUMBER(M188)),IF(M188&gt;=J188,(M188-J188)*1440,""),"")</f>
        <v>6.33599999708333</v>
      </c>
      <c r="O188" s="54" t="str">
        <f aca="false">IF(N188="","",LOOKUP(N188,Tiempos!$A$6:$A$10,Tiempos!$B$6:$B$10))</f>
        <v>6 a 10 min</v>
      </c>
      <c r="P188" s="54" t="s">
        <v>229</v>
      </c>
      <c r="Q188" s="54" t="s">
        <v>214</v>
      </c>
      <c r="R188" s="54" t="s">
        <v>130</v>
      </c>
      <c r="S188" s="54" t="s">
        <v>215</v>
      </c>
      <c r="T188" s="58" t="n">
        <v>98</v>
      </c>
      <c r="U188" s="54" t="s">
        <v>214</v>
      </c>
      <c r="V188" s="58" t="n">
        <v>4.65</v>
      </c>
      <c r="W188" s="57" t="s">
        <v>235</v>
      </c>
      <c r="X188" s="55" t="n">
        <v>2</v>
      </c>
      <c r="Y188" s="54" t="s">
        <v>214</v>
      </c>
      <c r="Z188" s="56" t="n">
        <v>46302.4365435764</v>
      </c>
      <c r="AA188" s="58" t="n">
        <f aca="false">IF(AND(ISNUMBER(M188),ISNUMBER(Z188)),IF(Z188&gt;=M188,(Z188-M188)*1440,""),"")</f>
        <v>4.92691667283333</v>
      </c>
      <c r="AB188" s="57" t="s">
        <v>417</v>
      </c>
      <c r="AC188" s="56" t="n">
        <v>46302.4395782292</v>
      </c>
      <c r="AD188" s="58" t="n">
        <f aca="false">IF(AND(ISNUMBER(Z188),ISNUMBER(AC188)),IF(AC188&gt;=Z188,(AC188-Z188)*1440,""),"")</f>
        <v>4.36990000073333</v>
      </c>
      <c r="AE188" s="54" t="s">
        <v>346</v>
      </c>
      <c r="AF188" s="54" t="s">
        <v>214</v>
      </c>
      <c r="AG188" s="54" t="s">
        <v>214</v>
      </c>
      <c r="AH188" s="58" t="n">
        <v>1.8</v>
      </c>
      <c r="AI188" s="55" t="n">
        <v>2</v>
      </c>
      <c r="AJ188" s="54" t="s">
        <v>216</v>
      </c>
      <c r="AK188" s="54" t="s">
        <v>212</v>
      </c>
    </row>
    <row r="189" customFormat="false" ht="15" hidden="false" customHeight="false" outlineLevel="0" collapsed="false">
      <c r="A189" s="54" t="s">
        <v>27</v>
      </c>
      <c r="B189" s="55" t="n">
        <v>570</v>
      </c>
      <c r="C189" s="54" t="s">
        <v>128</v>
      </c>
      <c r="D189" s="54" t="s">
        <v>211</v>
      </c>
      <c r="E189" s="54"/>
      <c r="F189" s="56" t="n">
        <v>46302.4293645255</v>
      </c>
      <c r="G189" s="54" t="s">
        <v>212</v>
      </c>
      <c r="H189" s="54" t="s">
        <v>214</v>
      </c>
      <c r="I189" s="57" t="s">
        <v>418</v>
      </c>
      <c r="J189" s="56" t="n">
        <v>46302.7438915046</v>
      </c>
      <c r="K189" s="56" t="n">
        <v>46302.7467191204</v>
      </c>
      <c r="L189" s="58" t="n">
        <f aca="false">IF(AND(ISNUMBER(J189),ISNUMBER(K189)),IF(K189&gt;=J189,(K189-J189)*1440,""),"")</f>
        <v>4.07176666426667</v>
      </c>
      <c r="M189" s="56" t="n">
        <v>46302.7467191204</v>
      </c>
      <c r="N189" s="58" t="n">
        <f aca="false">IF(AND(ISNUMBER(J189),ISNUMBER(M189)),IF(M189&gt;=J189,(M189-J189)*1440,""),"")</f>
        <v>4.07176666426667</v>
      </c>
      <c r="O189" s="54" t="str">
        <f aca="false">IF(N189="","",LOOKUP(N189,Tiempos!$A$6:$A$10,Tiempos!$B$6:$B$10))</f>
        <v>4 a 6 min</v>
      </c>
      <c r="P189" s="54" t="s">
        <v>226</v>
      </c>
      <c r="Q189" s="54" t="s">
        <v>212</v>
      </c>
      <c r="R189" s="54" t="s">
        <v>128</v>
      </c>
      <c r="S189" s="54" t="s">
        <v>220</v>
      </c>
      <c r="T189" s="58"/>
      <c r="U189" s="54"/>
      <c r="V189" s="58"/>
      <c r="W189" s="57"/>
      <c r="X189" s="55" t="n">
        <v>0</v>
      </c>
      <c r="Y189" s="54" t="s">
        <v>212</v>
      </c>
      <c r="Z189" s="56"/>
      <c r="AA189" s="58" t="str">
        <f aca="false">IF(AND(ISNUMBER(M189),ISNUMBER(Z189)),IF(Z189&gt;=M189,(Z189-M189)*1440,""),"")</f>
        <v/>
      </c>
      <c r="AB189" s="57"/>
      <c r="AC189" s="56"/>
      <c r="AD189" s="58" t="str">
        <f aca="false">IF(AND(ISNUMBER(Z189),ISNUMBER(AC189)),IF(AC189&gt;=Z189,(AC189-Z189)*1440,""),"")</f>
        <v/>
      </c>
      <c r="AE189" s="54"/>
      <c r="AF189" s="54" t="s">
        <v>212</v>
      </c>
      <c r="AG189" s="54"/>
      <c r="AH189" s="58"/>
      <c r="AI189" s="55" t="n">
        <v>2</v>
      </c>
      <c r="AJ189" s="54" t="s">
        <v>216</v>
      </c>
      <c r="AK189" s="54" t="s">
        <v>212</v>
      </c>
    </row>
    <row r="190" customFormat="false" ht="15" hidden="false" customHeight="false" outlineLevel="0" collapsed="false">
      <c r="A190" s="54" t="s">
        <v>27</v>
      </c>
      <c r="B190" s="55" t="n">
        <v>572</v>
      </c>
      <c r="C190" s="54" t="s">
        <v>127</v>
      </c>
      <c r="D190" s="54" t="s">
        <v>214</v>
      </c>
      <c r="E190" s="54" t="s">
        <v>242</v>
      </c>
      <c r="F190" s="56" t="n">
        <v>46302.4352804977</v>
      </c>
      <c r="G190" s="54" t="s">
        <v>212</v>
      </c>
      <c r="H190" s="54" t="s">
        <v>214</v>
      </c>
      <c r="I190" s="57" t="s">
        <v>419</v>
      </c>
      <c r="J190" s="56" t="n">
        <v>46302.4355158912</v>
      </c>
      <c r="K190" s="56" t="n">
        <v>46302.439851331</v>
      </c>
      <c r="L190" s="58" t="n">
        <f aca="false">IF(AND(ISNUMBER(J190),ISNUMBER(K190)),IF(K190&gt;=J190,(K190-J190)*1440,""),"")</f>
        <v>6.24303334391667</v>
      </c>
      <c r="M190" s="56" t="n">
        <v>46302.4424779861</v>
      </c>
      <c r="N190" s="58" t="n">
        <f aca="false">IF(AND(ISNUMBER(J190),ISNUMBER(M190)),IF(M190&gt;=J190,(M190-J190)*1440,""),"")</f>
        <v>10.0254166661667</v>
      </c>
      <c r="O190" s="54" t="str">
        <f aca="false">IF(N190="","",LOOKUP(N190,Tiempos!$A$6:$A$10,Tiempos!$B$6:$B$10))</f>
        <v>10 a 30 min</v>
      </c>
      <c r="P190" s="54" t="s">
        <v>229</v>
      </c>
      <c r="Q190" s="54" t="s">
        <v>214</v>
      </c>
      <c r="R190" s="54" t="s">
        <v>130</v>
      </c>
      <c r="S190" s="54" t="s">
        <v>215</v>
      </c>
      <c r="T190" s="58" t="n">
        <v>139.1</v>
      </c>
      <c r="U190" s="54" t="s">
        <v>214</v>
      </c>
      <c r="V190" s="58" t="n">
        <v>3.78</v>
      </c>
      <c r="W190" s="57" t="s">
        <v>316</v>
      </c>
      <c r="X190" s="55" t="n">
        <v>2</v>
      </c>
      <c r="Y190" s="54" t="s">
        <v>212</v>
      </c>
      <c r="Z190" s="56"/>
      <c r="AA190" s="58" t="str">
        <f aca="false">IF(AND(ISNUMBER(M190),ISNUMBER(Z190)),IF(Z190&gt;=M190,(Z190-M190)*1440,""),"")</f>
        <v/>
      </c>
      <c r="AB190" s="57"/>
      <c r="AC190" s="56"/>
      <c r="AD190" s="58" t="str">
        <f aca="false">IF(AND(ISNUMBER(Z190),ISNUMBER(AC190)),IF(AC190&gt;=Z190,(AC190-Z190)*1440,""),"")</f>
        <v/>
      </c>
      <c r="AE190" s="54"/>
      <c r="AF190" s="54" t="s">
        <v>214</v>
      </c>
      <c r="AG190" s="54"/>
      <c r="AH190" s="58"/>
      <c r="AI190" s="55" t="n">
        <v>2</v>
      </c>
      <c r="AJ190" s="54" t="s">
        <v>216</v>
      </c>
      <c r="AK190" s="54" t="s">
        <v>212</v>
      </c>
    </row>
    <row r="191" customFormat="false" ht="15" hidden="false" customHeight="false" outlineLevel="0" collapsed="false">
      <c r="A191" s="54" t="s">
        <v>27</v>
      </c>
      <c r="B191" s="55" t="n">
        <v>575</v>
      </c>
      <c r="C191" s="54" t="s">
        <v>127</v>
      </c>
      <c r="D191" s="54" t="s">
        <v>214</v>
      </c>
      <c r="E191" s="54" t="s">
        <v>233</v>
      </c>
      <c r="F191" s="56" t="n">
        <v>46302.4446286227</v>
      </c>
      <c r="G191" s="54" t="s">
        <v>212</v>
      </c>
      <c r="H191" s="54" t="s">
        <v>214</v>
      </c>
      <c r="I191" s="57" t="s">
        <v>420</v>
      </c>
      <c r="J191" s="56" t="n">
        <v>46302.4532840162</v>
      </c>
      <c r="K191" s="56" t="n">
        <v>46302.4589661111</v>
      </c>
      <c r="L191" s="58" t="n">
        <f aca="false">IF(AND(ISNUMBER(J191),ISNUMBER(K191)),IF(K191&gt;=J191,(K191-J191)*1440,""),"")</f>
        <v>8.18221666035</v>
      </c>
      <c r="M191" s="56" t="n">
        <v>46302.4634771296</v>
      </c>
      <c r="N191" s="58" t="n">
        <f aca="false">IF(AND(ISNUMBER(J191),ISNUMBER(M191)),IF(M191&gt;=J191,(M191-J191)*1440,""),"")</f>
        <v>14.6780833345833</v>
      </c>
      <c r="O191" s="54" t="str">
        <f aca="false">IF(N191="","",LOOKUP(N191,Tiempos!$A$6:$A$10,Tiempos!$B$6:$B$10))</f>
        <v>10 a 30 min</v>
      </c>
      <c r="P191" s="54" t="s">
        <v>229</v>
      </c>
      <c r="Q191" s="54" t="s">
        <v>214</v>
      </c>
      <c r="R191" s="54" t="s">
        <v>127</v>
      </c>
      <c r="S191" s="54" t="s">
        <v>220</v>
      </c>
      <c r="T191" s="58" t="n">
        <v>98.6</v>
      </c>
      <c r="U191" s="54" t="s">
        <v>214</v>
      </c>
      <c r="V191" s="58" t="n">
        <v>6.5</v>
      </c>
      <c r="W191" s="57" t="s">
        <v>421</v>
      </c>
      <c r="X191" s="55" t="n">
        <v>2</v>
      </c>
      <c r="Y191" s="54" t="s">
        <v>212</v>
      </c>
      <c r="Z191" s="56"/>
      <c r="AA191" s="58" t="str">
        <f aca="false">IF(AND(ISNUMBER(M191),ISNUMBER(Z191)),IF(Z191&gt;=M191,(Z191-M191)*1440,""),"")</f>
        <v/>
      </c>
      <c r="AB191" s="57"/>
      <c r="AC191" s="56"/>
      <c r="AD191" s="58" t="str">
        <f aca="false">IF(AND(ISNUMBER(Z191),ISNUMBER(AC191)),IF(AC191&gt;=Z191,(AC191-Z191)*1440,""),"")</f>
        <v/>
      </c>
      <c r="AE191" s="54"/>
      <c r="AF191" s="54" t="s">
        <v>214</v>
      </c>
      <c r="AG191" s="54"/>
      <c r="AH191" s="58"/>
      <c r="AI191" s="55" t="n">
        <v>2</v>
      </c>
      <c r="AJ191" s="54" t="s">
        <v>216</v>
      </c>
      <c r="AK191" s="54" t="s">
        <v>212</v>
      </c>
    </row>
    <row r="192" customFormat="false" ht="15" hidden="false" customHeight="false" outlineLevel="0" collapsed="false">
      <c r="A192" s="54" t="s">
        <v>27</v>
      </c>
      <c r="B192" s="55" t="n">
        <v>579</v>
      </c>
      <c r="C192" s="54" t="s">
        <v>127</v>
      </c>
      <c r="D192" s="54" t="s">
        <v>212</v>
      </c>
      <c r="E192" s="54"/>
      <c r="F192" s="56" t="n">
        <v>46302.4627863773</v>
      </c>
      <c r="G192" s="54" t="s">
        <v>212</v>
      </c>
      <c r="H192" s="54" t="s">
        <v>214</v>
      </c>
      <c r="I192" s="57"/>
      <c r="J192" s="56"/>
      <c r="K192" s="56"/>
      <c r="L192" s="58" t="str">
        <f aca="false">IF(AND(ISNUMBER(J192),ISNUMBER(K192)),IF(K192&gt;=J192,(K192-J192)*1440,""),"")</f>
        <v/>
      </c>
      <c r="M192" s="56"/>
      <c r="N192" s="58" t="str">
        <f aca="false">IF(AND(ISNUMBER(J192),ISNUMBER(M192)),IF(M192&gt;=J192,(M192-J192)*1440,""),"")</f>
        <v/>
      </c>
      <c r="O192" s="54" t="str">
        <f aca="false">IF(N192="","",LOOKUP(N192,Tiempos!$A$6:$A$10,Tiempos!$B$6:$B$10))</f>
        <v/>
      </c>
      <c r="P192" s="54"/>
      <c r="Q192" s="54"/>
      <c r="R192" s="54"/>
      <c r="S192" s="54"/>
      <c r="T192" s="58"/>
      <c r="U192" s="54"/>
      <c r="V192" s="58"/>
      <c r="W192" s="57"/>
      <c r="X192" s="55"/>
      <c r="Y192" s="54"/>
      <c r="Z192" s="56"/>
      <c r="AA192" s="58" t="str">
        <f aca="false">IF(AND(ISNUMBER(M192),ISNUMBER(Z192)),IF(Z192&gt;=M192,(Z192-M192)*1440,""),"")</f>
        <v/>
      </c>
      <c r="AB192" s="57"/>
      <c r="AC192" s="56"/>
      <c r="AD192" s="58" t="str">
        <f aca="false">IF(AND(ISNUMBER(Z192),ISNUMBER(AC192)),IF(AC192&gt;=Z192,(AC192-Z192)*1440,""),"")</f>
        <v/>
      </c>
      <c r="AE192" s="54"/>
      <c r="AF192" s="54"/>
      <c r="AG192" s="54"/>
      <c r="AH192" s="58"/>
      <c r="AI192" s="55" t="n">
        <v>2</v>
      </c>
      <c r="AJ192" s="54" t="s">
        <v>216</v>
      </c>
      <c r="AK192" s="54" t="s">
        <v>212</v>
      </c>
    </row>
    <row r="193" customFormat="false" ht="15" hidden="false" customHeight="false" outlineLevel="0" collapsed="false">
      <c r="A193" s="54" t="s">
        <v>27</v>
      </c>
      <c r="B193" s="55" t="n">
        <v>580</v>
      </c>
      <c r="C193" s="54" t="s">
        <v>127</v>
      </c>
      <c r="D193" s="54" t="s">
        <v>212</v>
      </c>
      <c r="E193" s="54"/>
      <c r="F193" s="56" t="n">
        <v>46302.4658510764</v>
      </c>
      <c r="G193" s="54" t="s">
        <v>212</v>
      </c>
      <c r="H193" s="54" t="s">
        <v>214</v>
      </c>
      <c r="I193" s="57"/>
      <c r="J193" s="56"/>
      <c r="K193" s="56"/>
      <c r="L193" s="58" t="str">
        <f aca="false">IF(AND(ISNUMBER(J193),ISNUMBER(K193)),IF(K193&gt;=J193,(K193-J193)*1440,""),"")</f>
        <v/>
      </c>
      <c r="M193" s="56"/>
      <c r="N193" s="58" t="str">
        <f aca="false">IF(AND(ISNUMBER(J193),ISNUMBER(M193)),IF(M193&gt;=J193,(M193-J193)*1440,""),"")</f>
        <v/>
      </c>
      <c r="O193" s="54" t="str">
        <f aca="false">IF(N193="","",LOOKUP(N193,Tiempos!$A$6:$A$10,Tiempos!$B$6:$B$10))</f>
        <v/>
      </c>
      <c r="P193" s="54"/>
      <c r="Q193" s="54"/>
      <c r="R193" s="54"/>
      <c r="S193" s="54"/>
      <c r="T193" s="58"/>
      <c r="U193" s="54"/>
      <c r="V193" s="58"/>
      <c r="W193" s="57"/>
      <c r="X193" s="55"/>
      <c r="Y193" s="54"/>
      <c r="Z193" s="56"/>
      <c r="AA193" s="58" t="str">
        <f aca="false">IF(AND(ISNUMBER(M193),ISNUMBER(Z193)),IF(Z193&gt;=M193,(Z193-M193)*1440,""),"")</f>
        <v/>
      </c>
      <c r="AB193" s="57"/>
      <c r="AC193" s="56"/>
      <c r="AD193" s="58" t="str">
        <f aca="false">IF(AND(ISNUMBER(Z193),ISNUMBER(AC193)),IF(AC193&gt;=Z193,(AC193-Z193)*1440,""),"")</f>
        <v/>
      </c>
      <c r="AE193" s="54"/>
      <c r="AF193" s="54"/>
      <c r="AG193" s="54"/>
      <c r="AH193" s="58"/>
      <c r="AI193" s="55" t="n">
        <v>2</v>
      </c>
      <c r="AJ193" s="54" t="s">
        <v>216</v>
      </c>
      <c r="AK193" s="54" t="s">
        <v>212</v>
      </c>
    </row>
    <row r="194" customFormat="false" ht="15" hidden="false" customHeight="false" outlineLevel="0" collapsed="false">
      <c r="A194" s="54" t="s">
        <v>27</v>
      </c>
      <c r="B194" s="55" t="n">
        <v>581</v>
      </c>
      <c r="C194" s="54" t="s">
        <v>127</v>
      </c>
      <c r="D194" s="54" t="s">
        <v>212</v>
      </c>
      <c r="E194" s="54"/>
      <c r="F194" s="56" t="n">
        <v>46302.4660906482</v>
      </c>
      <c r="G194" s="54" t="s">
        <v>212</v>
      </c>
      <c r="H194" s="54" t="s">
        <v>214</v>
      </c>
      <c r="I194" s="57"/>
      <c r="J194" s="56"/>
      <c r="K194" s="56"/>
      <c r="L194" s="58" t="str">
        <f aca="false">IF(AND(ISNUMBER(J194),ISNUMBER(K194)),IF(K194&gt;=J194,(K194-J194)*1440,""),"")</f>
        <v/>
      </c>
      <c r="M194" s="56"/>
      <c r="N194" s="58" t="str">
        <f aca="false">IF(AND(ISNUMBER(J194),ISNUMBER(M194)),IF(M194&gt;=J194,(M194-J194)*1440,""),"")</f>
        <v/>
      </c>
      <c r="O194" s="54" t="str">
        <f aca="false">IF(N194="","",LOOKUP(N194,Tiempos!$A$6:$A$10,Tiempos!$B$6:$B$10))</f>
        <v/>
      </c>
      <c r="P194" s="54"/>
      <c r="Q194" s="54"/>
      <c r="R194" s="54"/>
      <c r="S194" s="54"/>
      <c r="T194" s="58"/>
      <c r="U194" s="54"/>
      <c r="V194" s="58"/>
      <c r="W194" s="57"/>
      <c r="X194" s="55"/>
      <c r="Y194" s="54"/>
      <c r="Z194" s="56"/>
      <c r="AA194" s="58" t="str">
        <f aca="false">IF(AND(ISNUMBER(M194),ISNUMBER(Z194)),IF(Z194&gt;=M194,(Z194-M194)*1440,""),"")</f>
        <v/>
      </c>
      <c r="AB194" s="57"/>
      <c r="AC194" s="56"/>
      <c r="AD194" s="58" t="str">
        <f aca="false">IF(AND(ISNUMBER(Z194),ISNUMBER(AC194)),IF(AC194&gt;=Z194,(AC194-Z194)*1440,""),"")</f>
        <v/>
      </c>
      <c r="AE194" s="54"/>
      <c r="AF194" s="54"/>
      <c r="AG194" s="54"/>
      <c r="AH194" s="58"/>
      <c r="AI194" s="55" t="n">
        <v>2</v>
      </c>
      <c r="AJ194" s="54" t="s">
        <v>216</v>
      </c>
      <c r="AK194" s="54" t="s">
        <v>212</v>
      </c>
    </row>
    <row r="195" customFormat="false" ht="15" hidden="false" customHeight="false" outlineLevel="0" collapsed="false">
      <c r="A195" s="54" t="s">
        <v>27</v>
      </c>
      <c r="B195" s="55" t="n">
        <v>585</v>
      </c>
      <c r="C195" s="54" t="s">
        <v>127</v>
      </c>
      <c r="D195" s="54" t="s">
        <v>214</v>
      </c>
      <c r="E195" s="54" t="s">
        <v>224</v>
      </c>
      <c r="F195" s="56" t="n">
        <v>46302.4798446065</v>
      </c>
      <c r="G195" s="54" t="s">
        <v>212</v>
      </c>
      <c r="H195" s="54" t="s">
        <v>212</v>
      </c>
      <c r="I195" s="57" t="s">
        <v>422</v>
      </c>
      <c r="J195" s="56" t="n">
        <v>46302.4804409838</v>
      </c>
      <c r="K195" s="56" t="n">
        <v>46302.480616956</v>
      </c>
      <c r="L195" s="58" t="n">
        <f aca="false">IF(AND(ISNUMBER(J195),ISNUMBER(K195)),IF(K195&gt;=J195,(K195-J195)*1440,""),"")</f>
        <v>0.253399988866667</v>
      </c>
      <c r="M195" s="56" t="n">
        <v>46302.4840283333</v>
      </c>
      <c r="N195" s="58" t="n">
        <f aca="false">IF(AND(ISNUMBER(J195),ISNUMBER(M195)),IF(M195&gt;=J195,(M195-J195)*1440,""),"")</f>
        <v>5.16578332171667</v>
      </c>
      <c r="O195" s="54" t="str">
        <f aca="false">IF(N195="","",LOOKUP(N195,Tiempos!$A$6:$A$10,Tiempos!$B$6:$B$10))</f>
        <v>4 a 6 min</v>
      </c>
      <c r="P195" s="54" t="s">
        <v>229</v>
      </c>
      <c r="Q195" s="54" t="s">
        <v>214</v>
      </c>
      <c r="R195" s="54" t="s">
        <v>127</v>
      </c>
      <c r="S195" s="54" t="s">
        <v>220</v>
      </c>
      <c r="T195" s="58" t="n">
        <v>121.5</v>
      </c>
      <c r="U195" s="54" t="s">
        <v>212</v>
      </c>
      <c r="V195" s="58" t="n">
        <v>4.91</v>
      </c>
      <c r="W195" s="57" t="s">
        <v>423</v>
      </c>
      <c r="X195" s="55" t="n">
        <v>2</v>
      </c>
      <c r="Y195" s="54" t="s">
        <v>214</v>
      </c>
      <c r="Z195" s="56" t="n">
        <v>46302.5099360648</v>
      </c>
      <c r="AA195" s="58" t="n">
        <f aca="false">IF(AND(ISNUMBER(M195),ISNUMBER(Z195)),IF(Z195&gt;=M195,(Z195-M195)*1440,""),"")</f>
        <v>37.3071333370167</v>
      </c>
      <c r="AB195" s="57" t="s">
        <v>424</v>
      </c>
      <c r="AC195" s="56" t="n">
        <v>46302.5161622107</v>
      </c>
      <c r="AD195" s="58" t="n">
        <f aca="false">IF(AND(ISNUMBER(Z195),ISNUMBER(AC195)),IF(AC195&gt;=Z195,(AC195-Z195)*1440,""),"")</f>
        <v>8.96565000525</v>
      </c>
      <c r="AE195" s="54" t="s">
        <v>247</v>
      </c>
      <c r="AF195" s="54" t="s">
        <v>212</v>
      </c>
      <c r="AG195" s="54" t="s">
        <v>212</v>
      </c>
      <c r="AH195" s="58"/>
      <c r="AI195" s="55" t="n">
        <v>2</v>
      </c>
      <c r="AJ195" s="54" t="s">
        <v>216</v>
      </c>
      <c r="AK195" s="54" t="s">
        <v>212</v>
      </c>
    </row>
    <row r="196" customFormat="false" ht="15" hidden="false" customHeight="false" outlineLevel="0" collapsed="false">
      <c r="A196" s="54" t="s">
        <v>27</v>
      </c>
      <c r="B196" s="55" t="n">
        <v>578</v>
      </c>
      <c r="C196" s="54" t="s">
        <v>127</v>
      </c>
      <c r="D196" s="54" t="s">
        <v>212</v>
      </c>
      <c r="E196" s="54"/>
      <c r="F196" s="56" t="n">
        <v>46302.4823006019</v>
      </c>
      <c r="G196" s="54" t="s">
        <v>212</v>
      </c>
      <c r="H196" s="54" t="s">
        <v>214</v>
      </c>
      <c r="I196" s="57"/>
      <c r="J196" s="56"/>
      <c r="K196" s="56"/>
      <c r="L196" s="58" t="str">
        <f aca="false">IF(AND(ISNUMBER(J196),ISNUMBER(K196)),IF(K196&gt;=J196,(K196-J196)*1440,""),"")</f>
        <v/>
      </c>
      <c r="M196" s="56"/>
      <c r="N196" s="58" t="str">
        <f aca="false">IF(AND(ISNUMBER(J196),ISNUMBER(M196)),IF(M196&gt;=J196,(M196-J196)*1440,""),"")</f>
        <v/>
      </c>
      <c r="O196" s="54" t="str">
        <f aca="false">IF(N196="","",LOOKUP(N196,Tiempos!$A$6:$A$10,Tiempos!$B$6:$B$10))</f>
        <v/>
      </c>
      <c r="P196" s="54"/>
      <c r="Q196" s="54"/>
      <c r="R196" s="54"/>
      <c r="S196" s="54"/>
      <c r="T196" s="58"/>
      <c r="U196" s="54"/>
      <c r="V196" s="58"/>
      <c r="W196" s="57"/>
      <c r="X196" s="55"/>
      <c r="Y196" s="54"/>
      <c r="Z196" s="56"/>
      <c r="AA196" s="58" t="str">
        <f aca="false">IF(AND(ISNUMBER(M196),ISNUMBER(Z196)),IF(Z196&gt;=M196,(Z196-M196)*1440,""),"")</f>
        <v/>
      </c>
      <c r="AB196" s="57"/>
      <c r="AC196" s="56"/>
      <c r="AD196" s="58" t="str">
        <f aca="false">IF(AND(ISNUMBER(Z196),ISNUMBER(AC196)),IF(AC196&gt;=Z196,(AC196-Z196)*1440,""),"")</f>
        <v/>
      </c>
      <c r="AE196" s="54"/>
      <c r="AF196" s="54"/>
      <c r="AG196" s="54"/>
      <c r="AH196" s="58"/>
      <c r="AI196" s="55" t="n">
        <v>1</v>
      </c>
      <c r="AJ196" s="54" t="s">
        <v>216</v>
      </c>
      <c r="AK196" s="54" t="s">
        <v>212</v>
      </c>
    </row>
    <row r="197" customFormat="false" ht="15" hidden="false" customHeight="false" outlineLevel="0" collapsed="false">
      <c r="A197" s="54" t="s">
        <v>27</v>
      </c>
      <c r="B197" s="55" t="n">
        <v>586</v>
      </c>
      <c r="C197" s="54" t="s">
        <v>127</v>
      </c>
      <c r="D197" s="54" t="s">
        <v>214</v>
      </c>
      <c r="E197" s="54" t="s">
        <v>217</v>
      </c>
      <c r="F197" s="56" t="n">
        <v>46302.4860895023</v>
      </c>
      <c r="G197" s="54" t="s">
        <v>212</v>
      </c>
      <c r="H197" s="54" t="s">
        <v>212</v>
      </c>
      <c r="I197" s="57" t="s">
        <v>425</v>
      </c>
      <c r="J197" s="56" t="n">
        <v>46302.6075834028</v>
      </c>
      <c r="K197" s="56" t="n">
        <v>46302.6078100463</v>
      </c>
      <c r="L197" s="58" t="n">
        <f aca="false">IF(AND(ISNUMBER(J197),ISNUMBER(K197)),IF(K197&gt;=J197,(K197-J197)*1440,""),"")</f>
        <v>0.3263666667</v>
      </c>
      <c r="M197" s="56" t="n">
        <v>46302.620012882</v>
      </c>
      <c r="N197" s="58" t="n">
        <f aca="false">IF(AND(ISNUMBER(J197),ISNUMBER(M197)),IF(M197&gt;=J197,(M197-J197)*1440,""),"")</f>
        <v>17.8984500013667</v>
      </c>
      <c r="O197" s="54" t="str">
        <f aca="false">IF(N197="","",LOOKUP(N197,Tiempos!$A$6:$A$10,Tiempos!$B$6:$B$10))</f>
        <v>10 a 30 min</v>
      </c>
      <c r="P197" s="54" t="s">
        <v>229</v>
      </c>
      <c r="Q197" s="54" t="s">
        <v>214</v>
      </c>
      <c r="R197" s="54" t="s">
        <v>127</v>
      </c>
      <c r="S197" s="54" t="s">
        <v>220</v>
      </c>
      <c r="T197" s="58" t="n">
        <v>108.8</v>
      </c>
      <c r="U197" s="54" t="s">
        <v>212</v>
      </c>
      <c r="V197" s="58" t="n">
        <v>17.57</v>
      </c>
      <c r="W197" s="57" t="s">
        <v>267</v>
      </c>
      <c r="X197" s="55" t="n">
        <v>2</v>
      </c>
      <c r="Y197" s="54" t="s">
        <v>212</v>
      </c>
      <c r="Z197" s="56"/>
      <c r="AA197" s="58" t="str">
        <f aca="false">IF(AND(ISNUMBER(M197),ISNUMBER(Z197)),IF(Z197&gt;=M197,(Z197-M197)*1440,""),"")</f>
        <v/>
      </c>
      <c r="AB197" s="57"/>
      <c r="AC197" s="56"/>
      <c r="AD197" s="58" t="str">
        <f aca="false">IF(AND(ISNUMBER(Z197),ISNUMBER(AC197)),IF(AC197&gt;=Z197,(AC197-Z197)*1440,""),"")</f>
        <v/>
      </c>
      <c r="AE197" s="54"/>
      <c r="AF197" s="54" t="s">
        <v>212</v>
      </c>
      <c r="AG197" s="54"/>
      <c r="AH197" s="58"/>
      <c r="AI197" s="55" t="n">
        <v>2</v>
      </c>
      <c r="AJ197" s="54" t="s">
        <v>216</v>
      </c>
      <c r="AK197" s="54" t="s">
        <v>212</v>
      </c>
    </row>
    <row r="198" customFormat="false" ht="15" hidden="false" customHeight="false" outlineLevel="0" collapsed="false">
      <c r="A198" s="54" t="s">
        <v>27</v>
      </c>
      <c r="B198" s="55" t="n">
        <v>590</v>
      </c>
      <c r="C198" s="54" t="s">
        <v>127</v>
      </c>
      <c r="D198" s="54" t="s">
        <v>212</v>
      </c>
      <c r="E198" s="54"/>
      <c r="F198" s="56" t="n">
        <v>46302.5122565625</v>
      </c>
      <c r="G198" s="54" t="s">
        <v>212</v>
      </c>
      <c r="H198" s="54" t="s">
        <v>214</v>
      </c>
      <c r="I198" s="57"/>
      <c r="J198" s="56"/>
      <c r="K198" s="56"/>
      <c r="L198" s="58" t="str">
        <f aca="false">IF(AND(ISNUMBER(J198),ISNUMBER(K198)),IF(K198&gt;=J198,(K198-J198)*1440,""),"")</f>
        <v/>
      </c>
      <c r="M198" s="56"/>
      <c r="N198" s="58" t="str">
        <f aca="false">IF(AND(ISNUMBER(J198),ISNUMBER(M198)),IF(M198&gt;=J198,(M198-J198)*1440,""),"")</f>
        <v/>
      </c>
      <c r="O198" s="54" t="str">
        <f aca="false">IF(N198="","",LOOKUP(N198,Tiempos!$A$6:$A$10,Tiempos!$B$6:$B$10))</f>
        <v/>
      </c>
      <c r="P198" s="54"/>
      <c r="Q198" s="54"/>
      <c r="R198" s="54"/>
      <c r="S198" s="54"/>
      <c r="T198" s="58"/>
      <c r="U198" s="54"/>
      <c r="V198" s="58"/>
      <c r="W198" s="57"/>
      <c r="X198" s="55"/>
      <c r="Y198" s="54"/>
      <c r="Z198" s="56"/>
      <c r="AA198" s="58" t="str">
        <f aca="false">IF(AND(ISNUMBER(M198),ISNUMBER(Z198)),IF(Z198&gt;=M198,(Z198-M198)*1440,""),"")</f>
        <v/>
      </c>
      <c r="AB198" s="57"/>
      <c r="AC198" s="56"/>
      <c r="AD198" s="58" t="str">
        <f aca="false">IF(AND(ISNUMBER(Z198),ISNUMBER(AC198)),IF(AC198&gt;=Z198,(AC198-Z198)*1440,""),"")</f>
        <v/>
      </c>
      <c r="AE198" s="54"/>
      <c r="AF198" s="54"/>
      <c r="AG198" s="54"/>
      <c r="AH198" s="58"/>
      <c r="AI198" s="55" t="n">
        <v>2</v>
      </c>
      <c r="AJ198" s="54" t="s">
        <v>216</v>
      </c>
      <c r="AK198" s="54" t="s">
        <v>212</v>
      </c>
    </row>
    <row r="199" customFormat="false" ht="15" hidden="false" customHeight="false" outlineLevel="0" collapsed="false">
      <c r="A199" s="54" t="s">
        <v>27</v>
      </c>
      <c r="B199" s="55" t="n">
        <v>592</v>
      </c>
      <c r="C199" s="54" t="s">
        <v>127</v>
      </c>
      <c r="D199" s="54" t="s">
        <v>212</v>
      </c>
      <c r="E199" s="54"/>
      <c r="F199" s="56" t="n">
        <v>46302.5124597569</v>
      </c>
      <c r="G199" s="54" t="s">
        <v>212</v>
      </c>
      <c r="H199" s="54" t="s">
        <v>212</v>
      </c>
      <c r="I199" s="57"/>
      <c r="J199" s="56"/>
      <c r="K199" s="56"/>
      <c r="L199" s="58" t="str">
        <f aca="false">IF(AND(ISNUMBER(J199),ISNUMBER(K199)),IF(K199&gt;=J199,(K199-J199)*1440,""),"")</f>
        <v/>
      </c>
      <c r="M199" s="56"/>
      <c r="N199" s="58" t="str">
        <f aca="false">IF(AND(ISNUMBER(J199),ISNUMBER(M199)),IF(M199&gt;=J199,(M199-J199)*1440,""),"")</f>
        <v/>
      </c>
      <c r="O199" s="54" t="str">
        <f aca="false">IF(N199="","",LOOKUP(N199,Tiempos!$A$6:$A$10,Tiempos!$B$6:$B$10))</f>
        <v/>
      </c>
      <c r="P199" s="54"/>
      <c r="Q199" s="54"/>
      <c r="R199" s="54"/>
      <c r="S199" s="54"/>
      <c r="T199" s="58"/>
      <c r="U199" s="54"/>
      <c r="V199" s="58"/>
      <c r="W199" s="57"/>
      <c r="X199" s="55"/>
      <c r="Y199" s="54"/>
      <c r="Z199" s="56"/>
      <c r="AA199" s="58" t="str">
        <f aca="false">IF(AND(ISNUMBER(M199),ISNUMBER(Z199)),IF(Z199&gt;=M199,(Z199-M199)*1440,""),"")</f>
        <v/>
      </c>
      <c r="AB199" s="57"/>
      <c r="AC199" s="56"/>
      <c r="AD199" s="58" t="str">
        <f aca="false">IF(AND(ISNUMBER(Z199),ISNUMBER(AC199)),IF(AC199&gt;=Z199,(AC199-Z199)*1440,""),"")</f>
        <v/>
      </c>
      <c r="AE199" s="54"/>
      <c r="AF199" s="54"/>
      <c r="AG199" s="54"/>
      <c r="AH199" s="58"/>
      <c r="AI199" s="55" t="n">
        <v>2</v>
      </c>
      <c r="AJ199" s="54" t="s">
        <v>216</v>
      </c>
      <c r="AK199" s="54" t="s">
        <v>212</v>
      </c>
    </row>
    <row r="200" customFormat="false" ht="15" hidden="false" customHeight="false" outlineLevel="0" collapsed="false">
      <c r="A200" s="54" t="s">
        <v>27</v>
      </c>
      <c r="B200" s="55" t="n">
        <v>601</v>
      </c>
      <c r="C200" s="54" t="s">
        <v>129</v>
      </c>
      <c r="D200" s="54" t="s">
        <v>214</v>
      </c>
      <c r="E200" s="54" t="s">
        <v>233</v>
      </c>
      <c r="F200" s="56" t="n">
        <v>46302.5374261921</v>
      </c>
      <c r="G200" s="54" t="s">
        <v>212</v>
      </c>
      <c r="H200" s="54" t="s">
        <v>214</v>
      </c>
      <c r="I200" s="57" t="s">
        <v>426</v>
      </c>
      <c r="J200" s="56" t="n">
        <v>46302.5386054861</v>
      </c>
      <c r="K200" s="56" t="n">
        <v>46302.5508133218</v>
      </c>
      <c r="L200" s="58" t="n">
        <f aca="false">IF(AND(ISNUMBER(J200),ISNUMBER(K200)),IF(K200&gt;=J200,(K200-J200)*1440,""),"")</f>
        <v>17.5792833371</v>
      </c>
      <c r="M200" s="56" t="n">
        <v>46302.5508133218</v>
      </c>
      <c r="N200" s="58" t="n">
        <f aca="false">IF(AND(ISNUMBER(J200),ISNUMBER(M200)),IF(M200&gt;=J200,(M200-J200)*1440,""),"")</f>
        <v>17.5792833371</v>
      </c>
      <c r="O200" s="54" t="str">
        <f aca="false">IF(N200="","",LOOKUP(N200,Tiempos!$A$6:$A$10,Tiempos!$B$6:$B$10))</f>
        <v>10 a 30 min</v>
      </c>
      <c r="P200" s="54" t="s">
        <v>239</v>
      </c>
      <c r="Q200" s="54" t="s">
        <v>214</v>
      </c>
      <c r="R200" s="54" t="s">
        <v>129</v>
      </c>
      <c r="S200" s="54" t="s">
        <v>220</v>
      </c>
      <c r="T200" s="58" t="n">
        <v>104.5</v>
      </c>
      <c r="U200" s="54" t="s">
        <v>214</v>
      </c>
      <c r="V200" s="58"/>
      <c r="W200" s="57" t="s">
        <v>427</v>
      </c>
      <c r="X200" s="55" t="n">
        <v>4</v>
      </c>
      <c r="Y200" s="54" t="s">
        <v>214</v>
      </c>
      <c r="Z200" s="56" t="n">
        <v>46305.5443818287</v>
      </c>
      <c r="AA200" s="58" t="n">
        <f aca="false">IF(AND(ISNUMBER(M200),ISNUMBER(Z200)),IF(Z200&gt;=M200,(Z200-M200)*1440,""),"")</f>
        <v>4310.73864999808</v>
      </c>
      <c r="AB200" s="57" t="s">
        <v>428</v>
      </c>
      <c r="AC200" s="56" t="n">
        <v>46305.5456532292</v>
      </c>
      <c r="AD200" s="58" t="n">
        <f aca="false">IF(AND(ISNUMBER(Z200),ISNUMBER(AC200)),IF(AC200&gt;=Z200,(AC200-Z200)*1440,""),"")</f>
        <v>1.83081665541667</v>
      </c>
      <c r="AE200" s="54" t="s">
        <v>223</v>
      </c>
      <c r="AF200" s="54" t="s">
        <v>214</v>
      </c>
      <c r="AG200" s="54" t="s">
        <v>214</v>
      </c>
      <c r="AH200" s="58" t="n">
        <v>4</v>
      </c>
      <c r="AI200" s="55" t="n">
        <v>2</v>
      </c>
      <c r="AJ200" s="54" t="s">
        <v>216</v>
      </c>
      <c r="AK200" s="54" t="s">
        <v>212</v>
      </c>
    </row>
    <row r="201" customFormat="false" ht="15" hidden="false" customHeight="false" outlineLevel="0" collapsed="false">
      <c r="A201" s="54" t="s">
        <v>27</v>
      </c>
      <c r="B201" s="55" t="n">
        <v>600</v>
      </c>
      <c r="C201" s="54" t="s">
        <v>127</v>
      </c>
      <c r="D201" s="54" t="s">
        <v>212</v>
      </c>
      <c r="E201" s="54"/>
      <c r="F201" s="56" t="n">
        <v>46302.5553346181</v>
      </c>
      <c r="G201" s="54" t="s">
        <v>212</v>
      </c>
      <c r="H201" s="54" t="s">
        <v>214</v>
      </c>
      <c r="I201" s="57"/>
      <c r="J201" s="56"/>
      <c r="K201" s="56"/>
      <c r="L201" s="58" t="str">
        <f aca="false">IF(AND(ISNUMBER(J201),ISNUMBER(K201)),IF(K201&gt;=J201,(K201-J201)*1440,""),"")</f>
        <v/>
      </c>
      <c r="M201" s="56"/>
      <c r="N201" s="58" t="str">
        <f aca="false">IF(AND(ISNUMBER(J201),ISNUMBER(M201)),IF(M201&gt;=J201,(M201-J201)*1440,""),"")</f>
        <v/>
      </c>
      <c r="O201" s="54" t="str">
        <f aca="false">IF(N201="","",LOOKUP(N201,Tiempos!$A$6:$A$10,Tiempos!$B$6:$B$10))</f>
        <v/>
      </c>
      <c r="P201" s="54"/>
      <c r="Q201" s="54"/>
      <c r="R201" s="54"/>
      <c r="S201" s="54"/>
      <c r="T201" s="58"/>
      <c r="U201" s="54"/>
      <c r="V201" s="58"/>
      <c r="W201" s="57"/>
      <c r="X201" s="55"/>
      <c r="Y201" s="54"/>
      <c r="Z201" s="56"/>
      <c r="AA201" s="58" t="str">
        <f aca="false">IF(AND(ISNUMBER(M201),ISNUMBER(Z201)),IF(Z201&gt;=M201,(Z201-M201)*1440,""),"")</f>
        <v/>
      </c>
      <c r="AB201" s="57"/>
      <c r="AC201" s="56"/>
      <c r="AD201" s="58" t="str">
        <f aca="false">IF(AND(ISNUMBER(Z201),ISNUMBER(AC201)),IF(AC201&gt;=Z201,(AC201-Z201)*1440,""),"")</f>
        <v/>
      </c>
      <c r="AE201" s="54"/>
      <c r="AF201" s="54"/>
      <c r="AG201" s="54"/>
      <c r="AH201" s="58"/>
      <c r="AI201" s="55" t="n">
        <v>1</v>
      </c>
      <c r="AJ201" s="54" t="s">
        <v>216</v>
      </c>
      <c r="AK201" s="54" t="s">
        <v>212</v>
      </c>
    </row>
    <row r="202" customFormat="false" ht="15" hidden="false" customHeight="false" outlineLevel="0" collapsed="false">
      <c r="A202" s="54" t="s">
        <v>27</v>
      </c>
      <c r="B202" s="55" t="n">
        <v>611</v>
      </c>
      <c r="C202" s="54" t="s">
        <v>127</v>
      </c>
      <c r="D202" s="54" t="s">
        <v>212</v>
      </c>
      <c r="E202" s="54"/>
      <c r="F202" s="56" t="n">
        <v>46302.5806265625</v>
      </c>
      <c r="G202" s="54" t="s">
        <v>212</v>
      </c>
      <c r="H202" s="54" t="s">
        <v>212</v>
      </c>
      <c r="I202" s="57"/>
      <c r="J202" s="56"/>
      <c r="K202" s="56"/>
      <c r="L202" s="58" t="str">
        <f aca="false">IF(AND(ISNUMBER(J202),ISNUMBER(K202)),IF(K202&gt;=J202,(K202-J202)*1440,""),"")</f>
        <v/>
      </c>
      <c r="M202" s="56"/>
      <c r="N202" s="58" t="str">
        <f aca="false">IF(AND(ISNUMBER(J202),ISNUMBER(M202)),IF(M202&gt;=J202,(M202-J202)*1440,""),"")</f>
        <v/>
      </c>
      <c r="O202" s="54" t="str">
        <f aca="false">IF(N202="","",LOOKUP(N202,Tiempos!$A$6:$A$10,Tiempos!$B$6:$B$10))</f>
        <v/>
      </c>
      <c r="P202" s="54"/>
      <c r="Q202" s="54"/>
      <c r="R202" s="54"/>
      <c r="S202" s="54"/>
      <c r="T202" s="58"/>
      <c r="U202" s="54"/>
      <c r="V202" s="58"/>
      <c r="W202" s="57"/>
      <c r="X202" s="55"/>
      <c r="Y202" s="54"/>
      <c r="Z202" s="56"/>
      <c r="AA202" s="58" t="str">
        <f aca="false">IF(AND(ISNUMBER(M202),ISNUMBER(Z202)),IF(Z202&gt;=M202,(Z202-M202)*1440,""),"")</f>
        <v/>
      </c>
      <c r="AB202" s="57"/>
      <c r="AC202" s="56"/>
      <c r="AD202" s="58" t="str">
        <f aca="false">IF(AND(ISNUMBER(Z202),ISNUMBER(AC202)),IF(AC202&gt;=Z202,(AC202-Z202)*1440,""),"")</f>
        <v/>
      </c>
      <c r="AE202" s="54"/>
      <c r="AF202" s="54"/>
      <c r="AG202" s="54"/>
      <c r="AH202" s="58"/>
      <c r="AI202" s="55" t="n">
        <v>1</v>
      </c>
      <c r="AJ202" s="54" t="s">
        <v>216</v>
      </c>
      <c r="AK202" s="54" t="s">
        <v>212</v>
      </c>
    </row>
    <row r="203" customFormat="false" ht="15" hidden="false" customHeight="false" outlineLevel="0" collapsed="false">
      <c r="A203" s="54" t="s">
        <v>27</v>
      </c>
      <c r="B203" s="55" t="n">
        <v>620</v>
      </c>
      <c r="C203" s="54" t="s">
        <v>128</v>
      </c>
      <c r="D203" s="54" t="s">
        <v>214</v>
      </c>
      <c r="E203" s="54" t="s">
        <v>278</v>
      </c>
      <c r="F203" s="56" t="n">
        <v>46302.5891577199</v>
      </c>
      <c r="G203" s="54" t="s">
        <v>212</v>
      </c>
      <c r="H203" s="54" t="s">
        <v>214</v>
      </c>
      <c r="I203" s="57" t="s">
        <v>429</v>
      </c>
      <c r="J203" s="56" t="n">
        <v>46302.5894024769</v>
      </c>
      <c r="K203" s="56" t="n">
        <v>46302.5895969792</v>
      </c>
      <c r="L203" s="58" t="n">
        <f aca="false">IF(AND(ISNUMBER(J203),ISNUMBER(K203)),IF(K203&gt;=J203,(K203-J203)*1440,""),"")</f>
        <v>0.28008333755</v>
      </c>
      <c r="M203" s="56" t="n">
        <v>46302.5929417593</v>
      </c>
      <c r="N203" s="58" t="n">
        <f aca="false">IF(AND(ISNUMBER(J203),ISNUMBER(M203)),IF(M203&gt;=J203,(M203-J203)*1440,""),"")</f>
        <v>5.09656667591667</v>
      </c>
      <c r="O203" s="54" t="str">
        <f aca="false">IF(N203="","",LOOKUP(N203,Tiempos!$A$6:$A$10,Tiempos!$B$6:$B$10))</f>
        <v>4 a 6 min</v>
      </c>
      <c r="P203" s="54" t="s">
        <v>229</v>
      </c>
      <c r="Q203" s="54" t="s">
        <v>214</v>
      </c>
      <c r="R203" s="54" t="s">
        <v>128</v>
      </c>
      <c r="S203" s="54" t="s">
        <v>220</v>
      </c>
      <c r="T203" s="58" t="n">
        <v>84.7</v>
      </c>
      <c r="U203" s="54" t="s">
        <v>212</v>
      </c>
      <c r="V203" s="58" t="n">
        <v>4.82</v>
      </c>
      <c r="W203" s="57" t="s">
        <v>430</v>
      </c>
      <c r="X203" s="55" t="n">
        <v>2</v>
      </c>
      <c r="Y203" s="54" t="s">
        <v>212</v>
      </c>
      <c r="Z203" s="56"/>
      <c r="AA203" s="58" t="str">
        <f aca="false">IF(AND(ISNUMBER(M203),ISNUMBER(Z203)),IF(Z203&gt;=M203,(Z203-M203)*1440,""),"")</f>
        <v/>
      </c>
      <c r="AB203" s="57"/>
      <c r="AC203" s="56"/>
      <c r="AD203" s="58" t="str">
        <f aca="false">IF(AND(ISNUMBER(Z203),ISNUMBER(AC203)),IF(AC203&gt;=Z203,(AC203-Z203)*1440,""),"")</f>
        <v/>
      </c>
      <c r="AE203" s="54"/>
      <c r="AF203" s="54" t="s">
        <v>214</v>
      </c>
      <c r="AG203" s="54"/>
      <c r="AH203" s="58"/>
      <c r="AI203" s="55" t="n">
        <v>2</v>
      </c>
      <c r="AJ203" s="54" t="s">
        <v>216</v>
      </c>
      <c r="AK203" s="54" t="s">
        <v>212</v>
      </c>
    </row>
    <row r="204" customFormat="false" ht="15" hidden="false" customHeight="false" outlineLevel="0" collapsed="false">
      <c r="A204" s="54" t="s">
        <v>27</v>
      </c>
      <c r="B204" s="55" t="n">
        <v>626</v>
      </c>
      <c r="C204" s="54" t="s">
        <v>127</v>
      </c>
      <c r="D204" s="54" t="s">
        <v>212</v>
      </c>
      <c r="E204" s="54"/>
      <c r="F204" s="56" t="n">
        <v>46302.6168868519</v>
      </c>
      <c r="G204" s="54" t="s">
        <v>212</v>
      </c>
      <c r="H204" s="54" t="s">
        <v>214</v>
      </c>
      <c r="I204" s="57"/>
      <c r="J204" s="56"/>
      <c r="K204" s="56"/>
      <c r="L204" s="58" t="str">
        <f aca="false">IF(AND(ISNUMBER(J204),ISNUMBER(K204)),IF(K204&gt;=J204,(K204-J204)*1440,""),"")</f>
        <v/>
      </c>
      <c r="M204" s="56"/>
      <c r="N204" s="58" t="str">
        <f aca="false">IF(AND(ISNUMBER(J204),ISNUMBER(M204)),IF(M204&gt;=J204,(M204-J204)*1440,""),"")</f>
        <v/>
      </c>
      <c r="O204" s="54" t="str">
        <f aca="false">IF(N204="","",LOOKUP(N204,Tiempos!$A$6:$A$10,Tiempos!$B$6:$B$10))</f>
        <v/>
      </c>
      <c r="P204" s="54"/>
      <c r="Q204" s="54"/>
      <c r="R204" s="54"/>
      <c r="S204" s="54"/>
      <c r="T204" s="58"/>
      <c r="U204" s="54"/>
      <c r="V204" s="58"/>
      <c r="W204" s="57"/>
      <c r="X204" s="55"/>
      <c r="Y204" s="54"/>
      <c r="Z204" s="56"/>
      <c r="AA204" s="58" t="str">
        <f aca="false">IF(AND(ISNUMBER(M204),ISNUMBER(Z204)),IF(Z204&gt;=M204,(Z204-M204)*1440,""),"")</f>
        <v/>
      </c>
      <c r="AB204" s="57"/>
      <c r="AC204" s="56"/>
      <c r="AD204" s="58" t="str">
        <f aca="false">IF(AND(ISNUMBER(Z204),ISNUMBER(AC204)),IF(AC204&gt;=Z204,(AC204-Z204)*1440,""),"")</f>
        <v/>
      </c>
      <c r="AE204" s="54"/>
      <c r="AF204" s="54"/>
      <c r="AG204" s="54"/>
      <c r="AH204" s="58"/>
      <c r="AI204" s="55" t="n">
        <v>1</v>
      </c>
      <c r="AJ204" s="54" t="s">
        <v>216</v>
      </c>
      <c r="AK204" s="54" t="s">
        <v>212</v>
      </c>
    </row>
    <row r="205" customFormat="false" ht="15" hidden="false" customHeight="false" outlineLevel="0" collapsed="false">
      <c r="A205" s="54" t="s">
        <v>27</v>
      </c>
      <c r="B205" s="55" t="n">
        <v>628</v>
      </c>
      <c r="C205" s="54" t="s">
        <v>128</v>
      </c>
      <c r="D205" s="54" t="s">
        <v>214</v>
      </c>
      <c r="E205" s="54" t="s">
        <v>278</v>
      </c>
      <c r="F205" s="56" t="n">
        <v>46302.6245241435</v>
      </c>
      <c r="G205" s="54" t="s">
        <v>212</v>
      </c>
      <c r="H205" s="54" t="s">
        <v>214</v>
      </c>
      <c r="I205" s="57" t="s">
        <v>431</v>
      </c>
      <c r="J205" s="56" t="n">
        <v>46302.6369086806</v>
      </c>
      <c r="K205" s="56" t="n">
        <v>46302.6495763657</v>
      </c>
      <c r="L205" s="58" t="n">
        <f aca="false">IF(AND(ISNUMBER(J205),ISNUMBER(K205)),IF(K205&gt;=J205,(K205-J205)*1440,""),"")</f>
        <v>18.24146665865</v>
      </c>
      <c r="M205" s="56" t="n">
        <v>46302.6509799653</v>
      </c>
      <c r="N205" s="58" t="n">
        <f aca="false">IF(AND(ISNUMBER(J205),ISNUMBER(M205)),IF(M205&gt;=J205,(M205-J205)*1440,""),"")</f>
        <v>20.2626499976</v>
      </c>
      <c r="O205" s="54" t="str">
        <f aca="false">IF(N205="","",LOOKUP(N205,Tiempos!$A$6:$A$10,Tiempos!$B$6:$B$10))</f>
        <v>10 a 30 min</v>
      </c>
      <c r="P205" s="54" t="s">
        <v>229</v>
      </c>
      <c r="Q205" s="54" t="s">
        <v>214</v>
      </c>
      <c r="R205" s="54" t="s">
        <v>128</v>
      </c>
      <c r="S205" s="54" t="s">
        <v>220</v>
      </c>
      <c r="T205" s="58" t="n">
        <v>87.6</v>
      </c>
      <c r="U205" s="54" t="s">
        <v>214</v>
      </c>
      <c r="V205" s="58" t="n">
        <v>2.02</v>
      </c>
      <c r="W205" s="57" t="s">
        <v>432</v>
      </c>
      <c r="X205" s="55" t="n">
        <v>2</v>
      </c>
      <c r="Y205" s="54" t="s">
        <v>214</v>
      </c>
      <c r="Z205" s="56" t="n">
        <v>46302.661716794</v>
      </c>
      <c r="AA205" s="58" t="n">
        <f aca="false">IF(AND(ISNUMBER(M205),ISNUMBER(Z205)),IF(Z205&gt;=M205,(Z205-M205)*1440,""),"")</f>
        <v>15.4610333265667</v>
      </c>
      <c r="AB205" s="57" t="s">
        <v>433</v>
      </c>
      <c r="AC205" s="56" t="n">
        <v>46302.6635478241</v>
      </c>
      <c r="AD205" s="58" t="n">
        <f aca="false">IF(AND(ISNUMBER(Z205),ISNUMBER(AC205)),IF(AC205&gt;=Z205,(AC205-Z205)*1440,""),"")</f>
        <v>2.63668333645</v>
      </c>
      <c r="AE205" s="54" t="s">
        <v>346</v>
      </c>
      <c r="AF205" s="54" t="s">
        <v>214</v>
      </c>
      <c r="AG205" s="54" t="s">
        <v>214</v>
      </c>
      <c r="AH205" s="58" t="n">
        <v>4</v>
      </c>
      <c r="AI205" s="55" t="n">
        <v>1</v>
      </c>
      <c r="AJ205" s="54" t="s">
        <v>216</v>
      </c>
      <c r="AK205" s="54" t="s">
        <v>212</v>
      </c>
    </row>
    <row r="206" customFormat="false" ht="15" hidden="false" customHeight="false" outlineLevel="0" collapsed="false">
      <c r="A206" s="54" t="s">
        <v>27</v>
      </c>
      <c r="B206" s="55" t="n">
        <v>636</v>
      </c>
      <c r="C206" s="54" t="s">
        <v>128</v>
      </c>
      <c r="D206" s="54" t="s">
        <v>212</v>
      </c>
      <c r="E206" s="54"/>
      <c r="F206" s="56" t="n">
        <v>46302.6273523264</v>
      </c>
      <c r="G206" s="54" t="s">
        <v>212</v>
      </c>
      <c r="H206" s="54" t="s">
        <v>212</v>
      </c>
      <c r="I206" s="57"/>
      <c r="J206" s="56"/>
      <c r="K206" s="56"/>
      <c r="L206" s="58" t="str">
        <f aca="false">IF(AND(ISNUMBER(J206),ISNUMBER(K206)),IF(K206&gt;=J206,(K206-J206)*1440,""),"")</f>
        <v/>
      </c>
      <c r="M206" s="56"/>
      <c r="N206" s="58" t="str">
        <f aca="false">IF(AND(ISNUMBER(J206),ISNUMBER(M206)),IF(M206&gt;=J206,(M206-J206)*1440,""),"")</f>
        <v/>
      </c>
      <c r="O206" s="54" t="str">
        <f aca="false">IF(N206="","",LOOKUP(N206,Tiempos!$A$6:$A$10,Tiempos!$B$6:$B$10))</f>
        <v/>
      </c>
      <c r="P206" s="54"/>
      <c r="Q206" s="54"/>
      <c r="R206" s="54"/>
      <c r="S206" s="54"/>
      <c r="T206" s="58"/>
      <c r="U206" s="54"/>
      <c r="V206" s="58"/>
      <c r="W206" s="57"/>
      <c r="X206" s="55"/>
      <c r="Y206" s="54"/>
      <c r="Z206" s="56"/>
      <c r="AA206" s="58" t="str">
        <f aca="false">IF(AND(ISNUMBER(M206),ISNUMBER(Z206)),IF(Z206&gt;=M206,(Z206-M206)*1440,""),"")</f>
        <v/>
      </c>
      <c r="AB206" s="57"/>
      <c r="AC206" s="56"/>
      <c r="AD206" s="58" t="str">
        <f aca="false">IF(AND(ISNUMBER(Z206),ISNUMBER(AC206)),IF(AC206&gt;=Z206,(AC206-Z206)*1440,""),"")</f>
        <v/>
      </c>
      <c r="AE206" s="54"/>
      <c r="AF206" s="54"/>
      <c r="AG206" s="54"/>
      <c r="AH206" s="58"/>
      <c r="AI206" s="55" t="n">
        <v>2</v>
      </c>
      <c r="AJ206" s="54" t="s">
        <v>216</v>
      </c>
      <c r="AK206" s="54" t="s">
        <v>212</v>
      </c>
    </row>
    <row r="207" customFormat="false" ht="15" hidden="false" customHeight="false" outlineLevel="0" collapsed="false">
      <c r="A207" s="54" t="s">
        <v>27</v>
      </c>
      <c r="B207" s="55" t="n">
        <v>642</v>
      </c>
      <c r="C207" s="54" t="s">
        <v>128</v>
      </c>
      <c r="D207" s="54" t="s">
        <v>214</v>
      </c>
      <c r="E207" s="54" t="s">
        <v>233</v>
      </c>
      <c r="F207" s="56" t="n">
        <v>46302.6497513542</v>
      </c>
      <c r="G207" s="54" t="s">
        <v>212</v>
      </c>
      <c r="H207" s="54" t="s">
        <v>212</v>
      </c>
      <c r="I207" s="57" t="s">
        <v>434</v>
      </c>
      <c r="J207" s="56" t="n">
        <v>46302.6508978241</v>
      </c>
      <c r="K207" s="56" t="n">
        <v>46302.6538478125</v>
      </c>
      <c r="L207" s="58" t="n">
        <f aca="false">IF(AND(ISNUMBER(J207),ISNUMBER(K207)),IF(K207&gt;=J207,(K207-J207)*1440,""),"")</f>
        <v>4.24798334365</v>
      </c>
      <c r="M207" s="56" t="n">
        <v>46302.6559062847</v>
      </c>
      <c r="N207" s="58" t="n">
        <f aca="false">IF(AND(ISNUMBER(J207),ISNUMBER(M207)),IF(M207&gt;=J207,(M207-J207)*1440,""),"")</f>
        <v>7.21218334393333</v>
      </c>
      <c r="O207" s="54" t="str">
        <f aca="false">IF(N207="","",LOOKUP(N207,Tiempos!$A$6:$A$10,Tiempos!$B$6:$B$10))</f>
        <v>6 a 10 min</v>
      </c>
      <c r="P207" s="54" t="s">
        <v>229</v>
      </c>
      <c r="Q207" s="54" t="s">
        <v>214</v>
      </c>
      <c r="R207" s="54" t="s">
        <v>128</v>
      </c>
      <c r="S207" s="54" t="s">
        <v>220</v>
      </c>
      <c r="T207" s="58" t="n">
        <v>89.1</v>
      </c>
      <c r="U207" s="54" t="s">
        <v>212</v>
      </c>
      <c r="V207" s="58" t="n">
        <v>2.96</v>
      </c>
      <c r="W207" s="57" t="s">
        <v>430</v>
      </c>
      <c r="X207" s="55" t="n">
        <v>2</v>
      </c>
      <c r="Y207" s="54" t="s">
        <v>214</v>
      </c>
      <c r="Z207" s="56" t="n">
        <v>46302.6669226505</v>
      </c>
      <c r="AA207" s="58" t="n">
        <f aca="false">IF(AND(ISNUMBER(M207),ISNUMBER(Z207)),IF(Z207&gt;=M207,(Z207-M207)*1440,""),"")</f>
        <v>15.8635666617167</v>
      </c>
      <c r="AB207" s="57" t="s">
        <v>435</v>
      </c>
      <c r="AC207" s="56" t="n">
        <v>46307.5125494097</v>
      </c>
      <c r="AD207" s="58" t="n">
        <f aca="false">IF(AND(ISNUMBER(Z207),ISNUMBER(AC207)),IF(AC207&gt;=Z207,(AC207-Z207)*1440,""),"")</f>
        <v>6977.70253333845</v>
      </c>
      <c r="AE207" s="54" t="s">
        <v>293</v>
      </c>
      <c r="AF207" s="54" t="s">
        <v>214</v>
      </c>
      <c r="AG207" s="54" t="s">
        <v>214</v>
      </c>
      <c r="AH207" s="58" t="n">
        <v>4.1</v>
      </c>
      <c r="AI207" s="55" t="n">
        <v>2</v>
      </c>
      <c r="AJ207" s="54" t="s">
        <v>216</v>
      </c>
      <c r="AK207" s="54" t="s">
        <v>212</v>
      </c>
    </row>
    <row r="208" customFormat="false" ht="15" hidden="false" customHeight="false" outlineLevel="0" collapsed="false">
      <c r="A208" s="54" t="s">
        <v>27</v>
      </c>
      <c r="B208" s="55" t="n">
        <v>651</v>
      </c>
      <c r="C208" s="54" t="s">
        <v>129</v>
      </c>
      <c r="D208" s="54" t="s">
        <v>214</v>
      </c>
      <c r="E208" s="54" t="s">
        <v>278</v>
      </c>
      <c r="F208" s="56" t="n">
        <v>46302.6734133681</v>
      </c>
      <c r="G208" s="54" t="s">
        <v>212</v>
      </c>
      <c r="H208" s="54" t="s">
        <v>214</v>
      </c>
      <c r="I208" s="57" t="s">
        <v>436</v>
      </c>
      <c r="J208" s="56" t="n">
        <v>46302.6753134838</v>
      </c>
      <c r="K208" s="56" t="n">
        <v>46302.677093044</v>
      </c>
      <c r="L208" s="58" t="n">
        <f aca="false">IF(AND(ISNUMBER(J208),ISNUMBER(K208)),IF(K208&gt;=J208,(K208-J208)*1440,""),"")</f>
        <v>2.56256667198333</v>
      </c>
      <c r="M208" s="56" t="n">
        <v>46302.680862037</v>
      </c>
      <c r="N208" s="58" t="n">
        <f aca="false">IF(AND(ISNUMBER(J208),ISNUMBER(M208)),IF(M208&gt;=J208,(M208-J208)*1440,""),"")</f>
        <v>7.98991668036667</v>
      </c>
      <c r="O208" s="54" t="str">
        <f aca="false">IF(N208="","",LOOKUP(N208,Tiempos!$A$6:$A$10,Tiempos!$B$6:$B$10))</f>
        <v>6 a 10 min</v>
      </c>
      <c r="P208" s="54" t="s">
        <v>244</v>
      </c>
      <c r="Q208" s="54" t="s">
        <v>214</v>
      </c>
      <c r="R208" s="54" t="s">
        <v>129</v>
      </c>
      <c r="S208" s="54" t="s">
        <v>220</v>
      </c>
      <c r="T208" s="58" t="n">
        <v>104.7</v>
      </c>
      <c r="U208" s="54" t="s">
        <v>214</v>
      </c>
      <c r="V208" s="58" t="n">
        <v>5.43</v>
      </c>
      <c r="W208" s="57" t="s">
        <v>437</v>
      </c>
      <c r="X208" s="55" t="n">
        <v>3</v>
      </c>
      <c r="Y208" s="54" t="s">
        <v>214</v>
      </c>
      <c r="Z208" s="56" t="n">
        <v>46302.6816987616</v>
      </c>
      <c r="AA208" s="58" t="n">
        <f aca="false">IF(AND(ISNUMBER(M208),ISNUMBER(Z208)),IF(Z208&gt;=M208,(Z208-M208)*1440,""),"")</f>
        <v>1.20488331536667</v>
      </c>
      <c r="AB208" s="57" t="s">
        <v>438</v>
      </c>
      <c r="AC208" s="56" t="n">
        <v>46302.6872479282</v>
      </c>
      <c r="AD208" s="58" t="n">
        <f aca="false">IF(AND(ISNUMBER(Z208),ISNUMBER(AC208)),IF(AC208&gt;=Z208,(AC208-Z208)*1440,""),"")</f>
        <v>7.99080000723333</v>
      </c>
      <c r="AE208" s="54" t="s">
        <v>223</v>
      </c>
      <c r="AF208" s="54" t="s">
        <v>214</v>
      </c>
      <c r="AG208" s="54" t="s">
        <v>214</v>
      </c>
      <c r="AH208" s="58" t="n">
        <v>4.8</v>
      </c>
      <c r="AI208" s="55" t="n">
        <v>2</v>
      </c>
      <c r="AJ208" s="54" t="s">
        <v>216</v>
      </c>
      <c r="AK208" s="54" t="s">
        <v>212</v>
      </c>
    </row>
    <row r="209" customFormat="false" ht="15" hidden="false" customHeight="false" outlineLevel="0" collapsed="false">
      <c r="A209" s="54" t="s">
        <v>27</v>
      </c>
      <c r="B209" s="55" t="n">
        <v>645</v>
      </c>
      <c r="C209" s="54" t="s">
        <v>127</v>
      </c>
      <c r="D209" s="54" t="s">
        <v>212</v>
      </c>
      <c r="E209" s="54"/>
      <c r="F209" s="56" t="n">
        <v>46302.6774527778</v>
      </c>
      <c r="G209" s="54" t="s">
        <v>212</v>
      </c>
      <c r="H209" s="54" t="s">
        <v>214</v>
      </c>
      <c r="I209" s="57"/>
      <c r="J209" s="56"/>
      <c r="K209" s="56"/>
      <c r="L209" s="58" t="str">
        <f aca="false">IF(AND(ISNUMBER(J209),ISNUMBER(K209)),IF(K209&gt;=J209,(K209-J209)*1440,""),"")</f>
        <v/>
      </c>
      <c r="M209" s="56"/>
      <c r="N209" s="58" t="str">
        <f aca="false">IF(AND(ISNUMBER(J209),ISNUMBER(M209)),IF(M209&gt;=J209,(M209-J209)*1440,""),"")</f>
        <v/>
      </c>
      <c r="O209" s="54" t="str">
        <f aca="false">IF(N209="","",LOOKUP(N209,Tiempos!$A$6:$A$10,Tiempos!$B$6:$B$10))</f>
        <v/>
      </c>
      <c r="P209" s="54"/>
      <c r="Q209" s="54"/>
      <c r="R209" s="54"/>
      <c r="S209" s="54"/>
      <c r="T209" s="58"/>
      <c r="U209" s="54"/>
      <c r="V209" s="58"/>
      <c r="W209" s="57"/>
      <c r="X209" s="55"/>
      <c r="Y209" s="54"/>
      <c r="Z209" s="56"/>
      <c r="AA209" s="58" t="str">
        <f aca="false">IF(AND(ISNUMBER(M209),ISNUMBER(Z209)),IF(Z209&gt;=M209,(Z209-M209)*1440,""),"")</f>
        <v/>
      </c>
      <c r="AB209" s="57"/>
      <c r="AC209" s="56"/>
      <c r="AD209" s="58" t="str">
        <f aca="false">IF(AND(ISNUMBER(Z209),ISNUMBER(AC209)),IF(AC209&gt;=Z209,(AC209-Z209)*1440,""),"")</f>
        <v/>
      </c>
      <c r="AE209" s="54"/>
      <c r="AF209" s="54"/>
      <c r="AG209" s="54"/>
      <c r="AH209" s="58"/>
      <c r="AI209" s="55" t="n">
        <v>1</v>
      </c>
      <c r="AJ209" s="54" t="s">
        <v>216</v>
      </c>
      <c r="AK209" s="54" t="s">
        <v>212</v>
      </c>
    </row>
    <row r="210" customFormat="false" ht="15" hidden="false" customHeight="false" outlineLevel="0" collapsed="false">
      <c r="A210" s="54" t="s">
        <v>27</v>
      </c>
      <c r="B210" s="55" t="n">
        <v>660</v>
      </c>
      <c r="C210" s="54" t="s">
        <v>127</v>
      </c>
      <c r="D210" s="54" t="s">
        <v>212</v>
      </c>
      <c r="E210" s="54"/>
      <c r="F210" s="56" t="n">
        <v>46302.7057615509</v>
      </c>
      <c r="G210" s="54" t="s">
        <v>212</v>
      </c>
      <c r="H210" s="54" t="s">
        <v>212</v>
      </c>
      <c r="I210" s="57"/>
      <c r="J210" s="56"/>
      <c r="K210" s="56"/>
      <c r="L210" s="58" t="str">
        <f aca="false">IF(AND(ISNUMBER(J210),ISNUMBER(K210)),IF(K210&gt;=J210,(K210-J210)*1440,""),"")</f>
        <v/>
      </c>
      <c r="M210" s="56"/>
      <c r="N210" s="58" t="str">
        <f aca="false">IF(AND(ISNUMBER(J210),ISNUMBER(M210)),IF(M210&gt;=J210,(M210-J210)*1440,""),"")</f>
        <v/>
      </c>
      <c r="O210" s="54" t="str">
        <f aca="false">IF(N210="","",LOOKUP(N210,Tiempos!$A$6:$A$10,Tiempos!$B$6:$B$10))</f>
        <v/>
      </c>
      <c r="P210" s="54"/>
      <c r="Q210" s="54"/>
      <c r="R210" s="54"/>
      <c r="S210" s="54"/>
      <c r="T210" s="58"/>
      <c r="U210" s="54"/>
      <c r="V210" s="58"/>
      <c r="W210" s="57"/>
      <c r="X210" s="55"/>
      <c r="Y210" s="54"/>
      <c r="Z210" s="56"/>
      <c r="AA210" s="58" t="str">
        <f aca="false">IF(AND(ISNUMBER(M210),ISNUMBER(Z210)),IF(Z210&gt;=M210,(Z210-M210)*1440,""),"")</f>
        <v/>
      </c>
      <c r="AB210" s="57"/>
      <c r="AC210" s="56"/>
      <c r="AD210" s="58" t="str">
        <f aca="false">IF(AND(ISNUMBER(Z210),ISNUMBER(AC210)),IF(AC210&gt;=Z210,(AC210-Z210)*1440,""),"")</f>
        <v/>
      </c>
      <c r="AE210" s="54"/>
      <c r="AF210" s="54"/>
      <c r="AG210" s="54"/>
      <c r="AH210" s="58"/>
      <c r="AI210" s="55" t="n">
        <v>3</v>
      </c>
      <c r="AJ210" s="54" t="s">
        <v>216</v>
      </c>
      <c r="AK210" s="54" t="s">
        <v>212</v>
      </c>
    </row>
    <row r="211" customFormat="false" ht="15" hidden="false" customHeight="false" outlineLevel="0" collapsed="false">
      <c r="A211" s="54" t="s">
        <v>27</v>
      </c>
      <c r="B211" s="55" t="n">
        <v>659</v>
      </c>
      <c r="C211" s="54" t="s">
        <v>127</v>
      </c>
      <c r="D211" s="54" t="s">
        <v>214</v>
      </c>
      <c r="E211" s="54" t="s">
        <v>217</v>
      </c>
      <c r="F211" s="56" t="n">
        <v>46302.7185498148</v>
      </c>
      <c r="G211" s="54" t="s">
        <v>212</v>
      </c>
      <c r="H211" s="54" t="s">
        <v>214</v>
      </c>
      <c r="I211" s="57" t="s">
        <v>439</v>
      </c>
      <c r="J211" s="56" t="n">
        <v>46302.7972500926</v>
      </c>
      <c r="K211" s="56" t="n">
        <v>46302.8093359954</v>
      </c>
      <c r="L211" s="58" t="n">
        <f aca="false">IF(AND(ISNUMBER(J211),ISNUMBER(K211)),IF(K211&gt;=J211,(K211-J211)*1440,""),"")</f>
        <v>17.4037000047833</v>
      </c>
      <c r="M211" s="56" t="n">
        <v>46302.8093359954</v>
      </c>
      <c r="N211" s="58" t="n">
        <f aca="false">IF(AND(ISNUMBER(J211),ISNUMBER(M211)),IF(M211&gt;=J211,(M211-J211)*1440,""),"")</f>
        <v>17.4037000047833</v>
      </c>
      <c r="O211" s="54" t="str">
        <f aca="false">IF(N211="","",LOOKUP(N211,Tiempos!$A$6:$A$10,Tiempos!$B$6:$B$10))</f>
        <v>10 a 30 min</v>
      </c>
      <c r="P211" s="54" t="s">
        <v>234</v>
      </c>
      <c r="Q211" s="54" t="s">
        <v>214</v>
      </c>
      <c r="R211" s="54" t="s">
        <v>127</v>
      </c>
      <c r="S211" s="54" t="s">
        <v>220</v>
      </c>
      <c r="T211" s="58" t="n">
        <v>116.5</v>
      </c>
      <c r="U211" s="54" t="s">
        <v>214</v>
      </c>
      <c r="V211" s="58"/>
      <c r="W211" s="57" t="s">
        <v>440</v>
      </c>
      <c r="X211" s="55" t="n">
        <v>2</v>
      </c>
      <c r="Y211" s="54" t="s">
        <v>212</v>
      </c>
      <c r="Z211" s="56"/>
      <c r="AA211" s="58" t="str">
        <f aca="false">IF(AND(ISNUMBER(M211),ISNUMBER(Z211)),IF(Z211&gt;=M211,(Z211-M211)*1440,""),"")</f>
        <v/>
      </c>
      <c r="AB211" s="57"/>
      <c r="AC211" s="56"/>
      <c r="AD211" s="58" t="str">
        <f aca="false">IF(AND(ISNUMBER(Z211),ISNUMBER(AC211)),IF(AC211&gt;=Z211,(AC211-Z211)*1440,""),"")</f>
        <v/>
      </c>
      <c r="AE211" s="54"/>
      <c r="AF211" s="54" t="s">
        <v>212</v>
      </c>
      <c r="AG211" s="54"/>
      <c r="AH211" s="58"/>
      <c r="AI211" s="55" t="n">
        <v>1</v>
      </c>
      <c r="AJ211" s="54" t="s">
        <v>216</v>
      </c>
      <c r="AK211" s="54" t="s">
        <v>212</v>
      </c>
    </row>
    <row r="212" customFormat="false" ht="15" hidden="false" customHeight="false" outlineLevel="0" collapsed="false">
      <c r="A212" s="54" t="s">
        <v>27</v>
      </c>
      <c r="B212" s="55" t="n">
        <v>663</v>
      </c>
      <c r="C212" s="54" t="s">
        <v>128</v>
      </c>
      <c r="D212" s="54" t="s">
        <v>211</v>
      </c>
      <c r="E212" s="54"/>
      <c r="F212" s="56" t="n">
        <v>46302.7212386458</v>
      </c>
      <c r="G212" s="54" t="s">
        <v>212</v>
      </c>
      <c r="H212" s="54" t="s">
        <v>214</v>
      </c>
      <c r="I212" s="57" t="s">
        <v>441</v>
      </c>
      <c r="J212" s="56" t="n">
        <v>46302.7226837847</v>
      </c>
      <c r="K212" s="56" t="n">
        <v>46302.7239118287</v>
      </c>
      <c r="L212" s="58" t="n">
        <f aca="false">IF(AND(ISNUMBER(J212),ISNUMBER(K212)),IF(K212&gt;=J212,(K212-J212)*1440,""),"")</f>
        <v>1.76838333718333</v>
      </c>
      <c r="M212" s="56" t="n">
        <v>46302.7239118287</v>
      </c>
      <c r="N212" s="58" t="n">
        <f aca="false">IF(AND(ISNUMBER(J212),ISNUMBER(M212)),IF(M212&gt;=J212,(M212-J212)*1440,""),"")</f>
        <v>1.76838333718333</v>
      </c>
      <c r="O212" s="54" t="str">
        <f aca="false">IF(N212="","",LOOKUP(N212,Tiempos!$A$6:$A$10,Tiempos!$B$6:$B$10))</f>
        <v>Menos de 4 min</v>
      </c>
      <c r="P212" s="54" t="s">
        <v>226</v>
      </c>
      <c r="Q212" s="54" t="s">
        <v>212</v>
      </c>
      <c r="R212" s="54" t="s">
        <v>128</v>
      </c>
      <c r="S212" s="54" t="s">
        <v>220</v>
      </c>
      <c r="T212" s="58"/>
      <c r="U212" s="54"/>
      <c r="V212" s="58"/>
      <c r="W212" s="57"/>
      <c r="X212" s="55" t="n">
        <v>0</v>
      </c>
      <c r="Y212" s="54" t="s">
        <v>214</v>
      </c>
      <c r="Z212" s="56" t="n">
        <v>46302.725389757</v>
      </c>
      <c r="AA212" s="58" t="n">
        <f aca="false">IF(AND(ISNUMBER(M212),ISNUMBER(Z212)),IF(Z212&gt;=M212,(Z212-M212)*1440,""),"")</f>
        <v>2.12821668013333</v>
      </c>
      <c r="AB212" s="57" t="s">
        <v>442</v>
      </c>
      <c r="AC212" s="56" t="n">
        <v>46302.7266343287</v>
      </c>
      <c r="AD212" s="58" t="n">
        <f aca="false">IF(AND(ISNUMBER(Z212),ISNUMBER(AC212)),IF(AC212&gt;=Z212,(AC212-Z212)*1440,""),"")</f>
        <v>1.79218331118333</v>
      </c>
      <c r="AE212" s="54" t="s">
        <v>237</v>
      </c>
      <c r="AF212" s="54" t="s">
        <v>212</v>
      </c>
      <c r="AG212" s="54" t="s">
        <v>212</v>
      </c>
      <c r="AH212" s="58"/>
      <c r="AI212" s="55" t="n">
        <v>2</v>
      </c>
      <c r="AJ212" s="54" t="s">
        <v>216</v>
      </c>
      <c r="AK212" s="54" t="s">
        <v>212</v>
      </c>
    </row>
    <row r="213" customFormat="false" ht="15" hidden="false" customHeight="false" outlineLevel="0" collapsed="false">
      <c r="A213" s="54" t="s">
        <v>27</v>
      </c>
      <c r="B213" s="55" t="n">
        <v>670</v>
      </c>
      <c r="C213" s="54" t="s">
        <v>128</v>
      </c>
      <c r="D213" s="54" t="s">
        <v>214</v>
      </c>
      <c r="E213" s="54" t="s">
        <v>217</v>
      </c>
      <c r="F213" s="56" t="n">
        <v>46302.7319989699</v>
      </c>
      <c r="G213" s="54" t="s">
        <v>212</v>
      </c>
      <c r="H213" s="54" t="s">
        <v>214</v>
      </c>
      <c r="I213" s="57" t="s">
        <v>443</v>
      </c>
      <c r="J213" s="56" t="n">
        <v>46302.7430415394</v>
      </c>
      <c r="K213" s="56" t="n">
        <v>46302.7475920486</v>
      </c>
      <c r="L213" s="58" t="n">
        <f aca="false">IF(AND(ISNUMBER(J213),ISNUMBER(K213)),IF(K213&gt;=J213,(K213-J213)*1440,""),"")</f>
        <v>6.55273334006667</v>
      </c>
      <c r="M213" s="56" t="n">
        <v>46302.7498237616</v>
      </c>
      <c r="N213" s="58" t="n">
        <f aca="false">IF(AND(ISNUMBER(J213),ISNUMBER(M213)),IF(M213&gt;=J213,(M213-J213)*1440,""),"")</f>
        <v>9.7664000059</v>
      </c>
      <c r="O213" s="54" t="str">
        <f aca="false">IF(N213="","",LOOKUP(N213,Tiempos!$A$6:$A$10,Tiempos!$B$6:$B$10))</f>
        <v>6 a 10 min</v>
      </c>
      <c r="P213" s="54" t="s">
        <v>244</v>
      </c>
      <c r="Q213" s="54" t="s">
        <v>214</v>
      </c>
      <c r="R213" s="54" t="s">
        <v>128</v>
      </c>
      <c r="S213" s="54" t="s">
        <v>220</v>
      </c>
      <c r="T213" s="58" t="n">
        <v>83.5</v>
      </c>
      <c r="U213" s="54" t="s">
        <v>214</v>
      </c>
      <c r="V213" s="58" t="n">
        <v>3.21</v>
      </c>
      <c r="W213" s="57" t="s">
        <v>444</v>
      </c>
      <c r="X213" s="55" t="n">
        <v>3</v>
      </c>
      <c r="Y213" s="54" t="s">
        <v>214</v>
      </c>
      <c r="Z213" s="56" t="n">
        <v>46302.7522276852</v>
      </c>
      <c r="AA213" s="58" t="n">
        <f aca="false">IF(AND(ISNUMBER(M213),ISNUMBER(Z213)),IF(Z213&gt;=M213,(Z213-M213)*1440,""),"")</f>
        <v>3.46165000693333</v>
      </c>
      <c r="AB213" s="57" t="s">
        <v>445</v>
      </c>
      <c r="AC213" s="56" t="n">
        <v>46302.7564834144</v>
      </c>
      <c r="AD213" s="58" t="n">
        <f aca="false">IF(AND(ISNUMBER(Z213),ISNUMBER(AC213)),IF(AC213&gt;=Z213,(AC213-Z213)*1440,""),"")</f>
        <v>6.12824999028333</v>
      </c>
      <c r="AE213" s="54" t="s">
        <v>277</v>
      </c>
      <c r="AF213" s="54" t="s">
        <v>212</v>
      </c>
      <c r="AG213" s="54" t="s">
        <v>212</v>
      </c>
      <c r="AH213" s="58"/>
      <c r="AI213" s="55" t="n">
        <v>2</v>
      </c>
      <c r="AJ213" s="54" t="s">
        <v>216</v>
      </c>
      <c r="AK213" s="54" t="s">
        <v>212</v>
      </c>
    </row>
    <row r="214" customFormat="false" ht="15" hidden="false" customHeight="false" outlineLevel="0" collapsed="false">
      <c r="A214" s="54" t="s">
        <v>27</v>
      </c>
      <c r="B214" s="55" t="n">
        <v>666</v>
      </c>
      <c r="C214" s="54" t="s">
        <v>127</v>
      </c>
      <c r="D214" s="54" t="s">
        <v>212</v>
      </c>
      <c r="E214" s="54"/>
      <c r="F214" s="56" t="n">
        <v>46302.7459565972</v>
      </c>
      <c r="G214" s="54" t="s">
        <v>212</v>
      </c>
      <c r="H214" s="54" t="s">
        <v>212</v>
      </c>
      <c r="I214" s="57"/>
      <c r="J214" s="56"/>
      <c r="K214" s="56"/>
      <c r="L214" s="58" t="str">
        <f aca="false">IF(AND(ISNUMBER(J214),ISNUMBER(K214)),IF(K214&gt;=J214,(K214-J214)*1440,""),"")</f>
        <v/>
      </c>
      <c r="M214" s="56"/>
      <c r="N214" s="58" t="str">
        <f aca="false">IF(AND(ISNUMBER(J214),ISNUMBER(M214)),IF(M214&gt;=J214,(M214-J214)*1440,""),"")</f>
        <v/>
      </c>
      <c r="O214" s="54" t="str">
        <f aca="false">IF(N214="","",LOOKUP(N214,Tiempos!$A$6:$A$10,Tiempos!$B$6:$B$10))</f>
        <v/>
      </c>
      <c r="P214" s="54"/>
      <c r="Q214" s="54"/>
      <c r="R214" s="54"/>
      <c r="S214" s="54"/>
      <c r="T214" s="58"/>
      <c r="U214" s="54"/>
      <c r="V214" s="58"/>
      <c r="W214" s="57"/>
      <c r="X214" s="55"/>
      <c r="Y214" s="54"/>
      <c r="Z214" s="56"/>
      <c r="AA214" s="58" t="str">
        <f aca="false">IF(AND(ISNUMBER(M214),ISNUMBER(Z214)),IF(Z214&gt;=M214,(Z214-M214)*1440,""),"")</f>
        <v/>
      </c>
      <c r="AB214" s="57"/>
      <c r="AC214" s="56"/>
      <c r="AD214" s="58" t="str">
        <f aca="false">IF(AND(ISNUMBER(Z214),ISNUMBER(AC214)),IF(AC214&gt;=Z214,(AC214-Z214)*1440,""),"")</f>
        <v/>
      </c>
      <c r="AE214" s="54"/>
      <c r="AF214" s="54"/>
      <c r="AG214" s="54"/>
      <c r="AH214" s="58"/>
      <c r="AI214" s="55" t="n">
        <v>1</v>
      </c>
      <c r="AJ214" s="54" t="s">
        <v>216</v>
      </c>
      <c r="AK214" s="54" t="s">
        <v>212</v>
      </c>
    </row>
    <row r="215" customFormat="false" ht="15" hidden="false" customHeight="false" outlineLevel="0" collapsed="false">
      <c r="A215" s="54" t="s">
        <v>27</v>
      </c>
      <c r="B215" s="55" t="n">
        <v>682</v>
      </c>
      <c r="C215" s="54" t="s">
        <v>129</v>
      </c>
      <c r="D215" s="54" t="s">
        <v>214</v>
      </c>
      <c r="E215" s="54" t="s">
        <v>233</v>
      </c>
      <c r="F215" s="56" t="n">
        <v>46302.7575529398</v>
      </c>
      <c r="G215" s="54" t="s">
        <v>212</v>
      </c>
      <c r="H215" s="54" t="s">
        <v>214</v>
      </c>
      <c r="I215" s="57" t="s">
        <v>446</v>
      </c>
      <c r="J215" s="56" t="n">
        <v>46302.7580004977</v>
      </c>
      <c r="K215" s="56" t="n">
        <v>46302.7581139699</v>
      </c>
      <c r="L215" s="58" t="n">
        <f aca="false">IF(AND(ISNUMBER(J215),ISNUMBER(K215)),IF(K215&gt;=J215,(K215-J215)*1440,""),"")</f>
        <v>0.163400016016667</v>
      </c>
      <c r="M215" s="56" t="n">
        <v>46302.7581139699</v>
      </c>
      <c r="N215" s="58" t="n">
        <f aca="false">IF(AND(ISNUMBER(J215),ISNUMBER(M215)),IF(M215&gt;=J215,(M215-J215)*1440,""),"")</f>
        <v>0.163400016016667</v>
      </c>
      <c r="O215" s="54" t="str">
        <f aca="false">IF(N215="","",LOOKUP(N215,Tiempos!$A$6:$A$10,Tiempos!$B$6:$B$10))</f>
        <v>Menos de 4 min</v>
      </c>
      <c r="P215" s="54" t="s">
        <v>226</v>
      </c>
      <c r="Q215" s="54" t="s">
        <v>212</v>
      </c>
      <c r="R215" s="54" t="s">
        <v>129</v>
      </c>
      <c r="S215" s="54" t="s">
        <v>220</v>
      </c>
      <c r="T215" s="58"/>
      <c r="U215" s="54"/>
      <c r="V215" s="58"/>
      <c r="W215" s="57"/>
      <c r="X215" s="55" t="n">
        <v>0</v>
      </c>
      <c r="Y215" s="54" t="s">
        <v>212</v>
      </c>
      <c r="Z215" s="56"/>
      <c r="AA215" s="58" t="str">
        <f aca="false">IF(AND(ISNUMBER(M215),ISNUMBER(Z215)),IF(Z215&gt;=M215,(Z215-M215)*1440,""),"")</f>
        <v/>
      </c>
      <c r="AB215" s="57"/>
      <c r="AC215" s="56"/>
      <c r="AD215" s="58" t="str">
        <f aca="false">IF(AND(ISNUMBER(Z215),ISNUMBER(AC215)),IF(AC215&gt;=Z215,(AC215-Z215)*1440,""),"")</f>
        <v/>
      </c>
      <c r="AE215" s="54"/>
      <c r="AF215" s="54" t="s">
        <v>214</v>
      </c>
      <c r="AG215" s="54"/>
      <c r="AH215" s="58"/>
      <c r="AI215" s="55" t="n">
        <v>3</v>
      </c>
      <c r="AJ215" s="54" t="s">
        <v>216</v>
      </c>
      <c r="AK215" s="54" t="s">
        <v>212</v>
      </c>
    </row>
    <row r="216" customFormat="false" ht="15" hidden="false" customHeight="false" outlineLevel="0" collapsed="false">
      <c r="A216" s="54" t="s">
        <v>27</v>
      </c>
      <c r="B216" s="55" t="n">
        <v>680</v>
      </c>
      <c r="C216" s="54" t="s">
        <v>127</v>
      </c>
      <c r="D216" s="54" t="s">
        <v>212</v>
      </c>
      <c r="E216" s="54"/>
      <c r="F216" s="56" t="n">
        <v>46302.7752475232</v>
      </c>
      <c r="G216" s="54" t="s">
        <v>212</v>
      </c>
      <c r="H216" s="54" t="s">
        <v>214</v>
      </c>
      <c r="I216" s="57"/>
      <c r="J216" s="56"/>
      <c r="K216" s="56"/>
      <c r="L216" s="58" t="str">
        <f aca="false">IF(AND(ISNUMBER(J216),ISNUMBER(K216)),IF(K216&gt;=J216,(K216-J216)*1440,""),"")</f>
        <v/>
      </c>
      <c r="M216" s="56"/>
      <c r="N216" s="58" t="str">
        <f aca="false">IF(AND(ISNUMBER(J216),ISNUMBER(M216)),IF(M216&gt;=J216,(M216-J216)*1440,""),"")</f>
        <v/>
      </c>
      <c r="O216" s="54" t="str">
        <f aca="false">IF(N216="","",LOOKUP(N216,Tiempos!$A$6:$A$10,Tiempos!$B$6:$B$10))</f>
        <v/>
      </c>
      <c r="P216" s="54"/>
      <c r="Q216" s="54"/>
      <c r="R216" s="54"/>
      <c r="S216" s="54"/>
      <c r="T216" s="58"/>
      <c r="U216" s="54"/>
      <c r="V216" s="58"/>
      <c r="W216" s="57"/>
      <c r="X216" s="55"/>
      <c r="Y216" s="54"/>
      <c r="Z216" s="56"/>
      <c r="AA216" s="58" t="str">
        <f aca="false">IF(AND(ISNUMBER(M216),ISNUMBER(Z216)),IF(Z216&gt;=M216,(Z216-M216)*1440,""),"")</f>
        <v/>
      </c>
      <c r="AB216" s="57"/>
      <c r="AC216" s="56"/>
      <c r="AD216" s="58" t="str">
        <f aca="false">IF(AND(ISNUMBER(Z216),ISNUMBER(AC216)),IF(AC216&gt;=Z216,(AC216-Z216)*1440,""),"")</f>
        <v/>
      </c>
      <c r="AE216" s="54"/>
      <c r="AF216" s="54"/>
      <c r="AG216" s="54"/>
      <c r="AH216" s="58"/>
      <c r="AI216" s="55" t="n">
        <v>1</v>
      </c>
      <c r="AJ216" s="54" t="s">
        <v>216</v>
      </c>
      <c r="AK216" s="54" t="s">
        <v>212</v>
      </c>
    </row>
    <row r="217" customFormat="false" ht="15" hidden="false" customHeight="false" outlineLevel="0" collapsed="false">
      <c r="A217" s="54" t="s">
        <v>27</v>
      </c>
      <c r="B217" s="55" t="n">
        <v>687</v>
      </c>
      <c r="C217" s="54" t="s">
        <v>127</v>
      </c>
      <c r="D217" s="54" t="s">
        <v>212</v>
      </c>
      <c r="E217" s="54"/>
      <c r="F217" s="56" t="n">
        <v>46302.7923238194</v>
      </c>
      <c r="G217" s="54" t="s">
        <v>212</v>
      </c>
      <c r="H217" s="54" t="s">
        <v>214</v>
      </c>
      <c r="I217" s="57"/>
      <c r="J217" s="56"/>
      <c r="K217" s="56"/>
      <c r="L217" s="58" t="str">
        <f aca="false">IF(AND(ISNUMBER(J217),ISNUMBER(K217)),IF(K217&gt;=J217,(K217-J217)*1440,""),"")</f>
        <v/>
      </c>
      <c r="M217" s="56"/>
      <c r="N217" s="58" t="str">
        <f aca="false">IF(AND(ISNUMBER(J217),ISNUMBER(M217)),IF(M217&gt;=J217,(M217-J217)*1440,""),"")</f>
        <v/>
      </c>
      <c r="O217" s="54" t="str">
        <f aca="false">IF(N217="","",LOOKUP(N217,Tiempos!$A$6:$A$10,Tiempos!$B$6:$B$10))</f>
        <v/>
      </c>
      <c r="P217" s="54"/>
      <c r="Q217" s="54"/>
      <c r="R217" s="54"/>
      <c r="S217" s="54"/>
      <c r="T217" s="58"/>
      <c r="U217" s="54"/>
      <c r="V217" s="58"/>
      <c r="W217" s="57"/>
      <c r="X217" s="55"/>
      <c r="Y217" s="54"/>
      <c r="Z217" s="56"/>
      <c r="AA217" s="58" t="str">
        <f aca="false">IF(AND(ISNUMBER(M217),ISNUMBER(Z217)),IF(Z217&gt;=M217,(Z217-M217)*1440,""),"")</f>
        <v/>
      </c>
      <c r="AB217" s="57"/>
      <c r="AC217" s="56"/>
      <c r="AD217" s="58" t="str">
        <f aca="false">IF(AND(ISNUMBER(Z217),ISNUMBER(AC217)),IF(AC217&gt;=Z217,(AC217-Z217)*1440,""),"")</f>
        <v/>
      </c>
      <c r="AE217" s="54"/>
      <c r="AF217" s="54"/>
      <c r="AG217" s="54"/>
      <c r="AH217" s="58"/>
      <c r="AI217" s="55" t="n">
        <v>1</v>
      </c>
      <c r="AJ217" s="54" t="s">
        <v>216</v>
      </c>
      <c r="AK217" s="54" t="s">
        <v>212</v>
      </c>
    </row>
    <row r="218" customFormat="false" ht="15" hidden="false" customHeight="false" outlineLevel="0" collapsed="false">
      <c r="A218" s="54" t="s">
        <v>27</v>
      </c>
      <c r="B218" s="55" t="n">
        <v>705</v>
      </c>
      <c r="C218" s="54" t="s">
        <v>128</v>
      </c>
      <c r="D218" s="54" t="s">
        <v>211</v>
      </c>
      <c r="E218" s="54"/>
      <c r="F218" s="56" t="n">
        <v>46302.8052928588</v>
      </c>
      <c r="G218" s="54" t="s">
        <v>212</v>
      </c>
      <c r="H218" s="54" t="s">
        <v>214</v>
      </c>
      <c r="I218" s="57" t="s">
        <v>447</v>
      </c>
      <c r="J218" s="56" t="n">
        <v>46302.805634537</v>
      </c>
      <c r="K218" s="56" t="n">
        <v>46302.8090919907</v>
      </c>
      <c r="L218" s="58" t="n">
        <f aca="false">IF(AND(ISNUMBER(J218),ISNUMBER(K218)),IF(K218&gt;=J218,(K218-J218)*1440,""),"")</f>
        <v>4.97873332583333</v>
      </c>
      <c r="M218" s="56" t="n">
        <v>46302.8090919907</v>
      </c>
      <c r="N218" s="58" t="n">
        <f aca="false">IF(AND(ISNUMBER(J218),ISNUMBER(M218)),IF(M218&gt;=J218,(M218-J218)*1440,""),"")</f>
        <v>4.97873332583333</v>
      </c>
      <c r="O218" s="54" t="str">
        <f aca="false">IF(N218="","",LOOKUP(N218,Tiempos!$A$6:$A$10,Tiempos!$B$6:$B$10))</f>
        <v>4 a 6 min</v>
      </c>
      <c r="P218" s="54" t="s">
        <v>226</v>
      </c>
      <c r="Q218" s="54" t="s">
        <v>212</v>
      </c>
      <c r="R218" s="54" t="s">
        <v>128</v>
      </c>
      <c r="S218" s="54" t="s">
        <v>220</v>
      </c>
      <c r="T218" s="58"/>
      <c r="U218" s="54"/>
      <c r="V218" s="58"/>
      <c r="W218" s="57"/>
      <c r="X218" s="55" t="n">
        <v>0</v>
      </c>
      <c r="Y218" s="54" t="s">
        <v>212</v>
      </c>
      <c r="Z218" s="56"/>
      <c r="AA218" s="58" t="str">
        <f aca="false">IF(AND(ISNUMBER(M218),ISNUMBER(Z218)),IF(Z218&gt;=M218,(Z218-M218)*1440,""),"")</f>
        <v/>
      </c>
      <c r="AB218" s="57"/>
      <c r="AC218" s="56"/>
      <c r="AD218" s="58" t="str">
        <f aca="false">IF(AND(ISNUMBER(Z218),ISNUMBER(AC218)),IF(AC218&gt;=Z218,(AC218-Z218)*1440,""),"")</f>
        <v/>
      </c>
      <c r="AE218" s="54"/>
      <c r="AF218" s="54" t="s">
        <v>214</v>
      </c>
      <c r="AG218" s="54"/>
      <c r="AH218" s="58"/>
      <c r="AI218" s="55" t="n">
        <v>2</v>
      </c>
      <c r="AJ218" s="54" t="s">
        <v>216</v>
      </c>
      <c r="AK218" s="54" t="s">
        <v>212</v>
      </c>
    </row>
    <row r="219" customFormat="false" ht="15" hidden="false" customHeight="false" outlineLevel="0" collapsed="false">
      <c r="A219" s="54" t="s">
        <v>27</v>
      </c>
      <c r="B219" s="55" t="n">
        <v>692</v>
      </c>
      <c r="C219" s="54" t="s">
        <v>127</v>
      </c>
      <c r="D219" s="54" t="s">
        <v>212</v>
      </c>
      <c r="E219" s="54"/>
      <c r="F219" s="56" t="n">
        <v>46302.8055817824</v>
      </c>
      <c r="G219" s="54" t="s">
        <v>212</v>
      </c>
      <c r="H219" s="54" t="s">
        <v>214</v>
      </c>
      <c r="I219" s="57"/>
      <c r="J219" s="56"/>
      <c r="K219" s="56"/>
      <c r="L219" s="58" t="str">
        <f aca="false">IF(AND(ISNUMBER(J219),ISNUMBER(K219)),IF(K219&gt;=J219,(K219-J219)*1440,""),"")</f>
        <v/>
      </c>
      <c r="M219" s="56"/>
      <c r="N219" s="58" t="str">
        <f aca="false">IF(AND(ISNUMBER(J219),ISNUMBER(M219)),IF(M219&gt;=J219,(M219-J219)*1440,""),"")</f>
        <v/>
      </c>
      <c r="O219" s="54" t="str">
        <f aca="false">IF(N219="","",LOOKUP(N219,Tiempos!$A$6:$A$10,Tiempos!$B$6:$B$10))</f>
        <v/>
      </c>
      <c r="P219" s="54"/>
      <c r="Q219" s="54"/>
      <c r="R219" s="54"/>
      <c r="S219" s="54"/>
      <c r="T219" s="58"/>
      <c r="U219" s="54"/>
      <c r="V219" s="58"/>
      <c r="W219" s="57"/>
      <c r="X219" s="55"/>
      <c r="Y219" s="54"/>
      <c r="Z219" s="56"/>
      <c r="AA219" s="58" t="str">
        <f aca="false">IF(AND(ISNUMBER(M219),ISNUMBER(Z219)),IF(Z219&gt;=M219,(Z219-M219)*1440,""),"")</f>
        <v/>
      </c>
      <c r="AB219" s="57"/>
      <c r="AC219" s="56"/>
      <c r="AD219" s="58" t="str">
        <f aca="false">IF(AND(ISNUMBER(Z219),ISNUMBER(AC219)),IF(AC219&gt;=Z219,(AC219-Z219)*1440,""),"")</f>
        <v/>
      </c>
      <c r="AE219" s="54"/>
      <c r="AF219" s="54"/>
      <c r="AG219" s="54"/>
      <c r="AH219" s="58"/>
      <c r="AI219" s="55" t="n">
        <v>1</v>
      </c>
      <c r="AJ219" s="54" t="s">
        <v>216</v>
      </c>
      <c r="AK219" s="54" t="s">
        <v>212</v>
      </c>
    </row>
    <row r="220" customFormat="false" ht="15" hidden="false" customHeight="false" outlineLevel="0" collapsed="false">
      <c r="A220" s="54" t="s">
        <v>27</v>
      </c>
      <c r="B220" s="55" t="n">
        <v>702</v>
      </c>
      <c r="C220" s="54" t="s">
        <v>127</v>
      </c>
      <c r="D220" s="54" t="s">
        <v>212</v>
      </c>
      <c r="E220" s="54"/>
      <c r="F220" s="56" t="n">
        <v>46302.8170855556</v>
      </c>
      <c r="G220" s="54" t="s">
        <v>212</v>
      </c>
      <c r="H220" s="54" t="s">
        <v>212</v>
      </c>
      <c r="I220" s="57"/>
      <c r="J220" s="56"/>
      <c r="K220" s="56"/>
      <c r="L220" s="58" t="str">
        <f aca="false">IF(AND(ISNUMBER(J220),ISNUMBER(K220)),IF(K220&gt;=J220,(K220-J220)*1440,""),"")</f>
        <v/>
      </c>
      <c r="M220" s="56"/>
      <c r="N220" s="58" t="str">
        <f aca="false">IF(AND(ISNUMBER(J220),ISNUMBER(M220)),IF(M220&gt;=J220,(M220-J220)*1440,""),"")</f>
        <v/>
      </c>
      <c r="O220" s="54" t="str">
        <f aca="false">IF(N220="","",LOOKUP(N220,Tiempos!$A$6:$A$10,Tiempos!$B$6:$B$10))</f>
        <v/>
      </c>
      <c r="P220" s="54"/>
      <c r="Q220" s="54"/>
      <c r="R220" s="54"/>
      <c r="S220" s="54"/>
      <c r="T220" s="58"/>
      <c r="U220" s="54"/>
      <c r="V220" s="58"/>
      <c r="W220" s="57"/>
      <c r="X220" s="55"/>
      <c r="Y220" s="54"/>
      <c r="Z220" s="56"/>
      <c r="AA220" s="58" t="str">
        <f aca="false">IF(AND(ISNUMBER(M220),ISNUMBER(Z220)),IF(Z220&gt;=M220,(Z220-M220)*1440,""),"")</f>
        <v/>
      </c>
      <c r="AB220" s="57"/>
      <c r="AC220" s="56"/>
      <c r="AD220" s="58" t="str">
        <f aca="false">IF(AND(ISNUMBER(Z220),ISNUMBER(AC220)),IF(AC220&gt;=Z220,(AC220-Z220)*1440,""),"")</f>
        <v/>
      </c>
      <c r="AE220" s="54"/>
      <c r="AF220" s="54"/>
      <c r="AG220" s="54"/>
      <c r="AH220" s="58"/>
      <c r="AI220" s="55" t="n">
        <v>1</v>
      </c>
      <c r="AJ220" s="54" t="s">
        <v>216</v>
      </c>
      <c r="AK220" s="54" t="s">
        <v>212</v>
      </c>
    </row>
    <row r="221" customFormat="false" ht="15" hidden="false" customHeight="false" outlineLevel="0" collapsed="false">
      <c r="A221" s="54" t="s">
        <v>27</v>
      </c>
      <c r="B221" s="55" t="n">
        <v>713</v>
      </c>
      <c r="C221" s="54" t="s">
        <v>127</v>
      </c>
      <c r="D221" s="54" t="s">
        <v>212</v>
      </c>
      <c r="E221" s="54"/>
      <c r="F221" s="56" t="n">
        <v>46302.8216723032</v>
      </c>
      <c r="G221" s="54" t="s">
        <v>212</v>
      </c>
      <c r="H221" s="54" t="s">
        <v>212</v>
      </c>
      <c r="I221" s="57"/>
      <c r="J221" s="56"/>
      <c r="K221" s="56"/>
      <c r="L221" s="58" t="str">
        <f aca="false">IF(AND(ISNUMBER(J221),ISNUMBER(K221)),IF(K221&gt;=J221,(K221-J221)*1440,""),"")</f>
        <v/>
      </c>
      <c r="M221" s="56"/>
      <c r="N221" s="58" t="str">
        <f aca="false">IF(AND(ISNUMBER(J221),ISNUMBER(M221)),IF(M221&gt;=J221,(M221-J221)*1440,""),"")</f>
        <v/>
      </c>
      <c r="O221" s="54" t="str">
        <f aca="false">IF(N221="","",LOOKUP(N221,Tiempos!$A$6:$A$10,Tiempos!$B$6:$B$10))</f>
        <v/>
      </c>
      <c r="P221" s="54"/>
      <c r="Q221" s="54"/>
      <c r="R221" s="54"/>
      <c r="S221" s="54"/>
      <c r="T221" s="58"/>
      <c r="U221" s="54"/>
      <c r="V221" s="58"/>
      <c r="W221" s="57"/>
      <c r="X221" s="55"/>
      <c r="Y221" s="54"/>
      <c r="Z221" s="56"/>
      <c r="AA221" s="58" t="str">
        <f aca="false">IF(AND(ISNUMBER(M221),ISNUMBER(Z221)),IF(Z221&gt;=M221,(Z221-M221)*1440,""),"")</f>
        <v/>
      </c>
      <c r="AB221" s="57"/>
      <c r="AC221" s="56"/>
      <c r="AD221" s="58" t="str">
        <f aca="false">IF(AND(ISNUMBER(Z221),ISNUMBER(AC221)),IF(AC221&gt;=Z221,(AC221-Z221)*1440,""),"")</f>
        <v/>
      </c>
      <c r="AE221" s="54"/>
      <c r="AF221" s="54"/>
      <c r="AG221" s="54"/>
      <c r="AH221" s="58"/>
      <c r="AI221" s="55" t="n">
        <v>3</v>
      </c>
      <c r="AJ221" s="54" t="s">
        <v>216</v>
      </c>
      <c r="AK221" s="54" t="s">
        <v>212</v>
      </c>
    </row>
    <row r="222" customFormat="false" ht="15" hidden="false" customHeight="false" outlineLevel="0" collapsed="false">
      <c r="A222" s="54" t="s">
        <v>27</v>
      </c>
      <c r="B222" s="55" t="n">
        <v>704</v>
      </c>
      <c r="C222" s="54" t="s">
        <v>127</v>
      </c>
      <c r="D222" s="54" t="s">
        <v>212</v>
      </c>
      <c r="E222" s="54"/>
      <c r="F222" s="56" t="n">
        <v>46302.8219534954</v>
      </c>
      <c r="G222" s="54" t="s">
        <v>212</v>
      </c>
      <c r="H222" s="54" t="s">
        <v>214</v>
      </c>
      <c r="I222" s="57"/>
      <c r="J222" s="56"/>
      <c r="K222" s="56"/>
      <c r="L222" s="58" t="str">
        <f aca="false">IF(AND(ISNUMBER(J222),ISNUMBER(K222)),IF(K222&gt;=J222,(K222-J222)*1440,""),"")</f>
        <v/>
      </c>
      <c r="M222" s="56"/>
      <c r="N222" s="58" t="str">
        <f aca="false">IF(AND(ISNUMBER(J222),ISNUMBER(M222)),IF(M222&gt;=J222,(M222-J222)*1440,""),"")</f>
        <v/>
      </c>
      <c r="O222" s="54" t="str">
        <f aca="false">IF(N222="","",LOOKUP(N222,Tiempos!$A$6:$A$10,Tiempos!$B$6:$B$10))</f>
        <v/>
      </c>
      <c r="P222" s="54"/>
      <c r="Q222" s="54"/>
      <c r="R222" s="54"/>
      <c r="S222" s="54"/>
      <c r="T222" s="58"/>
      <c r="U222" s="54"/>
      <c r="V222" s="58"/>
      <c r="W222" s="57"/>
      <c r="X222" s="55"/>
      <c r="Y222" s="54"/>
      <c r="Z222" s="56"/>
      <c r="AA222" s="58" t="str">
        <f aca="false">IF(AND(ISNUMBER(M222),ISNUMBER(Z222)),IF(Z222&gt;=M222,(Z222-M222)*1440,""),"")</f>
        <v/>
      </c>
      <c r="AB222" s="57"/>
      <c r="AC222" s="56"/>
      <c r="AD222" s="58" t="str">
        <f aca="false">IF(AND(ISNUMBER(Z222),ISNUMBER(AC222)),IF(AC222&gt;=Z222,(AC222-Z222)*1440,""),"")</f>
        <v/>
      </c>
      <c r="AE222" s="54"/>
      <c r="AF222" s="54"/>
      <c r="AG222" s="54"/>
      <c r="AH222" s="58"/>
      <c r="AI222" s="55" t="n">
        <v>1</v>
      </c>
      <c r="AJ222" s="54" t="s">
        <v>216</v>
      </c>
      <c r="AK222" s="54" t="s">
        <v>212</v>
      </c>
    </row>
    <row r="223" customFormat="false" ht="15" hidden="false" customHeight="false" outlineLevel="0" collapsed="false">
      <c r="A223" s="54" t="s">
        <v>27</v>
      </c>
      <c r="B223" s="55" t="n">
        <v>707</v>
      </c>
      <c r="C223" s="54" t="s">
        <v>127</v>
      </c>
      <c r="D223" s="54" t="s">
        <v>212</v>
      </c>
      <c r="E223" s="54"/>
      <c r="F223" s="56" t="n">
        <v>46302.8286365625</v>
      </c>
      <c r="G223" s="54" t="s">
        <v>212</v>
      </c>
      <c r="H223" s="54" t="s">
        <v>212</v>
      </c>
      <c r="I223" s="57"/>
      <c r="J223" s="56"/>
      <c r="K223" s="56"/>
      <c r="L223" s="58" t="str">
        <f aca="false">IF(AND(ISNUMBER(J223),ISNUMBER(K223)),IF(K223&gt;=J223,(K223-J223)*1440,""),"")</f>
        <v/>
      </c>
      <c r="M223" s="56"/>
      <c r="N223" s="58" t="str">
        <f aca="false">IF(AND(ISNUMBER(J223),ISNUMBER(M223)),IF(M223&gt;=J223,(M223-J223)*1440,""),"")</f>
        <v/>
      </c>
      <c r="O223" s="54" t="str">
        <f aca="false">IF(N223="","",LOOKUP(N223,Tiempos!$A$6:$A$10,Tiempos!$B$6:$B$10))</f>
        <v/>
      </c>
      <c r="P223" s="54"/>
      <c r="Q223" s="54"/>
      <c r="R223" s="54"/>
      <c r="S223" s="54"/>
      <c r="T223" s="58"/>
      <c r="U223" s="54"/>
      <c r="V223" s="58"/>
      <c r="W223" s="57"/>
      <c r="X223" s="55"/>
      <c r="Y223" s="54"/>
      <c r="Z223" s="56"/>
      <c r="AA223" s="58" t="str">
        <f aca="false">IF(AND(ISNUMBER(M223),ISNUMBER(Z223)),IF(Z223&gt;=M223,(Z223-M223)*1440,""),"")</f>
        <v/>
      </c>
      <c r="AB223" s="57"/>
      <c r="AC223" s="56"/>
      <c r="AD223" s="58" t="str">
        <f aca="false">IF(AND(ISNUMBER(Z223),ISNUMBER(AC223)),IF(AC223&gt;=Z223,(AC223-Z223)*1440,""),"")</f>
        <v/>
      </c>
      <c r="AE223" s="54"/>
      <c r="AF223" s="54"/>
      <c r="AG223" s="54"/>
      <c r="AH223" s="58"/>
      <c r="AI223" s="55" t="n">
        <v>1</v>
      </c>
      <c r="AJ223" s="54" t="s">
        <v>216</v>
      </c>
      <c r="AK223" s="54" t="s">
        <v>212</v>
      </c>
    </row>
    <row r="224" customFormat="false" ht="15" hidden="false" customHeight="false" outlineLevel="0" collapsed="false">
      <c r="A224" s="54" t="s">
        <v>27</v>
      </c>
      <c r="B224" s="55" t="n">
        <v>710</v>
      </c>
      <c r="C224" s="54" t="s">
        <v>127</v>
      </c>
      <c r="D224" s="54" t="s">
        <v>212</v>
      </c>
      <c r="E224" s="54"/>
      <c r="F224" s="56" t="n">
        <v>46302.8340852315</v>
      </c>
      <c r="G224" s="54" t="s">
        <v>212</v>
      </c>
      <c r="H224" s="54" t="s">
        <v>212</v>
      </c>
      <c r="I224" s="57"/>
      <c r="J224" s="56"/>
      <c r="K224" s="56"/>
      <c r="L224" s="58" t="str">
        <f aca="false">IF(AND(ISNUMBER(J224),ISNUMBER(K224)),IF(K224&gt;=J224,(K224-J224)*1440,""),"")</f>
        <v/>
      </c>
      <c r="M224" s="56"/>
      <c r="N224" s="58" t="str">
        <f aca="false">IF(AND(ISNUMBER(J224),ISNUMBER(M224)),IF(M224&gt;=J224,(M224-J224)*1440,""),"")</f>
        <v/>
      </c>
      <c r="O224" s="54" t="str">
        <f aca="false">IF(N224="","",LOOKUP(N224,Tiempos!$A$6:$A$10,Tiempos!$B$6:$B$10))</f>
        <v/>
      </c>
      <c r="P224" s="54"/>
      <c r="Q224" s="54"/>
      <c r="R224" s="54"/>
      <c r="S224" s="54"/>
      <c r="T224" s="58"/>
      <c r="U224" s="54"/>
      <c r="V224" s="58"/>
      <c r="W224" s="57"/>
      <c r="X224" s="55"/>
      <c r="Y224" s="54"/>
      <c r="Z224" s="56"/>
      <c r="AA224" s="58" t="str">
        <f aca="false">IF(AND(ISNUMBER(M224),ISNUMBER(Z224)),IF(Z224&gt;=M224,(Z224-M224)*1440,""),"")</f>
        <v/>
      </c>
      <c r="AB224" s="57"/>
      <c r="AC224" s="56"/>
      <c r="AD224" s="58" t="str">
        <f aca="false">IF(AND(ISNUMBER(Z224),ISNUMBER(AC224)),IF(AC224&gt;=Z224,(AC224-Z224)*1440,""),"")</f>
        <v/>
      </c>
      <c r="AE224" s="54"/>
      <c r="AF224" s="54"/>
      <c r="AG224" s="54"/>
      <c r="AH224" s="58"/>
      <c r="AI224" s="55" t="n">
        <v>1</v>
      </c>
      <c r="AJ224" s="54" t="s">
        <v>216</v>
      </c>
      <c r="AK224" s="54" t="s">
        <v>212</v>
      </c>
    </row>
    <row r="225" customFormat="false" ht="15" hidden="false" customHeight="false" outlineLevel="0" collapsed="false">
      <c r="A225" s="54" t="s">
        <v>27</v>
      </c>
      <c r="B225" s="55" t="n">
        <v>720</v>
      </c>
      <c r="C225" s="54" t="s">
        <v>127</v>
      </c>
      <c r="D225" s="54" t="s">
        <v>211</v>
      </c>
      <c r="E225" s="54"/>
      <c r="F225" s="56" t="n">
        <v>46302.8559492593</v>
      </c>
      <c r="G225" s="54" t="s">
        <v>212</v>
      </c>
      <c r="H225" s="54" t="s">
        <v>214</v>
      </c>
      <c r="I225" s="57" t="s">
        <v>448</v>
      </c>
      <c r="J225" s="56" t="n">
        <v>46303.3825118287</v>
      </c>
      <c r="K225" s="56" t="n">
        <v>46303.3835103125</v>
      </c>
      <c r="L225" s="58" t="n">
        <f aca="false">IF(AND(ISNUMBER(J225),ISNUMBER(K225)),IF(K225&gt;=J225,(K225-J225)*1440,""),"")</f>
        <v>1.43781665595</v>
      </c>
      <c r="M225" s="56" t="n">
        <v>46303.3835103125</v>
      </c>
      <c r="N225" s="58" t="n">
        <f aca="false">IF(AND(ISNUMBER(J225),ISNUMBER(M225)),IF(M225&gt;=J225,(M225-J225)*1440,""),"")</f>
        <v>1.43781665595</v>
      </c>
      <c r="O225" s="54" t="str">
        <f aca="false">IF(N225="","",LOOKUP(N225,Tiempos!$A$6:$A$10,Tiempos!$B$6:$B$10))</f>
        <v>Menos de 4 min</v>
      </c>
      <c r="P225" s="54" t="s">
        <v>226</v>
      </c>
      <c r="Q225" s="54" t="s">
        <v>212</v>
      </c>
      <c r="R225" s="54" t="s">
        <v>127</v>
      </c>
      <c r="S225" s="54" t="s">
        <v>220</v>
      </c>
      <c r="T225" s="58"/>
      <c r="U225" s="54"/>
      <c r="V225" s="58"/>
      <c r="W225" s="57"/>
      <c r="X225" s="55" t="n">
        <v>0</v>
      </c>
      <c r="Y225" s="54" t="s">
        <v>214</v>
      </c>
      <c r="Z225" s="56" t="n">
        <v>46303.3845609375</v>
      </c>
      <c r="AA225" s="58" t="n">
        <f aca="false">IF(AND(ISNUMBER(M225),ISNUMBER(Z225)),IF(Z225&gt;=M225,(Z225-M225)*1440,""),"")</f>
        <v>1.51289999485</v>
      </c>
      <c r="AB225" s="57" t="s">
        <v>449</v>
      </c>
      <c r="AC225" s="56" t="n">
        <v>46303.3860547222</v>
      </c>
      <c r="AD225" s="58" t="n">
        <f aca="false">IF(AND(ISNUMBER(Z225),ISNUMBER(AC225)),IF(AC225&gt;=Z225,(AC225-Z225)*1440,""),"")</f>
        <v>2.15105000068333</v>
      </c>
      <c r="AE225" s="54" t="s">
        <v>258</v>
      </c>
      <c r="AF225" s="54" t="s">
        <v>212</v>
      </c>
      <c r="AG225" s="54" t="s">
        <v>212</v>
      </c>
      <c r="AH225" s="58"/>
      <c r="AI225" s="55" t="n">
        <v>2</v>
      </c>
      <c r="AJ225" s="54" t="s">
        <v>216</v>
      </c>
      <c r="AK225" s="54" t="s">
        <v>212</v>
      </c>
    </row>
    <row r="226" customFormat="false" ht="15" hidden="false" customHeight="false" outlineLevel="0" collapsed="false">
      <c r="A226" s="54" t="s">
        <v>27</v>
      </c>
      <c r="B226" s="55" t="n">
        <v>721</v>
      </c>
      <c r="C226" s="54" t="s">
        <v>129</v>
      </c>
      <c r="D226" s="54" t="s">
        <v>214</v>
      </c>
      <c r="E226" s="54" t="s">
        <v>242</v>
      </c>
      <c r="F226" s="56" t="n">
        <v>46302.8648801389</v>
      </c>
      <c r="G226" s="54" t="s">
        <v>212</v>
      </c>
      <c r="H226" s="54" t="s">
        <v>214</v>
      </c>
      <c r="I226" s="57" t="s">
        <v>450</v>
      </c>
      <c r="J226" s="56" t="n">
        <v>46302.8658355208</v>
      </c>
      <c r="K226" s="56" t="n">
        <v>46302.8679838194</v>
      </c>
      <c r="L226" s="58" t="n">
        <f aca="false">IF(AND(ISNUMBER(J226),ISNUMBER(K226)),IF(K226&gt;=J226,(K226-J226)*1440,""),"")</f>
        <v>3.09354999101667</v>
      </c>
      <c r="M226" s="56" t="n">
        <v>46302.8679838194</v>
      </c>
      <c r="N226" s="58" t="n">
        <f aca="false">IF(AND(ISNUMBER(J226),ISNUMBER(M226)),IF(M226&gt;=J226,(M226-J226)*1440,""),"")</f>
        <v>3.09354999101667</v>
      </c>
      <c r="O226" s="54" t="str">
        <f aca="false">IF(N226="","",LOOKUP(N226,Tiempos!$A$6:$A$10,Tiempos!$B$6:$B$10))</f>
        <v>Menos de 4 min</v>
      </c>
      <c r="P226" s="54" t="s">
        <v>239</v>
      </c>
      <c r="Q226" s="54" t="s">
        <v>214</v>
      </c>
      <c r="R226" s="54" t="s">
        <v>129</v>
      </c>
      <c r="S226" s="54" t="s">
        <v>220</v>
      </c>
      <c r="T226" s="58" t="n">
        <v>96.8</v>
      </c>
      <c r="U226" s="54" t="s">
        <v>214</v>
      </c>
      <c r="V226" s="58"/>
      <c r="W226" s="57" t="s">
        <v>451</v>
      </c>
      <c r="X226" s="55" t="n">
        <v>4</v>
      </c>
      <c r="Y226" s="54" t="s">
        <v>214</v>
      </c>
      <c r="Z226" s="56" t="n">
        <v>46302.8845383218</v>
      </c>
      <c r="AA226" s="58" t="n">
        <f aca="false">IF(AND(ISNUMBER(M226),ISNUMBER(Z226)),IF(Z226&gt;=M226,(Z226-M226)*1440,""),"")</f>
        <v>23.8384833501167</v>
      </c>
      <c r="AB226" s="57" t="s">
        <v>452</v>
      </c>
      <c r="AC226" s="56" t="n">
        <v>46302.8847525232</v>
      </c>
      <c r="AD226" s="58" t="n">
        <f aca="false">IF(AND(ISNUMBER(Z226),ISNUMBER(AC226)),IF(AC226&gt;=Z226,(AC226-Z226)*1440,""),"")</f>
        <v>0.308449992433333</v>
      </c>
      <c r="AE226" s="54" t="s">
        <v>346</v>
      </c>
      <c r="AF226" s="54" t="s">
        <v>214</v>
      </c>
      <c r="AG226" s="54" t="s">
        <v>214</v>
      </c>
      <c r="AH226" s="58" t="n">
        <v>3.8</v>
      </c>
      <c r="AI226" s="55" t="n">
        <v>2</v>
      </c>
      <c r="AJ226" s="54" t="s">
        <v>216</v>
      </c>
      <c r="AK226" s="54" t="s">
        <v>212</v>
      </c>
    </row>
    <row r="227" customFormat="false" ht="15" hidden="false" customHeight="false" outlineLevel="0" collapsed="false">
      <c r="A227" s="54" t="s">
        <v>27</v>
      </c>
      <c r="B227" s="55" t="n">
        <v>723</v>
      </c>
      <c r="C227" s="54" t="s">
        <v>129</v>
      </c>
      <c r="D227" s="54" t="s">
        <v>214</v>
      </c>
      <c r="E227" s="54" t="s">
        <v>233</v>
      </c>
      <c r="F227" s="56" t="n">
        <v>46302.8650255787</v>
      </c>
      <c r="G227" s="54" t="s">
        <v>212</v>
      </c>
      <c r="H227" s="54" t="s">
        <v>214</v>
      </c>
      <c r="I227" s="57" t="s">
        <v>453</v>
      </c>
      <c r="J227" s="56" t="n">
        <v>46302.8673437847</v>
      </c>
      <c r="K227" s="56" t="n">
        <v>46302.8699322338</v>
      </c>
      <c r="L227" s="58" t="n">
        <f aca="false">IF(AND(ISNUMBER(J227),ISNUMBER(K227)),IF(K227&gt;=J227,(K227-J227)*1440,""),"")</f>
        <v>3.72736667863333</v>
      </c>
      <c r="M227" s="56" t="n">
        <v>46302.8699322338</v>
      </c>
      <c r="N227" s="58" t="n">
        <f aca="false">IF(AND(ISNUMBER(J227),ISNUMBER(M227)),IF(M227&gt;=J227,(M227-J227)*1440,""),"")</f>
        <v>3.72736667863333</v>
      </c>
      <c r="O227" s="54" t="str">
        <f aca="false">IF(N227="","",LOOKUP(N227,Tiempos!$A$6:$A$10,Tiempos!$B$6:$B$10))</f>
        <v>Menos de 4 min</v>
      </c>
      <c r="P227" s="54" t="s">
        <v>239</v>
      </c>
      <c r="Q227" s="54" t="s">
        <v>214</v>
      </c>
      <c r="R227" s="54" t="s">
        <v>129</v>
      </c>
      <c r="S227" s="54" t="s">
        <v>220</v>
      </c>
      <c r="T227" s="58" t="n">
        <v>97.3</v>
      </c>
      <c r="U227" s="54" t="s">
        <v>214</v>
      </c>
      <c r="V227" s="58"/>
      <c r="W227" s="57" t="s">
        <v>454</v>
      </c>
      <c r="X227" s="55" t="n">
        <v>4</v>
      </c>
      <c r="Y227" s="54" t="s">
        <v>214</v>
      </c>
      <c r="Z227" s="56" t="n">
        <v>46302.8726268287</v>
      </c>
      <c r="AA227" s="58" t="n">
        <f aca="false">IF(AND(ISNUMBER(M227),ISNUMBER(Z227)),IF(Z227&gt;=M227,(Z227-M227)*1440,""),"")</f>
        <v>3.88021666555</v>
      </c>
      <c r="AB227" s="57" t="s">
        <v>284</v>
      </c>
      <c r="AC227" s="56" t="n">
        <v>46302.8734417361</v>
      </c>
      <c r="AD227" s="58" t="n">
        <f aca="false">IF(AND(ISNUMBER(Z227),ISNUMBER(AC227)),IF(AC227&gt;=Z227,(AC227-Z227)*1440,""),"")</f>
        <v>1.17346666403333</v>
      </c>
      <c r="AE227" s="54" t="s">
        <v>223</v>
      </c>
      <c r="AF227" s="54" t="s">
        <v>214</v>
      </c>
      <c r="AG227" s="54" t="s">
        <v>214</v>
      </c>
      <c r="AH227" s="58" t="n">
        <v>4</v>
      </c>
      <c r="AI227" s="55" t="n">
        <v>2</v>
      </c>
      <c r="AJ227" s="54" t="s">
        <v>216</v>
      </c>
      <c r="AK227" s="54" t="s">
        <v>212</v>
      </c>
    </row>
    <row r="228" customFormat="false" ht="15" hidden="false" customHeight="false" outlineLevel="0" collapsed="false">
      <c r="A228" s="54" t="s">
        <v>27</v>
      </c>
      <c r="B228" s="55" t="n">
        <v>725</v>
      </c>
      <c r="C228" s="54" t="s">
        <v>127</v>
      </c>
      <c r="D228" s="54" t="s">
        <v>212</v>
      </c>
      <c r="E228" s="54"/>
      <c r="F228" s="56" t="n">
        <v>46302.8720592824</v>
      </c>
      <c r="G228" s="54" t="s">
        <v>212</v>
      </c>
      <c r="H228" s="54" t="s">
        <v>212</v>
      </c>
      <c r="I228" s="57"/>
      <c r="J228" s="56"/>
      <c r="K228" s="56"/>
      <c r="L228" s="58" t="str">
        <f aca="false">IF(AND(ISNUMBER(J228),ISNUMBER(K228)),IF(K228&gt;=J228,(K228-J228)*1440,""),"")</f>
        <v/>
      </c>
      <c r="M228" s="56"/>
      <c r="N228" s="58" t="str">
        <f aca="false">IF(AND(ISNUMBER(J228),ISNUMBER(M228)),IF(M228&gt;=J228,(M228-J228)*1440,""),"")</f>
        <v/>
      </c>
      <c r="O228" s="54" t="str">
        <f aca="false">IF(N228="","",LOOKUP(N228,Tiempos!$A$6:$A$10,Tiempos!$B$6:$B$10))</f>
        <v/>
      </c>
      <c r="P228" s="54"/>
      <c r="Q228" s="54"/>
      <c r="R228" s="54"/>
      <c r="S228" s="54"/>
      <c r="T228" s="58"/>
      <c r="U228" s="54"/>
      <c r="V228" s="58"/>
      <c r="W228" s="57"/>
      <c r="X228" s="55"/>
      <c r="Y228" s="54"/>
      <c r="Z228" s="56"/>
      <c r="AA228" s="58" t="str">
        <f aca="false">IF(AND(ISNUMBER(M228),ISNUMBER(Z228)),IF(Z228&gt;=M228,(Z228-M228)*1440,""),"")</f>
        <v/>
      </c>
      <c r="AB228" s="57"/>
      <c r="AC228" s="56"/>
      <c r="AD228" s="58" t="str">
        <f aca="false">IF(AND(ISNUMBER(Z228),ISNUMBER(AC228)),IF(AC228&gt;=Z228,(AC228-Z228)*1440,""),"")</f>
        <v/>
      </c>
      <c r="AE228" s="54"/>
      <c r="AF228" s="54"/>
      <c r="AG228" s="54"/>
      <c r="AH228" s="58"/>
      <c r="AI228" s="55" t="n">
        <v>2</v>
      </c>
      <c r="AJ228" s="54" t="s">
        <v>216</v>
      </c>
      <c r="AK228" s="54" t="s">
        <v>212</v>
      </c>
    </row>
    <row r="229" customFormat="false" ht="15" hidden="false" customHeight="false" outlineLevel="0" collapsed="false">
      <c r="A229" s="54" t="s">
        <v>27</v>
      </c>
      <c r="B229" s="55" t="n">
        <v>730</v>
      </c>
      <c r="C229" s="54" t="s">
        <v>128</v>
      </c>
      <c r="D229" s="54" t="s">
        <v>214</v>
      </c>
      <c r="E229" s="54" t="s">
        <v>233</v>
      </c>
      <c r="F229" s="56" t="n">
        <v>46302.8884278472</v>
      </c>
      <c r="G229" s="54" t="s">
        <v>212</v>
      </c>
      <c r="H229" s="54" t="s">
        <v>212</v>
      </c>
      <c r="I229" s="57" t="s">
        <v>455</v>
      </c>
      <c r="J229" s="56" t="n">
        <v>46302.8966908681</v>
      </c>
      <c r="K229" s="56" t="n">
        <v>46302.9031887963</v>
      </c>
      <c r="L229" s="58" t="n">
        <f aca="false">IF(AND(ISNUMBER(J229),ISNUMBER(K229)),IF(K229&gt;=J229,(K229-J229)*1440,""),"")</f>
        <v>9.35701667563333</v>
      </c>
      <c r="M229" s="56" t="n">
        <v>46302.9046560301</v>
      </c>
      <c r="N229" s="58" t="n">
        <f aca="false">IF(AND(ISNUMBER(J229),ISNUMBER(M229)),IF(M229&gt;=J229,(M229-J229)*1440,""),"")</f>
        <v>11.4698333374667</v>
      </c>
      <c r="O229" s="54" t="str">
        <f aca="false">IF(N229="","",LOOKUP(N229,Tiempos!$A$6:$A$10,Tiempos!$B$6:$B$10))</f>
        <v>10 a 30 min</v>
      </c>
      <c r="P229" s="54" t="s">
        <v>244</v>
      </c>
      <c r="Q229" s="54" t="s">
        <v>214</v>
      </c>
      <c r="R229" s="54" t="s">
        <v>128</v>
      </c>
      <c r="S229" s="54" t="s">
        <v>220</v>
      </c>
      <c r="T229" s="58" t="n">
        <v>76.7</v>
      </c>
      <c r="U229" s="54" t="s">
        <v>212</v>
      </c>
      <c r="V229" s="58" t="n">
        <v>2.11</v>
      </c>
      <c r="W229" s="57" t="s">
        <v>456</v>
      </c>
      <c r="X229" s="55" t="n">
        <v>3</v>
      </c>
      <c r="Y229" s="54" t="s">
        <v>214</v>
      </c>
      <c r="Z229" s="56" t="n">
        <v>46302.9069721296</v>
      </c>
      <c r="AA229" s="58" t="n">
        <f aca="false">IF(AND(ISNUMBER(M229),ISNUMBER(Z229)),IF(Z229&gt;=M229,(Z229-M229)*1440,""),"")</f>
        <v>3.33518333848333</v>
      </c>
      <c r="AB229" s="57" t="s">
        <v>457</v>
      </c>
      <c r="AC229" s="56" t="n">
        <v>46302.9117687616</v>
      </c>
      <c r="AD229" s="58" t="n">
        <f aca="false">IF(AND(ISNUMBER(Z229),ISNUMBER(AC229)),IF(AC229&gt;=Z229,(AC229-Z229)*1440,""),"")</f>
        <v>6.90714999333333</v>
      </c>
      <c r="AE229" s="54" t="s">
        <v>223</v>
      </c>
      <c r="AF229" s="54" t="s">
        <v>214</v>
      </c>
      <c r="AG229" s="54" t="s">
        <v>214</v>
      </c>
      <c r="AH229" s="58" t="n">
        <v>2</v>
      </c>
      <c r="AI229" s="55" t="n">
        <v>2</v>
      </c>
      <c r="AJ229" s="54" t="s">
        <v>347</v>
      </c>
      <c r="AK229" s="54" t="s">
        <v>212</v>
      </c>
    </row>
    <row r="230" customFormat="false" ht="15" hidden="false" customHeight="false" outlineLevel="0" collapsed="false">
      <c r="A230" s="54" t="s">
        <v>27</v>
      </c>
      <c r="B230" s="55" t="n">
        <v>740</v>
      </c>
      <c r="C230" s="54" t="s">
        <v>127</v>
      </c>
      <c r="D230" s="54" t="s">
        <v>214</v>
      </c>
      <c r="E230" s="54" t="s">
        <v>412</v>
      </c>
      <c r="F230" s="56" t="n">
        <v>46302.9165390162</v>
      </c>
      <c r="G230" s="54" t="s">
        <v>212</v>
      </c>
      <c r="H230" s="54" t="s">
        <v>214</v>
      </c>
      <c r="I230" s="57" t="s">
        <v>458</v>
      </c>
      <c r="J230" s="56" t="n">
        <v>46303.367548125</v>
      </c>
      <c r="K230" s="56" t="n">
        <v>46303.3700341435</v>
      </c>
      <c r="L230" s="58" t="n">
        <f aca="false">IF(AND(ISNUMBER(J230),ISNUMBER(K230)),IF(K230&gt;=J230,(K230-J230)*1440,""),"")</f>
        <v>3.57986666145</v>
      </c>
      <c r="M230" s="56" t="n">
        <v>46303.3806837732</v>
      </c>
      <c r="N230" s="58" t="n">
        <f aca="false">IF(AND(ISNUMBER(J230),ISNUMBER(M230)),IF(M230&gt;=J230,(M230-J230)*1440,""),"")</f>
        <v>18.9153333369167</v>
      </c>
      <c r="O230" s="54" t="str">
        <f aca="false">IF(N230="","",LOOKUP(N230,Tiempos!$A$6:$A$10,Tiempos!$B$6:$B$10))</f>
        <v>10 a 30 min</v>
      </c>
      <c r="P230" s="54" t="s">
        <v>229</v>
      </c>
      <c r="Q230" s="54" t="s">
        <v>214</v>
      </c>
      <c r="R230" s="54" t="s">
        <v>127</v>
      </c>
      <c r="S230" s="54" t="s">
        <v>220</v>
      </c>
      <c r="T230" s="58" t="n">
        <v>107.2</v>
      </c>
      <c r="U230" s="54" t="s">
        <v>214</v>
      </c>
      <c r="V230" s="58" t="n">
        <v>15.34</v>
      </c>
      <c r="W230" s="57" t="s">
        <v>459</v>
      </c>
      <c r="X230" s="55" t="n">
        <v>2</v>
      </c>
      <c r="Y230" s="54" t="s">
        <v>214</v>
      </c>
      <c r="Z230" s="56" t="n">
        <v>46303.3997477083</v>
      </c>
      <c r="AA230" s="58" t="n">
        <f aca="false">IF(AND(ISNUMBER(M230),ISNUMBER(Z230)),IF(Z230&gt;=M230,(Z230-M230)*1440,""),"")</f>
        <v>27.4520666571333</v>
      </c>
      <c r="AB230" s="57" t="s">
        <v>460</v>
      </c>
      <c r="AC230" s="56" t="n">
        <v>46303.4020496528</v>
      </c>
      <c r="AD230" s="58" t="n">
        <f aca="false">IF(AND(ISNUMBER(Z230),ISNUMBER(AC230)),IF(AC230&gt;=Z230,(AC230-Z230)*1440,""),"")</f>
        <v>3.31480000633333</v>
      </c>
      <c r="AE230" s="54" t="s">
        <v>247</v>
      </c>
      <c r="AF230" s="54" t="s">
        <v>212</v>
      </c>
      <c r="AG230" s="54" t="s">
        <v>212</v>
      </c>
      <c r="AH230" s="58"/>
      <c r="AI230" s="55" t="n">
        <v>3</v>
      </c>
      <c r="AJ230" s="54" t="s">
        <v>216</v>
      </c>
      <c r="AK230" s="54" t="s">
        <v>212</v>
      </c>
    </row>
    <row r="231" customFormat="false" ht="15" hidden="false" customHeight="false" outlineLevel="0" collapsed="false">
      <c r="A231" s="54" t="s">
        <v>27</v>
      </c>
      <c r="B231" s="55" t="n">
        <v>741</v>
      </c>
      <c r="C231" s="54" t="s">
        <v>127</v>
      </c>
      <c r="D231" s="54" t="s">
        <v>212</v>
      </c>
      <c r="E231" s="54"/>
      <c r="F231" s="56" t="n">
        <v>46302.9364518171</v>
      </c>
      <c r="G231" s="54" t="s">
        <v>214</v>
      </c>
      <c r="H231" s="54" t="s">
        <v>214</v>
      </c>
      <c r="I231" s="57"/>
      <c r="J231" s="56"/>
      <c r="K231" s="56"/>
      <c r="L231" s="58" t="str">
        <f aca="false">IF(AND(ISNUMBER(J231),ISNUMBER(K231)),IF(K231&gt;=J231,(K231-J231)*1440,""),"")</f>
        <v/>
      </c>
      <c r="M231" s="56"/>
      <c r="N231" s="58" t="str">
        <f aca="false">IF(AND(ISNUMBER(J231),ISNUMBER(M231)),IF(M231&gt;=J231,(M231-J231)*1440,""),"")</f>
        <v/>
      </c>
      <c r="O231" s="54" t="str">
        <f aca="false">IF(N231="","",LOOKUP(N231,Tiempos!$A$6:$A$10,Tiempos!$B$6:$B$10))</f>
        <v/>
      </c>
      <c r="P231" s="54"/>
      <c r="Q231" s="54"/>
      <c r="R231" s="54"/>
      <c r="S231" s="54"/>
      <c r="T231" s="58"/>
      <c r="U231" s="54"/>
      <c r="V231" s="58"/>
      <c r="W231" s="57"/>
      <c r="X231" s="55"/>
      <c r="Y231" s="54"/>
      <c r="Z231" s="56"/>
      <c r="AA231" s="58" t="str">
        <f aca="false">IF(AND(ISNUMBER(M231),ISNUMBER(Z231)),IF(Z231&gt;=M231,(Z231-M231)*1440,""),"")</f>
        <v/>
      </c>
      <c r="AB231" s="57"/>
      <c r="AC231" s="56"/>
      <c r="AD231" s="58" t="str">
        <f aca="false">IF(AND(ISNUMBER(Z231),ISNUMBER(AC231)),IF(AC231&gt;=Z231,(AC231-Z231)*1440,""),"")</f>
        <v/>
      </c>
      <c r="AE231" s="54"/>
      <c r="AF231" s="54"/>
      <c r="AG231" s="54"/>
      <c r="AH231" s="58"/>
      <c r="AI231" s="55" t="n">
        <v>1</v>
      </c>
      <c r="AJ231" s="54" t="s">
        <v>216</v>
      </c>
      <c r="AK231" s="54" t="s">
        <v>212</v>
      </c>
    </row>
    <row r="232" customFormat="false" ht="15" hidden="false" customHeight="false" outlineLevel="0" collapsed="false">
      <c r="A232" s="54" t="s">
        <v>27</v>
      </c>
      <c r="B232" s="55" t="n">
        <v>761</v>
      </c>
      <c r="C232" s="54" t="s">
        <v>127</v>
      </c>
      <c r="D232" s="54" t="s">
        <v>212</v>
      </c>
      <c r="E232" s="54"/>
      <c r="F232" s="56" t="n">
        <v>46303.1268985764</v>
      </c>
      <c r="G232" s="54" t="s">
        <v>214</v>
      </c>
      <c r="H232" s="54" t="s">
        <v>214</v>
      </c>
      <c r="I232" s="57"/>
      <c r="J232" s="56"/>
      <c r="K232" s="56"/>
      <c r="L232" s="58" t="str">
        <f aca="false">IF(AND(ISNUMBER(J232),ISNUMBER(K232)),IF(K232&gt;=J232,(K232-J232)*1440,""),"")</f>
        <v/>
      </c>
      <c r="M232" s="56"/>
      <c r="N232" s="58" t="str">
        <f aca="false">IF(AND(ISNUMBER(J232),ISNUMBER(M232)),IF(M232&gt;=J232,(M232-J232)*1440,""),"")</f>
        <v/>
      </c>
      <c r="O232" s="54" t="str">
        <f aca="false">IF(N232="","",LOOKUP(N232,Tiempos!$A$6:$A$10,Tiempos!$B$6:$B$10))</f>
        <v/>
      </c>
      <c r="P232" s="54"/>
      <c r="Q232" s="54"/>
      <c r="R232" s="54"/>
      <c r="S232" s="54"/>
      <c r="T232" s="58"/>
      <c r="U232" s="54"/>
      <c r="V232" s="58"/>
      <c r="W232" s="57"/>
      <c r="X232" s="55"/>
      <c r="Y232" s="54"/>
      <c r="Z232" s="56"/>
      <c r="AA232" s="58" t="str">
        <f aca="false">IF(AND(ISNUMBER(M232),ISNUMBER(Z232)),IF(Z232&gt;=M232,(Z232-M232)*1440,""),"")</f>
        <v/>
      </c>
      <c r="AB232" s="57"/>
      <c r="AC232" s="56"/>
      <c r="AD232" s="58" t="str">
        <f aca="false">IF(AND(ISNUMBER(Z232),ISNUMBER(AC232)),IF(AC232&gt;=Z232,(AC232-Z232)*1440,""),"")</f>
        <v/>
      </c>
      <c r="AE232" s="54"/>
      <c r="AF232" s="54"/>
      <c r="AG232" s="54"/>
      <c r="AH232" s="58"/>
      <c r="AI232" s="55" t="n">
        <v>1</v>
      </c>
      <c r="AJ232" s="54" t="s">
        <v>216</v>
      </c>
      <c r="AK232" s="54" t="s">
        <v>212</v>
      </c>
    </row>
    <row r="233" customFormat="false" ht="15" hidden="false" customHeight="false" outlineLevel="0" collapsed="false">
      <c r="A233" s="54" t="s">
        <v>27</v>
      </c>
      <c r="B233" s="55" t="n">
        <v>762</v>
      </c>
      <c r="C233" s="54" t="s">
        <v>127</v>
      </c>
      <c r="D233" s="54" t="s">
        <v>214</v>
      </c>
      <c r="E233" s="54" t="s">
        <v>412</v>
      </c>
      <c r="F233" s="56" t="n">
        <v>46303.1947065741</v>
      </c>
      <c r="G233" s="54" t="s">
        <v>214</v>
      </c>
      <c r="H233" s="54" t="s">
        <v>214</v>
      </c>
      <c r="I233" s="57" t="s">
        <v>461</v>
      </c>
      <c r="J233" s="56" t="n">
        <v>46303.1965199537</v>
      </c>
      <c r="K233" s="56" t="n">
        <v>46303.3126459259</v>
      </c>
      <c r="L233" s="58" t="n">
        <f aca="false">IF(AND(ISNUMBER(J233),ISNUMBER(K233)),IF(K233&gt;=J233,(K233-J233)*1440,""),"")</f>
        <v>167.221400009</v>
      </c>
      <c r="M233" s="56" t="n">
        <v>46303.3155644213</v>
      </c>
      <c r="N233" s="58" t="n">
        <f aca="false">IF(AND(ISNUMBER(J233),ISNUMBER(M233)),IF(M233&gt;=J233,(M233-J233)*1440,""),"")</f>
        <v>171.424033337967</v>
      </c>
      <c r="O233" s="54" t="str">
        <f aca="false">IF(N233="","",LOOKUP(N233,Tiempos!$A$6:$A$10,Tiempos!$B$6:$B$10))</f>
        <v>30 min o más</v>
      </c>
      <c r="P233" s="54" t="s">
        <v>229</v>
      </c>
      <c r="Q233" s="54" t="s">
        <v>214</v>
      </c>
      <c r="R233" s="54" t="s">
        <v>127</v>
      </c>
      <c r="S233" s="54" t="s">
        <v>220</v>
      </c>
      <c r="T233" s="58" t="n">
        <v>113.3</v>
      </c>
      <c r="U233" s="54" t="s">
        <v>214</v>
      </c>
      <c r="V233" s="58" t="n">
        <v>4.2</v>
      </c>
      <c r="W233" s="57" t="s">
        <v>462</v>
      </c>
      <c r="X233" s="55" t="n">
        <v>2</v>
      </c>
      <c r="Y233" s="54" t="s">
        <v>214</v>
      </c>
      <c r="Z233" s="56" t="n">
        <v>46303.5020644792</v>
      </c>
      <c r="AA233" s="58" t="n">
        <f aca="false">IF(AND(ISNUMBER(M233),ISNUMBER(Z233)),IF(Z233&gt;=M233,(Z233-M233)*1440,""),"")</f>
        <v>268.560083342017</v>
      </c>
      <c r="AB233" s="57" t="s">
        <v>463</v>
      </c>
      <c r="AC233" s="56" t="n">
        <v>46303.5052494676</v>
      </c>
      <c r="AD233" s="58" t="n">
        <f aca="false">IF(AND(ISNUMBER(Z233),ISNUMBER(AC233)),IF(AC233&gt;=Z233,(AC233-Z233)*1440,""),"")</f>
        <v>4.58638332201667</v>
      </c>
      <c r="AE233" s="54" t="s">
        <v>464</v>
      </c>
      <c r="AF233" s="54" t="s">
        <v>214</v>
      </c>
      <c r="AG233" s="54" t="s">
        <v>212</v>
      </c>
      <c r="AH233" s="58"/>
      <c r="AI233" s="55" t="n">
        <v>1</v>
      </c>
      <c r="AJ233" s="54" t="s">
        <v>216</v>
      </c>
      <c r="AK233" s="54" t="s">
        <v>212</v>
      </c>
    </row>
    <row r="234" customFormat="false" ht="15" hidden="false" customHeight="false" outlineLevel="0" collapsed="false">
      <c r="A234" s="54" t="s">
        <v>27</v>
      </c>
      <c r="B234" s="55" t="n">
        <v>742</v>
      </c>
      <c r="C234" s="54" t="s">
        <v>127</v>
      </c>
      <c r="D234" s="54" t="s">
        <v>211</v>
      </c>
      <c r="E234" s="54"/>
      <c r="F234" s="56" t="n">
        <v>46303.303540625</v>
      </c>
      <c r="G234" s="54" t="s">
        <v>214</v>
      </c>
      <c r="H234" s="54" t="s">
        <v>214</v>
      </c>
      <c r="I234" s="57" t="s">
        <v>465</v>
      </c>
      <c r="J234" s="56" t="n">
        <v>46303.4220558796</v>
      </c>
      <c r="K234" s="56" t="n">
        <v>46303.4236019213</v>
      </c>
      <c r="L234" s="58" t="n">
        <f aca="false">IF(AND(ISNUMBER(J234),ISNUMBER(K234)),IF(K234&gt;=J234,(K234-J234)*1440,""),"")</f>
        <v>2.22630000323333</v>
      </c>
      <c r="M234" s="56" t="n">
        <v>46303.4236019213</v>
      </c>
      <c r="N234" s="58" t="n">
        <f aca="false">IF(AND(ISNUMBER(J234),ISNUMBER(M234)),IF(M234&gt;=J234,(M234-J234)*1440,""),"")</f>
        <v>2.22630000323333</v>
      </c>
      <c r="O234" s="54" t="str">
        <f aca="false">IF(N234="","",LOOKUP(N234,Tiempos!$A$6:$A$10,Tiempos!$B$6:$B$10))</f>
        <v>Menos de 4 min</v>
      </c>
      <c r="P234" s="54" t="s">
        <v>226</v>
      </c>
      <c r="Q234" s="54" t="s">
        <v>212</v>
      </c>
      <c r="R234" s="54" t="s">
        <v>130</v>
      </c>
      <c r="S234" s="54" t="s">
        <v>215</v>
      </c>
      <c r="T234" s="58"/>
      <c r="U234" s="54"/>
      <c r="V234" s="58"/>
      <c r="W234" s="57"/>
      <c r="X234" s="55" t="n">
        <v>0</v>
      </c>
      <c r="Y234" s="54" t="s">
        <v>214</v>
      </c>
      <c r="Z234" s="56" t="n">
        <v>46303.4288478009</v>
      </c>
      <c r="AA234" s="58" t="n">
        <f aca="false">IF(AND(ISNUMBER(M234),ISNUMBER(Z234)),IF(Z234&gt;=M234,(Z234-M234)*1440,""),"")</f>
        <v>7.55406667361667</v>
      </c>
      <c r="AB234" s="57" t="s">
        <v>466</v>
      </c>
      <c r="AC234" s="56" t="n">
        <v>46303.4292814815</v>
      </c>
      <c r="AD234" s="58" t="n">
        <f aca="false">IF(AND(ISNUMBER(Z234),ISNUMBER(AC234)),IF(AC234&gt;=Z234,(AC234-Z234)*1440,""),"")</f>
        <v>0.6244999927</v>
      </c>
      <c r="AE234" s="54" t="s">
        <v>247</v>
      </c>
      <c r="AF234" s="54" t="s">
        <v>212</v>
      </c>
      <c r="AG234" s="54" t="s">
        <v>212</v>
      </c>
      <c r="AH234" s="58"/>
      <c r="AI234" s="55" t="n">
        <v>2</v>
      </c>
      <c r="AJ234" s="54" t="s">
        <v>216</v>
      </c>
      <c r="AK234" s="54" t="s">
        <v>212</v>
      </c>
    </row>
    <row r="235" customFormat="false" ht="15" hidden="false" customHeight="false" outlineLevel="0" collapsed="false">
      <c r="A235" s="54" t="s">
        <v>27</v>
      </c>
      <c r="B235" s="55" t="n">
        <v>745</v>
      </c>
      <c r="C235" s="54" t="s">
        <v>127</v>
      </c>
      <c r="D235" s="54" t="s">
        <v>212</v>
      </c>
      <c r="E235" s="54"/>
      <c r="F235" s="56" t="n">
        <v>46303.3080544907</v>
      </c>
      <c r="G235" s="54" t="s">
        <v>214</v>
      </c>
      <c r="H235" s="54" t="s">
        <v>212</v>
      </c>
      <c r="I235" s="57"/>
      <c r="J235" s="56"/>
      <c r="K235" s="56"/>
      <c r="L235" s="58" t="str">
        <f aca="false">IF(AND(ISNUMBER(J235),ISNUMBER(K235)),IF(K235&gt;=J235,(K235-J235)*1440,""),"")</f>
        <v/>
      </c>
      <c r="M235" s="56"/>
      <c r="N235" s="58" t="str">
        <f aca="false">IF(AND(ISNUMBER(J235),ISNUMBER(M235)),IF(M235&gt;=J235,(M235-J235)*1440,""),"")</f>
        <v/>
      </c>
      <c r="O235" s="54" t="str">
        <f aca="false">IF(N235="","",LOOKUP(N235,Tiempos!$A$6:$A$10,Tiempos!$B$6:$B$10))</f>
        <v/>
      </c>
      <c r="P235" s="54"/>
      <c r="Q235" s="54"/>
      <c r="R235" s="54"/>
      <c r="S235" s="54"/>
      <c r="T235" s="58"/>
      <c r="U235" s="54"/>
      <c r="V235" s="58"/>
      <c r="W235" s="57"/>
      <c r="X235" s="55"/>
      <c r="Y235" s="54"/>
      <c r="Z235" s="56"/>
      <c r="AA235" s="58" t="str">
        <f aca="false">IF(AND(ISNUMBER(M235),ISNUMBER(Z235)),IF(Z235&gt;=M235,(Z235-M235)*1440,""),"")</f>
        <v/>
      </c>
      <c r="AB235" s="57"/>
      <c r="AC235" s="56"/>
      <c r="AD235" s="58" t="str">
        <f aca="false">IF(AND(ISNUMBER(Z235),ISNUMBER(AC235)),IF(AC235&gt;=Z235,(AC235-Z235)*1440,""),"")</f>
        <v/>
      </c>
      <c r="AE235" s="54"/>
      <c r="AF235" s="54"/>
      <c r="AG235" s="54"/>
      <c r="AH235" s="58"/>
      <c r="AI235" s="55" t="n">
        <v>2</v>
      </c>
      <c r="AJ235" s="54" t="s">
        <v>216</v>
      </c>
      <c r="AK235" s="54" t="s">
        <v>212</v>
      </c>
    </row>
    <row r="236" customFormat="false" ht="15" hidden="false" customHeight="false" outlineLevel="0" collapsed="false">
      <c r="A236" s="54" t="s">
        <v>27</v>
      </c>
      <c r="B236" s="55" t="n">
        <v>752</v>
      </c>
      <c r="C236" s="54" t="s">
        <v>127</v>
      </c>
      <c r="D236" s="54" t="s">
        <v>214</v>
      </c>
      <c r="E236" s="54" t="s">
        <v>242</v>
      </c>
      <c r="F236" s="56" t="n">
        <v>46303.3124355093</v>
      </c>
      <c r="G236" s="54" t="s">
        <v>214</v>
      </c>
      <c r="H236" s="54" t="s">
        <v>214</v>
      </c>
      <c r="I236" s="57" t="s">
        <v>467</v>
      </c>
      <c r="J236" s="56" t="n">
        <v>46303.4195711111</v>
      </c>
      <c r="K236" s="56" t="n">
        <v>46303.4209757176</v>
      </c>
      <c r="L236" s="58" t="n">
        <f aca="false">IF(AND(ISNUMBER(J236),ISNUMBER(K236)),IF(K236&gt;=J236,(K236-J236)*1440,""),"")</f>
        <v>2.02263333485</v>
      </c>
      <c r="M236" s="56" t="n">
        <v>46303.4209757176</v>
      </c>
      <c r="N236" s="58" t="n">
        <f aca="false">IF(AND(ISNUMBER(J236),ISNUMBER(M236)),IF(M236&gt;=J236,(M236-J236)*1440,""),"")</f>
        <v>2.02263333485</v>
      </c>
      <c r="O236" s="54" t="str">
        <f aca="false">IF(N236="","",LOOKUP(N236,Tiempos!$A$6:$A$10,Tiempos!$B$6:$B$10))</f>
        <v>Menos de 4 min</v>
      </c>
      <c r="P236" s="54" t="s">
        <v>226</v>
      </c>
      <c r="Q236" s="54" t="s">
        <v>212</v>
      </c>
      <c r="R236" s="54" t="s">
        <v>130</v>
      </c>
      <c r="S236" s="54" t="s">
        <v>215</v>
      </c>
      <c r="T236" s="58"/>
      <c r="U236" s="54"/>
      <c r="V236" s="58"/>
      <c r="W236" s="57"/>
      <c r="X236" s="55" t="n">
        <v>0</v>
      </c>
      <c r="Y236" s="54" t="s">
        <v>214</v>
      </c>
      <c r="Z236" s="56" t="n">
        <v>46303.4212012037</v>
      </c>
      <c r="AA236" s="58" t="n">
        <f aca="false">IF(AND(ISNUMBER(M236),ISNUMBER(Z236)),IF(Z236&gt;=M236,(Z236-M236)*1440,""),"")</f>
        <v>0.3246999986</v>
      </c>
      <c r="AB236" s="57" t="s">
        <v>468</v>
      </c>
      <c r="AC236" s="56" t="n">
        <v>46303.4220427431</v>
      </c>
      <c r="AD236" s="58" t="n">
        <f aca="false">IF(AND(ISNUMBER(Z236),ISNUMBER(AC236)),IF(AC236&gt;=Z236,(AC236-Z236)*1440,""),"")</f>
        <v>1.21181667898333</v>
      </c>
      <c r="AE236" s="54" t="s">
        <v>258</v>
      </c>
      <c r="AF236" s="54" t="s">
        <v>212</v>
      </c>
      <c r="AG236" s="54" t="s">
        <v>212</v>
      </c>
      <c r="AH236" s="58"/>
      <c r="AI236" s="55" t="n">
        <v>2</v>
      </c>
      <c r="AJ236" s="54" t="s">
        <v>216</v>
      </c>
      <c r="AK236" s="54" t="s">
        <v>212</v>
      </c>
    </row>
    <row r="237" customFormat="false" ht="15" hidden="false" customHeight="false" outlineLevel="0" collapsed="false">
      <c r="A237" s="54" t="s">
        <v>27</v>
      </c>
      <c r="B237" s="55" t="n">
        <v>754</v>
      </c>
      <c r="C237" s="54" t="s">
        <v>127</v>
      </c>
      <c r="D237" s="54" t="s">
        <v>214</v>
      </c>
      <c r="E237" s="54" t="s">
        <v>289</v>
      </c>
      <c r="F237" s="56" t="n">
        <v>46303.3130962384</v>
      </c>
      <c r="G237" s="54" t="s">
        <v>214</v>
      </c>
      <c r="H237" s="54" t="s">
        <v>214</v>
      </c>
      <c r="I237" s="57" t="s">
        <v>469</v>
      </c>
      <c r="J237" s="56" t="n">
        <v>46303.3137948148</v>
      </c>
      <c r="K237" s="56" t="n">
        <v>46303.3158775</v>
      </c>
      <c r="L237" s="58" t="n">
        <f aca="false">IF(AND(ISNUMBER(J237),ISNUMBER(K237)),IF(K237&gt;=J237,(K237-J237)*1440,""),"")</f>
        <v>2.99906667438333</v>
      </c>
      <c r="M237" s="56" t="n">
        <v>46303.3183728241</v>
      </c>
      <c r="N237" s="58" t="n">
        <f aca="false">IF(AND(ISNUMBER(J237),ISNUMBER(M237)),IF(M237&gt;=J237,(M237-J237)*1440,""),"")</f>
        <v>6.59233334823333</v>
      </c>
      <c r="O237" s="54" t="str">
        <f aca="false">IF(N237="","",LOOKUP(N237,Tiempos!$A$6:$A$10,Tiempos!$B$6:$B$10))</f>
        <v>6 a 10 min</v>
      </c>
      <c r="P237" s="54" t="s">
        <v>229</v>
      </c>
      <c r="Q237" s="54" t="s">
        <v>214</v>
      </c>
      <c r="R237" s="54" t="s">
        <v>127</v>
      </c>
      <c r="S237" s="54" t="s">
        <v>220</v>
      </c>
      <c r="T237" s="58" t="n">
        <v>109.4</v>
      </c>
      <c r="U237" s="54" t="s">
        <v>214</v>
      </c>
      <c r="V237" s="58" t="n">
        <v>3.59</v>
      </c>
      <c r="W237" s="57" t="s">
        <v>470</v>
      </c>
      <c r="X237" s="55" t="n">
        <v>2</v>
      </c>
      <c r="Y237" s="54" t="s">
        <v>214</v>
      </c>
      <c r="Z237" s="56" t="n">
        <v>46303.3227196528</v>
      </c>
      <c r="AA237" s="58" t="n">
        <f aca="false">IF(AND(ISNUMBER(M237),ISNUMBER(Z237)),IF(Z237&gt;=M237,(Z237-M237)*1440,""),"")</f>
        <v>6.25943333375</v>
      </c>
      <c r="AB237" s="57" t="s">
        <v>471</v>
      </c>
      <c r="AC237" s="56" t="n">
        <v>46303.3265435532</v>
      </c>
      <c r="AD237" s="58" t="n">
        <f aca="false">IF(AND(ISNUMBER(Z237),ISNUMBER(AC237)),IF(AC237&gt;=Z237,(AC237-Z237)*1440,""),"")</f>
        <v>5.50641665816667</v>
      </c>
      <c r="AE237" s="54" t="s">
        <v>346</v>
      </c>
      <c r="AF237" s="54" t="s">
        <v>214</v>
      </c>
      <c r="AG237" s="54" t="s">
        <v>214</v>
      </c>
      <c r="AH237" s="58" t="n">
        <v>3.7</v>
      </c>
      <c r="AI237" s="55" t="n">
        <v>2</v>
      </c>
      <c r="AJ237" s="54" t="s">
        <v>216</v>
      </c>
      <c r="AK237" s="54" t="s">
        <v>212</v>
      </c>
    </row>
    <row r="238" customFormat="false" ht="15" hidden="false" customHeight="false" outlineLevel="0" collapsed="false">
      <c r="A238" s="54" t="s">
        <v>27</v>
      </c>
      <c r="B238" s="55" t="n">
        <v>757</v>
      </c>
      <c r="C238" s="54" t="s">
        <v>127</v>
      </c>
      <c r="D238" s="54" t="s">
        <v>212</v>
      </c>
      <c r="E238" s="54"/>
      <c r="F238" s="56" t="n">
        <v>46303.3133132639</v>
      </c>
      <c r="G238" s="54" t="s">
        <v>214</v>
      </c>
      <c r="H238" s="54" t="s">
        <v>214</v>
      </c>
      <c r="I238" s="57"/>
      <c r="J238" s="56"/>
      <c r="K238" s="56"/>
      <c r="L238" s="58" t="str">
        <f aca="false">IF(AND(ISNUMBER(J238),ISNUMBER(K238)),IF(K238&gt;=J238,(K238-J238)*1440,""),"")</f>
        <v/>
      </c>
      <c r="M238" s="56"/>
      <c r="N238" s="58" t="str">
        <f aca="false">IF(AND(ISNUMBER(J238),ISNUMBER(M238)),IF(M238&gt;=J238,(M238-J238)*1440,""),"")</f>
        <v/>
      </c>
      <c r="O238" s="54" t="str">
        <f aca="false">IF(N238="","",LOOKUP(N238,Tiempos!$A$6:$A$10,Tiempos!$B$6:$B$10))</f>
        <v/>
      </c>
      <c r="P238" s="54"/>
      <c r="Q238" s="54"/>
      <c r="R238" s="54"/>
      <c r="S238" s="54"/>
      <c r="T238" s="58"/>
      <c r="U238" s="54"/>
      <c r="V238" s="58"/>
      <c r="W238" s="57"/>
      <c r="X238" s="55"/>
      <c r="Y238" s="54"/>
      <c r="Z238" s="56"/>
      <c r="AA238" s="58" t="str">
        <f aca="false">IF(AND(ISNUMBER(M238),ISNUMBER(Z238)),IF(Z238&gt;=M238,(Z238-M238)*1440,""),"")</f>
        <v/>
      </c>
      <c r="AB238" s="57"/>
      <c r="AC238" s="56"/>
      <c r="AD238" s="58" t="str">
        <f aca="false">IF(AND(ISNUMBER(Z238),ISNUMBER(AC238)),IF(AC238&gt;=Z238,(AC238-Z238)*1440,""),"")</f>
        <v/>
      </c>
      <c r="AE238" s="54"/>
      <c r="AF238" s="54"/>
      <c r="AG238" s="54"/>
      <c r="AH238" s="58"/>
      <c r="AI238" s="55" t="n">
        <v>2</v>
      </c>
      <c r="AJ238" s="54" t="s">
        <v>216</v>
      </c>
      <c r="AK238" s="54" t="s">
        <v>212</v>
      </c>
    </row>
    <row r="239" customFormat="false" ht="15" hidden="false" customHeight="false" outlineLevel="0" collapsed="false">
      <c r="A239" s="54" t="s">
        <v>27</v>
      </c>
      <c r="B239" s="55" t="n">
        <v>767</v>
      </c>
      <c r="C239" s="54" t="s">
        <v>127</v>
      </c>
      <c r="D239" s="54" t="s">
        <v>212</v>
      </c>
      <c r="E239" s="54"/>
      <c r="F239" s="56" t="n">
        <v>46303.3203064468</v>
      </c>
      <c r="G239" s="54" t="s">
        <v>214</v>
      </c>
      <c r="H239" s="54" t="s">
        <v>214</v>
      </c>
      <c r="I239" s="57"/>
      <c r="J239" s="56"/>
      <c r="K239" s="56"/>
      <c r="L239" s="58" t="str">
        <f aca="false">IF(AND(ISNUMBER(J239),ISNUMBER(K239)),IF(K239&gt;=J239,(K239-J239)*1440,""),"")</f>
        <v/>
      </c>
      <c r="M239" s="56"/>
      <c r="N239" s="58" t="str">
        <f aca="false">IF(AND(ISNUMBER(J239),ISNUMBER(M239)),IF(M239&gt;=J239,(M239-J239)*1440,""),"")</f>
        <v/>
      </c>
      <c r="O239" s="54" t="str">
        <f aca="false">IF(N239="","",LOOKUP(N239,Tiempos!$A$6:$A$10,Tiempos!$B$6:$B$10))</f>
        <v/>
      </c>
      <c r="P239" s="54"/>
      <c r="Q239" s="54"/>
      <c r="R239" s="54"/>
      <c r="S239" s="54"/>
      <c r="T239" s="58"/>
      <c r="U239" s="54"/>
      <c r="V239" s="58"/>
      <c r="W239" s="57"/>
      <c r="X239" s="55"/>
      <c r="Y239" s="54"/>
      <c r="Z239" s="56"/>
      <c r="AA239" s="58" t="str">
        <f aca="false">IF(AND(ISNUMBER(M239),ISNUMBER(Z239)),IF(Z239&gt;=M239,(Z239-M239)*1440,""),"")</f>
        <v/>
      </c>
      <c r="AB239" s="57"/>
      <c r="AC239" s="56"/>
      <c r="AD239" s="58" t="str">
        <f aca="false">IF(AND(ISNUMBER(Z239),ISNUMBER(AC239)),IF(AC239&gt;=Z239,(AC239-Z239)*1440,""),"")</f>
        <v/>
      </c>
      <c r="AE239" s="54"/>
      <c r="AF239" s="54"/>
      <c r="AG239" s="54"/>
      <c r="AH239" s="58"/>
      <c r="AI239" s="55" t="n">
        <v>2</v>
      </c>
      <c r="AJ239" s="54" t="s">
        <v>216</v>
      </c>
      <c r="AK239" s="54" t="s">
        <v>212</v>
      </c>
    </row>
    <row r="240" customFormat="false" ht="15" hidden="false" customHeight="false" outlineLevel="0" collapsed="false">
      <c r="A240" s="54" t="s">
        <v>27</v>
      </c>
      <c r="B240" s="55" t="n">
        <v>772</v>
      </c>
      <c r="C240" s="54" t="s">
        <v>127</v>
      </c>
      <c r="D240" s="54" t="s">
        <v>214</v>
      </c>
      <c r="E240" s="54" t="s">
        <v>233</v>
      </c>
      <c r="F240" s="56" t="n">
        <v>46303.3214908449</v>
      </c>
      <c r="G240" s="54" t="s">
        <v>214</v>
      </c>
      <c r="H240" s="54" t="s">
        <v>214</v>
      </c>
      <c r="I240" s="57" t="s">
        <v>472</v>
      </c>
      <c r="J240" s="56" t="n">
        <v>46303.3314697454</v>
      </c>
      <c r="K240" s="56" t="n">
        <v>46303.3364528472</v>
      </c>
      <c r="L240" s="58" t="n">
        <f aca="false">IF(AND(ISNUMBER(J240),ISNUMBER(K240)),IF(K240&gt;=J240,(K240-J240)*1440,""),"")</f>
        <v>7.17566667123333</v>
      </c>
      <c r="M240" s="56" t="n">
        <v>46303.3395877662</v>
      </c>
      <c r="N240" s="58" t="n">
        <f aca="false">IF(AND(ISNUMBER(J240),ISNUMBER(M240)),IF(M240&gt;=J240,(M240-J240)*1440,""),"")</f>
        <v>11.6899499937333</v>
      </c>
      <c r="O240" s="54" t="str">
        <f aca="false">IF(N240="","",LOOKUP(N240,Tiempos!$A$6:$A$10,Tiempos!$B$6:$B$10))</f>
        <v>10 a 30 min</v>
      </c>
      <c r="P240" s="54" t="s">
        <v>229</v>
      </c>
      <c r="Q240" s="54" t="s">
        <v>214</v>
      </c>
      <c r="R240" s="54" t="s">
        <v>127</v>
      </c>
      <c r="S240" s="54" t="s">
        <v>220</v>
      </c>
      <c r="T240" s="58" t="n">
        <v>112.6</v>
      </c>
      <c r="U240" s="54" t="s">
        <v>214</v>
      </c>
      <c r="V240" s="58" t="n">
        <v>4.51</v>
      </c>
      <c r="W240" s="57" t="s">
        <v>249</v>
      </c>
      <c r="X240" s="55" t="n">
        <v>2</v>
      </c>
      <c r="Y240" s="54" t="s">
        <v>214</v>
      </c>
      <c r="Z240" s="56" t="n">
        <v>46303.3432167593</v>
      </c>
      <c r="AA240" s="58" t="n">
        <f aca="false">IF(AND(ISNUMBER(M240),ISNUMBER(Z240)),IF(Z240&gt;=M240,(Z240-M240)*1440,""),"")</f>
        <v>5.22575001348333</v>
      </c>
      <c r="AB240" s="57" t="s">
        <v>284</v>
      </c>
      <c r="AC240" s="56" t="n">
        <v>46303.3479916204</v>
      </c>
      <c r="AD240" s="58" t="n">
        <f aca="false">IF(AND(ISNUMBER(Z240),ISNUMBER(AC240)),IF(AC240&gt;=Z240,(AC240-Z240)*1440,""),"")</f>
        <v>6.8757999991</v>
      </c>
      <c r="AE240" s="54" t="s">
        <v>302</v>
      </c>
      <c r="AF240" s="54" t="s">
        <v>212</v>
      </c>
      <c r="AG240" s="54" t="s">
        <v>212</v>
      </c>
      <c r="AH240" s="58"/>
      <c r="AI240" s="55" t="n">
        <v>2</v>
      </c>
      <c r="AJ240" s="54" t="s">
        <v>473</v>
      </c>
      <c r="AK240" s="54" t="s">
        <v>212</v>
      </c>
    </row>
    <row r="241" customFormat="false" ht="15" hidden="false" customHeight="false" outlineLevel="0" collapsed="false">
      <c r="A241" s="54" t="s">
        <v>27</v>
      </c>
      <c r="B241" s="55" t="n">
        <v>776</v>
      </c>
      <c r="C241" s="54" t="s">
        <v>127</v>
      </c>
      <c r="D241" s="54" t="s">
        <v>214</v>
      </c>
      <c r="E241" s="54" t="s">
        <v>242</v>
      </c>
      <c r="F241" s="56" t="n">
        <v>46303.3245245833</v>
      </c>
      <c r="G241" s="54" t="s">
        <v>214</v>
      </c>
      <c r="H241" s="54" t="s">
        <v>214</v>
      </c>
      <c r="I241" s="57" t="s">
        <v>474</v>
      </c>
      <c r="J241" s="56" t="n">
        <v>46303.325206412</v>
      </c>
      <c r="K241" s="56" t="n">
        <v>46303.331722257</v>
      </c>
      <c r="L241" s="58" t="n">
        <f aca="false">IF(AND(ISNUMBER(J241),ISNUMBER(K241)),IF(K241&gt;=J241,(K241-J241)*1440,""),"")</f>
        <v>9.3828166765</v>
      </c>
      <c r="M241" s="56" t="n">
        <v>46303.3343513889</v>
      </c>
      <c r="N241" s="58" t="n">
        <f aca="false">IF(AND(ISNUMBER(J241),ISNUMBER(M241)),IF(M241&gt;=J241,(M241-J241)*1440,""),"")</f>
        <v>13.1687666662</v>
      </c>
      <c r="O241" s="54" t="str">
        <f aca="false">IF(N241="","",LOOKUP(N241,Tiempos!$A$6:$A$10,Tiempos!$B$6:$B$10))</f>
        <v>10 a 30 min</v>
      </c>
      <c r="P241" s="54" t="s">
        <v>229</v>
      </c>
      <c r="Q241" s="54" t="s">
        <v>214</v>
      </c>
      <c r="R241" s="54" t="s">
        <v>127</v>
      </c>
      <c r="S241" s="54" t="s">
        <v>220</v>
      </c>
      <c r="T241" s="58" t="n">
        <v>122.1</v>
      </c>
      <c r="U241" s="54" t="s">
        <v>214</v>
      </c>
      <c r="V241" s="58" t="n">
        <v>3.79</v>
      </c>
      <c r="W241" s="57" t="s">
        <v>475</v>
      </c>
      <c r="X241" s="55" t="n">
        <v>2</v>
      </c>
      <c r="Y241" s="54" t="s">
        <v>214</v>
      </c>
      <c r="Z241" s="56" t="n">
        <v>46303.3484922917</v>
      </c>
      <c r="AA241" s="58" t="n">
        <f aca="false">IF(AND(ISNUMBER(M241),ISNUMBER(Z241)),IF(Z241&gt;=M241,(Z241-M241)*1440,""),"")</f>
        <v>20.36290000075</v>
      </c>
      <c r="AB241" s="57" t="s">
        <v>476</v>
      </c>
      <c r="AC241" s="56" t="n">
        <v>46303.3507353125</v>
      </c>
      <c r="AD241" s="58" t="n">
        <f aca="false">IF(AND(ISNUMBER(Z241),ISNUMBER(AC241)),IF(AC241&gt;=Z241,(AC241-Z241)*1440,""),"")</f>
        <v>3.22995000051667</v>
      </c>
      <c r="AE241" s="54" t="s">
        <v>302</v>
      </c>
      <c r="AF241" s="54" t="s">
        <v>212</v>
      </c>
      <c r="AG241" s="54" t="s">
        <v>212</v>
      </c>
      <c r="AH241" s="58"/>
      <c r="AI241" s="55" t="n">
        <v>2</v>
      </c>
      <c r="AJ241" s="54" t="s">
        <v>477</v>
      </c>
      <c r="AK241" s="54" t="s">
        <v>212</v>
      </c>
    </row>
    <row r="242" customFormat="false" ht="15" hidden="false" customHeight="false" outlineLevel="0" collapsed="false">
      <c r="A242" s="54" t="s">
        <v>27</v>
      </c>
      <c r="B242" s="55" t="n">
        <v>785</v>
      </c>
      <c r="C242" s="54" t="s">
        <v>127</v>
      </c>
      <c r="D242" s="54" t="s">
        <v>212</v>
      </c>
      <c r="E242" s="54"/>
      <c r="F242" s="56" t="n">
        <v>46303.3607532986</v>
      </c>
      <c r="G242" s="54" t="s">
        <v>212</v>
      </c>
      <c r="H242" s="54" t="s">
        <v>214</v>
      </c>
      <c r="I242" s="57"/>
      <c r="J242" s="56"/>
      <c r="K242" s="56"/>
      <c r="L242" s="58" t="str">
        <f aca="false">IF(AND(ISNUMBER(J242),ISNUMBER(K242)),IF(K242&gt;=J242,(K242-J242)*1440,""),"")</f>
        <v/>
      </c>
      <c r="M242" s="56"/>
      <c r="N242" s="58" t="str">
        <f aca="false">IF(AND(ISNUMBER(J242),ISNUMBER(M242)),IF(M242&gt;=J242,(M242-J242)*1440,""),"")</f>
        <v/>
      </c>
      <c r="O242" s="54" t="str">
        <f aca="false">IF(N242="","",LOOKUP(N242,Tiempos!$A$6:$A$10,Tiempos!$B$6:$B$10))</f>
        <v/>
      </c>
      <c r="P242" s="54"/>
      <c r="Q242" s="54"/>
      <c r="R242" s="54"/>
      <c r="S242" s="54"/>
      <c r="T242" s="58"/>
      <c r="U242" s="54"/>
      <c r="V242" s="58"/>
      <c r="W242" s="57"/>
      <c r="X242" s="55"/>
      <c r="Y242" s="54"/>
      <c r="Z242" s="56"/>
      <c r="AA242" s="58" t="str">
        <f aca="false">IF(AND(ISNUMBER(M242),ISNUMBER(Z242)),IF(Z242&gt;=M242,(Z242-M242)*1440,""),"")</f>
        <v/>
      </c>
      <c r="AB242" s="57"/>
      <c r="AC242" s="56"/>
      <c r="AD242" s="58" t="str">
        <f aca="false">IF(AND(ISNUMBER(Z242),ISNUMBER(AC242)),IF(AC242&gt;=Z242,(AC242-Z242)*1440,""),"")</f>
        <v/>
      </c>
      <c r="AE242" s="54"/>
      <c r="AF242" s="54"/>
      <c r="AG242" s="54"/>
      <c r="AH242" s="58"/>
      <c r="AI242" s="55" t="n">
        <v>1</v>
      </c>
      <c r="AJ242" s="54" t="s">
        <v>216</v>
      </c>
      <c r="AK242" s="54" t="s">
        <v>212</v>
      </c>
    </row>
    <row r="243" customFormat="false" ht="15" hidden="false" customHeight="false" outlineLevel="0" collapsed="false">
      <c r="A243" s="54" t="s">
        <v>27</v>
      </c>
      <c r="B243" s="55" t="n">
        <v>800</v>
      </c>
      <c r="C243" s="54" t="s">
        <v>127</v>
      </c>
      <c r="D243" s="54" t="s">
        <v>214</v>
      </c>
      <c r="E243" s="54" t="s">
        <v>412</v>
      </c>
      <c r="F243" s="56" t="n">
        <v>46303.4213188889</v>
      </c>
      <c r="G243" s="54" t="s">
        <v>212</v>
      </c>
      <c r="H243" s="54" t="s">
        <v>214</v>
      </c>
      <c r="I243" s="57" t="s">
        <v>478</v>
      </c>
      <c r="J243" s="56" t="n">
        <v>46303.4460886227</v>
      </c>
      <c r="K243" s="56" t="n">
        <v>46303.4514127083</v>
      </c>
      <c r="L243" s="58" t="n">
        <f aca="false">IF(AND(ISNUMBER(J243),ISNUMBER(K243)),IF(K243&gt;=J243,(K243-J243)*1440,""),"")</f>
        <v>7.66668332623333</v>
      </c>
      <c r="M243" s="56" t="n">
        <v>46303.4552405556</v>
      </c>
      <c r="N243" s="58" t="n">
        <f aca="false">IF(AND(ISNUMBER(J243),ISNUMBER(M243)),IF(M243&gt;=J243,(M243-J243)*1440,""),"")</f>
        <v>13.17878333385</v>
      </c>
      <c r="O243" s="54" t="str">
        <f aca="false">IF(N243="","",LOOKUP(N243,Tiempos!$A$6:$A$10,Tiempos!$B$6:$B$10))</f>
        <v>10 a 30 min</v>
      </c>
      <c r="P243" s="54" t="s">
        <v>229</v>
      </c>
      <c r="Q243" s="54" t="s">
        <v>214</v>
      </c>
      <c r="R243" s="54" t="s">
        <v>130</v>
      </c>
      <c r="S243" s="54" t="s">
        <v>215</v>
      </c>
      <c r="T243" s="58" t="n">
        <v>100.5</v>
      </c>
      <c r="U243" s="54" t="s">
        <v>214</v>
      </c>
      <c r="V243" s="58" t="n">
        <v>5.51</v>
      </c>
      <c r="W243" s="57" t="s">
        <v>470</v>
      </c>
      <c r="X243" s="55" t="n">
        <v>2</v>
      </c>
      <c r="Y243" s="54" t="s">
        <v>212</v>
      </c>
      <c r="Z243" s="56"/>
      <c r="AA243" s="58" t="str">
        <f aca="false">IF(AND(ISNUMBER(M243),ISNUMBER(Z243)),IF(Z243&gt;=M243,(Z243-M243)*1440,""),"")</f>
        <v/>
      </c>
      <c r="AB243" s="57"/>
      <c r="AC243" s="56"/>
      <c r="AD243" s="58" t="str">
        <f aca="false">IF(AND(ISNUMBER(Z243),ISNUMBER(AC243)),IF(AC243&gt;=Z243,(AC243-Z243)*1440,""),"")</f>
        <v/>
      </c>
      <c r="AE243" s="54"/>
      <c r="AF243" s="54" t="s">
        <v>214</v>
      </c>
      <c r="AG243" s="54"/>
      <c r="AH243" s="58"/>
      <c r="AI243" s="55" t="n">
        <v>1</v>
      </c>
      <c r="AJ243" s="54" t="s">
        <v>216</v>
      </c>
      <c r="AK243" s="54" t="s">
        <v>212</v>
      </c>
    </row>
    <row r="244" customFormat="false" ht="15" hidden="false" customHeight="false" outlineLevel="0" collapsed="false">
      <c r="A244" s="54" t="s">
        <v>27</v>
      </c>
      <c r="B244" s="55" t="n">
        <v>803</v>
      </c>
      <c r="C244" s="54" t="s">
        <v>127</v>
      </c>
      <c r="D244" s="54" t="s">
        <v>211</v>
      </c>
      <c r="E244" s="54"/>
      <c r="F244" s="56" t="n">
        <v>46303.4256590394</v>
      </c>
      <c r="G244" s="54" t="s">
        <v>212</v>
      </c>
      <c r="H244" s="54" t="s">
        <v>214</v>
      </c>
      <c r="I244" s="57" t="s">
        <v>479</v>
      </c>
      <c r="J244" s="56" t="n">
        <v>46304.3961781597</v>
      </c>
      <c r="K244" s="56" t="n">
        <v>46304.4007136458</v>
      </c>
      <c r="L244" s="58" t="n">
        <f aca="false">IF(AND(ISNUMBER(J244),ISNUMBER(K244)),IF(K244&gt;=J244,(K244-J244)*1440,""),"")</f>
        <v>6.5311000042</v>
      </c>
      <c r="M244" s="56" t="n">
        <v>46304.4007136458</v>
      </c>
      <c r="N244" s="58" t="n">
        <f aca="false">IF(AND(ISNUMBER(J244),ISNUMBER(M244)),IF(M244&gt;=J244,(M244-J244)*1440,""),"")</f>
        <v>6.5311000042</v>
      </c>
      <c r="O244" s="54" t="str">
        <f aca="false">IF(N244="","",LOOKUP(N244,Tiempos!$A$6:$A$10,Tiempos!$B$6:$B$10))</f>
        <v>6 a 10 min</v>
      </c>
      <c r="P244" s="54" t="s">
        <v>226</v>
      </c>
      <c r="Q244" s="54" t="s">
        <v>212</v>
      </c>
      <c r="R244" s="54" t="s">
        <v>127</v>
      </c>
      <c r="S244" s="54" t="s">
        <v>220</v>
      </c>
      <c r="T244" s="58"/>
      <c r="U244" s="54"/>
      <c r="V244" s="58"/>
      <c r="W244" s="57"/>
      <c r="X244" s="55" t="n">
        <v>0</v>
      </c>
      <c r="Y244" s="54" t="s">
        <v>212</v>
      </c>
      <c r="Z244" s="56"/>
      <c r="AA244" s="58" t="str">
        <f aca="false">IF(AND(ISNUMBER(M244),ISNUMBER(Z244)),IF(Z244&gt;=M244,(Z244-M244)*1440,""),"")</f>
        <v/>
      </c>
      <c r="AB244" s="57"/>
      <c r="AC244" s="56"/>
      <c r="AD244" s="58" t="str">
        <f aca="false">IF(AND(ISNUMBER(Z244),ISNUMBER(AC244)),IF(AC244&gt;=Z244,(AC244-Z244)*1440,""),"")</f>
        <v/>
      </c>
      <c r="AE244" s="54"/>
      <c r="AF244" s="54" t="s">
        <v>212</v>
      </c>
      <c r="AG244" s="54"/>
      <c r="AH244" s="58"/>
      <c r="AI244" s="55" t="n">
        <v>1</v>
      </c>
      <c r="AJ244" s="54" t="s">
        <v>216</v>
      </c>
      <c r="AK244" s="54" t="s">
        <v>212</v>
      </c>
    </row>
    <row r="245" customFormat="false" ht="15" hidden="false" customHeight="false" outlineLevel="0" collapsed="false">
      <c r="A245" s="54" t="s">
        <v>27</v>
      </c>
      <c r="B245" s="55" t="n">
        <v>806</v>
      </c>
      <c r="C245" s="54" t="s">
        <v>127</v>
      </c>
      <c r="D245" s="54" t="s">
        <v>212</v>
      </c>
      <c r="E245" s="54"/>
      <c r="F245" s="56" t="n">
        <v>46303.4277433102</v>
      </c>
      <c r="G245" s="54" t="s">
        <v>212</v>
      </c>
      <c r="H245" s="54" t="s">
        <v>212</v>
      </c>
      <c r="I245" s="57"/>
      <c r="J245" s="56"/>
      <c r="K245" s="56"/>
      <c r="L245" s="58" t="str">
        <f aca="false">IF(AND(ISNUMBER(J245),ISNUMBER(K245)),IF(K245&gt;=J245,(K245-J245)*1440,""),"")</f>
        <v/>
      </c>
      <c r="M245" s="56"/>
      <c r="N245" s="58" t="str">
        <f aca="false">IF(AND(ISNUMBER(J245),ISNUMBER(M245)),IF(M245&gt;=J245,(M245-J245)*1440,""),"")</f>
        <v/>
      </c>
      <c r="O245" s="54" t="str">
        <f aca="false">IF(N245="","",LOOKUP(N245,Tiempos!$A$6:$A$10,Tiempos!$B$6:$B$10))</f>
        <v/>
      </c>
      <c r="P245" s="54"/>
      <c r="Q245" s="54"/>
      <c r="R245" s="54"/>
      <c r="S245" s="54"/>
      <c r="T245" s="58"/>
      <c r="U245" s="54"/>
      <c r="V245" s="58"/>
      <c r="W245" s="57"/>
      <c r="X245" s="55"/>
      <c r="Y245" s="54"/>
      <c r="Z245" s="56"/>
      <c r="AA245" s="58" t="str">
        <f aca="false">IF(AND(ISNUMBER(M245),ISNUMBER(Z245)),IF(Z245&gt;=M245,(Z245-M245)*1440,""),"")</f>
        <v/>
      </c>
      <c r="AB245" s="57"/>
      <c r="AC245" s="56"/>
      <c r="AD245" s="58" t="str">
        <f aca="false">IF(AND(ISNUMBER(Z245),ISNUMBER(AC245)),IF(AC245&gt;=Z245,(AC245-Z245)*1440,""),"")</f>
        <v/>
      </c>
      <c r="AE245" s="54"/>
      <c r="AF245" s="54"/>
      <c r="AG245" s="54"/>
      <c r="AH245" s="58"/>
      <c r="AI245" s="55" t="n">
        <v>1</v>
      </c>
      <c r="AJ245" s="54" t="s">
        <v>216</v>
      </c>
      <c r="AK245" s="54" t="s">
        <v>212</v>
      </c>
    </row>
    <row r="246" customFormat="false" ht="15" hidden="false" customHeight="false" outlineLevel="0" collapsed="false">
      <c r="A246" s="54" t="s">
        <v>27</v>
      </c>
      <c r="B246" s="55" t="n">
        <v>817</v>
      </c>
      <c r="C246" s="54" t="s">
        <v>127</v>
      </c>
      <c r="D246" s="54" t="s">
        <v>214</v>
      </c>
      <c r="E246" s="54" t="s">
        <v>233</v>
      </c>
      <c r="F246" s="56" t="n">
        <v>46303.432410787</v>
      </c>
      <c r="G246" s="54" t="s">
        <v>212</v>
      </c>
      <c r="H246" s="54" t="s">
        <v>214</v>
      </c>
      <c r="I246" s="57" t="s">
        <v>480</v>
      </c>
      <c r="J246" s="56" t="n">
        <v>46303.4443851852</v>
      </c>
      <c r="K246" s="56" t="n">
        <v>46303.448331412</v>
      </c>
      <c r="L246" s="58" t="n">
        <f aca="false">IF(AND(ISNUMBER(J246),ISNUMBER(K246)),IF(K246&gt;=J246,(K246-J246)*1440,""),"")</f>
        <v>5.68256667</v>
      </c>
      <c r="M246" s="56" t="n">
        <v>46303.448331412</v>
      </c>
      <c r="N246" s="58" t="n">
        <f aca="false">IF(AND(ISNUMBER(J246),ISNUMBER(M246)),IF(M246&gt;=J246,(M246-J246)*1440,""),"")</f>
        <v>5.68256667</v>
      </c>
      <c r="O246" s="54" t="str">
        <f aca="false">IF(N246="","",LOOKUP(N246,Tiempos!$A$6:$A$10,Tiempos!$B$6:$B$10))</f>
        <v>4 a 6 min</v>
      </c>
      <c r="P246" s="54" t="s">
        <v>226</v>
      </c>
      <c r="Q246" s="54" t="s">
        <v>212</v>
      </c>
      <c r="R246" s="54" t="s">
        <v>130</v>
      </c>
      <c r="S246" s="54" t="s">
        <v>215</v>
      </c>
      <c r="T246" s="58"/>
      <c r="U246" s="54"/>
      <c r="V246" s="58"/>
      <c r="W246" s="57"/>
      <c r="X246" s="55" t="n">
        <v>0</v>
      </c>
      <c r="Y246" s="54" t="s">
        <v>214</v>
      </c>
      <c r="Z246" s="56" t="n">
        <v>46303.462717581</v>
      </c>
      <c r="AA246" s="58" t="n">
        <f aca="false">IF(AND(ISNUMBER(M246),ISNUMBER(Z246)),IF(Z246&gt;=M246,(Z246-M246)*1440,""),"")</f>
        <v>20.7160833303333</v>
      </c>
      <c r="AB246" s="57" t="s">
        <v>438</v>
      </c>
      <c r="AC246" s="56" t="n">
        <v>46303.4637174884</v>
      </c>
      <c r="AD246" s="58" t="n">
        <f aca="false">IF(AND(ISNUMBER(Z246),ISNUMBER(AC246)),IF(AC246&gt;=Z246,(AC246-Z246)*1440,""),"")</f>
        <v>1.4398666704</v>
      </c>
      <c r="AE246" s="54" t="s">
        <v>346</v>
      </c>
      <c r="AF246" s="54" t="s">
        <v>214</v>
      </c>
      <c r="AG246" s="54" t="s">
        <v>214</v>
      </c>
      <c r="AH246" s="58" t="n">
        <v>1.3</v>
      </c>
      <c r="AI246" s="55" t="n">
        <v>2</v>
      </c>
      <c r="AJ246" s="54" t="s">
        <v>216</v>
      </c>
      <c r="AK246" s="54" t="s">
        <v>212</v>
      </c>
    </row>
    <row r="247" customFormat="false" ht="15" hidden="false" customHeight="false" outlineLevel="0" collapsed="false">
      <c r="A247" s="54" t="s">
        <v>27</v>
      </c>
      <c r="B247" s="55" t="n">
        <v>822</v>
      </c>
      <c r="C247" s="54" t="s">
        <v>127</v>
      </c>
      <c r="D247" s="54" t="s">
        <v>211</v>
      </c>
      <c r="E247" s="54"/>
      <c r="F247" s="56" t="n">
        <v>46303.4379714005</v>
      </c>
      <c r="G247" s="54" t="s">
        <v>212</v>
      </c>
      <c r="H247" s="54" t="s">
        <v>214</v>
      </c>
      <c r="I247" s="57" t="s">
        <v>481</v>
      </c>
      <c r="J247" s="56" t="n">
        <v>46303.5642693403</v>
      </c>
      <c r="K247" s="56" t="n">
        <v>46303.5693557176</v>
      </c>
      <c r="L247" s="58" t="n">
        <f aca="false">IF(AND(ISNUMBER(J247),ISNUMBER(K247)),IF(K247&gt;=J247,(K247-J247)*1440,""),"")</f>
        <v>7.32438333215</v>
      </c>
      <c r="M247" s="56" t="n">
        <v>46303.5693557176</v>
      </c>
      <c r="N247" s="58" t="n">
        <f aca="false">IF(AND(ISNUMBER(J247),ISNUMBER(M247)),IF(M247&gt;=J247,(M247-J247)*1440,""),"")</f>
        <v>7.32438333215</v>
      </c>
      <c r="O247" s="54" t="str">
        <f aca="false">IF(N247="","",LOOKUP(N247,Tiempos!$A$6:$A$10,Tiempos!$B$6:$B$10))</f>
        <v>6 a 10 min</v>
      </c>
      <c r="P247" s="54" t="s">
        <v>226</v>
      </c>
      <c r="Q247" s="54" t="s">
        <v>212</v>
      </c>
      <c r="R247" s="54" t="s">
        <v>130</v>
      </c>
      <c r="S247" s="54" t="s">
        <v>215</v>
      </c>
      <c r="T247" s="58"/>
      <c r="U247" s="54"/>
      <c r="V247" s="58"/>
      <c r="W247" s="57"/>
      <c r="X247" s="55" t="n">
        <v>0</v>
      </c>
      <c r="Y247" s="54" t="s">
        <v>212</v>
      </c>
      <c r="Z247" s="56"/>
      <c r="AA247" s="58" t="str">
        <f aca="false">IF(AND(ISNUMBER(M247),ISNUMBER(Z247)),IF(Z247&gt;=M247,(Z247-M247)*1440,""),"")</f>
        <v/>
      </c>
      <c r="AB247" s="57"/>
      <c r="AC247" s="56"/>
      <c r="AD247" s="58" t="str">
        <f aca="false">IF(AND(ISNUMBER(Z247),ISNUMBER(AC247)),IF(AC247&gt;=Z247,(AC247-Z247)*1440,""),"")</f>
        <v/>
      </c>
      <c r="AE247" s="54"/>
      <c r="AF247" s="54" t="s">
        <v>212</v>
      </c>
      <c r="AG247" s="54"/>
      <c r="AH247" s="58"/>
      <c r="AI247" s="55" t="n">
        <v>2</v>
      </c>
      <c r="AJ247" s="54" t="s">
        <v>216</v>
      </c>
      <c r="AK247" s="54" t="s">
        <v>212</v>
      </c>
    </row>
    <row r="248" customFormat="false" ht="15" hidden="false" customHeight="false" outlineLevel="0" collapsed="false">
      <c r="A248" s="54" t="s">
        <v>27</v>
      </c>
      <c r="B248" s="55" t="n">
        <v>825</v>
      </c>
      <c r="C248" s="54" t="s">
        <v>127</v>
      </c>
      <c r="D248" s="54" t="s">
        <v>214</v>
      </c>
      <c r="E248" s="54" t="s">
        <v>217</v>
      </c>
      <c r="F248" s="56" t="n">
        <v>46303.4648965972</v>
      </c>
      <c r="G248" s="54" t="s">
        <v>212</v>
      </c>
      <c r="H248" s="54" t="s">
        <v>214</v>
      </c>
      <c r="I248" s="57" t="s">
        <v>482</v>
      </c>
      <c r="J248" s="56" t="n">
        <v>46303.5688503472</v>
      </c>
      <c r="K248" s="56" t="n">
        <v>46303.5695412847</v>
      </c>
      <c r="L248" s="58" t="n">
        <f aca="false">IF(AND(ISNUMBER(J248),ISNUMBER(K248)),IF(K248&gt;=J248,(K248-J248)*1440,""),"")</f>
        <v>0.994950000883333</v>
      </c>
      <c r="M248" s="56" t="n">
        <v>46303.5718457755</v>
      </c>
      <c r="N248" s="58" t="n">
        <f aca="false">IF(AND(ISNUMBER(J248),ISNUMBER(M248)),IF(M248&gt;=J248,(M248-J248)*1440,""),"")</f>
        <v>4.31341667076667</v>
      </c>
      <c r="O248" s="54" t="str">
        <f aca="false">IF(N248="","",LOOKUP(N248,Tiempos!$A$6:$A$10,Tiempos!$B$6:$B$10))</f>
        <v>4 a 6 min</v>
      </c>
      <c r="P248" s="54" t="s">
        <v>343</v>
      </c>
      <c r="Q248" s="54" t="s">
        <v>214</v>
      </c>
      <c r="R248" s="54" t="s">
        <v>127</v>
      </c>
      <c r="S248" s="54" t="s">
        <v>220</v>
      </c>
      <c r="T248" s="58" t="n">
        <v>116</v>
      </c>
      <c r="U248" s="54" t="s">
        <v>214</v>
      </c>
      <c r="V248" s="58" t="n">
        <v>3.32</v>
      </c>
      <c r="W248" s="57"/>
      <c r="X248" s="55" t="n">
        <v>0</v>
      </c>
      <c r="Y248" s="54" t="s">
        <v>214</v>
      </c>
      <c r="Z248" s="56" t="n">
        <v>46303.5795470602</v>
      </c>
      <c r="AA248" s="58" t="n">
        <f aca="false">IF(AND(ISNUMBER(M248),ISNUMBER(Z248)),IF(Z248&gt;=M248,(Z248-M248)*1440,""),"")</f>
        <v>11.08985000405</v>
      </c>
      <c r="AB248" s="57" t="s">
        <v>483</v>
      </c>
      <c r="AC248" s="56" t="n">
        <v>46303.5825422801</v>
      </c>
      <c r="AD248" s="58" t="n">
        <f aca="false">IF(AND(ISNUMBER(Z248),ISNUMBER(AC248)),IF(AC248&gt;=Z248,(AC248-Z248)*1440,""),"")</f>
        <v>4.3131166615</v>
      </c>
      <c r="AE248" s="54" t="s">
        <v>293</v>
      </c>
      <c r="AF248" s="54" t="s">
        <v>212</v>
      </c>
      <c r="AG248" s="54" t="s">
        <v>212</v>
      </c>
      <c r="AH248" s="58"/>
      <c r="AI248" s="55" t="n">
        <v>1</v>
      </c>
      <c r="AJ248" s="54" t="s">
        <v>216</v>
      </c>
      <c r="AK248" s="54" t="s">
        <v>212</v>
      </c>
    </row>
    <row r="249" customFormat="false" ht="15" hidden="false" customHeight="false" outlineLevel="0" collapsed="false">
      <c r="A249" s="54" t="s">
        <v>27</v>
      </c>
      <c r="B249" s="55" t="n">
        <v>836</v>
      </c>
      <c r="C249" s="54" t="s">
        <v>127</v>
      </c>
      <c r="D249" s="54" t="s">
        <v>214</v>
      </c>
      <c r="E249" s="54" t="s">
        <v>217</v>
      </c>
      <c r="F249" s="56" t="n">
        <v>46303.4715928935</v>
      </c>
      <c r="G249" s="54" t="s">
        <v>212</v>
      </c>
      <c r="H249" s="54" t="s">
        <v>214</v>
      </c>
      <c r="I249" s="57" t="s">
        <v>484</v>
      </c>
      <c r="J249" s="56" t="n">
        <v>46303.4738254514</v>
      </c>
      <c r="K249" s="56" t="n">
        <v>46303.4785781713</v>
      </c>
      <c r="L249" s="58" t="n">
        <f aca="false">IF(AND(ISNUMBER(J249),ISNUMBER(K249)),IF(K249&gt;=J249,(K249-J249)*1440,""),"")</f>
        <v>6.84391667483333</v>
      </c>
      <c r="M249" s="56" t="n">
        <v>46303.4859497338</v>
      </c>
      <c r="N249" s="58" t="n">
        <f aca="false">IF(AND(ISNUMBER(J249),ISNUMBER(M249)),IF(M249&gt;=J249,(M249-J249)*1440,""),"")</f>
        <v>17.4589666700833</v>
      </c>
      <c r="O249" s="54" t="str">
        <f aca="false">IF(N249="","",LOOKUP(N249,Tiempos!$A$6:$A$10,Tiempos!$B$6:$B$10))</f>
        <v>10 a 30 min</v>
      </c>
      <c r="P249" s="54" t="s">
        <v>485</v>
      </c>
      <c r="Q249" s="54" t="s">
        <v>214</v>
      </c>
      <c r="R249" s="54" t="s">
        <v>127</v>
      </c>
      <c r="S249" s="54" t="s">
        <v>220</v>
      </c>
      <c r="T249" s="58" t="n">
        <v>104</v>
      </c>
      <c r="U249" s="54" t="s">
        <v>214</v>
      </c>
      <c r="V249" s="58" t="n">
        <v>10.62</v>
      </c>
      <c r="W249" s="57" t="s">
        <v>486</v>
      </c>
      <c r="X249" s="55" t="n">
        <v>1</v>
      </c>
      <c r="Y249" s="54" t="s">
        <v>214</v>
      </c>
      <c r="Z249" s="56" t="n">
        <v>46303.4961834491</v>
      </c>
      <c r="AA249" s="58" t="n">
        <f aca="false">IF(AND(ISNUMBER(M249),ISNUMBER(Z249)),IF(Z249&gt;=M249,(Z249-M249)*1440,""),"")</f>
        <v>14.7365500114333</v>
      </c>
      <c r="AB249" s="57" t="s">
        <v>487</v>
      </c>
      <c r="AC249" s="56" t="n">
        <v>46307.4102151042</v>
      </c>
      <c r="AD249" s="58" t="n">
        <f aca="false">IF(AND(ISNUMBER(Z249),ISNUMBER(AC249)),IF(AC249&gt;=Z249,(AC249-Z249)*1440,""),"")</f>
        <v>5636.20558333117</v>
      </c>
      <c r="AE249" s="54" t="s">
        <v>346</v>
      </c>
      <c r="AF249" s="54" t="s">
        <v>214</v>
      </c>
      <c r="AG249" s="54" t="s">
        <v>214</v>
      </c>
      <c r="AH249" s="58" t="n">
        <v>4</v>
      </c>
      <c r="AI249" s="55" t="n">
        <v>2</v>
      </c>
      <c r="AJ249" s="54" t="s">
        <v>216</v>
      </c>
      <c r="AK249" s="54" t="s">
        <v>212</v>
      </c>
    </row>
    <row r="250" customFormat="false" ht="15" hidden="false" customHeight="false" outlineLevel="0" collapsed="false">
      <c r="A250" s="54" t="s">
        <v>27</v>
      </c>
      <c r="B250" s="55" t="n">
        <v>835</v>
      </c>
      <c r="C250" s="54" t="s">
        <v>127</v>
      </c>
      <c r="D250" s="54" t="s">
        <v>214</v>
      </c>
      <c r="E250" s="54" t="s">
        <v>217</v>
      </c>
      <c r="F250" s="56" t="n">
        <v>46303.4729274421</v>
      </c>
      <c r="G250" s="54" t="s">
        <v>212</v>
      </c>
      <c r="H250" s="54" t="s">
        <v>214</v>
      </c>
      <c r="I250" s="57" t="s">
        <v>488</v>
      </c>
      <c r="J250" s="56" t="n">
        <v>46303.4737170139</v>
      </c>
      <c r="K250" s="56" t="n">
        <v>46303.4760180671</v>
      </c>
      <c r="L250" s="58" t="n">
        <f aca="false">IF(AND(ISNUMBER(J250),ISNUMBER(K250)),IF(K250&gt;=J250,(K250-J250)*1440,""),"")</f>
        <v>3.31351666361667</v>
      </c>
      <c r="M250" s="56" t="n">
        <v>46303.4832950579</v>
      </c>
      <c r="N250" s="58" t="n">
        <f aca="false">IF(AND(ISNUMBER(J250),ISNUMBER(M250)),IF(M250&gt;=J250,(M250-J250)*1440,""),"")</f>
        <v>13.7923833320333</v>
      </c>
      <c r="O250" s="54" t="str">
        <f aca="false">IF(N250="","",LOOKUP(N250,Tiempos!$A$6:$A$10,Tiempos!$B$6:$B$10))</f>
        <v>10 a 30 min</v>
      </c>
      <c r="P250" s="54" t="s">
        <v>229</v>
      </c>
      <c r="Q250" s="54" t="s">
        <v>214</v>
      </c>
      <c r="R250" s="54" t="s">
        <v>127</v>
      </c>
      <c r="S250" s="54" t="s">
        <v>220</v>
      </c>
      <c r="T250" s="58" t="n">
        <v>110.9</v>
      </c>
      <c r="U250" s="54" t="s">
        <v>214</v>
      </c>
      <c r="V250" s="58" t="n">
        <v>10.48</v>
      </c>
      <c r="W250" s="57" t="s">
        <v>489</v>
      </c>
      <c r="X250" s="55" t="n">
        <v>2</v>
      </c>
      <c r="Y250" s="54" t="s">
        <v>212</v>
      </c>
      <c r="Z250" s="56"/>
      <c r="AA250" s="58" t="str">
        <f aca="false">IF(AND(ISNUMBER(M250),ISNUMBER(Z250)),IF(Z250&gt;=M250,(Z250-M250)*1440,""),"")</f>
        <v/>
      </c>
      <c r="AB250" s="57"/>
      <c r="AC250" s="56"/>
      <c r="AD250" s="58" t="str">
        <f aca="false">IF(AND(ISNUMBER(Z250),ISNUMBER(AC250)),IF(AC250&gt;=Z250,(AC250-Z250)*1440,""),"")</f>
        <v/>
      </c>
      <c r="AE250" s="54"/>
      <c r="AF250" s="54" t="s">
        <v>214</v>
      </c>
      <c r="AG250" s="54"/>
      <c r="AH250" s="58"/>
      <c r="AI250" s="55" t="n">
        <v>3</v>
      </c>
      <c r="AJ250" s="54" t="s">
        <v>216</v>
      </c>
      <c r="AK250" s="54" t="s">
        <v>212</v>
      </c>
    </row>
    <row r="251" customFormat="false" ht="15" hidden="false" customHeight="false" outlineLevel="0" collapsed="false">
      <c r="A251" s="54" t="s">
        <v>27</v>
      </c>
      <c r="B251" s="55" t="n">
        <v>827</v>
      </c>
      <c r="C251" s="54" t="s">
        <v>127</v>
      </c>
      <c r="D251" s="54" t="s">
        <v>214</v>
      </c>
      <c r="E251" s="54" t="s">
        <v>224</v>
      </c>
      <c r="F251" s="56" t="n">
        <v>46303.4837540857</v>
      </c>
      <c r="G251" s="54" t="s">
        <v>212</v>
      </c>
      <c r="H251" s="54" t="s">
        <v>214</v>
      </c>
      <c r="I251" s="57" t="s">
        <v>490</v>
      </c>
      <c r="J251" s="56" t="n">
        <v>46303.5525709491</v>
      </c>
      <c r="K251" s="56" t="n">
        <v>46303.5586159491</v>
      </c>
      <c r="L251" s="58" t="n">
        <f aca="false">IF(AND(ISNUMBER(J251),ISNUMBER(K251)),IF(K251&gt;=J251,(K251-J251)*1440,""),"")</f>
        <v>8.70479999225</v>
      </c>
      <c r="M251" s="56" t="n">
        <v>46303.561649213</v>
      </c>
      <c r="N251" s="58" t="n">
        <f aca="false">IF(AND(ISNUMBER(J251),ISNUMBER(M251)),IF(M251&gt;=J251,(M251-J251)*1440,""),"")</f>
        <v>13.0726999870833</v>
      </c>
      <c r="O251" s="54" t="str">
        <f aca="false">IF(N251="","",LOOKUP(N251,Tiempos!$A$6:$A$10,Tiempos!$B$6:$B$10))</f>
        <v>10 a 30 min</v>
      </c>
      <c r="P251" s="54" t="s">
        <v>244</v>
      </c>
      <c r="Q251" s="54" t="s">
        <v>214</v>
      </c>
      <c r="R251" s="54" t="s">
        <v>128</v>
      </c>
      <c r="S251" s="54" t="s">
        <v>220</v>
      </c>
      <c r="T251" s="58" t="n">
        <v>86.6</v>
      </c>
      <c r="U251" s="54" t="s">
        <v>214</v>
      </c>
      <c r="V251" s="58" t="n">
        <v>4.37</v>
      </c>
      <c r="W251" s="57" t="s">
        <v>491</v>
      </c>
      <c r="X251" s="55" t="n">
        <v>3</v>
      </c>
      <c r="Y251" s="54" t="s">
        <v>214</v>
      </c>
      <c r="Z251" s="56" t="n">
        <v>46304.335531794</v>
      </c>
      <c r="AA251" s="58" t="n">
        <f aca="false">IF(AND(ISNUMBER(M251),ISNUMBER(Z251)),IF(Z251&gt;=M251,(Z251-M251)*1440,""),"")</f>
        <v>1114.39091666252</v>
      </c>
      <c r="AB251" s="57" t="s">
        <v>492</v>
      </c>
      <c r="AC251" s="56" t="n">
        <v>46304.341108912</v>
      </c>
      <c r="AD251" s="58" t="n">
        <f aca="false">IF(AND(ISNUMBER(Z251),ISNUMBER(AC251)),IF(AC251&gt;=Z251,(AC251-Z251)*1440,""),"")</f>
        <v>8.03104999008333</v>
      </c>
      <c r="AE251" s="54" t="s">
        <v>247</v>
      </c>
      <c r="AF251" s="54" t="s">
        <v>214</v>
      </c>
      <c r="AG251" s="54" t="s">
        <v>212</v>
      </c>
      <c r="AH251" s="58"/>
      <c r="AI251" s="55" t="n">
        <v>3</v>
      </c>
      <c r="AJ251" s="54" t="s">
        <v>216</v>
      </c>
      <c r="AK251" s="54" t="s">
        <v>212</v>
      </c>
    </row>
    <row r="252" customFormat="false" ht="15" hidden="false" customHeight="false" outlineLevel="0" collapsed="false">
      <c r="A252" s="54" t="s">
        <v>27</v>
      </c>
      <c r="B252" s="55" t="n">
        <v>845</v>
      </c>
      <c r="C252" s="54" t="s">
        <v>127</v>
      </c>
      <c r="D252" s="54" t="s">
        <v>214</v>
      </c>
      <c r="E252" s="54" t="s">
        <v>217</v>
      </c>
      <c r="F252" s="56" t="n">
        <v>46303.5025136458</v>
      </c>
      <c r="G252" s="54" t="s">
        <v>212</v>
      </c>
      <c r="H252" s="54" t="s">
        <v>214</v>
      </c>
      <c r="I252" s="57" t="s">
        <v>493</v>
      </c>
      <c r="J252" s="56" t="n">
        <v>46303.5031873495</v>
      </c>
      <c r="K252" s="56" t="n">
        <v>46303.5055653472</v>
      </c>
      <c r="L252" s="58" t="n">
        <f aca="false">IF(AND(ISNUMBER(J252),ISNUMBER(K252)),IF(K252&gt;=J252,(K252-J252)*1440,""),"")</f>
        <v>3.42431666445</v>
      </c>
      <c r="M252" s="56" t="n">
        <v>46303.5079616551</v>
      </c>
      <c r="N252" s="58" t="n">
        <f aca="false">IF(AND(ISNUMBER(J252),ISNUMBER(M252)),IF(M252&gt;=J252,(M252-J252)*1440,""),"")</f>
        <v>6.87499998835</v>
      </c>
      <c r="O252" s="54" t="str">
        <f aca="false">IF(N252="","",LOOKUP(N252,Tiempos!$A$6:$A$10,Tiempos!$B$6:$B$10))</f>
        <v>6 a 10 min</v>
      </c>
      <c r="P252" s="54" t="s">
        <v>229</v>
      </c>
      <c r="Q252" s="54" t="s">
        <v>214</v>
      </c>
      <c r="R252" s="54" t="s">
        <v>130</v>
      </c>
      <c r="S252" s="54" t="s">
        <v>215</v>
      </c>
      <c r="T252" s="58" t="n">
        <v>115</v>
      </c>
      <c r="U252" s="54" t="s">
        <v>214</v>
      </c>
      <c r="V252" s="58" t="n">
        <v>3.45</v>
      </c>
      <c r="W252" s="57" t="s">
        <v>494</v>
      </c>
      <c r="X252" s="55" t="n">
        <v>2</v>
      </c>
      <c r="Y252" s="54" t="s">
        <v>212</v>
      </c>
      <c r="Z252" s="56"/>
      <c r="AA252" s="58" t="str">
        <f aca="false">IF(AND(ISNUMBER(M252),ISNUMBER(Z252)),IF(Z252&gt;=M252,(Z252-M252)*1440,""),"")</f>
        <v/>
      </c>
      <c r="AB252" s="57"/>
      <c r="AC252" s="56"/>
      <c r="AD252" s="58" t="str">
        <f aca="false">IF(AND(ISNUMBER(Z252),ISNUMBER(AC252)),IF(AC252&gt;=Z252,(AC252-Z252)*1440,""),"")</f>
        <v/>
      </c>
      <c r="AE252" s="54"/>
      <c r="AF252" s="54" t="s">
        <v>214</v>
      </c>
      <c r="AG252" s="54"/>
      <c r="AH252" s="58"/>
      <c r="AI252" s="55" t="n">
        <v>2</v>
      </c>
      <c r="AJ252" s="54" t="s">
        <v>216</v>
      </c>
      <c r="AK252" s="54" t="s">
        <v>212</v>
      </c>
    </row>
    <row r="253" customFormat="false" ht="15" hidden="false" customHeight="false" outlineLevel="0" collapsed="false">
      <c r="A253" s="54" t="s">
        <v>27</v>
      </c>
      <c r="B253" s="55" t="n">
        <v>851</v>
      </c>
      <c r="C253" s="54" t="s">
        <v>127</v>
      </c>
      <c r="D253" s="54" t="s">
        <v>212</v>
      </c>
      <c r="E253" s="54"/>
      <c r="F253" s="56" t="n">
        <v>46303.514970625</v>
      </c>
      <c r="G253" s="54" t="s">
        <v>212</v>
      </c>
      <c r="H253" s="54" t="s">
        <v>212</v>
      </c>
      <c r="I253" s="57"/>
      <c r="J253" s="56"/>
      <c r="K253" s="56"/>
      <c r="L253" s="58" t="str">
        <f aca="false">IF(AND(ISNUMBER(J253),ISNUMBER(K253)),IF(K253&gt;=J253,(K253-J253)*1440,""),"")</f>
        <v/>
      </c>
      <c r="M253" s="56"/>
      <c r="N253" s="58" t="str">
        <f aca="false">IF(AND(ISNUMBER(J253),ISNUMBER(M253)),IF(M253&gt;=J253,(M253-J253)*1440,""),"")</f>
        <v/>
      </c>
      <c r="O253" s="54" t="str">
        <f aca="false">IF(N253="","",LOOKUP(N253,Tiempos!$A$6:$A$10,Tiempos!$B$6:$B$10))</f>
        <v/>
      </c>
      <c r="P253" s="54"/>
      <c r="Q253" s="54"/>
      <c r="R253" s="54"/>
      <c r="S253" s="54"/>
      <c r="T253" s="58"/>
      <c r="U253" s="54"/>
      <c r="V253" s="58"/>
      <c r="W253" s="57"/>
      <c r="X253" s="55"/>
      <c r="Y253" s="54"/>
      <c r="Z253" s="56"/>
      <c r="AA253" s="58" t="str">
        <f aca="false">IF(AND(ISNUMBER(M253),ISNUMBER(Z253)),IF(Z253&gt;=M253,(Z253-M253)*1440,""),"")</f>
        <v/>
      </c>
      <c r="AB253" s="57"/>
      <c r="AC253" s="56"/>
      <c r="AD253" s="58" t="str">
        <f aca="false">IF(AND(ISNUMBER(Z253),ISNUMBER(AC253)),IF(AC253&gt;=Z253,(AC253-Z253)*1440,""),"")</f>
        <v/>
      </c>
      <c r="AE253" s="54"/>
      <c r="AF253" s="54"/>
      <c r="AG253" s="54"/>
      <c r="AH253" s="58"/>
      <c r="AI253" s="55" t="n">
        <v>2</v>
      </c>
      <c r="AJ253" s="54" t="s">
        <v>216</v>
      </c>
      <c r="AK253" s="54" t="s">
        <v>212</v>
      </c>
    </row>
    <row r="254" customFormat="false" ht="15" hidden="false" customHeight="false" outlineLevel="0" collapsed="false">
      <c r="A254" s="54" t="s">
        <v>27</v>
      </c>
      <c r="B254" s="55" t="n">
        <v>852</v>
      </c>
      <c r="C254" s="54" t="s">
        <v>127</v>
      </c>
      <c r="D254" s="54" t="s">
        <v>212</v>
      </c>
      <c r="E254" s="54"/>
      <c r="F254" s="56" t="n">
        <v>46303.5198677662</v>
      </c>
      <c r="G254" s="54" t="s">
        <v>212</v>
      </c>
      <c r="H254" s="54" t="s">
        <v>212</v>
      </c>
      <c r="I254" s="57"/>
      <c r="J254" s="56"/>
      <c r="K254" s="56"/>
      <c r="L254" s="58" t="str">
        <f aca="false">IF(AND(ISNUMBER(J254),ISNUMBER(K254)),IF(K254&gt;=J254,(K254-J254)*1440,""),"")</f>
        <v/>
      </c>
      <c r="M254" s="56"/>
      <c r="N254" s="58" t="str">
        <f aca="false">IF(AND(ISNUMBER(J254),ISNUMBER(M254)),IF(M254&gt;=J254,(M254-J254)*1440,""),"")</f>
        <v/>
      </c>
      <c r="O254" s="54" t="str">
        <f aca="false">IF(N254="","",LOOKUP(N254,Tiempos!$A$6:$A$10,Tiempos!$B$6:$B$10))</f>
        <v/>
      </c>
      <c r="P254" s="54"/>
      <c r="Q254" s="54"/>
      <c r="R254" s="54"/>
      <c r="S254" s="54"/>
      <c r="T254" s="58"/>
      <c r="U254" s="54"/>
      <c r="V254" s="58"/>
      <c r="W254" s="57"/>
      <c r="X254" s="55"/>
      <c r="Y254" s="54"/>
      <c r="Z254" s="56"/>
      <c r="AA254" s="58" t="str">
        <f aca="false">IF(AND(ISNUMBER(M254),ISNUMBER(Z254)),IF(Z254&gt;=M254,(Z254-M254)*1440,""),"")</f>
        <v/>
      </c>
      <c r="AB254" s="57"/>
      <c r="AC254" s="56"/>
      <c r="AD254" s="58" t="str">
        <f aca="false">IF(AND(ISNUMBER(Z254),ISNUMBER(AC254)),IF(AC254&gt;=Z254,(AC254-Z254)*1440,""),"")</f>
        <v/>
      </c>
      <c r="AE254" s="54"/>
      <c r="AF254" s="54"/>
      <c r="AG254" s="54"/>
      <c r="AH254" s="58"/>
      <c r="AI254" s="55" t="n">
        <v>2</v>
      </c>
      <c r="AJ254" s="54" t="s">
        <v>216</v>
      </c>
      <c r="AK254" s="54" t="s">
        <v>212</v>
      </c>
    </row>
    <row r="255" customFormat="false" ht="15" hidden="false" customHeight="false" outlineLevel="0" collapsed="false">
      <c r="A255" s="54" t="s">
        <v>27</v>
      </c>
      <c r="B255" s="55" t="n">
        <v>874</v>
      </c>
      <c r="C255" s="54" t="s">
        <v>128</v>
      </c>
      <c r="D255" s="54" t="s">
        <v>212</v>
      </c>
      <c r="E255" s="54"/>
      <c r="F255" s="56" t="n">
        <v>46303.5977252431</v>
      </c>
      <c r="G255" s="54" t="s">
        <v>212</v>
      </c>
      <c r="H255" s="54" t="s">
        <v>214</v>
      </c>
      <c r="I255" s="57"/>
      <c r="J255" s="56"/>
      <c r="K255" s="56"/>
      <c r="L255" s="58" t="str">
        <f aca="false">IF(AND(ISNUMBER(J255),ISNUMBER(K255)),IF(K255&gt;=J255,(K255-J255)*1440,""),"")</f>
        <v/>
      </c>
      <c r="M255" s="56"/>
      <c r="N255" s="58" t="str">
        <f aca="false">IF(AND(ISNUMBER(J255),ISNUMBER(M255)),IF(M255&gt;=J255,(M255-J255)*1440,""),"")</f>
        <v/>
      </c>
      <c r="O255" s="54" t="str">
        <f aca="false">IF(N255="","",LOOKUP(N255,Tiempos!$A$6:$A$10,Tiempos!$B$6:$B$10))</f>
        <v/>
      </c>
      <c r="P255" s="54"/>
      <c r="Q255" s="54"/>
      <c r="R255" s="54"/>
      <c r="S255" s="54"/>
      <c r="T255" s="58"/>
      <c r="U255" s="54"/>
      <c r="V255" s="58"/>
      <c r="W255" s="57"/>
      <c r="X255" s="55"/>
      <c r="Y255" s="54"/>
      <c r="Z255" s="56"/>
      <c r="AA255" s="58" t="str">
        <f aca="false">IF(AND(ISNUMBER(M255),ISNUMBER(Z255)),IF(Z255&gt;=M255,(Z255-M255)*1440,""),"")</f>
        <v/>
      </c>
      <c r="AB255" s="57"/>
      <c r="AC255" s="56"/>
      <c r="AD255" s="58" t="str">
        <f aca="false">IF(AND(ISNUMBER(Z255),ISNUMBER(AC255)),IF(AC255&gt;=Z255,(AC255-Z255)*1440,""),"")</f>
        <v/>
      </c>
      <c r="AE255" s="54"/>
      <c r="AF255" s="54"/>
      <c r="AG255" s="54"/>
      <c r="AH255" s="58"/>
      <c r="AI255" s="55" t="n">
        <v>2</v>
      </c>
      <c r="AJ255" s="54" t="s">
        <v>216</v>
      </c>
      <c r="AK255" s="54" t="s">
        <v>212</v>
      </c>
    </row>
    <row r="256" customFormat="false" ht="15" hidden="false" customHeight="false" outlineLevel="0" collapsed="false">
      <c r="A256" s="54" t="s">
        <v>27</v>
      </c>
      <c r="B256" s="55" t="n">
        <v>880</v>
      </c>
      <c r="C256" s="54" t="s">
        <v>127</v>
      </c>
      <c r="D256" s="54" t="s">
        <v>214</v>
      </c>
      <c r="E256" s="54" t="s">
        <v>233</v>
      </c>
      <c r="F256" s="56" t="n">
        <v>46303.6274191782</v>
      </c>
      <c r="G256" s="54" t="s">
        <v>212</v>
      </c>
      <c r="H256" s="54" t="s">
        <v>214</v>
      </c>
      <c r="I256" s="57" t="s">
        <v>495</v>
      </c>
      <c r="J256" s="56" t="n">
        <v>46303.6377399537</v>
      </c>
      <c r="K256" s="56" t="n">
        <v>46303.6527602778</v>
      </c>
      <c r="L256" s="58" t="n">
        <f aca="false">IF(AND(ISNUMBER(J256),ISNUMBER(K256)),IF(K256&gt;=J256,(K256-J256)*1440,""),"")</f>
        <v>21.6292666713667</v>
      </c>
      <c r="M256" s="56" t="n">
        <v>46303.6855134491</v>
      </c>
      <c r="N256" s="58" t="n">
        <f aca="false">IF(AND(ISNUMBER(J256),ISNUMBER(M256)),IF(M256&gt;=J256,(M256-J256)*1440,""),"")</f>
        <v>68.79383335005</v>
      </c>
      <c r="O256" s="54" t="str">
        <f aca="false">IF(N256="","",LOOKUP(N256,Tiempos!$A$6:$A$10,Tiempos!$B$6:$B$10))</f>
        <v>30 min o más</v>
      </c>
      <c r="P256" s="54" t="s">
        <v>229</v>
      </c>
      <c r="Q256" s="54" t="s">
        <v>214</v>
      </c>
      <c r="R256" s="54" t="s">
        <v>127</v>
      </c>
      <c r="S256" s="54" t="s">
        <v>220</v>
      </c>
      <c r="T256" s="58" t="n">
        <v>105.2</v>
      </c>
      <c r="U256" s="54" t="s">
        <v>214</v>
      </c>
      <c r="V256" s="58" t="n">
        <v>47.07</v>
      </c>
      <c r="W256" s="57" t="s">
        <v>249</v>
      </c>
      <c r="X256" s="55" t="n">
        <v>2</v>
      </c>
      <c r="Y256" s="54" t="s">
        <v>214</v>
      </c>
      <c r="Z256" s="56" t="n">
        <v>46303.7252877546</v>
      </c>
      <c r="AA256" s="58" t="n">
        <f aca="false">IF(AND(ISNUMBER(M256),ISNUMBER(Z256)),IF(Z256&gt;=M256,(Z256-M256)*1440,""),"")</f>
        <v>57.2749999829</v>
      </c>
      <c r="AB256" s="57" t="s">
        <v>496</v>
      </c>
      <c r="AC256" s="56" t="n">
        <v>46303.7258342708</v>
      </c>
      <c r="AD256" s="58" t="n">
        <f aca="false">IF(AND(ISNUMBER(Z256),ISNUMBER(AC256)),IF(AC256&gt;=Z256,(AC256-Z256)*1440,""),"")</f>
        <v>0.78698333235</v>
      </c>
      <c r="AE256" s="54" t="s">
        <v>293</v>
      </c>
      <c r="AF256" s="54" t="s">
        <v>214</v>
      </c>
      <c r="AG256" s="54" t="s">
        <v>214</v>
      </c>
      <c r="AH256" s="58" t="n">
        <v>2.1</v>
      </c>
      <c r="AI256" s="55" t="n">
        <v>2</v>
      </c>
      <c r="AJ256" s="54" t="s">
        <v>216</v>
      </c>
      <c r="AK256" s="54" t="s">
        <v>212</v>
      </c>
    </row>
    <row r="257" customFormat="false" ht="15" hidden="false" customHeight="false" outlineLevel="0" collapsed="false">
      <c r="A257" s="54" t="s">
        <v>27</v>
      </c>
      <c r="B257" s="55" t="n">
        <v>882</v>
      </c>
      <c r="C257" s="54" t="s">
        <v>127</v>
      </c>
      <c r="D257" s="54" t="s">
        <v>214</v>
      </c>
      <c r="E257" s="54" t="s">
        <v>242</v>
      </c>
      <c r="F257" s="56" t="n">
        <v>46303.6365352546</v>
      </c>
      <c r="G257" s="54" t="s">
        <v>212</v>
      </c>
      <c r="H257" s="54" t="s">
        <v>214</v>
      </c>
      <c r="I257" s="57" t="s">
        <v>497</v>
      </c>
      <c r="J257" s="56" t="n">
        <v>46303.6397065394</v>
      </c>
      <c r="K257" s="56" t="n">
        <v>46303.6402582639</v>
      </c>
      <c r="L257" s="58" t="n">
        <f aca="false">IF(AND(ISNUMBER(J257),ISNUMBER(K257)),IF(K257&gt;=J257,(K257-J257)*1440,""),"")</f>
        <v>0.794483344066667</v>
      </c>
      <c r="M257" s="56" t="n">
        <v>46303.6447769676</v>
      </c>
      <c r="N257" s="58" t="n">
        <f aca="false">IF(AND(ISNUMBER(J257),ISNUMBER(M257)),IF(M257&gt;=J257,(M257-J257)*1440,""),"")</f>
        <v>7.301416666</v>
      </c>
      <c r="O257" s="54" t="str">
        <f aca="false">IF(N257="","",LOOKUP(N257,Tiempos!$A$6:$A$10,Tiempos!$B$6:$B$10))</f>
        <v>6 a 10 min</v>
      </c>
      <c r="P257" s="54" t="s">
        <v>229</v>
      </c>
      <c r="Q257" s="54" t="s">
        <v>214</v>
      </c>
      <c r="R257" s="54" t="s">
        <v>127</v>
      </c>
      <c r="S257" s="54" t="s">
        <v>220</v>
      </c>
      <c r="T257" s="58" t="n">
        <v>107.6</v>
      </c>
      <c r="U257" s="54" t="s">
        <v>214</v>
      </c>
      <c r="V257" s="58" t="n">
        <v>6.51</v>
      </c>
      <c r="W257" s="57" t="s">
        <v>337</v>
      </c>
      <c r="X257" s="55" t="n">
        <v>2</v>
      </c>
      <c r="Y257" s="54" t="s">
        <v>214</v>
      </c>
      <c r="Z257" s="56" t="n">
        <v>46303.6569182407</v>
      </c>
      <c r="AA257" s="58" t="n">
        <f aca="false">IF(AND(ISNUMBER(M257),ISNUMBER(Z257)),IF(Z257&gt;=M257,(Z257-M257)*1440,""),"")</f>
        <v>17.4834333406667</v>
      </c>
      <c r="AB257" s="57" t="s">
        <v>498</v>
      </c>
      <c r="AC257" s="56" t="n">
        <v>46303.6576990741</v>
      </c>
      <c r="AD257" s="58" t="n">
        <f aca="false">IF(AND(ISNUMBER(Z257),ISNUMBER(AC257)),IF(AC257&gt;=Z257,(AC257-Z257)*1440,""),"")</f>
        <v>1.12439999821667</v>
      </c>
      <c r="AE257" s="54" t="s">
        <v>346</v>
      </c>
      <c r="AF257" s="54" t="s">
        <v>214</v>
      </c>
      <c r="AG257" s="54" t="s">
        <v>214</v>
      </c>
      <c r="AH257" s="58" t="n">
        <v>4</v>
      </c>
      <c r="AI257" s="55" t="n">
        <v>2</v>
      </c>
      <c r="AJ257" s="54" t="s">
        <v>216</v>
      </c>
      <c r="AK257" s="54" t="s">
        <v>212</v>
      </c>
    </row>
    <row r="258" customFormat="false" ht="15" hidden="false" customHeight="false" outlineLevel="0" collapsed="false">
      <c r="A258" s="54" t="s">
        <v>27</v>
      </c>
      <c r="B258" s="55" t="n">
        <v>887</v>
      </c>
      <c r="C258" s="54" t="s">
        <v>127</v>
      </c>
      <c r="D258" s="54" t="s">
        <v>212</v>
      </c>
      <c r="E258" s="54"/>
      <c r="F258" s="56" t="n">
        <v>46303.6754941667</v>
      </c>
      <c r="G258" s="54" t="s">
        <v>212</v>
      </c>
      <c r="H258" s="54" t="s">
        <v>214</v>
      </c>
      <c r="I258" s="57"/>
      <c r="J258" s="56"/>
      <c r="K258" s="56"/>
      <c r="L258" s="58" t="str">
        <f aca="false">IF(AND(ISNUMBER(J258),ISNUMBER(K258)),IF(K258&gt;=J258,(K258-J258)*1440,""),"")</f>
        <v/>
      </c>
      <c r="M258" s="56"/>
      <c r="N258" s="58" t="str">
        <f aca="false">IF(AND(ISNUMBER(J258),ISNUMBER(M258)),IF(M258&gt;=J258,(M258-J258)*1440,""),"")</f>
        <v/>
      </c>
      <c r="O258" s="54" t="str">
        <f aca="false">IF(N258="","",LOOKUP(N258,Tiempos!$A$6:$A$10,Tiempos!$B$6:$B$10))</f>
        <v/>
      </c>
      <c r="P258" s="54"/>
      <c r="Q258" s="54"/>
      <c r="R258" s="54"/>
      <c r="S258" s="54"/>
      <c r="T258" s="58"/>
      <c r="U258" s="54"/>
      <c r="V258" s="58"/>
      <c r="W258" s="57"/>
      <c r="X258" s="55"/>
      <c r="Y258" s="54"/>
      <c r="Z258" s="56"/>
      <c r="AA258" s="58" t="str">
        <f aca="false">IF(AND(ISNUMBER(M258),ISNUMBER(Z258)),IF(Z258&gt;=M258,(Z258-M258)*1440,""),"")</f>
        <v/>
      </c>
      <c r="AB258" s="57"/>
      <c r="AC258" s="56"/>
      <c r="AD258" s="58" t="str">
        <f aca="false">IF(AND(ISNUMBER(Z258),ISNUMBER(AC258)),IF(AC258&gt;=Z258,(AC258-Z258)*1440,""),"")</f>
        <v/>
      </c>
      <c r="AE258" s="54"/>
      <c r="AF258" s="54"/>
      <c r="AG258" s="54"/>
      <c r="AH258" s="58"/>
      <c r="AI258" s="55" t="n">
        <v>1</v>
      </c>
      <c r="AJ258" s="54" t="s">
        <v>216</v>
      </c>
      <c r="AK258" s="54" t="s">
        <v>212</v>
      </c>
    </row>
    <row r="259" customFormat="false" ht="15" hidden="false" customHeight="false" outlineLevel="0" collapsed="false">
      <c r="A259" s="54" t="s">
        <v>27</v>
      </c>
      <c r="B259" s="55" t="n">
        <v>891</v>
      </c>
      <c r="C259" s="54" t="s">
        <v>128</v>
      </c>
      <c r="D259" s="54" t="s">
        <v>214</v>
      </c>
      <c r="E259" s="54" t="s">
        <v>217</v>
      </c>
      <c r="F259" s="56" t="n">
        <v>46303.6917413542</v>
      </c>
      <c r="G259" s="54" t="s">
        <v>212</v>
      </c>
      <c r="H259" s="54" t="s">
        <v>212</v>
      </c>
      <c r="I259" s="57" t="s">
        <v>499</v>
      </c>
      <c r="J259" s="56" t="n">
        <v>46303.6925694444</v>
      </c>
      <c r="K259" s="56" t="n">
        <v>46303.693108287</v>
      </c>
      <c r="L259" s="58" t="n">
        <f aca="false">IF(AND(ISNUMBER(J259),ISNUMBER(K259)),IF(K259&gt;=J259,(K259-J259)*1440,""),"")</f>
        <v>0.775933343683333</v>
      </c>
      <c r="M259" s="56" t="n">
        <v>46303.693108287</v>
      </c>
      <c r="N259" s="58" t="n">
        <f aca="false">IF(AND(ISNUMBER(J259),ISNUMBER(M259)),IF(M259&gt;=J259,(M259-J259)*1440,""),"")</f>
        <v>0.775933343683333</v>
      </c>
      <c r="O259" s="54" t="str">
        <f aca="false">IF(N259="","",LOOKUP(N259,Tiempos!$A$6:$A$10,Tiempos!$B$6:$B$10))</f>
        <v>Menos de 4 min</v>
      </c>
      <c r="P259" s="54" t="s">
        <v>226</v>
      </c>
      <c r="Q259" s="54" t="s">
        <v>212</v>
      </c>
      <c r="R259" s="54" t="s">
        <v>128</v>
      </c>
      <c r="S259" s="54" t="s">
        <v>220</v>
      </c>
      <c r="T259" s="58"/>
      <c r="U259" s="54"/>
      <c r="V259" s="58"/>
      <c r="W259" s="57"/>
      <c r="X259" s="55" t="n">
        <v>0</v>
      </c>
      <c r="Y259" s="54" t="s">
        <v>212</v>
      </c>
      <c r="Z259" s="56"/>
      <c r="AA259" s="58" t="str">
        <f aca="false">IF(AND(ISNUMBER(M259),ISNUMBER(Z259)),IF(Z259&gt;=M259,(Z259-M259)*1440,""),"")</f>
        <v/>
      </c>
      <c r="AB259" s="57"/>
      <c r="AC259" s="56"/>
      <c r="AD259" s="58" t="str">
        <f aca="false">IF(AND(ISNUMBER(Z259),ISNUMBER(AC259)),IF(AC259&gt;=Z259,(AC259-Z259)*1440,""),"")</f>
        <v/>
      </c>
      <c r="AE259" s="54"/>
      <c r="AF259" s="54" t="s">
        <v>214</v>
      </c>
      <c r="AG259" s="54"/>
      <c r="AH259" s="58"/>
      <c r="AI259" s="55" t="n">
        <v>3</v>
      </c>
      <c r="AJ259" s="54" t="s">
        <v>216</v>
      </c>
      <c r="AK259" s="54" t="s">
        <v>212</v>
      </c>
    </row>
    <row r="260" customFormat="false" ht="15" hidden="false" customHeight="false" outlineLevel="0" collapsed="false">
      <c r="A260" s="54" t="s">
        <v>27</v>
      </c>
      <c r="B260" s="55" t="n">
        <v>892</v>
      </c>
      <c r="C260" s="54" t="s">
        <v>127</v>
      </c>
      <c r="D260" s="54" t="s">
        <v>211</v>
      </c>
      <c r="E260" s="54"/>
      <c r="F260" s="56" t="n">
        <v>46303.6958406713</v>
      </c>
      <c r="G260" s="54" t="s">
        <v>212</v>
      </c>
      <c r="H260" s="54" t="s">
        <v>214</v>
      </c>
      <c r="I260" s="57" t="s">
        <v>500</v>
      </c>
      <c r="J260" s="56" t="n">
        <v>46303.803370544</v>
      </c>
      <c r="K260" s="56" t="n">
        <v>46303.8038889699</v>
      </c>
      <c r="L260" s="58" t="n">
        <f aca="false">IF(AND(ISNUMBER(J260),ISNUMBER(K260)),IF(K260&gt;=J260,(K260-J260)*1440,""),"")</f>
        <v>0.74653333635</v>
      </c>
      <c r="M260" s="56" t="n">
        <v>46303.8038889699</v>
      </c>
      <c r="N260" s="58" t="n">
        <f aca="false">IF(AND(ISNUMBER(J260),ISNUMBER(M260)),IF(M260&gt;=J260,(M260-J260)*1440,""),"")</f>
        <v>0.74653333635</v>
      </c>
      <c r="O260" s="54" t="str">
        <f aca="false">IF(N260="","",LOOKUP(N260,Tiempos!$A$6:$A$10,Tiempos!$B$6:$B$10))</f>
        <v>Menos de 4 min</v>
      </c>
      <c r="P260" s="54" t="s">
        <v>226</v>
      </c>
      <c r="Q260" s="54" t="s">
        <v>212</v>
      </c>
      <c r="R260" s="54" t="s">
        <v>127</v>
      </c>
      <c r="S260" s="54" t="s">
        <v>220</v>
      </c>
      <c r="T260" s="58"/>
      <c r="U260" s="54"/>
      <c r="V260" s="58"/>
      <c r="W260" s="57"/>
      <c r="X260" s="55" t="n">
        <v>0</v>
      </c>
      <c r="Y260" s="54" t="s">
        <v>212</v>
      </c>
      <c r="Z260" s="56"/>
      <c r="AA260" s="58" t="str">
        <f aca="false">IF(AND(ISNUMBER(M260),ISNUMBER(Z260)),IF(Z260&gt;=M260,(Z260-M260)*1440,""),"")</f>
        <v/>
      </c>
      <c r="AB260" s="57"/>
      <c r="AC260" s="56"/>
      <c r="AD260" s="58" t="str">
        <f aca="false">IF(AND(ISNUMBER(Z260),ISNUMBER(AC260)),IF(AC260&gt;=Z260,(AC260-Z260)*1440,""),"")</f>
        <v/>
      </c>
      <c r="AE260" s="54"/>
      <c r="AF260" s="54" t="s">
        <v>212</v>
      </c>
      <c r="AG260" s="54"/>
      <c r="AH260" s="58"/>
      <c r="AI260" s="55" t="n">
        <v>1</v>
      </c>
      <c r="AJ260" s="54" t="s">
        <v>216</v>
      </c>
      <c r="AK260" s="54" t="s">
        <v>212</v>
      </c>
    </row>
    <row r="261" customFormat="false" ht="15" hidden="false" customHeight="false" outlineLevel="0" collapsed="false">
      <c r="A261" s="54" t="s">
        <v>27</v>
      </c>
      <c r="B261" s="55" t="n">
        <v>896</v>
      </c>
      <c r="C261" s="54" t="s">
        <v>128</v>
      </c>
      <c r="D261" s="54" t="s">
        <v>212</v>
      </c>
      <c r="E261" s="54"/>
      <c r="F261" s="56" t="n">
        <v>46303.699193669</v>
      </c>
      <c r="G261" s="54" t="s">
        <v>212</v>
      </c>
      <c r="H261" s="54" t="s">
        <v>214</v>
      </c>
      <c r="I261" s="57"/>
      <c r="J261" s="56"/>
      <c r="K261" s="56"/>
      <c r="L261" s="58" t="str">
        <f aca="false">IF(AND(ISNUMBER(J261),ISNUMBER(K261)),IF(K261&gt;=J261,(K261-J261)*1440,""),"")</f>
        <v/>
      </c>
      <c r="M261" s="56"/>
      <c r="N261" s="58" t="str">
        <f aca="false">IF(AND(ISNUMBER(J261),ISNUMBER(M261)),IF(M261&gt;=J261,(M261-J261)*1440,""),"")</f>
        <v/>
      </c>
      <c r="O261" s="54" t="str">
        <f aca="false">IF(N261="","",LOOKUP(N261,Tiempos!$A$6:$A$10,Tiempos!$B$6:$B$10))</f>
        <v/>
      </c>
      <c r="P261" s="54"/>
      <c r="Q261" s="54"/>
      <c r="R261" s="54"/>
      <c r="S261" s="54"/>
      <c r="T261" s="58"/>
      <c r="U261" s="54"/>
      <c r="V261" s="58"/>
      <c r="W261" s="57"/>
      <c r="X261" s="55"/>
      <c r="Y261" s="54"/>
      <c r="Z261" s="56"/>
      <c r="AA261" s="58" t="str">
        <f aca="false">IF(AND(ISNUMBER(M261),ISNUMBER(Z261)),IF(Z261&gt;=M261,(Z261-M261)*1440,""),"")</f>
        <v/>
      </c>
      <c r="AB261" s="57"/>
      <c r="AC261" s="56"/>
      <c r="AD261" s="58" t="str">
        <f aca="false">IF(AND(ISNUMBER(Z261),ISNUMBER(AC261)),IF(AC261&gt;=Z261,(AC261-Z261)*1440,""),"")</f>
        <v/>
      </c>
      <c r="AE261" s="54"/>
      <c r="AF261" s="54"/>
      <c r="AG261" s="54"/>
      <c r="AH261" s="58"/>
      <c r="AI261" s="55" t="n">
        <v>2</v>
      </c>
      <c r="AJ261" s="54" t="s">
        <v>216</v>
      </c>
      <c r="AK261" s="54" t="s">
        <v>212</v>
      </c>
    </row>
    <row r="262" customFormat="false" ht="15" hidden="false" customHeight="false" outlineLevel="0" collapsed="false">
      <c r="A262" s="54" t="s">
        <v>27</v>
      </c>
      <c r="B262" s="55" t="n">
        <v>901</v>
      </c>
      <c r="C262" s="54" t="s">
        <v>128</v>
      </c>
      <c r="D262" s="54" t="s">
        <v>212</v>
      </c>
      <c r="E262" s="54"/>
      <c r="F262" s="56" t="n">
        <v>46303.7081584144</v>
      </c>
      <c r="G262" s="54" t="s">
        <v>212</v>
      </c>
      <c r="H262" s="54" t="s">
        <v>214</v>
      </c>
      <c r="I262" s="57"/>
      <c r="J262" s="56"/>
      <c r="K262" s="56"/>
      <c r="L262" s="58" t="str">
        <f aca="false">IF(AND(ISNUMBER(J262),ISNUMBER(K262)),IF(K262&gt;=J262,(K262-J262)*1440,""),"")</f>
        <v/>
      </c>
      <c r="M262" s="56"/>
      <c r="N262" s="58" t="str">
        <f aca="false">IF(AND(ISNUMBER(J262),ISNUMBER(M262)),IF(M262&gt;=J262,(M262-J262)*1440,""),"")</f>
        <v/>
      </c>
      <c r="O262" s="54" t="str">
        <f aca="false">IF(N262="","",LOOKUP(N262,Tiempos!$A$6:$A$10,Tiempos!$B$6:$B$10))</f>
        <v/>
      </c>
      <c r="P262" s="54"/>
      <c r="Q262" s="54"/>
      <c r="R262" s="54"/>
      <c r="S262" s="54"/>
      <c r="T262" s="58"/>
      <c r="U262" s="54"/>
      <c r="V262" s="58"/>
      <c r="W262" s="57"/>
      <c r="X262" s="55"/>
      <c r="Y262" s="54"/>
      <c r="Z262" s="56"/>
      <c r="AA262" s="58" t="str">
        <f aca="false">IF(AND(ISNUMBER(M262),ISNUMBER(Z262)),IF(Z262&gt;=M262,(Z262-M262)*1440,""),"")</f>
        <v/>
      </c>
      <c r="AB262" s="57"/>
      <c r="AC262" s="56"/>
      <c r="AD262" s="58" t="str">
        <f aca="false">IF(AND(ISNUMBER(Z262),ISNUMBER(AC262)),IF(AC262&gt;=Z262,(AC262-Z262)*1440,""),"")</f>
        <v/>
      </c>
      <c r="AE262" s="54"/>
      <c r="AF262" s="54"/>
      <c r="AG262" s="54"/>
      <c r="AH262" s="58"/>
      <c r="AI262" s="55" t="n">
        <v>2</v>
      </c>
      <c r="AJ262" s="54" t="s">
        <v>216</v>
      </c>
      <c r="AK262" s="54" t="s">
        <v>212</v>
      </c>
    </row>
    <row r="263" customFormat="false" ht="15" hidden="false" customHeight="false" outlineLevel="0" collapsed="false">
      <c r="A263" s="54" t="s">
        <v>27</v>
      </c>
      <c r="B263" s="55" t="n">
        <v>894</v>
      </c>
      <c r="C263" s="54" t="s">
        <v>127</v>
      </c>
      <c r="D263" s="54" t="s">
        <v>212</v>
      </c>
      <c r="E263" s="54"/>
      <c r="F263" s="56" t="n">
        <v>46303.7139733449</v>
      </c>
      <c r="G263" s="54" t="s">
        <v>212</v>
      </c>
      <c r="H263" s="54" t="s">
        <v>214</v>
      </c>
      <c r="I263" s="57"/>
      <c r="J263" s="56"/>
      <c r="K263" s="56"/>
      <c r="L263" s="58" t="str">
        <f aca="false">IF(AND(ISNUMBER(J263),ISNUMBER(K263)),IF(K263&gt;=J263,(K263-J263)*1440,""),"")</f>
        <v/>
      </c>
      <c r="M263" s="56"/>
      <c r="N263" s="58" t="str">
        <f aca="false">IF(AND(ISNUMBER(J263),ISNUMBER(M263)),IF(M263&gt;=J263,(M263-J263)*1440,""),"")</f>
        <v/>
      </c>
      <c r="O263" s="54" t="str">
        <f aca="false">IF(N263="","",LOOKUP(N263,Tiempos!$A$6:$A$10,Tiempos!$B$6:$B$10))</f>
        <v/>
      </c>
      <c r="P263" s="54"/>
      <c r="Q263" s="54"/>
      <c r="R263" s="54"/>
      <c r="S263" s="54"/>
      <c r="T263" s="58"/>
      <c r="U263" s="54"/>
      <c r="V263" s="58"/>
      <c r="W263" s="57"/>
      <c r="X263" s="55"/>
      <c r="Y263" s="54"/>
      <c r="Z263" s="56"/>
      <c r="AA263" s="58" t="str">
        <f aca="false">IF(AND(ISNUMBER(M263),ISNUMBER(Z263)),IF(Z263&gt;=M263,(Z263-M263)*1440,""),"")</f>
        <v/>
      </c>
      <c r="AB263" s="57"/>
      <c r="AC263" s="56"/>
      <c r="AD263" s="58" t="str">
        <f aca="false">IF(AND(ISNUMBER(Z263),ISNUMBER(AC263)),IF(AC263&gt;=Z263,(AC263-Z263)*1440,""),"")</f>
        <v/>
      </c>
      <c r="AE263" s="54"/>
      <c r="AF263" s="54"/>
      <c r="AG263" s="54"/>
      <c r="AH263" s="58"/>
      <c r="AI263" s="55" t="n">
        <v>1</v>
      </c>
      <c r="AJ263" s="54" t="s">
        <v>216</v>
      </c>
      <c r="AK263" s="54" t="s">
        <v>212</v>
      </c>
    </row>
    <row r="264" customFormat="false" ht="15" hidden="false" customHeight="false" outlineLevel="0" collapsed="false">
      <c r="A264" s="54" t="s">
        <v>27</v>
      </c>
      <c r="B264" s="55" t="n">
        <v>899</v>
      </c>
      <c r="C264" s="54" t="s">
        <v>127</v>
      </c>
      <c r="D264" s="54" t="s">
        <v>212</v>
      </c>
      <c r="E264" s="54"/>
      <c r="F264" s="56" t="n">
        <v>46303.7260493403</v>
      </c>
      <c r="G264" s="54" t="s">
        <v>212</v>
      </c>
      <c r="H264" s="54" t="s">
        <v>214</v>
      </c>
      <c r="I264" s="57"/>
      <c r="J264" s="56"/>
      <c r="K264" s="56"/>
      <c r="L264" s="58" t="str">
        <f aca="false">IF(AND(ISNUMBER(J264),ISNUMBER(K264)),IF(K264&gt;=J264,(K264-J264)*1440,""),"")</f>
        <v/>
      </c>
      <c r="M264" s="56"/>
      <c r="N264" s="58" t="str">
        <f aca="false">IF(AND(ISNUMBER(J264),ISNUMBER(M264)),IF(M264&gt;=J264,(M264-J264)*1440,""),"")</f>
        <v/>
      </c>
      <c r="O264" s="54" t="str">
        <f aca="false">IF(N264="","",LOOKUP(N264,Tiempos!$A$6:$A$10,Tiempos!$B$6:$B$10))</f>
        <v/>
      </c>
      <c r="P264" s="54"/>
      <c r="Q264" s="54"/>
      <c r="R264" s="54"/>
      <c r="S264" s="54"/>
      <c r="T264" s="58"/>
      <c r="U264" s="54"/>
      <c r="V264" s="58"/>
      <c r="W264" s="57"/>
      <c r="X264" s="55"/>
      <c r="Y264" s="54"/>
      <c r="Z264" s="56"/>
      <c r="AA264" s="58" t="str">
        <f aca="false">IF(AND(ISNUMBER(M264),ISNUMBER(Z264)),IF(Z264&gt;=M264,(Z264-M264)*1440,""),"")</f>
        <v/>
      </c>
      <c r="AB264" s="57"/>
      <c r="AC264" s="56"/>
      <c r="AD264" s="58" t="str">
        <f aca="false">IF(AND(ISNUMBER(Z264),ISNUMBER(AC264)),IF(AC264&gt;=Z264,(AC264-Z264)*1440,""),"")</f>
        <v/>
      </c>
      <c r="AE264" s="54"/>
      <c r="AF264" s="54"/>
      <c r="AG264" s="54"/>
      <c r="AH264" s="58"/>
      <c r="AI264" s="55" t="n">
        <v>1</v>
      </c>
      <c r="AJ264" s="54" t="s">
        <v>216</v>
      </c>
      <c r="AK264" s="54" t="s">
        <v>212</v>
      </c>
    </row>
    <row r="265" customFormat="false" ht="15" hidden="false" customHeight="false" outlineLevel="0" collapsed="false">
      <c r="A265" s="54" t="s">
        <v>27</v>
      </c>
      <c r="B265" s="55" t="n">
        <v>906</v>
      </c>
      <c r="C265" s="54" t="s">
        <v>128</v>
      </c>
      <c r="D265" s="54" t="s">
        <v>214</v>
      </c>
      <c r="E265" s="54" t="s">
        <v>233</v>
      </c>
      <c r="F265" s="56" t="n">
        <v>46303.7410490394</v>
      </c>
      <c r="G265" s="54" t="s">
        <v>212</v>
      </c>
      <c r="H265" s="54" t="s">
        <v>214</v>
      </c>
      <c r="I265" s="57" t="s">
        <v>501</v>
      </c>
      <c r="J265" s="56" t="n">
        <v>46303.7419460764</v>
      </c>
      <c r="K265" s="56" t="n">
        <v>46303.7422547222</v>
      </c>
      <c r="L265" s="58" t="n">
        <f aca="false">IF(AND(ISNUMBER(J265),ISNUMBER(K265)),IF(K265&gt;=J265,(K265-J265)*1440,""),"")</f>
        <v>0.444449996566667</v>
      </c>
      <c r="M265" s="56" t="n">
        <v>46303.7447490162</v>
      </c>
      <c r="N265" s="58" t="n">
        <f aca="false">IF(AND(ISNUMBER(J265),ISNUMBER(M265)),IF(M265&gt;=J265,(M265-J265)*1440,""),"")</f>
        <v>4.03623332501667</v>
      </c>
      <c r="O265" s="54" t="str">
        <f aca="false">IF(N265="","",LOOKUP(N265,Tiempos!$A$6:$A$10,Tiempos!$B$6:$B$10))</f>
        <v>4 a 6 min</v>
      </c>
      <c r="P265" s="54" t="s">
        <v>244</v>
      </c>
      <c r="Q265" s="54" t="s">
        <v>214</v>
      </c>
      <c r="R265" s="54" t="s">
        <v>128</v>
      </c>
      <c r="S265" s="54" t="s">
        <v>220</v>
      </c>
      <c r="T265" s="58" t="n">
        <v>92.9</v>
      </c>
      <c r="U265" s="54" t="s">
        <v>214</v>
      </c>
      <c r="V265" s="58" t="n">
        <v>3.59</v>
      </c>
      <c r="W265" s="57" t="s">
        <v>502</v>
      </c>
      <c r="X265" s="55" t="n">
        <v>3</v>
      </c>
      <c r="Y265" s="54" t="s">
        <v>212</v>
      </c>
      <c r="Z265" s="56"/>
      <c r="AA265" s="58" t="str">
        <f aca="false">IF(AND(ISNUMBER(M265),ISNUMBER(Z265)),IF(Z265&gt;=M265,(Z265-M265)*1440,""),"")</f>
        <v/>
      </c>
      <c r="AB265" s="57"/>
      <c r="AC265" s="56"/>
      <c r="AD265" s="58" t="str">
        <f aca="false">IF(AND(ISNUMBER(Z265),ISNUMBER(AC265)),IF(AC265&gt;=Z265,(AC265-Z265)*1440,""),"")</f>
        <v/>
      </c>
      <c r="AE265" s="54"/>
      <c r="AF265" s="54" t="s">
        <v>214</v>
      </c>
      <c r="AG265" s="54"/>
      <c r="AH265" s="58"/>
      <c r="AI265" s="55" t="n">
        <v>2</v>
      </c>
      <c r="AJ265" s="54" t="s">
        <v>216</v>
      </c>
      <c r="AK265" s="54" t="s">
        <v>212</v>
      </c>
    </row>
    <row r="266" customFormat="false" ht="15" hidden="false" customHeight="false" outlineLevel="0" collapsed="false">
      <c r="A266" s="54" t="s">
        <v>27</v>
      </c>
      <c r="B266" s="55" t="n">
        <v>905</v>
      </c>
      <c r="C266" s="54" t="s">
        <v>127</v>
      </c>
      <c r="D266" s="54" t="s">
        <v>212</v>
      </c>
      <c r="E266" s="54"/>
      <c r="F266" s="56" t="n">
        <v>46303.7533039468</v>
      </c>
      <c r="G266" s="54" t="s">
        <v>212</v>
      </c>
      <c r="H266" s="54" t="s">
        <v>214</v>
      </c>
      <c r="I266" s="57"/>
      <c r="J266" s="56"/>
      <c r="K266" s="56"/>
      <c r="L266" s="58" t="str">
        <f aca="false">IF(AND(ISNUMBER(J266),ISNUMBER(K266)),IF(K266&gt;=J266,(K266-J266)*1440,""),"")</f>
        <v/>
      </c>
      <c r="M266" s="56"/>
      <c r="N266" s="58" t="str">
        <f aca="false">IF(AND(ISNUMBER(J266),ISNUMBER(M266)),IF(M266&gt;=J266,(M266-J266)*1440,""),"")</f>
        <v/>
      </c>
      <c r="O266" s="54" t="str">
        <f aca="false">IF(N266="","",LOOKUP(N266,Tiempos!$A$6:$A$10,Tiempos!$B$6:$B$10))</f>
        <v/>
      </c>
      <c r="P266" s="54"/>
      <c r="Q266" s="54"/>
      <c r="R266" s="54"/>
      <c r="S266" s="54"/>
      <c r="T266" s="58"/>
      <c r="U266" s="54"/>
      <c r="V266" s="58"/>
      <c r="W266" s="57"/>
      <c r="X266" s="55"/>
      <c r="Y266" s="54"/>
      <c r="Z266" s="56"/>
      <c r="AA266" s="58" t="str">
        <f aca="false">IF(AND(ISNUMBER(M266),ISNUMBER(Z266)),IF(Z266&gt;=M266,(Z266-M266)*1440,""),"")</f>
        <v/>
      </c>
      <c r="AB266" s="57"/>
      <c r="AC266" s="56"/>
      <c r="AD266" s="58" t="str">
        <f aca="false">IF(AND(ISNUMBER(Z266),ISNUMBER(AC266)),IF(AC266&gt;=Z266,(AC266-Z266)*1440,""),"")</f>
        <v/>
      </c>
      <c r="AE266" s="54"/>
      <c r="AF266" s="54"/>
      <c r="AG266" s="54"/>
      <c r="AH266" s="58"/>
      <c r="AI266" s="55" t="n">
        <v>1</v>
      </c>
      <c r="AJ266" s="54" t="s">
        <v>216</v>
      </c>
      <c r="AK266" s="54" t="s">
        <v>212</v>
      </c>
    </row>
    <row r="267" customFormat="false" ht="15" hidden="false" customHeight="false" outlineLevel="0" collapsed="false">
      <c r="A267" s="54" t="s">
        <v>27</v>
      </c>
      <c r="B267" s="55" t="n">
        <v>910</v>
      </c>
      <c r="C267" s="54" t="s">
        <v>128</v>
      </c>
      <c r="D267" s="54" t="s">
        <v>214</v>
      </c>
      <c r="E267" s="54" t="s">
        <v>217</v>
      </c>
      <c r="F267" s="56" t="n">
        <v>46303.7557971759</v>
      </c>
      <c r="G267" s="54" t="s">
        <v>212</v>
      </c>
      <c r="H267" s="54" t="s">
        <v>214</v>
      </c>
      <c r="I267" s="57" t="s">
        <v>503</v>
      </c>
      <c r="J267" s="56" t="n">
        <v>46303.7566490162</v>
      </c>
      <c r="K267" s="56" t="n">
        <v>46303.7587924884</v>
      </c>
      <c r="L267" s="58" t="n">
        <f aca="false">IF(AND(ISNUMBER(J267),ISNUMBER(K267)),IF(K267&gt;=J267,(K267-J267)*1440,""),"")</f>
        <v>3.08659998931667</v>
      </c>
      <c r="M267" s="56" t="n">
        <v>46303.7604909722</v>
      </c>
      <c r="N267" s="58" t="n">
        <f aca="false">IF(AND(ISNUMBER(J267),ISNUMBER(M267)),IF(M267&gt;=J267,(M267-J267)*1440,""),"")</f>
        <v>5.53241665125</v>
      </c>
      <c r="O267" s="54" t="str">
        <f aca="false">IF(N267="","",LOOKUP(N267,Tiempos!$A$6:$A$10,Tiempos!$B$6:$B$10))</f>
        <v>4 a 6 min</v>
      </c>
      <c r="P267" s="54" t="s">
        <v>239</v>
      </c>
      <c r="Q267" s="54" t="s">
        <v>214</v>
      </c>
      <c r="R267" s="54" t="s">
        <v>128</v>
      </c>
      <c r="S267" s="54" t="s">
        <v>220</v>
      </c>
      <c r="T267" s="58" t="n">
        <v>80.2</v>
      </c>
      <c r="U267" s="54" t="s">
        <v>214</v>
      </c>
      <c r="V267" s="58"/>
      <c r="W267" s="57" t="s">
        <v>504</v>
      </c>
      <c r="X267" s="55" t="n">
        <v>4</v>
      </c>
      <c r="Y267" s="54" t="s">
        <v>214</v>
      </c>
      <c r="Z267" s="56" t="n">
        <v>46303.765105162</v>
      </c>
      <c r="AA267" s="58" t="n">
        <f aca="false">IF(AND(ISNUMBER(M267),ISNUMBER(Z267)),IF(Z267&gt;=M267,(Z267-M267)*1440,""),"")</f>
        <v>6.64443332003333</v>
      </c>
      <c r="AB267" s="57" t="s">
        <v>505</v>
      </c>
      <c r="AC267" s="56" t="n">
        <v>46303.7686969445</v>
      </c>
      <c r="AD267" s="58" t="n">
        <f aca="false">IF(AND(ISNUMBER(Z267),ISNUMBER(AC267)),IF(AC267&gt;=Z267,(AC267-Z267)*1440,""),"")</f>
        <v>5.1721666858</v>
      </c>
      <c r="AE267" s="54" t="s">
        <v>237</v>
      </c>
      <c r="AF267" s="54" t="s">
        <v>212</v>
      </c>
      <c r="AG267" s="54" t="s">
        <v>212</v>
      </c>
      <c r="AH267" s="58"/>
      <c r="AI267" s="55" t="n">
        <v>3</v>
      </c>
      <c r="AJ267" s="54" t="s">
        <v>216</v>
      </c>
      <c r="AK267" s="54" t="s">
        <v>212</v>
      </c>
    </row>
    <row r="268" customFormat="false" ht="15" hidden="false" customHeight="false" outlineLevel="0" collapsed="false">
      <c r="A268" s="54" t="s">
        <v>27</v>
      </c>
      <c r="B268" s="55" t="n">
        <v>915</v>
      </c>
      <c r="C268" s="54" t="s">
        <v>128</v>
      </c>
      <c r="D268" s="54" t="s">
        <v>214</v>
      </c>
      <c r="E268" s="54" t="s">
        <v>233</v>
      </c>
      <c r="F268" s="56" t="n">
        <v>46303.7677580671</v>
      </c>
      <c r="G268" s="54" t="s">
        <v>212</v>
      </c>
      <c r="H268" s="54" t="s">
        <v>212</v>
      </c>
      <c r="I268" s="57" t="s">
        <v>506</v>
      </c>
      <c r="J268" s="56" t="n">
        <v>46303.7684024537</v>
      </c>
      <c r="K268" s="56" t="n">
        <v>46303.772847338</v>
      </c>
      <c r="L268" s="58" t="n">
        <f aca="false">IF(AND(ISNUMBER(J268),ISNUMBER(K268)),IF(K268&gt;=J268,(K268-J268)*1440,""),"")</f>
        <v>6.4006333344</v>
      </c>
      <c r="M268" s="56" t="n">
        <v>46303.772847338</v>
      </c>
      <c r="N268" s="58" t="n">
        <f aca="false">IF(AND(ISNUMBER(J268),ISNUMBER(M268)),IF(M268&gt;=J268,(M268-J268)*1440,""),"")</f>
        <v>6.4006333344</v>
      </c>
      <c r="O268" s="54" t="str">
        <f aca="false">IF(N268="","",LOOKUP(N268,Tiempos!$A$6:$A$10,Tiempos!$B$6:$B$10))</f>
        <v>6 a 10 min</v>
      </c>
      <c r="P268" s="54" t="s">
        <v>272</v>
      </c>
      <c r="Q268" s="54" t="s">
        <v>214</v>
      </c>
      <c r="R268" s="54" t="s">
        <v>128</v>
      </c>
      <c r="S268" s="54" t="s">
        <v>220</v>
      </c>
      <c r="T268" s="58" t="n">
        <v>96.7</v>
      </c>
      <c r="U268" s="54" t="s">
        <v>212</v>
      </c>
      <c r="V268" s="58"/>
      <c r="W268" s="57" t="s">
        <v>507</v>
      </c>
      <c r="X268" s="55" t="n">
        <v>3</v>
      </c>
      <c r="Y268" s="54" t="s">
        <v>214</v>
      </c>
      <c r="Z268" s="56" t="n">
        <v>46303.7747277662</v>
      </c>
      <c r="AA268" s="58" t="n">
        <f aca="false">IF(AND(ISNUMBER(M268),ISNUMBER(Z268)),IF(Z268&gt;=M268,(Z268-M268)*1440,""),"")</f>
        <v>2.70781668251667</v>
      </c>
      <c r="AB268" s="57" t="s">
        <v>508</v>
      </c>
      <c r="AC268" s="56" t="n">
        <v>46303.7784756134</v>
      </c>
      <c r="AD268" s="58" t="n">
        <f aca="false">IF(AND(ISNUMBER(Z268),ISNUMBER(AC268)),IF(AC268&gt;=Z268,(AC268-Z268)*1440,""),"")</f>
        <v>5.39689998956667</v>
      </c>
      <c r="AE268" s="54" t="s">
        <v>277</v>
      </c>
      <c r="AF268" s="54" t="s">
        <v>214</v>
      </c>
      <c r="AG268" s="54" t="s">
        <v>214</v>
      </c>
      <c r="AH268" s="58" t="n">
        <v>3.9</v>
      </c>
      <c r="AI268" s="55" t="n">
        <v>3</v>
      </c>
      <c r="AJ268" s="54" t="s">
        <v>216</v>
      </c>
      <c r="AK268" s="54" t="s">
        <v>212</v>
      </c>
    </row>
    <row r="269" customFormat="false" ht="15" hidden="false" customHeight="false" outlineLevel="0" collapsed="false">
      <c r="A269" s="54" t="s">
        <v>27</v>
      </c>
      <c r="B269" s="55" t="n">
        <v>919</v>
      </c>
      <c r="C269" s="54" t="s">
        <v>127</v>
      </c>
      <c r="D269" s="54" t="s">
        <v>212</v>
      </c>
      <c r="E269" s="54"/>
      <c r="F269" s="56" t="n">
        <v>46303.8021279514</v>
      </c>
      <c r="G269" s="54" t="s">
        <v>212</v>
      </c>
      <c r="H269" s="54" t="s">
        <v>212</v>
      </c>
      <c r="I269" s="57"/>
      <c r="J269" s="56"/>
      <c r="K269" s="56"/>
      <c r="L269" s="58" t="str">
        <f aca="false">IF(AND(ISNUMBER(J269),ISNUMBER(K269)),IF(K269&gt;=J269,(K269-J269)*1440,""),"")</f>
        <v/>
      </c>
      <c r="M269" s="56"/>
      <c r="N269" s="58" t="str">
        <f aca="false">IF(AND(ISNUMBER(J269),ISNUMBER(M269)),IF(M269&gt;=J269,(M269-J269)*1440,""),"")</f>
        <v/>
      </c>
      <c r="O269" s="54" t="str">
        <f aca="false">IF(N269="","",LOOKUP(N269,Tiempos!$A$6:$A$10,Tiempos!$B$6:$B$10))</f>
        <v/>
      </c>
      <c r="P269" s="54"/>
      <c r="Q269" s="54"/>
      <c r="R269" s="54"/>
      <c r="S269" s="54"/>
      <c r="T269" s="58"/>
      <c r="U269" s="54"/>
      <c r="V269" s="58"/>
      <c r="W269" s="57"/>
      <c r="X269" s="55"/>
      <c r="Y269" s="54"/>
      <c r="Z269" s="56"/>
      <c r="AA269" s="58" t="str">
        <f aca="false">IF(AND(ISNUMBER(M269),ISNUMBER(Z269)),IF(Z269&gt;=M269,(Z269-M269)*1440,""),"")</f>
        <v/>
      </c>
      <c r="AB269" s="57"/>
      <c r="AC269" s="56"/>
      <c r="AD269" s="58" t="str">
        <f aca="false">IF(AND(ISNUMBER(Z269),ISNUMBER(AC269)),IF(AC269&gt;=Z269,(AC269-Z269)*1440,""),"")</f>
        <v/>
      </c>
      <c r="AE269" s="54"/>
      <c r="AF269" s="54"/>
      <c r="AG269" s="54"/>
      <c r="AH269" s="58"/>
      <c r="AI269" s="55" t="n">
        <v>1</v>
      </c>
      <c r="AJ269" s="54" t="s">
        <v>216</v>
      </c>
      <c r="AK269" s="54" t="s">
        <v>212</v>
      </c>
    </row>
    <row r="270" customFormat="false" ht="15" hidden="false" customHeight="false" outlineLevel="0" collapsed="false">
      <c r="A270" s="54" t="s">
        <v>27</v>
      </c>
      <c r="B270" s="55" t="n">
        <v>937</v>
      </c>
      <c r="C270" s="54" t="s">
        <v>128</v>
      </c>
      <c r="D270" s="54" t="s">
        <v>211</v>
      </c>
      <c r="E270" s="54"/>
      <c r="F270" s="56" t="n">
        <v>46303.8682509491</v>
      </c>
      <c r="G270" s="54" t="s">
        <v>212</v>
      </c>
      <c r="H270" s="54" t="s">
        <v>212</v>
      </c>
      <c r="I270" s="57" t="s">
        <v>509</v>
      </c>
      <c r="J270" s="56" t="n">
        <v>46303.8687102431</v>
      </c>
      <c r="K270" s="56" t="n">
        <v>46303.8697814352</v>
      </c>
      <c r="L270" s="58" t="n">
        <f aca="false">IF(AND(ISNUMBER(J270),ISNUMBER(K270)),IF(K270&gt;=J270,(K270-J270)*1440,""),"")</f>
        <v>1.54251665341667</v>
      </c>
      <c r="M270" s="56" t="n">
        <v>46303.8697814352</v>
      </c>
      <c r="N270" s="58" t="n">
        <f aca="false">IF(AND(ISNUMBER(J270),ISNUMBER(M270)),IF(M270&gt;=J270,(M270-J270)*1440,""),"")</f>
        <v>1.54251665341667</v>
      </c>
      <c r="O270" s="54" t="str">
        <f aca="false">IF(N270="","",LOOKUP(N270,Tiempos!$A$6:$A$10,Tiempos!$B$6:$B$10))</f>
        <v>Menos de 4 min</v>
      </c>
      <c r="P270" s="54" t="s">
        <v>226</v>
      </c>
      <c r="Q270" s="54" t="s">
        <v>212</v>
      </c>
      <c r="R270" s="54" t="s">
        <v>128</v>
      </c>
      <c r="S270" s="54" t="s">
        <v>220</v>
      </c>
      <c r="T270" s="58"/>
      <c r="U270" s="54"/>
      <c r="V270" s="58"/>
      <c r="W270" s="57"/>
      <c r="X270" s="55" t="n">
        <v>0</v>
      </c>
      <c r="Y270" s="54" t="s">
        <v>214</v>
      </c>
      <c r="Z270" s="56" t="n">
        <v>46303.8702377083</v>
      </c>
      <c r="AA270" s="58" t="n">
        <f aca="false">IF(AND(ISNUMBER(M270),ISNUMBER(Z270)),IF(Z270&gt;=M270,(Z270-M270)*1440,""),"")</f>
        <v>0.65703333355</v>
      </c>
      <c r="AB270" s="57" t="s">
        <v>510</v>
      </c>
      <c r="AC270" s="56" t="n">
        <v>46303.8709779398</v>
      </c>
      <c r="AD270" s="58" t="n">
        <f aca="false">IF(AND(ISNUMBER(Z270),ISNUMBER(AC270)),IF(AC270&gt;=Z270,(AC270-Z270)*1440,""),"")</f>
        <v>1.06593333183333</v>
      </c>
      <c r="AE270" s="54" t="s">
        <v>237</v>
      </c>
      <c r="AF270" s="54" t="s">
        <v>212</v>
      </c>
      <c r="AG270" s="54" t="s">
        <v>212</v>
      </c>
      <c r="AH270" s="58"/>
      <c r="AI270" s="55" t="n">
        <v>2</v>
      </c>
      <c r="AJ270" s="54" t="s">
        <v>216</v>
      </c>
      <c r="AK270" s="54" t="s">
        <v>212</v>
      </c>
    </row>
    <row r="271" customFormat="false" ht="15" hidden="false" customHeight="false" outlineLevel="0" collapsed="false">
      <c r="A271" s="54" t="s">
        <v>27</v>
      </c>
      <c r="B271" s="55" t="n">
        <v>930</v>
      </c>
      <c r="C271" s="54" t="s">
        <v>127</v>
      </c>
      <c r="D271" s="54" t="s">
        <v>212</v>
      </c>
      <c r="E271" s="54"/>
      <c r="F271" s="56" t="n">
        <v>46303.8685162269</v>
      </c>
      <c r="G271" s="54" t="s">
        <v>212</v>
      </c>
      <c r="H271" s="54" t="s">
        <v>214</v>
      </c>
      <c r="I271" s="57"/>
      <c r="J271" s="56"/>
      <c r="K271" s="56"/>
      <c r="L271" s="58" t="str">
        <f aca="false">IF(AND(ISNUMBER(J271),ISNUMBER(K271)),IF(K271&gt;=J271,(K271-J271)*1440,""),"")</f>
        <v/>
      </c>
      <c r="M271" s="56"/>
      <c r="N271" s="58" t="str">
        <f aca="false">IF(AND(ISNUMBER(J271),ISNUMBER(M271)),IF(M271&gt;=J271,(M271-J271)*1440,""),"")</f>
        <v/>
      </c>
      <c r="O271" s="54" t="str">
        <f aca="false">IF(N271="","",LOOKUP(N271,Tiempos!$A$6:$A$10,Tiempos!$B$6:$B$10))</f>
        <v/>
      </c>
      <c r="P271" s="54"/>
      <c r="Q271" s="54"/>
      <c r="R271" s="54"/>
      <c r="S271" s="54"/>
      <c r="T271" s="58"/>
      <c r="U271" s="54"/>
      <c r="V271" s="58"/>
      <c r="W271" s="57"/>
      <c r="X271" s="55"/>
      <c r="Y271" s="54"/>
      <c r="Z271" s="56"/>
      <c r="AA271" s="58" t="str">
        <f aca="false">IF(AND(ISNUMBER(M271),ISNUMBER(Z271)),IF(Z271&gt;=M271,(Z271-M271)*1440,""),"")</f>
        <v/>
      </c>
      <c r="AB271" s="57"/>
      <c r="AC271" s="56"/>
      <c r="AD271" s="58" t="str">
        <f aca="false">IF(AND(ISNUMBER(Z271),ISNUMBER(AC271)),IF(AC271&gt;=Z271,(AC271-Z271)*1440,""),"")</f>
        <v/>
      </c>
      <c r="AE271" s="54"/>
      <c r="AF271" s="54"/>
      <c r="AG271" s="54"/>
      <c r="AH271" s="58"/>
      <c r="AI271" s="55" t="n">
        <v>1</v>
      </c>
      <c r="AJ271" s="54" t="s">
        <v>216</v>
      </c>
      <c r="AK271" s="54" t="s">
        <v>212</v>
      </c>
    </row>
    <row r="272" customFormat="false" ht="15" hidden="false" customHeight="false" outlineLevel="0" collapsed="false">
      <c r="A272" s="54" t="s">
        <v>27</v>
      </c>
      <c r="B272" s="55" t="n">
        <v>932</v>
      </c>
      <c r="C272" s="54" t="s">
        <v>127</v>
      </c>
      <c r="D272" s="54" t="s">
        <v>212</v>
      </c>
      <c r="E272" s="54"/>
      <c r="F272" s="56" t="n">
        <v>46303.8766288773</v>
      </c>
      <c r="G272" s="54" t="s">
        <v>212</v>
      </c>
      <c r="H272" s="54" t="s">
        <v>214</v>
      </c>
      <c r="I272" s="57"/>
      <c r="J272" s="56"/>
      <c r="K272" s="56"/>
      <c r="L272" s="58" t="str">
        <f aca="false">IF(AND(ISNUMBER(J272),ISNUMBER(K272)),IF(K272&gt;=J272,(K272-J272)*1440,""),"")</f>
        <v/>
      </c>
      <c r="M272" s="56"/>
      <c r="N272" s="58" t="str">
        <f aca="false">IF(AND(ISNUMBER(J272),ISNUMBER(M272)),IF(M272&gt;=J272,(M272-J272)*1440,""),"")</f>
        <v/>
      </c>
      <c r="O272" s="54" t="str">
        <f aca="false">IF(N272="","",LOOKUP(N272,Tiempos!$A$6:$A$10,Tiempos!$B$6:$B$10))</f>
        <v/>
      </c>
      <c r="P272" s="54"/>
      <c r="Q272" s="54"/>
      <c r="R272" s="54"/>
      <c r="S272" s="54"/>
      <c r="T272" s="58"/>
      <c r="U272" s="54"/>
      <c r="V272" s="58"/>
      <c r="W272" s="57"/>
      <c r="X272" s="55"/>
      <c r="Y272" s="54"/>
      <c r="Z272" s="56"/>
      <c r="AA272" s="58" t="str">
        <f aca="false">IF(AND(ISNUMBER(M272),ISNUMBER(Z272)),IF(Z272&gt;=M272,(Z272-M272)*1440,""),"")</f>
        <v/>
      </c>
      <c r="AB272" s="57"/>
      <c r="AC272" s="56"/>
      <c r="AD272" s="58" t="str">
        <f aca="false">IF(AND(ISNUMBER(Z272),ISNUMBER(AC272)),IF(AC272&gt;=Z272,(AC272-Z272)*1440,""),"")</f>
        <v/>
      </c>
      <c r="AE272" s="54"/>
      <c r="AF272" s="54"/>
      <c r="AG272" s="54"/>
      <c r="AH272" s="58"/>
      <c r="AI272" s="55" t="n">
        <v>1</v>
      </c>
      <c r="AJ272" s="54" t="s">
        <v>216</v>
      </c>
      <c r="AK272" s="54" t="s">
        <v>212</v>
      </c>
    </row>
    <row r="273" customFormat="false" ht="15" hidden="false" customHeight="false" outlineLevel="0" collapsed="false">
      <c r="A273" s="54" t="s">
        <v>27</v>
      </c>
      <c r="B273" s="55" t="n">
        <v>944</v>
      </c>
      <c r="C273" s="54" t="s">
        <v>127</v>
      </c>
      <c r="D273" s="54" t="s">
        <v>212</v>
      </c>
      <c r="E273" s="54"/>
      <c r="F273" s="56" t="n">
        <v>46303.889616794</v>
      </c>
      <c r="G273" s="54" t="s">
        <v>212</v>
      </c>
      <c r="H273" s="54" t="s">
        <v>214</v>
      </c>
      <c r="I273" s="57"/>
      <c r="J273" s="56"/>
      <c r="K273" s="56"/>
      <c r="L273" s="58" t="str">
        <f aca="false">IF(AND(ISNUMBER(J273),ISNUMBER(K273)),IF(K273&gt;=J273,(K273-J273)*1440,""),"")</f>
        <v/>
      </c>
      <c r="M273" s="56"/>
      <c r="N273" s="58" t="str">
        <f aca="false">IF(AND(ISNUMBER(J273),ISNUMBER(M273)),IF(M273&gt;=J273,(M273-J273)*1440,""),"")</f>
        <v/>
      </c>
      <c r="O273" s="54" t="str">
        <f aca="false">IF(N273="","",LOOKUP(N273,Tiempos!$A$6:$A$10,Tiempos!$B$6:$B$10))</f>
        <v/>
      </c>
      <c r="P273" s="54"/>
      <c r="Q273" s="54"/>
      <c r="R273" s="54"/>
      <c r="S273" s="54"/>
      <c r="T273" s="58"/>
      <c r="U273" s="54"/>
      <c r="V273" s="58"/>
      <c r="W273" s="57"/>
      <c r="X273" s="55"/>
      <c r="Y273" s="54"/>
      <c r="Z273" s="56"/>
      <c r="AA273" s="58" t="str">
        <f aca="false">IF(AND(ISNUMBER(M273),ISNUMBER(Z273)),IF(Z273&gt;=M273,(Z273-M273)*1440,""),"")</f>
        <v/>
      </c>
      <c r="AB273" s="57"/>
      <c r="AC273" s="56"/>
      <c r="AD273" s="58" t="str">
        <f aca="false">IF(AND(ISNUMBER(Z273),ISNUMBER(AC273)),IF(AC273&gt;=Z273,(AC273-Z273)*1440,""),"")</f>
        <v/>
      </c>
      <c r="AE273" s="54"/>
      <c r="AF273" s="54"/>
      <c r="AG273" s="54"/>
      <c r="AH273" s="58"/>
      <c r="AI273" s="55" t="n">
        <v>2</v>
      </c>
      <c r="AJ273" s="54" t="s">
        <v>216</v>
      </c>
      <c r="AK273" s="54" t="s">
        <v>212</v>
      </c>
    </row>
    <row r="274" customFormat="false" ht="15" hidden="false" customHeight="false" outlineLevel="0" collapsed="false">
      <c r="A274" s="54" t="s">
        <v>27</v>
      </c>
      <c r="B274" s="55" t="n">
        <v>938</v>
      </c>
      <c r="C274" s="54" t="s">
        <v>127</v>
      </c>
      <c r="D274" s="54" t="s">
        <v>212</v>
      </c>
      <c r="E274" s="54"/>
      <c r="F274" s="56" t="n">
        <v>46303.8896190857</v>
      </c>
      <c r="G274" s="54" t="s">
        <v>212</v>
      </c>
      <c r="H274" s="54" t="s">
        <v>214</v>
      </c>
      <c r="I274" s="57"/>
      <c r="J274" s="56"/>
      <c r="K274" s="56"/>
      <c r="L274" s="58" t="str">
        <f aca="false">IF(AND(ISNUMBER(J274),ISNUMBER(K274)),IF(K274&gt;=J274,(K274-J274)*1440,""),"")</f>
        <v/>
      </c>
      <c r="M274" s="56"/>
      <c r="N274" s="58" t="str">
        <f aca="false">IF(AND(ISNUMBER(J274),ISNUMBER(M274)),IF(M274&gt;=J274,(M274-J274)*1440,""),"")</f>
        <v/>
      </c>
      <c r="O274" s="54" t="str">
        <f aca="false">IF(N274="","",LOOKUP(N274,Tiempos!$A$6:$A$10,Tiempos!$B$6:$B$10))</f>
        <v/>
      </c>
      <c r="P274" s="54"/>
      <c r="Q274" s="54"/>
      <c r="R274" s="54"/>
      <c r="S274" s="54"/>
      <c r="T274" s="58"/>
      <c r="U274" s="54"/>
      <c r="V274" s="58"/>
      <c r="W274" s="57"/>
      <c r="X274" s="55"/>
      <c r="Y274" s="54"/>
      <c r="Z274" s="56"/>
      <c r="AA274" s="58" t="str">
        <f aca="false">IF(AND(ISNUMBER(M274),ISNUMBER(Z274)),IF(Z274&gt;=M274,(Z274-M274)*1440,""),"")</f>
        <v/>
      </c>
      <c r="AB274" s="57"/>
      <c r="AC274" s="56"/>
      <c r="AD274" s="58" t="str">
        <f aca="false">IF(AND(ISNUMBER(Z274),ISNUMBER(AC274)),IF(AC274&gt;=Z274,(AC274-Z274)*1440,""),"")</f>
        <v/>
      </c>
      <c r="AE274" s="54"/>
      <c r="AF274" s="54"/>
      <c r="AG274" s="54"/>
      <c r="AH274" s="58"/>
      <c r="AI274" s="55" t="n">
        <v>1</v>
      </c>
      <c r="AJ274" s="54" t="s">
        <v>216</v>
      </c>
      <c r="AK274" s="54" t="s">
        <v>212</v>
      </c>
    </row>
    <row r="275" customFormat="false" ht="15" hidden="false" customHeight="false" outlineLevel="0" collapsed="false">
      <c r="A275" s="54" t="s">
        <v>27</v>
      </c>
      <c r="B275" s="55" t="n">
        <v>961</v>
      </c>
      <c r="C275" s="54" t="s">
        <v>127</v>
      </c>
      <c r="D275" s="54" t="s">
        <v>214</v>
      </c>
      <c r="E275" s="54" t="s">
        <v>233</v>
      </c>
      <c r="F275" s="56" t="n">
        <v>46304.0595244097</v>
      </c>
      <c r="G275" s="54" t="s">
        <v>214</v>
      </c>
      <c r="H275" s="54" t="s">
        <v>214</v>
      </c>
      <c r="I275" s="57" t="s">
        <v>511</v>
      </c>
      <c r="J275" s="56" t="n">
        <v>46304.0882607986</v>
      </c>
      <c r="K275" s="56" t="n">
        <v>46304.3042615278</v>
      </c>
      <c r="L275" s="58" t="n">
        <f aca="false">IF(AND(ISNUMBER(J275),ISNUMBER(K275)),IF(K275&gt;=J275,(K275-J275)*1440,""),"")</f>
        <v>311.0410500015</v>
      </c>
      <c r="M275" s="56" t="n">
        <v>46304.3060106019</v>
      </c>
      <c r="N275" s="58" t="n">
        <f aca="false">IF(AND(ISNUMBER(J275),ISNUMBER(M275)),IF(M275&gt;=J275,(M275-J275)*1440,""),"")</f>
        <v>313.559716665183</v>
      </c>
      <c r="O275" s="54" t="str">
        <f aca="false">IF(N275="","",LOOKUP(N275,Tiempos!$A$6:$A$10,Tiempos!$B$6:$B$10))</f>
        <v>30 min o más</v>
      </c>
      <c r="P275" s="54" t="s">
        <v>229</v>
      </c>
      <c r="Q275" s="54" t="s">
        <v>214</v>
      </c>
      <c r="R275" s="54" t="s">
        <v>127</v>
      </c>
      <c r="S275" s="54" t="s">
        <v>220</v>
      </c>
      <c r="T275" s="58" t="n">
        <v>113.3</v>
      </c>
      <c r="U275" s="54" t="s">
        <v>214</v>
      </c>
      <c r="V275" s="58" t="n">
        <v>2.52</v>
      </c>
      <c r="W275" s="57" t="s">
        <v>421</v>
      </c>
      <c r="X275" s="55" t="n">
        <v>2</v>
      </c>
      <c r="Y275" s="54" t="s">
        <v>212</v>
      </c>
      <c r="Z275" s="56"/>
      <c r="AA275" s="58" t="str">
        <f aca="false">IF(AND(ISNUMBER(M275),ISNUMBER(Z275)),IF(Z275&gt;=M275,(Z275-M275)*1440,""),"")</f>
        <v/>
      </c>
      <c r="AB275" s="57"/>
      <c r="AC275" s="56"/>
      <c r="AD275" s="58" t="str">
        <f aca="false">IF(AND(ISNUMBER(Z275),ISNUMBER(AC275)),IF(AC275&gt;=Z275,(AC275-Z275)*1440,""),"")</f>
        <v/>
      </c>
      <c r="AE275" s="54"/>
      <c r="AF275" s="54" t="s">
        <v>214</v>
      </c>
      <c r="AG275" s="54"/>
      <c r="AH275" s="58"/>
      <c r="AI275" s="55" t="n">
        <v>1</v>
      </c>
      <c r="AJ275" s="54" t="s">
        <v>216</v>
      </c>
      <c r="AK275" s="54" t="s">
        <v>212</v>
      </c>
    </row>
    <row r="276" customFormat="false" ht="15" hidden="false" customHeight="false" outlineLevel="0" collapsed="false">
      <c r="A276" s="54" t="s">
        <v>27</v>
      </c>
      <c r="B276" s="55" t="n">
        <v>959</v>
      </c>
      <c r="C276" s="54" t="s">
        <v>127</v>
      </c>
      <c r="D276" s="54" t="s">
        <v>212</v>
      </c>
      <c r="E276" s="54"/>
      <c r="F276" s="56" t="n">
        <v>46304.3057132176</v>
      </c>
      <c r="G276" s="54" t="s">
        <v>214</v>
      </c>
      <c r="H276" s="54" t="s">
        <v>214</v>
      </c>
      <c r="I276" s="57"/>
      <c r="J276" s="56"/>
      <c r="K276" s="56"/>
      <c r="L276" s="58" t="str">
        <f aca="false">IF(AND(ISNUMBER(J276),ISNUMBER(K276)),IF(K276&gt;=J276,(K276-J276)*1440,""),"")</f>
        <v/>
      </c>
      <c r="M276" s="56"/>
      <c r="N276" s="58" t="str">
        <f aca="false">IF(AND(ISNUMBER(J276),ISNUMBER(M276)),IF(M276&gt;=J276,(M276-J276)*1440,""),"")</f>
        <v/>
      </c>
      <c r="O276" s="54" t="str">
        <f aca="false">IF(N276="","",LOOKUP(N276,Tiempos!$A$6:$A$10,Tiempos!$B$6:$B$10))</f>
        <v/>
      </c>
      <c r="P276" s="54"/>
      <c r="Q276" s="54"/>
      <c r="R276" s="54"/>
      <c r="S276" s="54"/>
      <c r="T276" s="58"/>
      <c r="U276" s="54"/>
      <c r="V276" s="58"/>
      <c r="W276" s="57"/>
      <c r="X276" s="55"/>
      <c r="Y276" s="54"/>
      <c r="Z276" s="56"/>
      <c r="AA276" s="58" t="str">
        <f aca="false">IF(AND(ISNUMBER(M276),ISNUMBER(Z276)),IF(Z276&gt;=M276,(Z276-M276)*1440,""),"")</f>
        <v/>
      </c>
      <c r="AB276" s="57"/>
      <c r="AC276" s="56"/>
      <c r="AD276" s="58" t="str">
        <f aca="false">IF(AND(ISNUMBER(Z276),ISNUMBER(AC276)),IF(AC276&gt;=Z276,(AC276-Z276)*1440,""),"")</f>
        <v/>
      </c>
      <c r="AE276" s="54"/>
      <c r="AF276" s="54"/>
      <c r="AG276" s="54"/>
      <c r="AH276" s="58"/>
      <c r="AI276" s="55" t="n">
        <v>2</v>
      </c>
      <c r="AJ276" s="54" t="s">
        <v>216</v>
      </c>
      <c r="AK276" s="54" t="s">
        <v>212</v>
      </c>
    </row>
    <row r="277" customFormat="false" ht="15" hidden="false" customHeight="false" outlineLevel="0" collapsed="false">
      <c r="A277" s="54" t="s">
        <v>27</v>
      </c>
      <c r="B277" s="55" t="n">
        <v>973</v>
      </c>
      <c r="C277" s="54" t="s">
        <v>127</v>
      </c>
      <c r="D277" s="54" t="s">
        <v>211</v>
      </c>
      <c r="E277" s="54"/>
      <c r="F277" s="56" t="n">
        <v>46304.3127395023</v>
      </c>
      <c r="G277" s="54" t="s">
        <v>214</v>
      </c>
      <c r="H277" s="54" t="s">
        <v>214</v>
      </c>
      <c r="I277" s="57" t="s">
        <v>512</v>
      </c>
      <c r="J277" s="56" t="n">
        <v>46304.3137799769</v>
      </c>
      <c r="K277" s="56" t="n">
        <v>46304.3140400347</v>
      </c>
      <c r="L277" s="58" t="n">
        <f aca="false">IF(AND(ISNUMBER(J277),ISNUMBER(K277)),IF(K277&gt;=J277,(K277-J277)*1440,""),"")</f>
        <v>0.374483348566667</v>
      </c>
      <c r="M277" s="56" t="n">
        <v>46304.3358818982</v>
      </c>
      <c r="N277" s="58" t="n">
        <f aca="false">IF(AND(ISNUMBER(J277),ISNUMBER(M277)),IF(M277&gt;=J277,(M277-J277)*1440,""),"")</f>
        <v>31.8267666699667</v>
      </c>
      <c r="O277" s="54" t="str">
        <f aca="false">IF(N277="","",LOOKUP(N277,Tiempos!$A$6:$A$10,Tiempos!$B$6:$B$10))</f>
        <v>30 min o más</v>
      </c>
      <c r="P277" s="54" t="s">
        <v>170</v>
      </c>
      <c r="Q277" s="54" t="s">
        <v>214</v>
      </c>
      <c r="R277" s="54" t="s">
        <v>127</v>
      </c>
      <c r="S277" s="54" t="s">
        <v>220</v>
      </c>
      <c r="T277" s="58" t="n">
        <v>57</v>
      </c>
      <c r="U277" s="54" t="s">
        <v>214</v>
      </c>
      <c r="V277" s="58"/>
      <c r="W277" s="57"/>
      <c r="X277" s="55" t="n">
        <v>0</v>
      </c>
      <c r="Y277" s="54" t="s">
        <v>214</v>
      </c>
      <c r="Z277" s="56" t="n">
        <v>46304.481256632</v>
      </c>
      <c r="AA277" s="58" t="n">
        <f aca="false">IF(AND(ISNUMBER(M277),ISNUMBER(Z277)),IF(Z277&gt;=M277,(Z277-M277)*1440,""),"")</f>
        <v>209.339616674683</v>
      </c>
      <c r="AB277" s="57" t="s">
        <v>513</v>
      </c>
      <c r="AC277" s="56" t="n">
        <v>46304.4825309491</v>
      </c>
      <c r="AD277" s="58" t="n">
        <f aca="false">IF(AND(ISNUMBER(Z277),ISNUMBER(AC277)),IF(AC277&gt;=Z277,(AC277-Z277)*1440,""),"")</f>
        <v>1.83501665945</v>
      </c>
      <c r="AE277" s="54" t="s">
        <v>258</v>
      </c>
      <c r="AF277" s="54" t="s">
        <v>214</v>
      </c>
      <c r="AG277" s="54" t="s">
        <v>212</v>
      </c>
      <c r="AH277" s="58"/>
      <c r="AI277" s="55" t="n">
        <v>3</v>
      </c>
      <c r="AJ277" s="54" t="s">
        <v>216</v>
      </c>
      <c r="AK277" s="54" t="s">
        <v>212</v>
      </c>
    </row>
    <row r="278" customFormat="false" ht="15" hidden="false" customHeight="false" outlineLevel="0" collapsed="false">
      <c r="A278" s="54" t="s">
        <v>27</v>
      </c>
      <c r="B278" s="55" t="n">
        <v>991</v>
      </c>
      <c r="C278" s="54" t="s">
        <v>127</v>
      </c>
      <c r="D278" s="54" t="s">
        <v>212</v>
      </c>
      <c r="E278" s="54"/>
      <c r="F278" s="56" t="n">
        <v>46304.3479203357</v>
      </c>
      <c r="G278" s="54" t="s">
        <v>212</v>
      </c>
      <c r="H278" s="54" t="s">
        <v>212</v>
      </c>
      <c r="I278" s="57"/>
      <c r="J278" s="56"/>
      <c r="K278" s="56"/>
      <c r="L278" s="58" t="str">
        <f aca="false">IF(AND(ISNUMBER(J278),ISNUMBER(K278)),IF(K278&gt;=J278,(K278-J278)*1440,""),"")</f>
        <v/>
      </c>
      <c r="M278" s="56"/>
      <c r="N278" s="58" t="str">
        <f aca="false">IF(AND(ISNUMBER(J278),ISNUMBER(M278)),IF(M278&gt;=J278,(M278-J278)*1440,""),"")</f>
        <v/>
      </c>
      <c r="O278" s="54" t="str">
        <f aca="false">IF(N278="","",LOOKUP(N278,Tiempos!$A$6:$A$10,Tiempos!$B$6:$B$10))</f>
        <v/>
      </c>
      <c r="P278" s="54"/>
      <c r="Q278" s="54"/>
      <c r="R278" s="54"/>
      <c r="S278" s="54"/>
      <c r="T278" s="58"/>
      <c r="U278" s="54"/>
      <c r="V278" s="58"/>
      <c r="W278" s="57"/>
      <c r="X278" s="55"/>
      <c r="Y278" s="54"/>
      <c r="Z278" s="56"/>
      <c r="AA278" s="58" t="str">
        <f aca="false">IF(AND(ISNUMBER(M278),ISNUMBER(Z278)),IF(Z278&gt;=M278,(Z278-M278)*1440,""),"")</f>
        <v/>
      </c>
      <c r="AB278" s="57"/>
      <c r="AC278" s="56"/>
      <c r="AD278" s="58" t="str">
        <f aca="false">IF(AND(ISNUMBER(Z278),ISNUMBER(AC278)),IF(AC278&gt;=Z278,(AC278-Z278)*1440,""),"")</f>
        <v/>
      </c>
      <c r="AE278" s="54"/>
      <c r="AF278" s="54"/>
      <c r="AG278" s="54"/>
      <c r="AH278" s="58"/>
      <c r="AI278" s="55" t="n">
        <v>2</v>
      </c>
      <c r="AJ278" s="54" t="s">
        <v>216</v>
      </c>
      <c r="AK278" s="54" t="s">
        <v>212</v>
      </c>
    </row>
    <row r="279" customFormat="false" ht="15" hidden="false" customHeight="false" outlineLevel="0" collapsed="false">
      <c r="A279" s="54" t="s">
        <v>27</v>
      </c>
      <c r="B279" s="55" t="n">
        <v>995</v>
      </c>
      <c r="C279" s="54" t="s">
        <v>127</v>
      </c>
      <c r="D279" s="54" t="s">
        <v>212</v>
      </c>
      <c r="E279" s="54"/>
      <c r="F279" s="56" t="n">
        <v>46304.3778678125</v>
      </c>
      <c r="G279" s="54" t="s">
        <v>212</v>
      </c>
      <c r="H279" s="54" t="s">
        <v>214</v>
      </c>
      <c r="I279" s="57"/>
      <c r="J279" s="56"/>
      <c r="K279" s="56"/>
      <c r="L279" s="58" t="str">
        <f aca="false">IF(AND(ISNUMBER(J279),ISNUMBER(K279)),IF(K279&gt;=J279,(K279-J279)*1440,""),"")</f>
        <v/>
      </c>
      <c r="M279" s="56"/>
      <c r="N279" s="58" t="str">
        <f aca="false">IF(AND(ISNUMBER(J279),ISNUMBER(M279)),IF(M279&gt;=J279,(M279-J279)*1440,""),"")</f>
        <v/>
      </c>
      <c r="O279" s="54" t="str">
        <f aca="false">IF(N279="","",LOOKUP(N279,Tiempos!$A$6:$A$10,Tiempos!$B$6:$B$10))</f>
        <v/>
      </c>
      <c r="P279" s="54"/>
      <c r="Q279" s="54"/>
      <c r="R279" s="54"/>
      <c r="S279" s="54"/>
      <c r="T279" s="58"/>
      <c r="U279" s="54"/>
      <c r="V279" s="58"/>
      <c r="W279" s="57"/>
      <c r="X279" s="55"/>
      <c r="Y279" s="54"/>
      <c r="Z279" s="56"/>
      <c r="AA279" s="58" t="str">
        <f aca="false">IF(AND(ISNUMBER(M279),ISNUMBER(Z279)),IF(Z279&gt;=M279,(Z279-M279)*1440,""),"")</f>
        <v/>
      </c>
      <c r="AB279" s="57"/>
      <c r="AC279" s="56"/>
      <c r="AD279" s="58" t="str">
        <f aca="false">IF(AND(ISNUMBER(Z279),ISNUMBER(AC279)),IF(AC279&gt;=Z279,(AC279-Z279)*1440,""),"")</f>
        <v/>
      </c>
      <c r="AE279" s="54"/>
      <c r="AF279" s="54"/>
      <c r="AG279" s="54"/>
      <c r="AH279" s="58"/>
      <c r="AI279" s="55" t="n">
        <v>1</v>
      </c>
      <c r="AJ279" s="54" t="s">
        <v>216</v>
      </c>
      <c r="AK279" s="54" t="s">
        <v>212</v>
      </c>
    </row>
    <row r="280" customFormat="false" ht="15" hidden="false" customHeight="false" outlineLevel="0" collapsed="false">
      <c r="A280" s="54" t="s">
        <v>27</v>
      </c>
      <c r="B280" s="55" t="n">
        <v>1007</v>
      </c>
      <c r="C280" s="54" t="s">
        <v>127</v>
      </c>
      <c r="D280" s="54" t="s">
        <v>214</v>
      </c>
      <c r="E280" s="54" t="s">
        <v>278</v>
      </c>
      <c r="F280" s="56" t="n">
        <v>46304.430275081</v>
      </c>
      <c r="G280" s="54" t="s">
        <v>212</v>
      </c>
      <c r="H280" s="54" t="s">
        <v>214</v>
      </c>
      <c r="I280" s="57" t="s">
        <v>514</v>
      </c>
      <c r="J280" s="56" t="n">
        <v>46304.4307447801</v>
      </c>
      <c r="K280" s="56" t="n">
        <v>46304.4332579745</v>
      </c>
      <c r="L280" s="58" t="n">
        <f aca="false">IF(AND(ISNUMBER(J280),ISNUMBER(K280)),IF(K280&gt;=J280,(K280-J280)*1440,""),"")</f>
        <v>3.61900000715</v>
      </c>
      <c r="M280" s="56" t="n">
        <v>46304.4361007755</v>
      </c>
      <c r="N280" s="58" t="n">
        <f aca="false">IF(AND(ISNUMBER(J280),ISNUMBER(M280)),IF(M280&gt;=J280,(M280-J280)*1440,""),"")</f>
        <v>7.71263333851667</v>
      </c>
      <c r="O280" s="54" t="str">
        <f aca="false">IF(N280="","",LOOKUP(N280,Tiempos!$A$6:$A$10,Tiempos!$B$6:$B$10))</f>
        <v>6 a 10 min</v>
      </c>
      <c r="P280" s="54" t="s">
        <v>229</v>
      </c>
      <c r="Q280" s="54" t="s">
        <v>214</v>
      </c>
      <c r="R280" s="54" t="s">
        <v>130</v>
      </c>
      <c r="S280" s="54" t="s">
        <v>215</v>
      </c>
      <c r="T280" s="58" t="n">
        <v>115</v>
      </c>
      <c r="U280" s="54" t="s">
        <v>214</v>
      </c>
      <c r="V280" s="58" t="n">
        <v>4.09</v>
      </c>
      <c r="W280" s="57" t="s">
        <v>235</v>
      </c>
      <c r="X280" s="55" t="n">
        <v>2</v>
      </c>
      <c r="Y280" s="54" t="s">
        <v>214</v>
      </c>
      <c r="Z280" s="56" t="n">
        <v>46304.4963195602</v>
      </c>
      <c r="AA280" s="58" t="n">
        <f aca="false">IF(AND(ISNUMBER(M280),ISNUMBER(Z280)),IF(Z280&gt;=M280,(Z280-M280)*1440,""),"")</f>
        <v>86.7150500044167</v>
      </c>
      <c r="AB280" s="57" t="s">
        <v>515</v>
      </c>
      <c r="AC280" s="56" t="n">
        <v>46304.4970568403</v>
      </c>
      <c r="AD280" s="58" t="n">
        <f aca="false">IF(AND(ISNUMBER(Z280),ISNUMBER(AC280)),IF(AC280&gt;=Z280,(AC280-Z280)*1440,""),"")</f>
        <v>1.06168332975</v>
      </c>
      <c r="AE280" s="54" t="s">
        <v>346</v>
      </c>
      <c r="AF280" s="54" t="s">
        <v>214</v>
      </c>
      <c r="AG280" s="54" t="s">
        <v>214</v>
      </c>
      <c r="AH280" s="58" t="n">
        <v>0.4</v>
      </c>
      <c r="AI280" s="55" t="n">
        <v>3</v>
      </c>
      <c r="AJ280" s="54" t="s">
        <v>216</v>
      </c>
      <c r="AK280" s="54" t="s">
        <v>212</v>
      </c>
    </row>
    <row r="281" customFormat="false" ht="15" hidden="false" customHeight="false" outlineLevel="0" collapsed="false">
      <c r="A281" s="54" t="s">
        <v>27</v>
      </c>
      <c r="B281" s="55" t="n">
        <v>1014</v>
      </c>
      <c r="C281" s="54" t="s">
        <v>127</v>
      </c>
      <c r="D281" s="54" t="s">
        <v>214</v>
      </c>
      <c r="E281" s="54" t="s">
        <v>278</v>
      </c>
      <c r="F281" s="56" t="n">
        <v>46304.4522600347</v>
      </c>
      <c r="G281" s="54" t="s">
        <v>212</v>
      </c>
      <c r="H281" s="54" t="s">
        <v>214</v>
      </c>
      <c r="I281" s="57" t="s">
        <v>516</v>
      </c>
      <c r="J281" s="56" t="n">
        <v>46304.4545785069</v>
      </c>
      <c r="K281" s="56" t="n">
        <v>46304.4551061227</v>
      </c>
      <c r="L281" s="58" t="n">
        <f aca="false">IF(AND(ISNUMBER(J281),ISNUMBER(K281)),IF(K281&gt;=J281,(K281-J281)*1440,""),"")</f>
        <v>0.7597666746</v>
      </c>
      <c r="M281" s="56" t="n">
        <v>46304.4600370486</v>
      </c>
      <c r="N281" s="58" t="n">
        <f aca="false">IF(AND(ISNUMBER(J281),ISNUMBER(M281)),IF(M281&gt;=J281,(M281-J281)*1440,""),"")</f>
        <v>7.86029999841667</v>
      </c>
      <c r="O281" s="54" t="str">
        <f aca="false">IF(N281="","",LOOKUP(N281,Tiempos!$A$6:$A$10,Tiempos!$B$6:$B$10))</f>
        <v>6 a 10 min</v>
      </c>
      <c r="P281" s="54" t="s">
        <v>229</v>
      </c>
      <c r="Q281" s="54" t="s">
        <v>214</v>
      </c>
      <c r="R281" s="54" t="s">
        <v>130</v>
      </c>
      <c r="S281" s="54" t="s">
        <v>215</v>
      </c>
      <c r="T281" s="58" t="n">
        <v>104.2</v>
      </c>
      <c r="U281" s="54" t="s">
        <v>214</v>
      </c>
      <c r="V281" s="58" t="n">
        <v>7.1</v>
      </c>
      <c r="W281" s="57" t="s">
        <v>235</v>
      </c>
      <c r="X281" s="55" t="n">
        <v>2</v>
      </c>
      <c r="Y281" s="54" t="s">
        <v>214</v>
      </c>
      <c r="Z281" s="56" t="n">
        <v>46304.4631379514</v>
      </c>
      <c r="AA281" s="58" t="n">
        <f aca="false">IF(AND(ISNUMBER(M281),ISNUMBER(Z281)),IF(Z281&gt;=M281,(Z281-M281)*1440,""),"")</f>
        <v>4.46530000421667</v>
      </c>
      <c r="AB281" s="57" t="s">
        <v>517</v>
      </c>
      <c r="AC281" s="56" t="n">
        <v>46304.4653665857</v>
      </c>
      <c r="AD281" s="58" t="n">
        <f aca="false">IF(AND(ISNUMBER(Z281),ISNUMBER(AC281)),IF(AC281&gt;=Z281,(AC281-Z281)*1440,""),"")</f>
        <v>3.20923334103333</v>
      </c>
      <c r="AE281" s="54" t="s">
        <v>346</v>
      </c>
      <c r="AF281" s="54" t="s">
        <v>214</v>
      </c>
      <c r="AG281" s="54" t="s">
        <v>214</v>
      </c>
      <c r="AH281" s="58" t="n">
        <v>1.7</v>
      </c>
      <c r="AI281" s="55" t="n">
        <v>2</v>
      </c>
      <c r="AJ281" s="54" t="s">
        <v>216</v>
      </c>
      <c r="AK281" s="54" t="s">
        <v>212</v>
      </c>
    </row>
    <row r="282" customFormat="false" ht="15" hidden="false" customHeight="false" outlineLevel="0" collapsed="false">
      <c r="A282" s="54" t="s">
        <v>27</v>
      </c>
      <c r="B282" s="55" t="n">
        <v>1019</v>
      </c>
      <c r="C282" s="54" t="s">
        <v>127</v>
      </c>
      <c r="D282" s="54" t="s">
        <v>212</v>
      </c>
      <c r="E282" s="54"/>
      <c r="F282" s="56" t="n">
        <v>46304.4700267245</v>
      </c>
      <c r="G282" s="54" t="s">
        <v>212</v>
      </c>
      <c r="H282" s="54" t="s">
        <v>212</v>
      </c>
      <c r="I282" s="57"/>
      <c r="J282" s="56"/>
      <c r="K282" s="56"/>
      <c r="L282" s="58" t="str">
        <f aca="false">IF(AND(ISNUMBER(J282),ISNUMBER(K282)),IF(K282&gt;=J282,(K282-J282)*1440,""),"")</f>
        <v/>
      </c>
      <c r="M282" s="56"/>
      <c r="N282" s="58" t="str">
        <f aca="false">IF(AND(ISNUMBER(J282),ISNUMBER(M282)),IF(M282&gt;=J282,(M282-J282)*1440,""),"")</f>
        <v/>
      </c>
      <c r="O282" s="54" t="str">
        <f aca="false">IF(N282="","",LOOKUP(N282,Tiempos!$A$6:$A$10,Tiempos!$B$6:$B$10))</f>
        <v/>
      </c>
      <c r="P282" s="54"/>
      <c r="Q282" s="54"/>
      <c r="R282" s="54"/>
      <c r="S282" s="54"/>
      <c r="T282" s="58"/>
      <c r="U282" s="54"/>
      <c r="V282" s="58"/>
      <c r="W282" s="57"/>
      <c r="X282" s="55"/>
      <c r="Y282" s="54"/>
      <c r="Z282" s="56"/>
      <c r="AA282" s="58" t="str">
        <f aca="false">IF(AND(ISNUMBER(M282),ISNUMBER(Z282)),IF(Z282&gt;=M282,(Z282-M282)*1440,""),"")</f>
        <v/>
      </c>
      <c r="AB282" s="57"/>
      <c r="AC282" s="56"/>
      <c r="AD282" s="58" t="str">
        <f aca="false">IF(AND(ISNUMBER(Z282),ISNUMBER(AC282)),IF(AC282&gt;=Z282,(AC282-Z282)*1440,""),"")</f>
        <v/>
      </c>
      <c r="AE282" s="54"/>
      <c r="AF282" s="54"/>
      <c r="AG282" s="54"/>
      <c r="AH282" s="58"/>
      <c r="AI282" s="55" t="n">
        <v>2</v>
      </c>
      <c r="AJ282" s="54" t="s">
        <v>216</v>
      </c>
      <c r="AK282" s="54" t="s">
        <v>212</v>
      </c>
    </row>
    <row r="283" customFormat="false" ht="15" hidden="false" customHeight="false" outlineLevel="0" collapsed="false">
      <c r="A283" s="54" t="s">
        <v>27</v>
      </c>
      <c r="B283" s="55" t="n">
        <v>1043</v>
      </c>
      <c r="C283" s="54" t="s">
        <v>129</v>
      </c>
      <c r="D283" s="54" t="s">
        <v>214</v>
      </c>
      <c r="E283" s="54" t="s">
        <v>242</v>
      </c>
      <c r="F283" s="56" t="n">
        <v>46304.5720845486</v>
      </c>
      <c r="G283" s="54" t="s">
        <v>212</v>
      </c>
      <c r="H283" s="54" t="s">
        <v>214</v>
      </c>
      <c r="I283" s="57" t="s">
        <v>518</v>
      </c>
      <c r="J283" s="56" t="n">
        <v>46304.5758950579</v>
      </c>
      <c r="K283" s="56" t="n">
        <v>46304.5764454861</v>
      </c>
      <c r="L283" s="58" t="n">
        <f aca="false">IF(AND(ISNUMBER(J283),ISNUMBER(K283)),IF(K283&gt;=J283,(K283-J283)*1440,""),"")</f>
        <v>0.792616673266667</v>
      </c>
      <c r="M283" s="56" t="n">
        <v>46304.5797840857</v>
      </c>
      <c r="N283" s="58" t="n">
        <f aca="false">IF(AND(ISNUMBER(J283),ISNUMBER(M283)),IF(M283&gt;=J283,(M283-J283)*1440,""),"")</f>
        <v>5.60020000206667</v>
      </c>
      <c r="O283" s="54" t="str">
        <f aca="false">IF(N283="","",LOOKUP(N283,Tiempos!$A$6:$A$10,Tiempos!$B$6:$B$10))</f>
        <v>4 a 6 min</v>
      </c>
      <c r="P283" s="54" t="s">
        <v>219</v>
      </c>
      <c r="Q283" s="54" t="s">
        <v>214</v>
      </c>
      <c r="R283" s="54" t="s">
        <v>129</v>
      </c>
      <c r="S283" s="54" t="s">
        <v>220</v>
      </c>
      <c r="T283" s="58" t="n">
        <v>105.3</v>
      </c>
      <c r="U283" s="54" t="s">
        <v>214</v>
      </c>
      <c r="V283" s="58" t="n">
        <v>2.02</v>
      </c>
      <c r="W283" s="57" t="s">
        <v>519</v>
      </c>
      <c r="X283" s="55" t="n">
        <v>4</v>
      </c>
      <c r="Y283" s="54" t="s">
        <v>214</v>
      </c>
      <c r="Z283" s="56" t="n">
        <v>46304.5841780671</v>
      </c>
      <c r="AA283" s="58" t="n">
        <f aca="false">IF(AND(ISNUMBER(M283),ISNUMBER(Z283)),IF(Z283&gt;=M283,(Z283-M283)*1440,""),"")</f>
        <v>6.32733333971667</v>
      </c>
      <c r="AB283" s="57" t="s">
        <v>520</v>
      </c>
      <c r="AC283" s="56" t="n">
        <v>46304.5847751389</v>
      </c>
      <c r="AD283" s="58" t="n">
        <f aca="false">IF(AND(ISNUMBER(Z283),ISNUMBER(AC283)),IF(AC283&gt;=Z283,(AC283-Z283)*1440,""),"")</f>
        <v>0.859783325566667</v>
      </c>
      <c r="AE283" s="54" t="s">
        <v>346</v>
      </c>
      <c r="AF283" s="54" t="s">
        <v>214</v>
      </c>
      <c r="AG283" s="54" t="s">
        <v>214</v>
      </c>
      <c r="AH283" s="58" t="n">
        <v>4.2</v>
      </c>
      <c r="AI283" s="55" t="n">
        <v>2</v>
      </c>
      <c r="AJ283" s="54" t="s">
        <v>216</v>
      </c>
      <c r="AK283" s="54" t="s">
        <v>212</v>
      </c>
    </row>
    <row r="284" customFormat="false" ht="15" hidden="false" customHeight="false" outlineLevel="0" collapsed="false">
      <c r="A284" s="54" t="s">
        <v>27</v>
      </c>
      <c r="B284" s="55" t="n">
        <v>1044</v>
      </c>
      <c r="C284" s="54" t="s">
        <v>127</v>
      </c>
      <c r="D284" s="54" t="s">
        <v>212</v>
      </c>
      <c r="E284" s="54"/>
      <c r="F284" s="56" t="n">
        <v>46304.5956897338</v>
      </c>
      <c r="G284" s="54" t="s">
        <v>212</v>
      </c>
      <c r="H284" s="54" t="s">
        <v>214</v>
      </c>
      <c r="I284" s="57"/>
      <c r="J284" s="56"/>
      <c r="K284" s="56"/>
      <c r="L284" s="58" t="str">
        <f aca="false">IF(AND(ISNUMBER(J284),ISNUMBER(K284)),IF(K284&gt;=J284,(K284-J284)*1440,""),"")</f>
        <v/>
      </c>
      <c r="M284" s="56"/>
      <c r="N284" s="58" t="str">
        <f aca="false">IF(AND(ISNUMBER(J284),ISNUMBER(M284)),IF(M284&gt;=J284,(M284-J284)*1440,""),"")</f>
        <v/>
      </c>
      <c r="O284" s="54" t="str">
        <f aca="false">IF(N284="","",LOOKUP(N284,Tiempos!$A$6:$A$10,Tiempos!$B$6:$B$10))</f>
        <v/>
      </c>
      <c r="P284" s="54"/>
      <c r="Q284" s="54"/>
      <c r="R284" s="54"/>
      <c r="S284" s="54"/>
      <c r="T284" s="58"/>
      <c r="U284" s="54"/>
      <c r="V284" s="58"/>
      <c r="W284" s="57"/>
      <c r="X284" s="55"/>
      <c r="Y284" s="54"/>
      <c r="Z284" s="56"/>
      <c r="AA284" s="58" t="str">
        <f aca="false">IF(AND(ISNUMBER(M284),ISNUMBER(Z284)),IF(Z284&gt;=M284,(Z284-M284)*1440,""),"")</f>
        <v/>
      </c>
      <c r="AB284" s="57"/>
      <c r="AC284" s="56"/>
      <c r="AD284" s="58" t="str">
        <f aca="false">IF(AND(ISNUMBER(Z284),ISNUMBER(AC284)),IF(AC284&gt;=Z284,(AC284-Z284)*1440,""),"")</f>
        <v/>
      </c>
      <c r="AE284" s="54"/>
      <c r="AF284" s="54"/>
      <c r="AG284" s="54"/>
      <c r="AH284" s="58"/>
      <c r="AI284" s="55" t="n">
        <v>1</v>
      </c>
      <c r="AJ284" s="54" t="s">
        <v>216</v>
      </c>
      <c r="AK284" s="54" t="s">
        <v>212</v>
      </c>
    </row>
    <row r="285" customFormat="false" ht="15" hidden="false" customHeight="false" outlineLevel="0" collapsed="false">
      <c r="A285" s="54" t="s">
        <v>27</v>
      </c>
      <c r="B285" s="55" t="n">
        <v>1072</v>
      </c>
      <c r="C285" s="54" t="s">
        <v>129</v>
      </c>
      <c r="D285" s="54" t="s">
        <v>214</v>
      </c>
      <c r="E285" s="54" t="s">
        <v>233</v>
      </c>
      <c r="F285" s="56" t="n">
        <v>46304.6881214005</v>
      </c>
      <c r="G285" s="54" t="s">
        <v>212</v>
      </c>
      <c r="H285" s="54" t="s">
        <v>214</v>
      </c>
      <c r="I285" s="57" t="s">
        <v>521</v>
      </c>
      <c r="J285" s="56" t="n">
        <v>46304.6964081019</v>
      </c>
      <c r="K285" s="56" t="n">
        <v>46304.6965857639</v>
      </c>
      <c r="L285" s="58" t="n">
        <f aca="false">IF(AND(ISNUMBER(J285),ISNUMBER(K285)),IF(K285&gt;=J285,(K285-J285)*1440,""),"")</f>
        <v>0.255833339166667</v>
      </c>
      <c r="M285" s="56" t="n">
        <v>46304.6979023611</v>
      </c>
      <c r="N285" s="58" t="n">
        <f aca="false">IF(AND(ISNUMBER(J285),ISNUMBER(M285)),IF(M285&gt;=J285,(M285-J285)*1440,""),"")</f>
        <v>2.15173333533333</v>
      </c>
      <c r="O285" s="54" t="str">
        <f aca="false">IF(N285="","",LOOKUP(N285,Tiempos!$A$6:$A$10,Tiempos!$B$6:$B$10))</f>
        <v>Menos de 4 min</v>
      </c>
      <c r="P285" s="54" t="s">
        <v>219</v>
      </c>
      <c r="Q285" s="54" t="s">
        <v>214</v>
      </c>
      <c r="R285" s="54" t="s">
        <v>129</v>
      </c>
      <c r="S285" s="54" t="s">
        <v>220</v>
      </c>
      <c r="T285" s="58" t="n">
        <v>107.5</v>
      </c>
      <c r="U285" s="54" t="s">
        <v>214</v>
      </c>
      <c r="V285" s="58" t="n">
        <v>1.9</v>
      </c>
      <c r="W285" s="57" t="s">
        <v>522</v>
      </c>
      <c r="X285" s="55" t="n">
        <v>4</v>
      </c>
      <c r="Y285" s="54" t="s">
        <v>214</v>
      </c>
      <c r="Z285" s="56" t="n">
        <v>46304.7001390162</v>
      </c>
      <c r="AA285" s="58" t="n">
        <f aca="false">IF(AND(ISNUMBER(M285),ISNUMBER(Z285)),IF(Z285&gt;=M285,(Z285-M285)*1440,""),"")</f>
        <v>3.22078332071667</v>
      </c>
      <c r="AB285" s="57" t="s">
        <v>523</v>
      </c>
      <c r="AC285" s="56" t="n">
        <v>46304.7010072917</v>
      </c>
      <c r="AD285" s="58" t="n">
        <f aca="false">IF(AND(ISNUMBER(Z285),ISNUMBER(AC285)),IF(AC285&gt;=Z285,(AC285-Z285)*1440,""),"")</f>
        <v>1.2503166776</v>
      </c>
      <c r="AE285" s="54" t="s">
        <v>223</v>
      </c>
      <c r="AF285" s="54" t="s">
        <v>214</v>
      </c>
      <c r="AG285" s="54" t="s">
        <v>214</v>
      </c>
      <c r="AH285" s="58" t="n">
        <v>4</v>
      </c>
      <c r="AI285" s="55" t="n">
        <v>2</v>
      </c>
      <c r="AJ285" s="54" t="s">
        <v>216</v>
      </c>
      <c r="AK285" s="54" t="s">
        <v>212</v>
      </c>
    </row>
    <row r="286" customFormat="false" ht="15" hidden="false" customHeight="false" outlineLevel="0" collapsed="false">
      <c r="A286" s="54" t="s">
        <v>27</v>
      </c>
      <c r="B286" s="55" t="n">
        <v>1073</v>
      </c>
      <c r="C286" s="54" t="s">
        <v>129</v>
      </c>
      <c r="D286" s="54" t="s">
        <v>212</v>
      </c>
      <c r="E286" s="54"/>
      <c r="F286" s="56" t="n">
        <v>46304.6931982986</v>
      </c>
      <c r="G286" s="54" t="s">
        <v>212</v>
      </c>
      <c r="H286" s="54" t="s">
        <v>214</v>
      </c>
      <c r="I286" s="57"/>
      <c r="J286" s="56"/>
      <c r="K286" s="56"/>
      <c r="L286" s="58" t="str">
        <f aca="false">IF(AND(ISNUMBER(J286),ISNUMBER(K286)),IF(K286&gt;=J286,(K286-J286)*1440,""),"")</f>
        <v/>
      </c>
      <c r="M286" s="56"/>
      <c r="N286" s="58" t="str">
        <f aca="false">IF(AND(ISNUMBER(J286),ISNUMBER(M286)),IF(M286&gt;=J286,(M286-J286)*1440,""),"")</f>
        <v/>
      </c>
      <c r="O286" s="54" t="str">
        <f aca="false">IF(N286="","",LOOKUP(N286,Tiempos!$A$6:$A$10,Tiempos!$B$6:$B$10))</f>
        <v/>
      </c>
      <c r="P286" s="54"/>
      <c r="Q286" s="54"/>
      <c r="R286" s="54"/>
      <c r="S286" s="54"/>
      <c r="T286" s="58"/>
      <c r="U286" s="54"/>
      <c r="V286" s="58"/>
      <c r="W286" s="57"/>
      <c r="X286" s="55"/>
      <c r="Y286" s="54"/>
      <c r="Z286" s="56"/>
      <c r="AA286" s="58" t="str">
        <f aca="false">IF(AND(ISNUMBER(M286),ISNUMBER(Z286)),IF(Z286&gt;=M286,(Z286-M286)*1440,""),"")</f>
        <v/>
      </c>
      <c r="AB286" s="57"/>
      <c r="AC286" s="56"/>
      <c r="AD286" s="58" t="str">
        <f aca="false">IF(AND(ISNUMBER(Z286),ISNUMBER(AC286)),IF(AC286&gt;=Z286,(AC286-Z286)*1440,""),"")</f>
        <v/>
      </c>
      <c r="AE286" s="54"/>
      <c r="AF286" s="54"/>
      <c r="AG286" s="54"/>
      <c r="AH286" s="58"/>
      <c r="AI286" s="55" t="n">
        <v>2</v>
      </c>
      <c r="AJ286" s="54" t="s">
        <v>216</v>
      </c>
      <c r="AK286" s="54" t="s">
        <v>212</v>
      </c>
    </row>
    <row r="287" customFormat="false" ht="15" hidden="false" customHeight="false" outlineLevel="0" collapsed="false">
      <c r="A287" s="54" t="s">
        <v>27</v>
      </c>
      <c r="B287" s="55" t="n">
        <v>1079</v>
      </c>
      <c r="C287" s="54" t="s">
        <v>127</v>
      </c>
      <c r="D287" s="54" t="s">
        <v>212</v>
      </c>
      <c r="E287" s="54"/>
      <c r="F287" s="56" t="n">
        <v>46304.7367572222</v>
      </c>
      <c r="G287" s="54" t="s">
        <v>212</v>
      </c>
      <c r="H287" s="54" t="s">
        <v>214</v>
      </c>
      <c r="I287" s="57"/>
      <c r="J287" s="56"/>
      <c r="K287" s="56"/>
      <c r="L287" s="58" t="str">
        <f aca="false">IF(AND(ISNUMBER(J287),ISNUMBER(K287)),IF(K287&gt;=J287,(K287-J287)*1440,""),"")</f>
        <v/>
      </c>
      <c r="M287" s="56"/>
      <c r="N287" s="58" t="str">
        <f aca="false">IF(AND(ISNUMBER(J287),ISNUMBER(M287)),IF(M287&gt;=J287,(M287-J287)*1440,""),"")</f>
        <v/>
      </c>
      <c r="O287" s="54" t="str">
        <f aca="false">IF(N287="","",LOOKUP(N287,Tiempos!$A$6:$A$10,Tiempos!$B$6:$B$10))</f>
        <v/>
      </c>
      <c r="P287" s="54"/>
      <c r="Q287" s="54"/>
      <c r="R287" s="54"/>
      <c r="S287" s="54"/>
      <c r="T287" s="58"/>
      <c r="U287" s="54"/>
      <c r="V287" s="58"/>
      <c r="W287" s="57"/>
      <c r="X287" s="55"/>
      <c r="Y287" s="54"/>
      <c r="Z287" s="56"/>
      <c r="AA287" s="58" t="str">
        <f aca="false">IF(AND(ISNUMBER(M287),ISNUMBER(Z287)),IF(Z287&gt;=M287,(Z287-M287)*1440,""),"")</f>
        <v/>
      </c>
      <c r="AB287" s="57"/>
      <c r="AC287" s="56"/>
      <c r="AD287" s="58" t="str">
        <f aca="false">IF(AND(ISNUMBER(Z287),ISNUMBER(AC287)),IF(AC287&gt;=Z287,(AC287-Z287)*1440,""),"")</f>
        <v/>
      </c>
      <c r="AE287" s="54"/>
      <c r="AF287" s="54"/>
      <c r="AG287" s="54"/>
      <c r="AH287" s="58"/>
      <c r="AI287" s="55" t="n">
        <v>1</v>
      </c>
      <c r="AJ287" s="54" t="s">
        <v>216</v>
      </c>
      <c r="AK287" s="54" t="s">
        <v>212</v>
      </c>
    </row>
    <row r="288" customFormat="false" ht="15" hidden="false" customHeight="false" outlineLevel="0" collapsed="false">
      <c r="A288" s="54" t="s">
        <v>27</v>
      </c>
      <c r="B288" s="55" t="n">
        <v>1082</v>
      </c>
      <c r="C288" s="54" t="s">
        <v>129</v>
      </c>
      <c r="D288" s="54" t="s">
        <v>214</v>
      </c>
      <c r="E288" s="54" t="s">
        <v>233</v>
      </c>
      <c r="F288" s="56" t="n">
        <v>46304.7369550232</v>
      </c>
      <c r="G288" s="54" t="s">
        <v>212</v>
      </c>
      <c r="H288" s="54" t="s">
        <v>214</v>
      </c>
      <c r="I288" s="57" t="s">
        <v>524</v>
      </c>
      <c r="J288" s="56" t="n">
        <v>46304.7869346528</v>
      </c>
      <c r="K288" s="56" t="n">
        <v>46304.7894100463</v>
      </c>
      <c r="L288" s="58" t="n">
        <f aca="false">IF(AND(ISNUMBER(J288),ISNUMBER(K288)),IF(K288&gt;=J288,(K288-J288)*1440,""),"")</f>
        <v>3.56456664971667</v>
      </c>
      <c r="M288" s="56" t="n">
        <v>46304.7894100463</v>
      </c>
      <c r="N288" s="58" t="n">
        <f aca="false">IF(AND(ISNUMBER(J288),ISNUMBER(M288)),IF(M288&gt;=J288,(M288-J288)*1440,""),"")</f>
        <v>3.56456664971667</v>
      </c>
      <c r="O288" s="54" t="str">
        <f aca="false">IF(N288="","",LOOKUP(N288,Tiempos!$A$6:$A$10,Tiempos!$B$6:$B$10))</f>
        <v>Menos de 4 min</v>
      </c>
      <c r="P288" s="54" t="s">
        <v>239</v>
      </c>
      <c r="Q288" s="54" t="s">
        <v>214</v>
      </c>
      <c r="R288" s="54" t="s">
        <v>129</v>
      </c>
      <c r="S288" s="54" t="s">
        <v>220</v>
      </c>
      <c r="T288" s="58" t="n">
        <v>97.3</v>
      </c>
      <c r="U288" s="54" t="s">
        <v>214</v>
      </c>
      <c r="V288" s="58"/>
      <c r="W288" s="57" t="s">
        <v>522</v>
      </c>
      <c r="X288" s="55" t="n">
        <v>4</v>
      </c>
      <c r="Y288" s="54" t="s">
        <v>212</v>
      </c>
      <c r="Z288" s="56"/>
      <c r="AA288" s="58" t="str">
        <f aca="false">IF(AND(ISNUMBER(M288),ISNUMBER(Z288)),IF(Z288&gt;=M288,(Z288-M288)*1440,""),"")</f>
        <v/>
      </c>
      <c r="AB288" s="57"/>
      <c r="AC288" s="56"/>
      <c r="AD288" s="58" t="str">
        <f aca="false">IF(AND(ISNUMBER(Z288),ISNUMBER(AC288)),IF(AC288&gt;=Z288,(AC288-Z288)*1440,""),"")</f>
        <v/>
      </c>
      <c r="AE288" s="54"/>
      <c r="AF288" s="54" t="s">
        <v>214</v>
      </c>
      <c r="AG288" s="54"/>
      <c r="AH288" s="58"/>
      <c r="AI288" s="55" t="n">
        <v>3</v>
      </c>
      <c r="AJ288" s="54" t="s">
        <v>216</v>
      </c>
      <c r="AK288" s="54" t="s">
        <v>212</v>
      </c>
    </row>
    <row r="289" customFormat="false" ht="15" hidden="false" customHeight="false" outlineLevel="0" collapsed="false">
      <c r="A289" s="54" t="s">
        <v>27</v>
      </c>
      <c r="B289" s="55" t="n">
        <v>1100</v>
      </c>
      <c r="C289" s="54" t="s">
        <v>128</v>
      </c>
      <c r="D289" s="54" t="s">
        <v>211</v>
      </c>
      <c r="E289" s="54"/>
      <c r="F289" s="56" t="n">
        <v>46304.7801277083</v>
      </c>
      <c r="G289" s="54" t="s">
        <v>212</v>
      </c>
      <c r="H289" s="54" t="s">
        <v>212</v>
      </c>
      <c r="I289" s="57" t="s">
        <v>525</v>
      </c>
      <c r="J289" s="56" t="n">
        <v>46304.7806932986</v>
      </c>
      <c r="K289" s="56" t="n">
        <v>46304.7820865625</v>
      </c>
      <c r="L289" s="58" t="n">
        <f aca="false">IF(AND(ISNUMBER(J289),ISNUMBER(K289)),IF(K289&gt;=J289,(K289-J289)*1440,""),"")</f>
        <v>2.0063000021</v>
      </c>
      <c r="M289" s="56" t="n">
        <v>46304.7820865625</v>
      </c>
      <c r="N289" s="58" t="n">
        <f aca="false">IF(AND(ISNUMBER(J289),ISNUMBER(M289)),IF(M289&gt;=J289,(M289-J289)*1440,""),"")</f>
        <v>2.0063000021</v>
      </c>
      <c r="O289" s="54" t="str">
        <f aca="false">IF(N289="","",LOOKUP(N289,Tiempos!$A$6:$A$10,Tiempos!$B$6:$B$10))</f>
        <v>Menos de 4 min</v>
      </c>
      <c r="P289" s="54" t="s">
        <v>226</v>
      </c>
      <c r="Q289" s="54" t="s">
        <v>212</v>
      </c>
      <c r="R289" s="54" t="s">
        <v>128</v>
      </c>
      <c r="S289" s="54" t="s">
        <v>220</v>
      </c>
      <c r="T289" s="58"/>
      <c r="U289" s="54"/>
      <c r="V289" s="58"/>
      <c r="W289" s="57"/>
      <c r="X289" s="55" t="n">
        <v>0</v>
      </c>
      <c r="Y289" s="54" t="s">
        <v>212</v>
      </c>
      <c r="Z289" s="56"/>
      <c r="AA289" s="58" t="str">
        <f aca="false">IF(AND(ISNUMBER(M289),ISNUMBER(Z289)),IF(Z289&gt;=M289,(Z289-M289)*1440,""),"")</f>
        <v/>
      </c>
      <c r="AB289" s="57"/>
      <c r="AC289" s="56"/>
      <c r="AD289" s="58" t="str">
        <f aca="false">IF(AND(ISNUMBER(Z289),ISNUMBER(AC289)),IF(AC289&gt;=Z289,(AC289-Z289)*1440,""),"")</f>
        <v/>
      </c>
      <c r="AE289" s="54"/>
      <c r="AF289" s="54" t="s">
        <v>214</v>
      </c>
      <c r="AG289" s="54"/>
      <c r="AH289" s="58"/>
      <c r="AI289" s="55" t="n">
        <v>2</v>
      </c>
      <c r="AJ289" s="54" t="s">
        <v>216</v>
      </c>
      <c r="AK289" s="54" t="s">
        <v>212</v>
      </c>
    </row>
    <row r="290" customFormat="false" ht="15" hidden="false" customHeight="false" outlineLevel="0" collapsed="false">
      <c r="A290" s="54" t="s">
        <v>27</v>
      </c>
      <c r="B290" s="55" t="n">
        <v>1106</v>
      </c>
      <c r="C290" s="54" t="s">
        <v>129</v>
      </c>
      <c r="D290" s="54" t="s">
        <v>214</v>
      </c>
      <c r="E290" s="54" t="s">
        <v>278</v>
      </c>
      <c r="F290" s="56" t="n">
        <v>46304.8342886921</v>
      </c>
      <c r="G290" s="54" t="s">
        <v>212</v>
      </c>
      <c r="H290" s="54" t="s">
        <v>214</v>
      </c>
      <c r="I290" s="57" t="s">
        <v>526</v>
      </c>
      <c r="J290" s="56" t="n">
        <v>46304.8432610417</v>
      </c>
      <c r="K290" s="56" t="n">
        <v>46304.8447633681</v>
      </c>
      <c r="L290" s="58" t="n">
        <f aca="false">IF(AND(ISNUMBER(J290),ISNUMBER(K290)),IF(K290&gt;=J290,(K290-J290)*1440,""),"")</f>
        <v>2.16335002448333</v>
      </c>
      <c r="M290" s="56" t="n">
        <v>46304.8479208796</v>
      </c>
      <c r="N290" s="58" t="n">
        <f aca="false">IF(AND(ISNUMBER(J290),ISNUMBER(M290)),IF(M290&gt;=J290,(M290-J290)*1440,""),"")</f>
        <v>6.71016667736667</v>
      </c>
      <c r="O290" s="54" t="str">
        <f aca="false">IF(N290="","",LOOKUP(N290,Tiempos!$A$6:$A$10,Tiempos!$B$6:$B$10))</f>
        <v>6 a 10 min</v>
      </c>
      <c r="P290" s="54" t="s">
        <v>219</v>
      </c>
      <c r="Q290" s="54" t="s">
        <v>214</v>
      </c>
      <c r="R290" s="54" t="s">
        <v>129</v>
      </c>
      <c r="S290" s="54" t="s">
        <v>220</v>
      </c>
      <c r="T290" s="58" t="n">
        <v>96.2</v>
      </c>
      <c r="U290" s="54" t="s">
        <v>214</v>
      </c>
      <c r="V290" s="58" t="n">
        <v>3.41</v>
      </c>
      <c r="W290" s="57" t="s">
        <v>527</v>
      </c>
      <c r="X290" s="55" t="n">
        <v>4</v>
      </c>
      <c r="Y290" s="54" t="s">
        <v>212</v>
      </c>
      <c r="Z290" s="56"/>
      <c r="AA290" s="58" t="str">
        <f aca="false">IF(AND(ISNUMBER(M290),ISNUMBER(Z290)),IF(Z290&gt;=M290,(Z290-M290)*1440,""),"")</f>
        <v/>
      </c>
      <c r="AB290" s="57"/>
      <c r="AC290" s="56"/>
      <c r="AD290" s="58" t="str">
        <f aca="false">IF(AND(ISNUMBER(Z290),ISNUMBER(AC290)),IF(AC290&gt;=Z290,(AC290-Z290)*1440,""),"")</f>
        <v/>
      </c>
      <c r="AE290" s="54"/>
      <c r="AF290" s="54" t="s">
        <v>214</v>
      </c>
      <c r="AG290" s="54"/>
      <c r="AH290" s="58"/>
      <c r="AI290" s="55" t="n">
        <v>1</v>
      </c>
      <c r="AJ290" s="54" t="s">
        <v>216</v>
      </c>
      <c r="AK290" s="54" t="s">
        <v>212</v>
      </c>
    </row>
    <row r="291" customFormat="false" ht="15" hidden="false" customHeight="false" outlineLevel="0" collapsed="false">
      <c r="A291" s="54" t="s">
        <v>27</v>
      </c>
      <c r="B291" s="55" t="n">
        <v>1109</v>
      </c>
      <c r="C291" s="54" t="s">
        <v>127</v>
      </c>
      <c r="D291" s="54" t="s">
        <v>212</v>
      </c>
      <c r="E291" s="54"/>
      <c r="F291" s="56" t="n">
        <v>46304.8445531134</v>
      </c>
      <c r="G291" s="54" t="s">
        <v>212</v>
      </c>
      <c r="H291" s="54" t="s">
        <v>214</v>
      </c>
      <c r="I291" s="57"/>
      <c r="J291" s="56"/>
      <c r="K291" s="56"/>
      <c r="L291" s="58" t="str">
        <f aca="false">IF(AND(ISNUMBER(J291),ISNUMBER(K291)),IF(K291&gt;=J291,(K291-J291)*1440,""),"")</f>
        <v/>
      </c>
      <c r="M291" s="56"/>
      <c r="N291" s="58" t="str">
        <f aca="false">IF(AND(ISNUMBER(J291),ISNUMBER(M291)),IF(M291&gt;=J291,(M291-J291)*1440,""),"")</f>
        <v/>
      </c>
      <c r="O291" s="54" t="str">
        <f aca="false">IF(N291="","",LOOKUP(N291,Tiempos!$A$6:$A$10,Tiempos!$B$6:$B$10))</f>
        <v/>
      </c>
      <c r="P291" s="54"/>
      <c r="Q291" s="54"/>
      <c r="R291" s="54"/>
      <c r="S291" s="54"/>
      <c r="T291" s="58"/>
      <c r="U291" s="54"/>
      <c r="V291" s="58"/>
      <c r="W291" s="57"/>
      <c r="X291" s="55"/>
      <c r="Y291" s="54"/>
      <c r="Z291" s="56"/>
      <c r="AA291" s="58" t="str">
        <f aca="false">IF(AND(ISNUMBER(M291),ISNUMBER(Z291)),IF(Z291&gt;=M291,(Z291-M291)*1440,""),"")</f>
        <v/>
      </c>
      <c r="AB291" s="57"/>
      <c r="AC291" s="56"/>
      <c r="AD291" s="58" t="str">
        <f aca="false">IF(AND(ISNUMBER(Z291),ISNUMBER(AC291)),IF(AC291&gt;=Z291,(AC291-Z291)*1440,""),"")</f>
        <v/>
      </c>
      <c r="AE291" s="54"/>
      <c r="AF291" s="54"/>
      <c r="AG291" s="54"/>
      <c r="AH291" s="58"/>
      <c r="AI291" s="55" t="n">
        <v>2</v>
      </c>
      <c r="AJ291" s="54" t="s">
        <v>216</v>
      </c>
      <c r="AK291" s="54" t="s">
        <v>212</v>
      </c>
    </row>
    <row r="292" customFormat="false" ht="15" hidden="false" customHeight="false" outlineLevel="0" collapsed="false">
      <c r="A292" s="54" t="s">
        <v>27</v>
      </c>
      <c r="B292" s="55" t="n">
        <v>1112</v>
      </c>
      <c r="C292" s="54" t="s">
        <v>129</v>
      </c>
      <c r="D292" s="54" t="s">
        <v>211</v>
      </c>
      <c r="E292" s="54"/>
      <c r="F292" s="56" t="n">
        <v>46304.8773352431</v>
      </c>
      <c r="G292" s="54" t="s">
        <v>212</v>
      </c>
      <c r="H292" s="54" t="s">
        <v>214</v>
      </c>
      <c r="I292" s="57" t="s">
        <v>528</v>
      </c>
      <c r="J292" s="56" t="n">
        <v>46304.8773619907</v>
      </c>
      <c r="K292" s="56" t="n">
        <v>46304.8807657292</v>
      </c>
      <c r="L292" s="58" t="n">
        <f aca="false">IF(AND(ISNUMBER(J292),ISNUMBER(K292)),IF(K292&gt;=J292,(K292-J292)*1440,""),"")</f>
        <v>4.90138334221667</v>
      </c>
      <c r="M292" s="56" t="n">
        <v>46304.8807657292</v>
      </c>
      <c r="N292" s="58" t="n">
        <f aca="false">IF(AND(ISNUMBER(J292),ISNUMBER(M292)),IF(M292&gt;=J292,(M292-J292)*1440,""),"")</f>
        <v>4.90138334221667</v>
      </c>
      <c r="O292" s="54" t="str">
        <f aca="false">IF(N292="","",LOOKUP(N292,Tiempos!$A$6:$A$10,Tiempos!$B$6:$B$10))</f>
        <v>4 a 6 min</v>
      </c>
      <c r="P292" s="54" t="s">
        <v>226</v>
      </c>
      <c r="Q292" s="54" t="s">
        <v>212</v>
      </c>
      <c r="R292" s="54" t="s">
        <v>129</v>
      </c>
      <c r="S292" s="54" t="s">
        <v>220</v>
      </c>
      <c r="T292" s="58"/>
      <c r="U292" s="54"/>
      <c r="V292" s="58"/>
      <c r="W292" s="57"/>
      <c r="X292" s="55" t="n">
        <v>0</v>
      </c>
      <c r="Y292" s="54" t="s">
        <v>214</v>
      </c>
      <c r="Z292" s="56" t="n">
        <v>46305.556331169</v>
      </c>
      <c r="AA292" s="58" t="n">
        <f aca="false">IF(AND(ISNUMBER(M292),ISNUMBER(Z292)),IF(Z292&gt;=M292,(Z292-M292)*1440,""),"")</f>
        <v>972.81423332285</v>
      </c>
      <c r="AB292" s="57" t="s">
        <v>529</v>
      </c>
      <c r="AC292" s="56" t="n">
        <v>46305.5581865394</v>
      </c>
      <c r="AD292" s="58" t="n">
        <f aca="false">IF(AND(ISNUMBER(Z292),ISNUMBER(AC292)),IF(AC292&gt;=Z292,(AC292-Z292)*1440,""),"")</f>
        <v>2.67173333325</v>
      </c>
      <c r="AE292" s="54" t="s">
        <v>258</v>
      </c>
      <c r="AF292" s="54" t="s">
        <v>214</v>
      </c>
      <c r="AG292" s="54" t="s">
        <v>212</v>
      </c>
      <c r="AH292" s="58"/>
      <c r="AI292" s="55" t="n">
        <v>3</v>
      </c>
      <c r="AJ292" s="54" t="s">
        <v>216</v>
      </c>
      <c r="AK292" s="54" t="s">
        <v>212</v>
      </c>
    </row>
    <row r="293" customFormat="false" ht="15" hidden="false" customHeight="false" outlineLevel="0" collapsed="false">
      <c r="A293" s="54" t="s">
        <v>27</v>
      </c>
      <c r="B293" s="55" t="n">
        <v>1122</v>
      </c>
      <c r="C293" s="54" t="s">
        <v>127</v>
      </c>
      <c r="D293" s="54" t="s">
        <v>214</v>
      </c>
      <c r="E293" s="54" t="s">
        <v>217</v>
      </c>
      <c r="F293" s="56" t="n">
        <v>46304.92617</v>
      </c>
      <c r="G293" s="54" t="s">
        <v>214</v>
      </c>
      <c r="H293" s="54" t="s">
        <v>214</v>
      </c>
      <c r="I293" s="57" t="s">
        <v>530</v>
      </c>
      <c r="J293" s="56" t="n">
        <v>46304.9265106944</v>
      </c>
      <c r="K293" s="56" t="n">
        <v>46305.3244503125</v>
      </c>
      <c r="L293" s="58" t="n">
        <f aca="false">IF(AND(ISNUMBER(J293),ISNUMBER(K293)),IF(K293&gt;=J293,(K293-J293)*1440,""),"")</f>
        <v>573.033050014633</v>
      </c>
      <c r="M293" s="56" t="n">
        <v>46305.3244503125</v>
      </c>
      <c r="N293" s="58" t="n">
        <f aca="false">IF(AND(ISNUMBER(J293),ISNUMBER(M293)),IF(M293&gt;=J293,(M293-J293)*1440,""),"")</f>
        <v>573.033050014633</v>
      </c>
      <c r="O293" s="54" t="str">
        <f aca="false">IF(N293="","",LOOKUP(N293,Tiempos!$A$6:$A$10,Tiempos!$B$6:$B$10))</f>
        <v>30 min o más</v>
      </c>
      <c r="P293" s="54" t="s">
        <v>226</v>
      </c>
      <c r="Q293" s="54" t="s">
        <v>212</v>
      </c>
      <c r="R293" s="54" t="s">
        <v>130</v>
      </c>
      <c r="S293" s="54" t="s">
        <v>215</v>
      </c>
      <c r="T293" s="58"/>
      <c r="U293" s="54"/>
      <c r="V293" s="58"/>
      <c r="W293" s="57"/>
      <c r="X293" s="55" t="n">
        <v>0</v>
      </c>
      <c r="Y293" s="54" t="s">
        <v>214</v>
      </c>
      <c r="Z293" s="56" t="n">
        <v>46307.5289465162</v>
      </c>
      <c r="AA293" s="58" t="n">
        <f aca="false">IF(AND(ISNUMBER(M293),ISNUMBER(Z293)),IF(Z293&gt;=M293,(Z293-M293)*1440,""),"")</f>
        <v>3174.47453334345</v>
      </c>
      <c r="AB293" s="57" t="s">
        <v>531</v>
      </c>
      <c r="AC293" s="56" t="n">
        <v>46307.5293223495</v>
      </c>
      <c r="AD293" s="58" t="n">
        <f aca="false">IF(AND(ISNUMBER(Z293),ISNUMBER(AC293)),IF(AC293&gt;=Z293,(AC293-Z293)*1440,""),"")</f>
        <v>0.541199989383333</v>
      </c>
      <c r="AE293" s="54" t="s">
        <v>258</v>
      </c>
      <c r="AF293" s="54" t="s">
        <v>212</v>
      </c>
      <c r="AG293" s="54" t="s">
        <v>212</v>
      </c>
      <c r="AH293" s="58"/>
      <c r="AI293" s="55" t="n">
        <v>2</v>
      </c>
      <c r="AJ293" s="54" t="s">
        <v>216</v>
      </c>
      <c r="AK293" s="54" t="s">
        <v>212</v>
      </c>
    </row>
    <row r="294" customFormat="false" ht="15" hidden="false" customHeight="false" outlineLevel="0" collapsed="false">
      <c r="A294" s="54" t="s">
        <v>27</v>
      </c>
      <c r="B294" s="55" t="n">
        <v>1145</v>
      </c>
      <c r="C294" s="54" t="s">
        <v>128</v>
      </c>
      <c r="D294" s="54" t="s">
        <v>214</v>
      </c>
      <c r="E294" s="54" t="s">
        <v>224</v>
      </c>
      <c r="F294" s="56" t="n">
        <v>46305.2976818519</v>
      </c>
      <c r="G294" s="54" t="s">
        <v>214</v>
      </c>
      <c r="H294" s="54" t="s">
        <v>214</v>
      </c>
      <c r="I294" s="57" t="s">
        <v>532</v>
      </c>
      <c r="J294" s="56" t="n">
        <v>46305.3011896991</v>
      </c>
      <c r="K294" s="56" t="n">
        <v>46305.3331612732</v>
      </c>
      <c r="L294" s="58" t="n">
        <f aca="false">IF(AND(ISNUMBER(J294),ISNUMBER(K294)),IF(K294&gt;=J294,(K294-J294)*1440,""),"")</f>
        <v>46.0390666709167</v>
      </c>
      <c r="M294" s="56" t="n">
        <v>46305.3438148032</v>
      </c>
      <c r="N294" s="58" t="n">
        <f aca="false">IF(AND(ISNUMBER(J294),ISNUMBER(M294)),IF(M294&gt;=J294,(M294-J294)*1440,""),"")</f>
        <v>61.3801499968333</v>
      </c>
      <c r="O294" s="54" t="str">
        <f aca="false">IF(N294="","",LOOKUP(N294,Tiempos!$A$6:$A$10,Tiempos!$B$6:$B$10))</f>
        <v>30 min o más</v>
      </c>
      <c r="P294" s="54" t="s">
        <v>229</v>
      </c>
      <c r="Q294" s="54" t="s">
        <v>214</v>
      </c>
      <c r="R294" s="54" t="s">
        <v>130</v>
      </c>
      <c r="S294" s="54" t="s">
        <v>215</v>
      </c>
      <c r="T294" s="58" t="n">
        <v>107</v>
      </c>
      <c r="U294" s="54" t="s">
        <v>214</v>
      </c>
      <c r="V294" s="58" t="n">
        <v>15.34</v>
      </c>
      <c r="W294" s="57" t="s">
        <v>368</v>
      </c>
      <c r="X294" s="55" t="n">
        <v>2</v>
      </c>
      <c r="Y294" s="54" t="s">
        <v>212</v>
      </c>
      <c r="Z294" s="56"/>
      <c r="AA294" s="58" t="str">
        <f aca="false">IF(AND(ISNUMBER(M294),ISNUMBER(Z294)),IF(Z294&gt;=M294,(Z294-M294)*1440,""),"")</f>
        <v/>
      </c>
      <c r="AB294" s="57"/>
      <c r="AC294" s="56"/>
      <c r="AD294" s="58" t="str">
        <f aca="false">IF(AND(ISNUMBER(Z294),ISNUMBER(AC294)),IF(AC294&gt;=Z294,(AC294-Z294)*1440,""),"")</f>
        <v/>
      </c>
      <c r="AE294" s="54"/>
      <c r="AF294" s="54" t="s">
        <v>212</v>
      </c>
      <c r="AG294" s="54"/>
      <c r="AH294" s="58"/>
      <c r="AI294" s="55" t="n">
        <v>1</v>
      </c>
      <c r="AJ294" s="54" t="s">
        <v>216</v>
      </c>
      <c r="AK294" s="54" t="s">
        <v>212</v>
      </c>
    </row>
    <row r="295" customFormat="false" ht="15" hidden="false" customHeight="false" outlineLevel="0" collapsed="false">
      <c r="A295" s="54" t="s">
        <v>27</v>
      </c>
      <c r="B295" s="55" t="n">
        <v>1131</v>
      </c>
      <c r="C295" s="54" t="s">
        <v>128</v>
      </c>
      <c r="D295" s="54" t="s">
        <v>214</v>
      </c>
      <c r="E295" s="54" t="s">
        <v>233</v>
      </c>
      <c r="F295" s="56" t="n">
        <v>46305.3292605093</v>
      </c>
      <c r="G295" s="54" t="s">
        <v>214</v>
      </c>
      <c r="H295" s="54" t="s">
        <v>214</v>
      </c>
      <c r="I295" s="57" t="s">
        <v>233</v>
      </c>
      <c r="J295" s="56" t="n">
        <v>46305.329635081</v>
      </c>
      <c r="K295" s="56" t="n">
        <v>46305.3447834491</v>
      </c>
      <c r="L295" s="58" t="n">
        <f aca="false">IF(AND(ISNUMBER(J295),ISNUMBER(K295)),IF(K295&gt;=J295,(K295-J295)*1440,""),"")</f>
        <v>21.8136499961833</v>
      </c>
      <c r="M295" s="56" t="n">
        <v>46305.3466228935</v>
      </c>
      <c r="N295" s="58" t="n">
        <f aca="false">IF(AND(ISNUMBER(J295),ISNUMBER(M295)),IF(M295&gt;=J295,(M295-J295)*1440,""),"")</f>
        <v>24.4624500023167</v>
      </c>
      <c r="O295" s="54" t="str">
        <f aca="false">IF(N295="","",LOOKUP(N295,Tiempos!$A$6:$A$10,Tiempos!$B$6:$B$10))</f>
        <v>10 a 30 min</v>
      </c>
      <c r="P295" s="54" t="s">
        <v>229</v>
      </c>
      <c r="Q295" s="54" t="s">
        <v>214</v>
      </c>
      <c r="R295" s="54" t="s">
        <v>130</v>
      </c>
      <c r="S295" s="54" t="s">
        <v>215</v>
      </c>
      <c r="T295" s="58" t="n">
        <v>99</v>
      </c>
      <c r="U295" s="54" t="s">
        <v>214</v>
      </c>
      <c r="V295" s="58" t="n">
        <v>2.65</v>
      </c>
      <c r="W295" s="57" t="s">
        <v>235</v>
      </c>
      <c r="X295" s="55" t="n">
        <v>2</v>
      </c>
      <c r="Y295" s="54" t="s">
        <v>214</v>
      </c>
      <c r="Z295" s="56" t="n">
        <v>46305.3479952199</v>
      </c>
      <c r="AA295" s="58" t="n">
        <f aca="false">IF(AND(ISNUMBER(M295),ISNUMBER(Z295)),IF(Z295&gt;=M295,(Z295-M295)*1440,""),"")</f>
        <v>1.97614998206667</v>
      </c>
      <c r="AB295" s="57" t="s">
        <v>533</v>
      </c>
      <c r="AC295" s="56" t="n">
        <v>46305.3511886343</v>
      </c>
      <c r="AD295" s="58" t="n">
        <f aca="false">IF(AND(ISNUMBER(Z295),ISNUMBER(AC295)),IF(AC295&gt;=Z295,(AC295-Z295)*1440,""),"")</f>
        <v>4.59851668215</v>
      </c>
      <c r="AE295" s="54" t="s">
        <v>534</v>
      </c>
      <c r="AF295" s="54" t="s">
        <v>214</v>
      </c>
      <c r="AG295" s="54" t="s">
        <v>214</v>
      </c>
      <c r="AH295" s="58" t="n">
        <v>16.6</v>
      </c>
      <c r="AI295" s="55" t="n">
        <v>2</v>
      </c>
      <c r="AJ295" s="54" t="s">
        <v>216</v>
      </c>
      <c r="AK295" s="54" t="s">
        <v>212</v>
      </c>
    </row>
    <row r="296" customFormat="false" ht="15" hidden="false" customHeight="false" outlineLevel="0" collapsed="false">
      <c r="A296" s="54" t="s">
        <v>27</v>
      </c>
      <c r="B296" s="55" t="n">
        <v>1137</v>
      </c>
      <c r="C296" s="54" t="s">
        <v>128</v>
      </c>
      <c r="D296" s="54" t="s">
        <v>214</v>
      </c>
      <c r="E296" s="54" t="s">
        <v>233</v>
      </c>
      <c r="F296" s="56" t="n">
        <v>46305.330334375</v>
      </c>
      <c r="G296" s="54" t="s">
        <v>214</v>
      </c>
      <c r="H296" s="54" t="s">
        <v>212</v>
      </c>
      <c r="I296" s="57" t="s">
        <v>535</v>
      </c>
      <c r="J296" s="56" t="n">
        <v>46305.3318765394</v>
      </c>
      <c r="K296" s="56" t="n">
        <v>46305.3556634144</v>
      </c>
      <c r="L296" s="58" t="n">
        <f aca="false">IF(AND(ISNUMBER(J296),ISNUMBER(K296)),IF(K296&gt;=J296,(K296-J296)*1440,""),"")</f>
        <v>34.2531000066</v>
      </c>
      <c r="M296" s="56" t="n">
        <v>46305.358618831</v>
      </c>
      <c r="N296" s="58" t="n">
        <f aca="false">IF(AND(ISNUMBER(J296),ISNUMBER(M296)),IF(M296&gt;=J296,(M296-J296)*1440,""),"")</f>
        <v>38.5089000093167</v>
      </c>
      <c r="O296" s="54" t="str">
        <f aca="false">IF(N296="","",LOOKUP(N296,Tiempos!$A$6:$A$10,Tiempos!$B$6:$B$10))</f>
        <v>30 min o más</v>
      </c>
      <c r="P296" s="54" t="s">
        <v>229</v>
      </c>
      <c r="Q296" s="54" t="s">
        <v>214</v>
      </c>
      <c r="R296" s="54" t="s">
        <v>130</v>
      </c>
      <c r="S296" s="54" t="s">
        <v>215</v>
      </c>
      <c r="T296" s="58" t="n">
        <v>103.2</v>
      </c>
      <c r="U296" s="54" t="s">
        <v>212</v>
      </c>
      <c r="V296" s="58" t="n">
        <v>4.26</v>
      </c>
      <c r="W296" s="57" t="s">
        <v>536</v>
      </c>
      <c r="X296" s="55" t="n">
        <v>2</v>
      </c>
      <c r="Y296" s="54" t="s">
        <v>214</v>
      </c>
      <c r="Z296" s="56" t="n">
        <v>46305.3608466319</v>
      </c>
      <c r="AA296" s="58" t="n">
        <f aca="false">IF(AND(ISNUMBER(M296),ISNUMBER(Z296)),IF(Z296&gt;=M296,(Z296-M296)*1440,""),"")</f>
        <v>3.20803332491667</v>
      </c>
      <c r="AB296" s="57" t="s">
        <v>284</v>
      </c>
      <c r="AC296" s="56" t="n">
        <v>46305.3617796528</v>
      </c>
      <c r="AD296" s="58" t="n">
        <f aca="false">IF(AND(ISNUMBER(Z296),ISNUMBER(AC296)),IF(AC296&gt;=Z296,(AC296-Z296)*1440,""),"")</f>
        <v>1.3435500115</v>
      </c>
      <c r="AE296" s="54" t="s">
        <v>277</v>
      </c>
      <c r="AF296" s="54" t="s">
        <v>214</v>
      </c>
      <c r="AG296" s="54" t="s">
        <v>214</v>
      </c>
      <c r="AH296" s="58" t="n">
        <v>4</v>
      </c>
      <c r="AI296" s="55" t="n">
        <v>2</v>
      </c>
      <c r="AJ296" s="54" t="s">
        <v>216</v>
      </c>
      <c r="AK296" s="54" t="s">
        <v>212</v>
      </c>
    </row>
    <row r="297" customFormat="false" ht="15" hidden="false" customHeight="false" outlineLevel="0" collapsed="false">
      <c r="A297" s="54" t="s">
        <v>27</v>
      </c>
      <c r="B297" s="55" t="n">
        <v>1142</v>
      </c>
      <c r="C297" s="54" t="s">
        <v>303</v>
      </c>
      <c r="D297" s="54" t="s">
        <v>212</v>
      </c>
      <c r="E297" s="54"/>
      <c r="F297" s="56" t="n">
        <v>46305.3322239815</v>
      </c>
      <c r="G297" s="54" t="s">
        <v>214</v>
      </c>
      <c r="H297" s="54" t="s">
        <v>214</v>
      </c>
      <c r="I297" s="57"/>
      <c r="J297" s="56"/>
      <c r="K297" s="56"/>
      <c r="L297" s="58" t="str">
        <f aca="false">IF(AND(ISNUMBER(J297),ISNUMBER(K297)),IF(K297&gt;=J297,(K297-J297)*1440,""),"")</f>
        <v/>
      </c>
      <c r="M297" s="56"/>
      <c r="N297" s="58" t="str">
        <f aca="false">IF(AND(ISNUMBER(J297),ISNUMBER(M297)),IF(M297&gt;=J297,(M297-J297)*1440,""),"")</f>
        <v/>
      </c>
      <c r="O297" s="54" t="str">
        <f aca="false">IF(N297="","",LOOKUP(N297,Tiempos!$A$6:$A$10,Tiempos!$B$6:$B$10))</f>
        <v/>
      </c>
      <c r="P297" s="54"/>
      <c r="Q297" s="54"/>
      <c r="R297" s="54"/>
      <c r="S297" s="54"/>
      <c r="T297" s="58"/>
      <c r="U297" s="54"/>
      <c r="V297" s="58"/>
      <c r="W297" s="57"/>
      <c r="X297" s="55"/>
      <c r="Y297" s="54"/>
      <c r="Z297" s="56"/>
      <c r="AA297" s="58" t="str">
        <f aca="false">IF(AND(ISNUMBER(M297),ISNUMBER(Z297)),IF(Z297&gt;=M297,(Z297-M297)*1440,""),"")</f>
        <v/>
      </c>
      <c r="AB297" s="57"/>
      <c r="AC297" s="56"/>
      <c r="AD297" s="58" t="str">
        <f aca="false">IF(AND(ISNUMBER(Z297),ISNUMBER(AC297)),IF(AC297&gt;=Z297,(AC297-Z297)*1440,""),"")</f>
        <v/>
      </c>
      <c r="AE297" s="54"/>
      <c r="AF297" s="54"/>
      <c r="AG297" s="54"/>
      <c r="AH297" s="58"/>
      <c r="AI297" s="55" t="n">
        <v>2</v>
      </c>
      <c r="AJ297" s="54" t="s">
        <v>216</v>
      </c>
      <c r="AK297" s="54" t="s">
        <v>212</v>
      </c>
    </row>
    <row r="298" customFormat="false" ht="15" hidden="false" customHeight="false" outlineLevel="0" collapsed="false">
      <c r="A298" s="54" t="s">
        <v>27</v>
      </c>
      <c r="B298" s="55" t="n">
        <v>1143</v>
      </c>
      <c r="C298" s="54" t="s">
        <v>128</v>
      </c>
      <c r="D298" s="54" t="s">
        <v>214</v>
      </c>
      <c r="E298" s="54" t="s">
        <v>233</v>
      </c>
      <c r="F298" s="56" t="n">
        <v>46305.3324055787</v>
      </c>
      <c r="G298" s="54" t="s">
        <v>214</v>
      </c>
      <c r="H298" s="54" t="s">
        <v>214</v>
      </c>
      <c r="I298" s="57" t="s">
        <v>537</v>
      </c>
      <c r="J298" s="56" t="n">
        <v>46305.3623188889</v>
      </c>
      <c r="K298" s="56" t="n">
        <v>46305.3790606134</v>
      </c>
      <c r="L298" s="58" t="n">
        <f aca="false">IF(AND(ISNUMBER(J298),ISNUMBER(K298)),IF(K298&gt;=J298,(K298-J298)*1440,""),"")</f>
        <v>24.1080833366</v>
      </c>
      <c r="M298" s="56" t="n">
        <v>46305.3829888426</v>
      </c>
      <c r="N298" s="58" t="n">
        <f aca="false">IF(AND(ISNUMBER(J298),ISNUMBER(M298)),IF(M298&gt;=J298,(M298-J298)*1440,""),"")</f>
        <v>29.7647333296333</v>
      </c>
      <c r="O298" s="54" t="str">
        <f aca="false">IF(N298="","",LOOKUP(N298,Tiempos!$A$6:$A$10,Tiempos!$B$6:$B$10))</f>
        <v>10 a 30 min</v>
      </c>
      <c r="P298" s="54" t="s">
        <v>229</v>
      </c>
      <c r="Q298" s="54" t="s">
        <v>214</v>
      </c>
      <c r="R298" s="54" t="s">
        <v>130</v>
      </c>
      <c r="S298" s="54" t="s">
        <v>215</v>
      </c>
      <c r="T298" s="58" t="n">
        <v>99.8</v>
      </c>
      <c r="U298" s="54" t="s">
        <v>214</v>
      </c>
      <c r="V298" s="58" t="n">
        <v>5.66</v>
      </c>
      <c r="W298" s="57" t="s">
        <v>267</v>
      </c>
      <c r="X298" s="55" t="n">
        <v>2</v>
      </c>
      <c r="Y298" s="54" t="s">
        <v>212</v>
      </c>
      <c r="Z298" s="56"/>
      <c r="AA298" s="58" t="str">
        <f aca="false">IF(AND(ISNUMBER(M298),ISNUMBER(Z298)),IF(Z298&gt;=M298,(Z298-M298)*1440,""),"")</f>
        <v/>
      </c>
      <c r="AB298" s="57"/>
      <c r="AC298" s="56"/>
      <c r="AD298" s="58" t="str">
        <f aca="false">IF(AND(ISNUMBER(Z298),ISNUMBER(AC298)),IF(AC298&gt;=Z298,(AC298-Z298)*1440,""),"")</f>
        <v/>
      </c>
      <c r="AE298" s="54"/>
      <c r="AF298" s="54" t="s">
        <v>212</v>
      </c>
      <c r="AG298" s="54"/>
      <c r="AH298" s="58"/>
      <c r="AI298" s="55" t="n">
        <v>2</v>
      </c>
      <c r="AJ298" s="54" t="s">
        <v>216</v>
      </c>
      <c r="AK298" s="54" t="s">
        <v>212</v>
      </c>
    </row>
    <row r="299" customFormat="false" ht="15" hidden="false" customHeight="false" outlineLevel="0" collapsed="false">
      <c r="A299" s="54" t="s">
        <v>27</v>
      </c>
      <c r="B299" s="55" t="n">
        <v>1150</v>
      </c>
      <c r="C299" s="54" t="s">
        <v>128</v>
      </c>
      <c r="D299" s="54" t="s">
        <v>214</v>
      </c>
      <c r="E299" s="54" t="s">
        <v>233</v>
      </c>
      <c r="F299" s="56" t="n">
        <v>46305.333752419</v>
      </c>
      <c r="G299" s="54" t="s">
        <v>212</v>
      </c>
      <c r="H299" s="54" t="s">
        <v>214</v>
      </c>
      <c r="I299" s="57" t="s">
        <v>538</v>
      </c>
      <c r="J299" s="56" t="n">
        <v>46305.3347262153</v>
      </c>
      <c r="K299" s="56" t="n">
        <v>46305.3628350347</v>
      </c>
      <c r="L299" s="58" t="n">
        <f aca="false">IF(AND(ISNUMBER(J299),ISNUMBER(K299)),IF(K299&gt;=J299,(K299-J299)*1440,""),"")</f>
        <v>40.4767000128</v>
      </c>
      <c r="M299" s="56" t="n">
        <v>46305.3679788542</v>
      </c>
      <c r="N299" s="58" t="n">
        <f aca="false">IF(AND(ISNUMBER(J299),ISNUMBER(M299)),IF(M299&gt;=J299,(M299-J299)*1440,""),"")</f>
        <v>47.8838000097167</v>
      </c>
      <c r="O299" s="54" t="str">
        <f aca="false">IF(N299="","",LOOKUP(N299,Tiempos!$A$6:$A$10,Tiempos!$B$6:$B$10))</f>
        <v>30 min o más</v>
      </c>
      <c r="P299" s="54" t="s">
        <v>229</v>
      </c>
      <c r="Q299" s="54" t="s">
        <v>214</v>
      </c>
      <c r="R299" s="54" t="s">
        <v>130</v>
      </c>
      <c r="S299" s="54" t="s">
        <v>215</v>
      </c>
      <c r="T299" s="58" t="n">
        <v>100.8</v>
      </c>
      <c r="U299" s="54" t="s">
        <v>214</v>
      </c>
      <c r="V299" s="58" t="n">
        <v>7.41</v>
      </c>
      <c r="W299" s="57" t="s">
        <v>235</v>
      </c>
      <c r="X299" s="55" t="n">
        <v>2</v>
      </c>
      <c r="Y299" s="54" t="s">
        <v>214</v>
      </c>
      <c r="Z299" s="56" t="n">
        <v>46305.3694564236</v>
      </c>
      <c r="AA299" s="58" t="n">
        <f aca="false">IF(AND(ISNUMBER(M299),ISNUMBER(Z299)),IF(Z299&gt;=M299,(Z299-M299)*1440,""),"")</f>
        <v>2.12769999866667</v>
      </c>
      <c r="AB299" s="57" t="s">
        <v>539</v>
      </c>
      <c r="AC299" s="56" t="n">
        <v>46305.371707419</v>
      </c>
      <c r="AD299" s="58" t="n">
        <f aca="false">IF(AND(ISNUMBER(Z299),ISNUMBER(AC299)),IF(AC299&gt;=Z299,(AC299-Z299)*1440,""),"")</f>
        <v>3.2414333336</v>
      </c>
      <c r="AE299" s="54" t="s">
        <v>237</v>
      </c>
      <c r="AF299" s="54" t="s">
        <v>212</v>
      </c>
      <c r="AG299" s="54" t="s">
        <v>212</v>
      </c>
      <c r="AH299" s="58"/>
      <c r="AI299" s="55" t="n">
        <v>3</v>
      </c>
      <c r="AJ299" s="54" t="s">
        <v>216</v>
      </c>
      <c r="AK299" s="54" t="s">
        <v>212</v>
      </c>
    </row>
    <row r="300" customFormat="false" ht="15" hidden="false" customHeight="false" outlineLevel="0" collapsed="false">
      <c r="A300" s="54" t="s">
        <v>27</v>
      </c>
      <c r="B300" s="55" t="n">
        <v>1151</v>
      </c>
      <c r="C300" s="54" t="s">
        <v>128</v>
      </c>
      <c r="D300" s="54" t="s">
        <v>214</v>
      </c>
      <c r="E300" s="54" t="s">
        <v>233</v>
      </c>
      <c r="F300" s="56" t="n">
        <v>46305.3340032176</v>
      </c>
      <c r="G300" s="54" t="s">
        <v>212</v>
      </c>
      <c r="H300" s="54" t="s">
        <v>214</v>
      </c>
      <c r="I300" s="57" t="s">
        <v>540</v>
      </c>
      <c r="J300" s="56" t="n">
        <v>46305.3343661574</v>
      </c>
      <c r="K300" s="56" t="n">
        <v>46305.3606837847</v>
      </c>
      <c r="L300" s="58" t="n">
        <f aca="false">IF(AND(ISNUMBER(J300),ISNUMBER(K300)),IF(K300&gt;=J300,(K300-J300)*1440,""),"")</f>
        <v>37.89738334365</v>
      </c>
      <c r="M300" s="56" t="n">
        <v>46305.8140671759</v>
      </c>
      <c r="N300" s="58" t="n">
        <f aca="false">IF(AND(ISNUMBER(J300),ISNUMBER(M300)),IF(M300&gt;=J300,(M300-J300)*1440,""),"")</f>
        <v>690.7694666495</v>
      </c>
      <c r="O300" s="54" t="str">
        <f aca="false">IF(N300="","",LOOKUP(N300,Tiempos!$A$6:$A$10,Tiempos!$B$6:$B$10))</f>
        <v>30 min o más</v>
      </c>
      <c r="P300" s="54" t="s">
        <v>244</v>
      </c>
      <c r="Q300" s="54" t="s">
        <v>214</v>
      </c>
      <c r="R300" s="54" t="s">
        <v>128</v>
      </c>
      <c r="S300" s="54" t="s">
        <v>220</v>
      </c>
      <c r="T300" s="58" t="n">
        <v>90.1</v>
      </c>
      <c r="U300" s="54" t="s">
        <v>214</v>
      </c>
      <c r="V300" s="58" t="n">
        <v>652.87</v>
      </c>
      <c r="W300" s="57" t="s">
        <v>541</v>
      </c>
      <c r="X300" s="55" t="n">
        <v>3</v>
      </c>
      <c r="Y300" s="54" t="s">
        <v>214</v>
      </c>
      <c r="Z300" s="56" t="n">
        <v>46307.3861334259</v>
      </c>
      <c r="AA300" s="58" t="n">
        <f aca="false">IF(AND(ISNUMBER(M300),ISNUMBER(Z300)),IF(Z300&gt;=M300,(Z300-M300)*1440,""),"")</f>
        <v>2263.77540001412</v>
      </c>
      <c r="AB300" s="57" t="s">
        <v>531</v>
      </c>
      <c r="AC300" s="56" t="n">
        <v>46307.3872654977</v>
      </c>
      <c r="AD300" s="58" t="n">
        <f aca="false">IF(AND(ISNUMBER(Z300),ISNUMBER(AC300)),IF(AC300&gt;=Z300,(AC300-Z300)*1440,""),"")</f>
        <v>1.63018333491667</v>
      </c>
      <c r="AE300" s="54" t="s">
        <v>258</v>
      </c>
      <c r="AF300" s="54" t="s">
        <v>214</v>
      </c>
      <c r="AG300" s="54" t="s">
        <v>212</v>
      </c>
      <c r="AH300" s="58"/>
      <c r="AI300" s="55" t="n">
        <v>2</v>
      </c>
      <c r="AJ300" s="54" t="s">
        <v>216</v>
      </c>
      <c r="AK300" s="54" t="s">
        <v>212</v>
      </c>
    </row>
    <row r="301" customFormat="false" ht="15" hidden="false" customHeight="false" outlineLevel="0" collapsed="false">
      <c r="A301" s="54" t="s">
        <v>27</v>
      </c>
      <c r="B301" s="55" t="n">
        <v>1176</v>
      </c>
      <c r="C301" s="54" t="s">
        <v>127</v>
      </c>
      <c r="D301" s="54" t="s">
        <v>214</v>
      </c>
      <c r="E301" s="54" t="s">
        <v>278</v>
      </c>
      <c r="F301" s="56" t="n">
        <v>46305.4674265509</v>
      </c>
      <c r="G301" s="54" t="s">
        <v>212</v>
      </c>
      <c r="H301" s="54" t="s">
        <v>212</v>
      </c>
      <c r="I301" s="57" t="s">
        <v>542</v>
      </c>
      <c r="J301" s="56" t="n">
        <v>46305.4677882986</v>
      </c>
      <c r="K301" s="56" t="n">
        <v>46305.4679972107</v>
      </c>
      <c r="L301" s="58" t="n">
        <f aca="false">IF(AND(ISNUMBER(J301),ISNUMBER(K301)),IF(K301&gt;=J301,(K301-J301)*1440,""),"")</f>
        <v>0.30083334655</v>
      </c>
      <c r="M301" s="56" t="n">
        <v>46305.4708237847</v>
      </c>
      <c r="N301" s="58" t="n">
        <f aca="false">IF(AND(ISNUMBER(J301),ISNUMBER(M301)),IF(M301&gt;=J301,(M301-J301)*1440,""),"")</f>
        <v>4.37110000638333</v>
      </c>
      <c r="O301" s="54" t="str">
        <f aca="false">IF(N301="","",LOOKUP(N301,Tiempos!$A$6:$A$10,Tiempos!$B$6:$B$10))</f>
        <v>4 a 6 min</v>
      </c>
      <c r="P301" s="54" t="s">
        <v>229</v>
      </c>
      <c r="Q301" s="54" t="s">
        <v>214</v>
      </c>
      <c r="R301" s="54" t="s">
        <v>130</v>
      </c>
      <c r="S301" s="54" t="s">
        <v>215</v>
      </c>
      <c r="T301" s="58" t="n">
        <v>117.1</v>
      </c>
      <c r="U301" s="54" t="s">
        <v>212</v>
      </c>
      <c r="V301" s="58" t="n">
        <v>4.07</v>
      </c>
      <c r="W301" s="57" t="s">
        <v>543</v>
      </c>
      <c r="X301" s="55" t="n">
        <v>2</v>
      </c>
      <c r="Y301" s="54" t="s">
        <v>214</v>
      </c>
      <c r="Z301" s="56" t="n">
        <v>46307.5167595833</v>
      </c>
      <c r="AA301" s="58" t="n">
        <f aca="false">IF(AND(ISNUMBER(M301),ISNUMBER(Z301)),IF(Z301&gt;=M301,(Z301-M301)*1440,""),"")</f>
        <v>2946.14754999987</v>
      </c>
      <c r="AB301" s="57" t="s">
        <v>544</v>
      </c>
      <c r="AC301" s="56" t="n">
        <v>46307.5173308912</v>
      </c>
      <c r="AD301" s="58" t="n">
        <f aca="false">IF(AND(ISNUMBER(Z301),ISNUMBER(AC301)),IF(AC301&gt;=Z301,(AC301-Z301)*1440,""),"")</f>
        <v>0.82268334575</v>
      </c>
      <c r="AE301" s="54" t="s">
        <v>258</v>
      </c>
      <c r="AF301" s="54" t="s">
        <v>214</v>
      </c>
      <c r="AG301" s="54" t="s">
        <v>212</v>
      </c>
      <c r="AH301" s="58"/>
      <c r="AI301" s="55" t="n">
        <v>2</v>
      </c>
      <c r="AJ301" s="54" t="s">
        <v>216</v>
      </c>
      <c r="AK301" s="54" t="s">
        <v>212</v>
      </c>
    </row>
    <row r="302" customFormat="false" ht="15" hidden="false" customHeight="false" outlineLevel="0" collapsed="false">
      <c r="A302" s="54" t="s">
        <v>27</v>
      </c>
      <c r="B302" s="55" t="n">
        <v>1177</v>
      </c>
      <c r="C302" s="54" t="s">
        <v>303</v>
      </c>
      <c r="D302" s="54" t="s">
        <v>214</v>
      </c>
      <c r="E302" s="54" t="s">
        <v>233</v>
      </c>
      <c r="F302" s="56" t="n">
        <v>46305.4684495718</v>
      </c>
      <c r="G302" s="54" t="s">
        <v>212</v>
      </c>
      <c r="H302" s="54" t="s">
        <v>214</v>
      </c>
      <c r="I302" s="57" t="s">
        <v>545</v>
      </c>
      <c r="J302" s="56" t="n">
        <v>46305.4745718519</v>
      </c>
      <c r="K302" s="56" t="n">
        <v>46305.4777796181</v>
      </c>
      <c r="L302" s="58" t="n">
        <f aca="false">IF(AND(ISNUMBER(J302),ISNUMBER(K302)),IF(K302&gt;=J302,(K302-J302)*1440,""),"")</f>
        <v>4.61918333311667</v>
      </c>
      <c r="M302" s="56" t="n">
        <v>46305.5000907755</v>
      </c>
      <c r="N302" s="58" t="n">
        <f aca="false">IF(AND(ISNUMBER(J302),ISNUMBER(M302)),IF(M302&gt;=J302,(M302-J302)*1440,""),"")</f>
        <v>36.7472500121167</v>
      </c>
      <c r="O302" s="54" t="str">
        <f aca="false">IF(N302="","",LOOKUP(N302,Tiempos!$A$6:$A$10,Tiempos!$B$6:$B$10))</f>
        <v>30 min o más</v>
      </c>
      <c r="P302" s="54" t="s">
        <v>229</v>
      </c>
      <c r="Q302" s="54" t="s">
        <v>214</v>
      </c>
      <c r="R302" s="54" t="s">
        <v>130</v>
      </c>
      <c r="S302" s="54" t="s">
        <v>215</v>
      </c>
      <c r="T302" s="58" t="n">
        <v>103.2</v>
      </c>
      <c r="U302" s="54" t="s">
        <v>214</v>
      </c>
      <c r="V302" s="58" t="n">
        <v>32.13</v>
      </c>
      <c r="W302" s="57" t="s">
        <v>235</v>
      </c>
      <c r="X302" s="55" t="n">
        <v>2</v>
      </c>
      <c r="Y302" s="54" t="s">
        <v>212</v>
      </c>
      <c r="Z302" s="56"/>
      <c r="AA302" s="58" t="str">
        <f aca="false">IF(AND(ISNUMBER(M302),ISNUMBER(Z302)),IF(Z302&gt;=M302,(Z302-M302)*1440,""),"")</f>
        <v/>
      </c>
      <c r="AB302" s="57"/>
      <c r="AC302" s="56"/>
      <c r="AD302" s="58" t="str">
        <f aca="false">IF(AND(ISNUMBER(Z302),ISNUMBER(AC302)),IF(AC302&gt;=Z302,(AC302-Z302)*1440,""),"")</f>
        <v/>
      </c>
      <c r="AE302" s="54"/>
      <c r="AF302" s="54" t="s">
        <v>214</v>
      </c>
      <c r="AG302" s="54"/>
      <c r="AH302" s="58"/>
      <c r="AI302" s="55" t="n">
        <v>2</v>
      </c>
      <c r="AJ302" s="54" t="s">
        <v>216</v>
      </c>
      <c r="AK302" s="54" t="s">
        <v>212</v>
      </c>
    </row>
    <row r="303" customFormat="false" ht="15" hidden="false" customHeight="false" outlineLevel="0" collapsed="false">
      <c r="A303" s="54" t="s">
        <v>27</v>
      </c>
      <c r="B303" s="55" t="n">
        <v>1175</v>
      </c>
      <c r="C303" s="54" t="s">
        <v>127</v>
      </c>
      <c r="D303" s="54" t="s">
        <v>212</v>
      </c>
      <c r="E303" s="54"/>
      <c r="F303" s="56" t="n">
        <v>46305.4691026505</v>
      </c>
      <c r="G303" s="54" t="s">
        <v>212</v>
      </c>
      <c r="H303" s="54" t="s">
        <v>212</v>
      </c>
      <c r="I303" s="57"/>
      <c r="J303" s="56"/>
      <c r="K303" s="56"/>
      <c r="L303" s="58" t="str">
        <f aca="false">IF(AND(ISNUMBER(J303),ISNUMBER(K303)),IF(K303&gt;=J303,(K303-J303)*1440,""),"")</f>
        <v/>
      </c>
      <c r="M303" s="56"/>
      <c r="N303" s="58" t="str">
        <f aca="false">IF(AND(ISNUMBER(J303),ISNUMBER(M303)),IF(M303&gt;=J303,(M303-J303)*1440,""),"")</f>
        <v/>
      </c>
      <c r="O303" s="54" t="str">
        <f aca="false">IF(N303="","",LOOKUP(N303,Tiempos!$A$6:$A$10,Tiempos!$B$6:$B$10))</f>
        <v/>
      </c>
      <c r="P303" s="54"/>
      <c r="Q303" s="54"/>
      <c r="R303" s="54"/>
      <c r="S303" s="54"/>
      <c r="T303" s="58"/>
      <c r="U303" s="54"/>
      <c r="V303" s="58"/>
      <c r="W303" s="57"/>
      <c r="X303" s="55"/>
      <c r="Y303" s="54"/>
      <c r="Z303" s="56"/>
      <c r="AA303" s="58" t="str">
        <f aca="false">IF(AND(ISNUMBER(M303),ISNUMBER(Z303)),IF(Z303&gt;=M303,(Z303-M303)*1440,""),"")</f>
        <v/>
      </c>
      <c r="AB303" s="57"/>
      <c r="AC303" s="56"/>
      <c r="AD303" s="58" t="str">
        <f aca="false">IF(AND(ISNUMBER(Z303),ISNUMBER(AC303)),IF(AC303&gt;=Z303,(AC303-Z303)*1440,""),"")</f>
        <v/>
      </c>
      <c r="AE303" s="54"/>
      <c r="AF303" s="54"/>
      <c r="AG303" s="54"/>
      <c r="AH303" s="58"/>
      <c r="AI303" s="55" t="n">
        <v>2</v>
      </c>
      <c r="AJ303" s="54" t="s">
        <v>216</v>
      </c>
      <c r="AK303" s="54" t="s">
        <v>212</v>
      </c>
    </row>
    <row r="304" customFormat="false" ht="15" hidden="false" customHeight="false" outlineLevel="0" collapsed="false">
      <c r="A304" s="54" t="s">
        <v>27</v>
      </c>
      <c r="B304" s="55" t="n">
        <v>1178</v>
      </c>
      <c r="C304" s="54" t="s">
        <v>128</v>
      </c>
      <c r="D304" s="54" t="s">
        <v>214</v>
      </c>
      <c r="E304" s="54" t="s">
        <v>412</v>
      </c>
      <c r="F304" s="56" t="n">
        <v>46305.4746304514</v>
      </c>
      <c r="G304" s="54" t="s">
        <v>212</v>
      </c>
      <c r="H304" s="54" t="s">
        <v>212</v>
      </c>
      <c r="I304" s="57" t="s">
        <v>546</v>
      </c>
      <c r="J304" s="56" t="n">
        <v>46305.4810265046</v>
      </c>
      <c r="K304" s="56" t="n">
        <v>46305.4829084491</v>
      </c>
      <c r="L304" s="58" t="n">
        <f aca="false">IF(AND(ISNUMBER(J304),ISNUMBER(K304)),IF(K304&gt;=J304,(K304-J304)*1440,""),"")</f>
        <v>2.71000000065</v>
      </c>
      <c r="M304" s="56" t="n">
        <v>46305.488738507</v>
      </c>
      <c r="N304" s="58" t="n">
        <f aca="false">IF(AND(ISNUMBER(J304),ISNUMBER(M304)),IF(M304&gt;=J304,(M304-J304)*1440,""),"")</f>
        <v>11.1052833404333</v>
      </c>
      <c r="O304" s="54" t="str">
        <f aca="false">IF(N304="","",LOOKUP(N304,Tiempos!$A$6:$A$10,Tiempos!$B$6:$B$10))</f>
        <v>10 a 30 min</v>
      </c>
      <c r="P304" s="54" t="s">
        <v>229</v>
      </c>
      <c r="Q304" s="54" t="s">
        <v>214</v>
      </c>
      <c r="R304" s="54" t="s">
        <v>130</v>
      </c>
      <c r="S304" s="54" t="s">
        <v>215</v>
      </c>
      <c r="T304" s="58" t="n">
        <v>106.5</v>
      </c>
      <c r="U304" s="54" t="s">
        <v>212</v>
      </c>
      <c r="V304" s="58" t="n">
        <v>8.4</v>
      </c>
      <c r="W304" s="57" t="s">
        <v>547</v>
      </c>
      <c r="X304" s="55" t="n">
        <v>2</v>
      </c>
      <c r="Y304" s="54" t="s">
        <v>214</v>
      </c>
      <c r="Z304" s="56" t="n">
        <v>46305.4899997107</v>
      </c>
      <c r="AA304" s="58" t="n">
        <f aca="false">IF(AND(ISNUMBER(M304),ISNUMBER(Z304)),IF(Z304&gt;=M304,(Z304-M304)*1440,""),"")</f>
        <v>1.81613332125</v>
      </c>
      <c r="AB304" s="57" t="s">
        <v>548</v>
      </c>
      <c r="AC304" s="56" t="n">
        <v>46305.4909492014</v>
      </c>
      <c r="AD304" s="58" t="n">
        <f aca="false">IF(AND(ISNUMBER(Z304),ISNUMBER(AC304)),IF(AC304&gt;=Z304,(AC304-Z304)*1440,""),"")</f>
        <v>1.3672666694</v>
      </c>
      <c r="AE304" s="54" t="s">
        <v>237</v>
      </c>
      <c r="AF304" s="54" t="s">
        <v>212</v>
      </c>
      <c r="AG304" s="54" t="s">
        <v>212</v>
      </c>
      <c r="AH304" s="58"/>
      <c r="AI304" s="55" t="n">
        <v>3</v>
      </c>
      <c r="AJ304" s="54" t="s">
        <v>216</v>
      </c>
      <c r="AK304" s="54" t="s">
        <v>212</v>
      </c>
    </row>
    <row r="305" customFormat="false" ht="15" hidden="false" customHeight="false" outlineLevel="0" collapsed="false">
      <c r="A305" s="54" t="s">
        <v>27</v>
      </c>
      <c r="B305" s="55" t="n">
        <v>1179</v>
      </c>
      <c r="C305" s="54" t="s">
        <v>127</v>
      </c>
      <c r="D305" s="54" t="s">
        <v>211</v>
      </c>
      <c r="E305" s="54"/>
      <c r="F305" s="56" t="n">
        <v>46305.4781444907</v>
      </c>
      <c r="G305" s="54" t="s">
        <v>212</v>
      </c>
      <c r="H305" s="54" t="s">
        <v>212</v>
      </c>
      <c r="I305" s="57" t="s">
        <v>549</v>
      </c>
      <c r="J305" s="56" t="n">
        <v>46305.4791099884</v>
      </c>
      <c r="K305" s="56" t="n">
        <v>46305.4850775926</v>
      </c>
      <c r="L305" s="58" t="n">
        <f aca="false">IF(AND(ISNUMBER(J305),ISNUMBER(K305)),IF(K305&gt;=J305,(K305-J305)*1440,""),"")</f>
        <v>8.59335002721667</v>
      </c>
      <c r="M305" s="56" t="n">
        <v>46305.4850775926</v>
      </c>
      <c r="N305" s="58" t="n">
        <f aca="false">IF(AND(ISNUMBER(J305),ISNUMBER(M305)),IF(M305&gt;=J305,(M305-J305)*1440,""),"")</f>
        <v>8.59335002721667</v>
      </c>
      <c r="O305" s="54" t="str">
        <f aca="false">IF(N305="","",LOOKUP(N305,Tiempos!$A$6:$A$10,Tiempos!$B$6:$B$10))</f>
        <v>6 a 10 min</v>
      </c>
      <c r="P305" s="54" t="s">
        <v>226</v>
      </c>
      <c r="Q305" s="54" t="s">
        <v>212</v>
      </c>
      <c r="R305" s="54" t="s">
        <v>130</v>
      </c>
      <c r="S305" s="54" t="s">
        <v>215</v>
      </c>
      <c r="T305" s="58"/>
      <c r="U305" s="54"/>
      <c r="V305" s="58"/>
      <c r="W305" s="57"/>
      <c r="X305" s="55" t="n">
        <v>0</v>
      </c>
      <c r="Y305" s="54" t="s">
        <v>214</v>
      </c>
      <c r="Z305" s="56" t="n">
        <v>46305.4879613657</v>
      </c>
      <c r="AA305" s="58" t="n">
        <f aca="false">IF(AND(ISNUMBER(M305),ISNUMBER(Z305)),IF(Z305&gt;=M305,(Z305-M305)*1440,""),"")</f>
        <v>4.15263331726667</v>
      </c>
      <c r="AB305" s="57" t="s">
        <v>550</v>
      </c>
      <c r="AC305" s="56" t="n">
        <v>46305.4940734144</v>
      </c>
      <c r="AD305" s="58" t="n">
        <f aca="false">IF(AND(ISNUMBER(Z305),ISNUMBER(AC305)),IF(AC305&gt;=Z305,(AC305-Z305)*1440,""),"")</f>
        <v>8.80135000333334</v>
      </c>
      <c r="AE305" s="54" t="s">
        <v>237</v>
      </c>
      <c r="AF305" s="54" t="s">
        <v>212</v>
      </c>
      <c r="AG305" s="54" t="s">
        <v>212</v>
      </c>
      <c r="AH305" s="58"/>
      <c r="AI305" s="55" t="n">
        <v>2</v>
      </c>
      <c r="AJ305" s="54" t="s">
        <v>216</v>
      </c>
      <c r="AK305" s="54" t="s">
        <v>212</v>
      </c>
    </row>
    <row r="306" customFormat="false" ht="15" hidden="false" customHeight="false" outlineLevel="0" collapsed="false">
      <c r="A306" s="54" t="s">
        <v>27</v>
      </c>
      <c r="B306" s="55" t="n">
        <v>1181</v>
      </c>
      <c r="C306" s="54" t="s">
        <v>128</v>
      </c>
      <c r="D306" s="54" t="s">
        <v>214</v>
      </c>
      <c r="E306" s="54" t="s">
        <v>233</v>
      </c>
      <c r="F306" s="56" t="n">
        <v>46305.4872383102</v>
      </c>
      <c r="G306" s="54" t="s">
        <v>212</v>
      </c>
      <c r="H306" s="54" t="s">
        <v>212</v>
      </c>
      <c r="I306" s="57" t="s">
        <v>551</v>
      </c>
      <c r="J306" s="56" t="n">
        <v>46305.4875692824</v>
      </c>
      <c r="K306" s="56" t="n">
        <v>46305.4901510764</v>
      </c>
      <c r="L306" s="58" t="n">
        <f aca="false">IF(AND(ISNUMBER(J306),ISNUMBER(K306)),IF(K306&gt;=J306,(K306-J306)*1440,""),"")</f>
        <v>3.71778332395</v>
      </c>
      <c r="M306" s="56" t="n">
        <v>46305.496550544</v>
      </c>
      <c r="N306" s="58" t="n">
        <f aca="false">IF(AND(ISNUMBER(J306),ISNUMBER(M306)),IF(M306&gt;=J306,(M306-J306)*1440,""),"")</f>
        <v>12.9330166603833</v>
      </c>
      <c r="O306" s="54" t="str">
        <f aca="false">IF(N306="","",LOOKUP(N306,Tiempos!$A$6:$A$10,Tiempos!$B$6:$B$10))</f>
        <v>10 a 30 min</v>
      </c>
      <c r="P306" s="54" t="s">
        <v>229</v>
      </c>
      <c r="Q306" s="54" t="s">
        <v>214</v>
      </c>
      <c r="R306" s="54" t="s">
        <v>130</v>
      </c>
      <c r="S306" s="54" t="s">
        <v>215</v>
      </c>
      <c r="T306" s="58" t="n">
        <v>105.7</v>
      </c>
      <c r="U306" s="54" t="s">
        <v>212</v>
      </c>
      <c r="V306" s="58" t="n">
        <v>8.96</v>
      </c>
      <c r="W306" s="57" t="s">
        <v>235</v>
      </c>
      <c r="X306" s="55" t="n">
        <v>2</v>
      </c>
      <c r="Y306" s="54" t="s">
        <v>214</v>
      </c>
      <c r="Z306" s="56" t="n">
        <v>46305.4994438195</v>
      </c>
      <c r="AA306" s="58" t="n">
        <f aca="false">IF(AND(ISNUMBER(M306),ISNUMBER(Z306)),IF(Z306&gt;=M306,(Z306-M306)*1440,""),"")</f>
        <v>4.16631666943333</v>
      </c>
      <c r="AB306" s="57" t="s">
        <v>552</v>
      </c>
      <c r="AC306" s="56" t="n">
        <v>46305.5017297107</v>
      </c>
      <c r="AD306" s="58" t="n">
        <f aca="false">IF(AND(ISNUMBER(Z306),ISNUMBER(AC306)),IF(AC306&gt;=Z306,(AC306-Z306)*1440,""),"")</f>
        <v>3.29168333555</v>
      </c>
      <c r="AE306" s="54" t="s">
        <v>277</v>
      </c>
      <c r="AF306" s="54" t="s">
        <v>212</v>
      </c>
      <c r="AG306" s="54" t="s">
        <v>212</v>
      </c>
      <c r="AH306" s="58"/>
      <c r="AI306" s="55" t="n">
        <v>2</v>
      </c>
      <c r="AJ306" s="54" t="s">
        <v>210</v>
      </c>
      <c r="AK306" s="54" t="s">
        <v>214</v>
      </c>
    </row>
    <row r="307" customFormat="false" ht="15" hidden="false" customHeight="false" outlineLevel="0" collapsed="false">
      <c r="A307" s="54" t="s">
        <v>27</v>
      </c>
      <c r="B307" s="55" t="n">
        <v>1180</v>
      </c>
      <c r="C307" s="54" t="s">
        <v>127</v>
      </c>
      <c r="D307" s="54" t="s">
        <v>214</v>
      </c>
      <c r="E307" s="54" t="s">
        <v>242</v>
      </c>
      <c r="F307" s="56" t="n">
        <v>46305.5059276736</v>
      </c>
      <c r="G307" s="54" t="s">
        <v>212</v>
      </c>
      <c r="H307" s="54" t="s">
        <v>214</v>
      </c>
      <c r="I307" s="57" t="s">
        <v>553</v>
      </c>
      <c r="J307" s="56" t="n">
        <v>46305.5214278588</v>
      </c>
      <c r="K307" s="56" t="n">
        <v>46305.5301363773</v>
      </c>
      <c r="L307" s="58" t="n">
        <f aca="false">IF(AND(ISNUMBER(J307),ISNUMBER(K307)),IF(K307&gt;=J307,(K307-J307)*1440,""),"")</f>
        <v>12.5402666616667</v>
      </c>
      <c r="M307" s="56" t="n">
        <v>46305.5337584954</v>
      </c>
      <c r="N307" s="58" t="n">
        <f aca="false">IF(AND(ISNUMBER(J307),ISNUMBER(M307)),IF(M307&gt;=J307,(M307-J307)*1440,""),"")</f>
        <v>17.75611665215</v>
      </c>
      <c r="O307" s="54" t="str">
        <f aca="false">IF(N307="","",LOOKUP(N307,Tiempos!$A$6:$A$10,Tiempos!$B$6:$B$10))</f>
        <v>10 a 30 min</v>
      </c>
      <c r="P307" s="54" t="s">
        <v>229</v>
      </c>
      <c r="Q307" s="54" t="s">
        <v>214</v>
      </c>
      <c r="R307" s="54" t="s">
        <v>130</v>
      </c>
      <c r="S307" s="54" t="s">
        <v>215</v>
      </c>
      <c r="T307" s="58" t="n">
        <v>133.2</v>
      </c>
      <c r="U307" s="54" t="s">
        <v>214</v>
      </c>
      <c r="V307" s="58" t="n">
        <v>5.22</v>
      </c>
      <c r="W307" s="57" t="s">
        <v>316</v>
      </c>
      <c r="X307" s="55" t="n">
        <v>2</v>
      </c>
      <c r="Y307" s="54" t="s">
        <v>214</v>
      </c>
      <c r="Z307" s="56" t="n">
        <v>46308.6182807639</v>
      </c>
      <c r="AA307" s="58" t="n">
        <f aca="false">IF(AND(ISNUMBER(M307),ISNUMBER(Z307)),IF(Z307&gt;=M307,(Z307-M307)*1440,""),"")</f>
        <v>4441.71206667437</v>
      </c>
      <c r="AB307" s="57" t="s">
        <v>554</v>
      </c>
      <c r="AC307" s="56" t="n">
        <v>46308.6184355093</v>
      </c>
      <c r="AD307" s="58" t="n">
        <f aca="false">IF(AND(ISNUMBER(Z307),ISNUMBER(AC307)),IF(AC307&gt;=Z307,(AC307-Z307)*1440,""),"")</f>
        <v>0.22283333585</v>
      </c>
      <c r="AE307" s="54" t="s">
        <v>302</v>
      </c>
      <c r="AF307" s="54" t="s">
        <v>214</v>
      </c>
      <c r="AG307" s="54" t="s">
        <v>212</v>
      </c>
      <c r="AH307" s="58"/>
      <c r="AI307" s="55" t="n">
        <v>1</v>
      </c>
      <c r="AJ307" s="54" t="s">
        <v>216</v>
      </c>
      <c r="AK307" s="54" t="s">
        <v>212</v>
      </c>
    </row>
    <row r="308" customFormat="false" ht="15" hidden="false" customHeight="false" outlineLevel="0" collapsed="false">
      <c r="A308" s="54" t="s">
        <v>27</v>
      </c>
      <c r="B308" s="55" t="n">
        <v>1185</v>
      </c>
      <c r="C308" s="54" t="s">
        <v>129</v>
      </c>
      <c r="D308" s="54" t="s">
        <v>214</v>
      </c>
      <c r="E308" s="54" t="s">
        <v>278</v>
      </c>
      <c r="F308" s="56" t="n">
        <v>46305.5360993056</v>
      </c>
      <c r="G308" s="54" t="s">
        <v>212</v>
      </c>
      <c r="H308" s="54" t="s">
        <v>214</v>
      </c>
      <c r="I308" s="57" t="s">
        <v>555</v>
      </c>
      <c r="J308" s="56" t="n">
        <v>46305.5377519097</v>
      </c>
      <c r="K308" s="56" t="n">
        <v>46305.5408456019</v>
      </c>
      <c r="L308" s="58" t="n">
        <f aca="false">IF(AND(ISNUMBER(J308),ISNUMBER(K308)),IF(K308&gt;=J308,(K308-J308)*1440,""),"")</f>
        <v>4.45491667021667</v>
      </c>
      <c r="M308" s="56" t="n">
        <v>46305.5445362153</v>
      </c>
      <c r="N308" s="58" t="n">
        <f aca="false">IF(AND(ISNUMBER(J308),ISNUMBER(M308)),IF(M308&gt;=J308,(M308-J308)*1440,""),"")</f>
        <v>9.76940001476667</v>
      </c>
      <c r="O308" s="54" t="str">
        <f aca="false">IF(N308="","",LOOKUP(N308,Tiempos!$A$6:$A$10,Tiempos!$B$6:$B$10))</f>
        <v>6 a 10 min</v>
      </c>
      <c r="P308" s="54" t="s">
        <v>219</v>
      </c>
      <c r="Q308" s="54" t="s">
        <v>214</v>
      </c>
      <c r="R308" s="54" t="s">
        <v>129</v>
      </c>
      <c r="S308" s="54" t="s">
        <v>220</v>
      </c>
      <c r="T308" s="58" t="n">
        <v>112.3</v>
      </c>
      <c r="U308" s="54" t="s">
        <v>214</v>
      </c>
      <c r="V308" s="58" t="n">
        <v>5.31</v>
      </c>
      <c r="W308" s="57" t="s">
        <v>556</v>
      </c>
      <c r="X308" s="55" t="n">
        <v>4</v>
      </c>
      <c r="Y308" s="54" t="s">
        <v>214</v>
      </c>
      <c r="Z308" s="56" t="n">
        <v>46305.5471037963</v>
      </c>
      <c r="AA308" s="58" t="n">
        <f aca="false">IF(AND(ISNUMBER(M308),ISNUMBER(Z308)),IF(Z308&gt;=M308,(Z308-M308)*1440,""),"")</f>
        <v>3.6973166652</v>
      </c>
      <c r="AB308" s="57" t="s">
        <v>557</v>
      </c>
      <c r="AC308" s="56" t="n">
        <v>46305.5474659028</v>
      </c>
      <c r="AD308" s="58" t="n">
        <f aca="false">IF(AND(ISNUMBER(Z308),ISNUMBER(AC308)),IF(AC308&gt;=Z308,(AC308-Z308)*1440,""),"")</f>
        <v>0.521433334783333</v>
      </c>
      <c r="AE308" s="54" t="s">
        <v>346</v>
      </c>
      <c r="AF308" s="54" t="s">
        <v>214</v>
      </c>
      <c r="AG308" s="54" t="s">
        <v>214</v>
      </c>
      <c r="AH308" s="58" t="n">
        <v>4.2</v>
      </c>
      <c r="AI308" s="55" t="n">
        <v>2</v>
      </c>
      <c r="AJ308" s="54" t="s">
        <v>216</v>
      </c>
      <c r="AK308" s="54" t="s">
        <v>212</v>
      </c>
    </row>
    <row r="309" customFormat="false" ht="15" hidden="false" customHeight="false" outlineLevel="0" collapsed="false">
      <c r="A309" s="54" t="s">
        <v>27</v>
      </c>
      <c r="B309" s="55" t="n">
        <v>1189</v>
      </c>
      <c r="C309" s="54" t="s">
        <v>128</v>
      </c>
      <c r="D309" s="54" t="s">
        <v>212</v>
      </c>
      <c r="E309" s="54"/>
      <c r="F309" s="56" t="n">
        <v>46305.5535386343</v>
      </c>
      <c r="G309" s="54" t="s">
        <v>212</v>
      </c>
      <c r="H309" s="54" t="s">
        <v>212</v>
      </c>
      <c r="I309" s="57"/>
      <c r="J309" s="56"/>
      <c r="K309" s="56"/>
      <c r="L309" s="58" t="str">
        <f aca="false">IF(AND(ISNUMBER(J309),ISNUMBER(K309)),IF(K309&gt;=J309,(K309-J309)*1440,""),"")</f>
        <v/>
      </c>
      <c r="M309" s="56"/>
      <c r="N309" s="58" t="str">
        <f aca="false">IF(AND(ISNUMBER(J309),ISNUMBER(M309)),IF(M309&gt;=J309,(M309-J309)*1440,""),"")</f>
        <v/>
      </c>
      <c r="O309" s="54" t="str">
        <f aca="false">IF(N309="","",LOOKUP(N309,Tiempos!$A$6:$A$10,Tiempos!$B$6:$B$10))</f>
        <v/>
      </c>
      <c r="P309" s="54"/>
      <c r="Q309" s="54"/>
      <c r="R309" s="54"/>
      <c r="S309" s="54"/>
      <c r="T309" s="58"/>
      <c r="U309" s="54"/>
      <c r="V309" s="58"/>
      <c r="W309" s="57"/>
      <c r="X309" s="55"/>
      <c r="Y309" s="54"/>
      <c r="Z309" s="56"/>
      <c r="AA309" s="58" t="str">
        <f aca="false">IF(AND(ISNUMBER(M309),ISNUMBER(Z309)),IF(Z309&gt;=M309,(Z309-M309)*1440,""),"")</f>
        <v/>
      </c>
      <c r="AB309" s="57"/>
      <c r="AC309" s="56"/>
      <c r="AD309" s="58" t="str">
        <f aca="false">IF(AND(ISNUMBER(Z309),ISNUMBER(AC309)),IF(AC309&gt;=Z309,(AC309-Z309)*1440,""),"")</f>
        <v/>
      </c>
      <c r="AE309" s="54"/>
      <c r="AF309" s="54"/>
      <c r="AG309" s="54"/>
      <c r="AH309" s="58"/>
      <c r="AI309" s="55" t="n">
        <v>4</v>
      </c>
      <c r="AJ309" s="54" t="s">
        <v>216</v>
      </c>
      <c r="AK309" s="54" t="s">
        <v>212</v>
      </c>
    </row>
    <row r="310" customFormat="false" ht="15" hidden="false" customHeight="false" outlineLevel="0" collapsed="false">
      <c r="A310" s="54" t="s">
        <v>27</v>
      </c>
      <c r="B310" s="55" t="n">
        <v>1191</v>
      </c>
      <c r="C310" s="54" t="s">
        <v>128</v>
      </c>
      <c r="D310" s="54" t="s">
        <v>214</v>
      </c>
      <c r="E310" s="54" t="s">
        <v>242</v>
      </c>
      <c r="F310" s="56" t="n">
        <v>46305.5612952431</v>
      </c>
      <c r="G310" s="54" t="s">
        <v>212</v>
      </c>
      <c r="H310" s="54" t="s">
        <v>214</v>
      </c>
      <c r="I310" s="57" t="s">
        <v>254</v>
      </c>
      <c r="J310" s="56" t="n">
        <v>46305.5928012732</v>
      </c>
      <c r="K310" s="56" t="n">
        <v>46305.5963193634</v>
      </c>
      <c r="L310" s="58" t="n">
        <f aca="false">IF(AND(ISNUMBER(J310),ISNUMBER(K310)),IF(K310&gt;=J310,(K310-J310)*1440,""),"")</f>
        <v>5.06604998953333</v>
      </c>
      <c r="M310" s="56" t="n">
        <v>46305.5989652778</v>
      </c>
      <c r="N310" s="58" t="n">
        <f aca="false">IF(AND(ISNUMBER(J310),ISNUMBER(M310)),IF(M310&gt;=J310,(M310-J310)*1440,""),"")</f>
        <v>8.8761666615</v>
      </c>
      <c r="O310" s="54" t="str">
        <f aca="false">IF(N310="","",LOOKUP(N310,Tiempos!$A$6:$A$10,Tiempos!$B$6:$B$10))</f>
        <v>6 a 10 min</v>
      </c>
      <c r="P310" s="54" t="s">
        <v>229</v>
      </c>
      <c r="Q310" s="54" t="s">
        <v>214</v>
      </c>
      <c r="R310" s="54" t="s">
        <v>128</v>
      </c>
      <c r="S310" s="54" t="s">
        <v>220</v>
      </c>
      <c r="T310" s="58" t="n">
        <v>80.5</v>
      </c>
      <c r="U310" s="54" t="s">
        <v>214</v>
      </c>
      <c r="V310" s="58" t="n">
        <v>3.81</v>
      </c>
      <c r="W310" s="57" t="s">
        <v>316</v>
      </c>
      <c r="X310" s="55" t="n">
        <v>2</v>
      </c>
      <c r="Y310" s="54" t="s">
        <v>214</v>
      </c>
      <c r="Z310" s="56" t="n">
        <v>46305.8962880903</v>
      </c>
      <c r="AA310" s="58" t="n">
        <f aca="false">IF(AND(ISNUMBER(M310),ISNUMBER(Z310)),IF(Z310&gt;=M310,(Z310-M310)*1440,""),"")</f>
        <v>428.144850006783</v>
      </c>
      <c r="AB310" s="57" t="s">
        <v>558</v>
      </c>
      <c r="AC310" s="56" t="n">
        <v>46305.8967189815</v>
      </c>
      <c r="AD310" s="58" t="n">
        <f aca="false">IF(AND(ISNUMBER(Z310),ISNUMBER(AC310)),IF(AC310&gt;=Z310,(AC310-Z310)*1440,""),"")</f>
        <v>0.620483321833333</v>
      </c>
      <c r="AE310" s="54" t="s">
        <v>237</v>
      </c>
      <c r="AF310" s="54" t="s">
        <v>214</v>
      </c>
      <c r="AG310" s="54" t="s">
        <v>212</v>
      </c>
      <c r="AH310" s="58"/>
      <c r="AI310" s="55" t="n">
        <v>3</v>
      </c>
      <c r="AJ310" s="54" t="s">
        <v>216</v>
      </c>
      <c r="AK310" s="54" t="s">
        <v>212</v>
      </c>
    </row>
    <row r="311" customFormat="false" ht="15" hidden="false" customHeight="false" outlineLevel="0" collapsed="false">
      <c r="A311" s="54" t="s">
        <v>27</v>
      </c>
      <c r="B311" s="55" t="n">
        <v>1192</v>
      </c>
      <c r="C311" s="54" t="s">
        <v>128</v>
      </c>
      <c r="D311" s="54" t="s">
        <v>214</v>
      </c>
      <c r="E311" s="54" t="s">
        <v>217</v>
      </c>
      <c r="F311" s="56" t="n">
        <v>46305.56239375</v>
      </c>
      <c r="G311" s="54" t="s">
        <v>212</v>
      </c>
      <c r="H311" s="54" t="s">
        <v>214</v>
      </c>
      <c r="I311" s="57" t="s">
        <v>559</v>
      </c>
      <c r="J311" s="56" t="n">
        <v>46305.5626957292</v>
      </c>
      <c r="K311" s="56" t="n">
        <v>46305.564570081</v>
      </c>
      <c r="L311" s="58" t="n">
        <f aca="false">IF(AND(ISNUMBER(J311),ISNUMBER(K311)),IF(K311&gt;=J311,(K311-J311)*1440,""),"")</f>
        <v>2.69906666711667</v>
      </c>
      <c r="M311" s="56" t="n">
        <v>46305.5668681713</v>
      </c>
      <c r="N311" s="58" t="n">
        <f aca="false">IF(AND(ISNUMBER(J311),ISNUMBER(M311)),IF(M311&gt;=J311,(M311-J311)*1440,""),"")</f>
        <v>6.0083166696</v>
      </c>
      <c r="O311" s="54" t="str">
        <f aca="false">IF(N311="","",LOOKUP(N311,Tiempos!$A$6:$A$10,Tiempos!$B$6:$B$10))</f>
        <v>6 a 10 min</v>
      </c>
      <c r="P311" s="54" t="s">
        <v>229</v>
      </c>
      <c r="Q311" s="54" t="s">
        <v>214</v>
      </c>
      <c r="R311" s="54" t="s">
        <v>128</v>
      </c>
      <c r="S311" s="54" t="s">
        <v>220</v>
      </c>
      <c r="T311" s="58" t="n">
        <v>74.9</v>
      </c>
      <c r="U311" s="54" t="s">
        <v>212</v>
      </c>
      <c r="V311" s="58" t="n">
        <v>3.31</v>
      </c>
      <c r="W311" s="57" t="s">
        <v>560</v>
      </c>
      <c r="X311" s="55" t="n">
        <v>2</v>
      </c>
      <c r="Y311" s="54" t="s">
        <v>212</v>
      </c>
      <c r="Z311" s="56"/>
      <c r="AA311" s="58" t="str">
        <f aca="false">IF(AND(ISNUMBER(M311),ISNUMBER(Z311)),IF(Z311&gt;=M311,(Z311-M311)*1440,""),"")</f>
        <v/>
      </c>
      <c r="AB311" s="57"/>
      <c r="AC311" s="56"/>
      <c r="AD311" s="58" t="str">
        <f aca="false">IF(AND(ISNUMBER(Z311),ISNUMBER(AC311)),IF(AC311&gt;=Z311,(AC311-Z311)*1440,""),"")</f>
        <v/>
      </c>
      <c r="AE311" s="54"/>
      <c r="AF311" s="54" t="s">
        <v>214</v>
      </c>
      <c r="AG311" s="54"/>
      <c r="AH311" s="58"/>
      <c r="AI311" s="55" t="n">
        <v>2</v>
      </c>
      <c r="AJ311" s="54" t="s">
        <v>216</v>
      </c>
      <c r="AK311" s="54" t="s">
        <v>212</v>
      </c>
    </row>
    <row r="312" customFormat="false" ht="15" hidden="false" customHeight="false" outlineLevel="0" collapsed="false">
      <c r="A312" s="54" t="s">
        <v>27</v>
      </c>
      <c r="B312" s="55" t="n">
        <v>1194</v>
      </c>
      <c r="C312" s="54" t="s">
        <v>128</v>
      </c>
      <c r="D312" s="54" t="s">
        <v>214</v>
      </c>
      <c r="E312" s="54" t="s">
        <v>233</v>
      </c>
      <c r="F312" s="56" t="n">
        <v>46305.5662198032</v>
      </c>
      <c r="G312" s="54" t="s">
        <v>212</v>
      </c>
      <c r="H312" s="54" t="s">
        <v>214</v>
      </c>
      <c r="I312" s="57" t="s">
        <v>561</v>
      </c>
      <c r="J312" s="56" t="n">
        <v>46305.5763921991</v>
      </c>
      <c r="K312" s="56" t="n">
        <v>46305.5810812384</v>
      </c>
      <c r="L312" s="58" t="n">
        <f aca="false">IF(AND(ISNUMBER(J312),ISNUMBER(K312)),IF(K312&gt;=J312,(K312-J312)*1440,""),"")</f>
        <v>6.75221666343333</v>
      </c>
      <c r="M312" s="56" t="n">
        <v>46305.5842607755</v>
      </c>
      <c r="N312" s="58" t="n">
        <f aca="false">IF(AND(ISNUMBER(J312),ISNUMBER(M312)),IF(M312&gt;=J312,(M312-J312)*1440,""),"")</f>
        <v>11.3307499978667</v>
      </c>
      <c r="O312" s="54" t="str">
        <f aca="false">IF(N312="","",LOOKUP(N312,Tiempos!$A$6:$A$10,Tiempos!$B$6:$B$10))</f>
        <v>10 a 30 min</v>
      </c>
      <c r="P312" s="54" t="s">
        <v>244</v>
      </c>
      <c r="Q312" s="54" t="s">
        <v>214</v>
      </c>
      <c r="R312" s="54" t="s">
        <v>128</v>
      </c>
      <c r="S312" s="54" t="s">
        <v>220</v>
      </c>
      <c r="T312" s="58" t="n">
        <v>78.2</v>
      </c>
      <c r="U312" s="54" t="s">
        <v>214</v>
      </c>
      <c r="V312" s="58" t="n">
        <v>4.58</v>
      </c>
      <c r="W312" s="57" t="s">
        <v>562</v>
      </c>
      <c r="X312" s="55" t="n">
        <v>3</v>
      </c>
      <c r="Y312" s="54" t="s">
        <v>214</v>
      </c>
      <c r="Z312" s="56" t="n">
        <v>46305.5861560185</v>
      </c>
      <c r="AA312" s="58" t="n">
        <f aca="false">IF(AND(ISNUMBER(M312),ISNUMBER(Z312)),IF(Z312&gt;=M312,(Z312-M312)*1440,""),"")</f>
        <v>2.72914998815</v>
      </c>
      <c r="AB312" s="57" t="s">
        <v>563</v>
      </c>
      <c r="AC312" s="56" t="n">
        <v>46305.5874061111</v>
      </c>
      <c r="AD312" s="58" t="n">
        <f aca="false">IF(AND(ISNUMBER(Z312),ISNUMBER(AC312)),IF(AC312&gt;=Z312,(AC312-Z312)*1440,""),"")</f>
        <v>1.80013334726667</v>
      </c>
      <c r="AE312" s="54" t="s">
        <v>277</v>
      </c>
      <c r="AF312" s="54" t="s">
        <v>214</v>
      </c>
      <c r="AG312" s="54" t="s">
        <v>214</v>
      </c>
      <c r="AH312" s="58" t="n">
        <v>3.5</v>
      </c>
      <c r="AI312" s="55" t="n">
        <v>3</v>
      </c>
      <c r="AJ312" s="54" t="s">
        <v>210</v>
      </c>
      <c r="AK312" s="54" t="s">
        <v>214</v>
      </c>
    </row>
    <row r="313" customFormat="false" ht="15" hidden="false" customHeight="false" outlineLevel="0" collapsed="false">
      <c r="A313" s="54" t="s">
        <v>27</v>
      </c>
      <c r="B313" s="55" t="n">
        <v>1197</v>
      </c>
      <c r="C313" s="54" t="s">
        <v>127</v>
      </c>
      <c r="D313" s="54" t="s">
        <v>212</v>
      </c>
      <c r="E313" s="54"/>
      <c r="F313" s="56" t="n">
        <v>46305.6072972917</v>
      </c>
      <c r="G313" s="54" t="s">
        <v>212</v>
      </c>
      <c r="H313" s="54" t="s">
        <v>214</v>
      </c>
      <c r="I313" s="57"/>
      <c r="J313" s="56"/>
      <c r="K313" s="56"/>
      <c r="L313" s="58" t="str">
        <f aca="false">IF(AND(ISNUMBER(J313),ISNUMBER(K313)),IF(K313&gt;=J313,(K313-J313)*1440,""),"")</f>
        <v/>
      </c>
      <c r="M313" s="56"/>
      <c r="N313" s="58" t="str">
        <f aca="false">IF(AND(ISNUMBER(J313),ISNUMBER(M313)),IF(M313&gt;=J313,(M313-J313)*1440,""),"")</f>
        <v/>
      </c>
      <c r="O313" s="54" t="str">
        <f aca="false">IF(N313="","",LOOKUP(N313,Tiempos!$A$6:$A$10,Tiempos!$B$6:$B$10))</f>
        <v/>
      </c>
      <c r="P313" s="54"/>
      <c r="Q313" s="54"/>
      <c r="R313" s="54"/>
      <c r="S313" s="54"/>
      <c r="T313" s="58"/>
      <c r="U313" s="54"/>
      <c r="V313" s="58"/>
      <c r="W313" s="57"/>
      <c r="X313" s="55"/>
      <c r="Y313" s="54"/>
      <c r="Z313" s="56"/>
      <c r="AA313" s="58" t="str">
        <f aca="false">IF(AND(ISNUMBER(M313),ISNUMBER(Z313)),IF(Z313&gt;=M313,(Z313-M313)*1440,""),"")</f>
        <v/>
      </c>
      <c r="AB313" s="57"/>
      <c r="AC313" s="56"/>
      <c r="AD313" s="58" t="str">
        <f aca="false">IF(AND(ISNUMBER(Z313),ISNUMBER(AC313)),IF(AC313&gt;=Z313,(AC313-Z313)*1440,""),"")</f>
        <v/>
      </c>
      <c r="AE313" s="54"/>
      <c r="AF313" s="54"/>
      <c r="AG313" s="54"/>
      <c r="AH313" s="58"/>
      <c r="AI313" s="55" t="n">
        <v>2</v>
      </c>
      <c r="AJ313" s="54" t="s">
        <v>216</v>
      </c>
      <c r="AK313" s="54" t="s">
        <v>212</v>
      </c>
    </row>
    <row r="314" customFormat="false" ht="15" hidden="false" customHeight="false" outlineLevel="0" collapsed="false">
      <c r="A314" s="54" t="s">
        <v>27</v>
      </c>
      <c r="B314" s="55" t="n">
        <v>1199</v>
      </c>
      <c r="C314" s="54" t="s">
        <v>127</v>
      </c>
      <c r="D314" s="54" t="s">
        <v>212</v>
      </c>
      <c r="E314" s="54"/>
      <c r="F314" s="56" t="n">
        <v>46305.6144054977</v>
      </c>
      <c r="G314" s="54" t="s">
        <v>212</v>
      </c>
      <c r="H314" s="54" t="s">
        <v>214</v>
      </c>
      <c r="I314" s="57"/>
      <c r="J314" s="56"/>
      <c r="K314" s="56"/>
      <c r="L314" s="58" t="str">
        <f aca="false">IF(AND(ISNUMBER(J314),ISNUMBER(K314)),IF(K314&gt;=J314,(K314-J314)*1440,""),"")</f>
        <v/>
      </c>
      <c r="M314" s="56"/>
      <c r="N314" s="58" t="str">
        <f aca="false">IF(AND(ISNUMBER(J314),ISNUMBER(M314)),IF(M314&gt;=J314,(M314-J314)*1440,""),"")</f>
        <v/>
      </c>
      <c r="O314" s="54" t="str">
        <f aca="false">IF(N314="","",LOOKUP(N314,Tiempos!$A$6:$A$10,Tiempos!$B$6:$B$10))</f>
        <v/>
      </c>
      <c r="P314" s="54"/>
      <c r="Q314" s="54"/>
      <c r="R314" s="54"/>
      <c r="S314" s="54"/>
      <c r="T314" s="58"/>
      <c r="U314" s="54"/>
      <c r="V314" s="58"/>
      <c r="W314" s="57"/>
      <c r="X314" s="55"/>
      <c r="Y314" s="54"/>
      <c r="Z314" s="56"/>
      <c r="AA314" s="58" t="str">
        <f aca="false">IF(AND(ISNUMBER(M314),ISNUMBER(Z314)),IF(Z314&gt;=M314,(Z314-M314)*1440,""),"")</f>
        <v/>
      </c>
      <c r="AB314" s="57"/>
      <c r="AC314" s="56"/>
      <c r="AD314" s="58" t="str">
        <f aca="false">IF(AND(ISNUMBER(Z314),ISNUMBER(AC314)),IF(AC314&gt;=Z314,(AC314-Z314)*1440,""),"")</f>
        <v/>
      </c>
      <c r="AE314" s="54"/>
      <c r="AF314" s="54"/>
      <c r="AG314" s="54"/>
      <c r="AH314" s="58"/>
      <c r="AI314" s="55" t="n">
        <v>2</v>
      </c>
      <c r="AJ314" s="54" t="s">
        <v>216</v>
      </c>
      <c r="AK314" s="54" t="s">
        <v>212</v>
      </c>
    </row>
    <row r="315" customFormat="false" ht="15" hidden="false" customHeight="false" outlineLevel="0" collapsed="false">
      <c r="A315" s="54" t="s">
        <v>27</v>
      </c>
      <c r="B315" s="55" t="n">
        <v>1204</v>
      </c>
      <c r="C315" s="54" t="s">
        <v>127</v>
      </c>
      <c r="D315" s="54" t="s">
        <v>212</v>
      </c>
      <c r="E315" s="54"/>
      <c r="F315" s="56" t="n">
        <v>46305.6696594213</v>
      </c>
      <c r="G315" s="54" t="s">
        <v>212</v>
      </c>
      <c r="H315" s="54" t="s">
        <v>214</v>
      </c>
      <c r="I315" s="57"/>
      <c r="J315" s="56"/>
      <c r="K315" s="56"/>
      <c r="L315" s="58" t="str">
        <f aca="false">IF(AND(ISNUMBER(J315),ISNUMBER(K315)),IF(K315&gt;=J315,(K315-J315)*1440,""),"")</f>
        <v/>
      </c>
      <c r="M315" s="56"/>
      <c r="N315" s="58" t="str">
        <f aca="false">IF(AND(ISNUMBER(J315),ISNUMBER(M315)),IF(M315&gt;=J315,(M315-J315)*1440,""),"")</f>
        <v/>
      </c>
      <c r="O315" s="54" t="str">
        <f aca="false">IF(N315="","",LOOKUP(N315,Tiempos!$A$6:$A$10,Tiempos!$B$6:$B$10))</f>
        <v/>
      </c>
      <c r="P315" s="54"/>
      <c r="Q315" s="54"/>
      <c r="R315" s="54"/>
      <c r="S315" s="54"/>
      <c r="T315" s="58"/>
      <c r="U315" s="54"/>
      <c r="V315" s="58"/>
      <c r="W315" s="57"/>
      <c r="X315" s="55"/>
      <c r="Y315" s="54"/>
      <c r="Z315" s="56"/>
      <c r="AA315" s="58" t="str">
        <f aca="false">IF(AND(ISNUMBER(M315),ISNUMBER(Z315)),IF(Z315&gt;=M315,(Z315-M315)*1440,""),"")</f>
        <v/>
      </c>
      <c r="AB315" s="57"/>
      <c r="AC315" s="56"/>
      <c r="AD315" s="58" t="str">
        <f aca="false">IF(AND(ISNUMBER(Z315),ISNUMBER(AC315)),IF(AC315&gt;=Z315,(AC315-Z315)*1440,""),"")</f>
        <v/>
      </c>
      <c r="AE315" s="54"/>
      <c r="AF315" s="54"/>
      <c r="AG315" s="54"/>
      <c r="AH315" s="58"/>
      <c r="AI315" s="55" t="n">
        <v>2</v>
      </c>
      <c r="AJ315" s="54" t="s">
        <v>216</v>
      </c>
      <c r="AK315" s="54" t="s">
        <v>212</v>
      </c>
    </row>
    <row r="316" customFormat="false" ht="15" hidden="false" customHeight="false" outlineLevel="0" collapsed="false">
      <c r="A316" s="54" t="s">
        <v>27</v>
      </c>
      <c r="B316" s="55" t="n">
        <v>1202</v>
      </c>
      <c r="C316" s="54" t="s">
        <v>127</v>
      </c>
      <c r="D316" s="54" t="s">
        <v>212</v>
      </c>
      <c r="E316" s="54"/>
      <c r="F316" s="56" t="n">
        <v>46305.6859551042</v>
      </c>
      <c r="G316" s="54" t="s">
        <v>212</v>
      </c>
      <c r="H316" s="54" t="s">
        <v>212</v>
      </c>
      <c r="I316" s="57"/>
      <c r="J316" s="56"/>
      <c r="K316" s="56"/>
      <c r="L316" s="58" t="str">
        <f aca="false">IF(AND(ISNUMBER(J316),ISNUMBER(K316)),IF(K316&gt;=J316,(K316-J316)*1440,""),"")</f>
        <v/>
      </c>
      <c r="M316" s="56"/>
      <c r="N316" s="58" t="str">
        <f aca="false">IF(AND(ISNUMBER(J316),ISNUMBER(M316)),IF(M316&gt;=J316,(M316-J316)*1440,""),"")</f>
        <v/>
      </c>
      <c r="O316" s="54" t="str">
        <f aca="false">IF(N316="","",LOOKUP(N316,Tiempos!$A$6:$A$10,Tiempos!$B$6:$B$10))</f>
        <v/>
      </c>
      <c r="P316" s="54"/>
      <c r="Q316" s="54"/>
      <c r="R316" s="54"/>
      <c r="S316" s="54"/>
      <c r="T316" s="58"/>
      <c r="U316" s="54"/>
      <c r="V316" s="58"/>
      <c r="W316" s="57"/>
      <c r="X316" s="55"/>
      <c r="Y316" s="54"/>
      <c r="Z316" s="56"/>
      <c r="AA316" s="58" t="str">
        <f aca="false">IF(AND(ISNUMBER(M316),ISNUMBER(Z316)),IF(Z316&gt;=M316,(Z316-M316)*1440,""),"")</f>
        <v/>
      </c>
      <c r="AB316" s="57"/>
      <c r="AC316" s="56"/>
      <c r="AD316" s="58" t="str">
        <f aca="false">IF(AND(ISNUMBER(Z316),ISNUMBER(AC316)),IF(AC316&gt;=Z316,(AC316-Z316)*1440,""),"")</f>
        <v/>
      </c>
      <c r="AE316" s="54"/>
      <c r="AF316" s="54"/>
      <c r="AG316" s="54"/>
      <c r="AH316" s="58"/>
      <c r="AI316" s="55" t="n">
        <v>1</v>
      </c>
      <c r="AJ316" s="54" t="s">
        <v>216</v>
      </c>
      <c r="AK316" s="54" t="s">
        <v>212</v>
      </c>
    </row>
    <row r="317" customFormat="false" ht="15" hidden="false" customHeight="false" outlineLevel="0" collapsed="false">
      <c r="A317" s="54" t="s">
        <v>27</v>
      </c>
      <c r="B317" s="55" t="n">
        <v>1207</v>
      </c>
      <c r="C317" s="54" t="s">
        <v>127</v>
      </c>
      <c r="D317" s="54" t="s">
        <v>212</v>
      </c>
      <c r="E317" s="54"/>
      <c r="F317" s="56" t="n">
        <v>46305.7180958681</v>
      </c>
      <c r="G317" s="54" t="s">
        <v>212</v>
      </c>
      <c r="H317" s="54" t="s">
        <v>214</v>
      </c>
      <c r="I317" s="57"/>
      <c r="J317" s="56"/>
      <c r="K317" s="56"/>
      <c r="L317" s="58" t="str">
        <f aca="false">IF(AND(ISNUMBER(J317),ISNUMBER(K317)),IF(K317&gt;=J317,(K317-J317)*1440,""),"")</f>
        <v/>
      </c>
      <c r="M317" s="56"/>
      <c r="N317" s="58" t="str">
        <f aca="false">IF(AND(ISNUMBER(J317),ISNUMBER(M317)),IF(M317&gt;=J317,(M317-J317)*1440,""),"")</f>
        <v/>
      </c>
      <c r="O317" s="54" t="str">
        <f aca="false">IF(N317="","",LOOKUP(N317,Tiempos!$A$6:$A$10,Tiempos!$B$6:$B$10))</f>
        <v/>
      </c>
      <c r="P317" s="54"/>
      <c r="Q317" s="54"/>
      <c r="R317" s="54"/>
      <c r="S317" s="54"/>
      <c r="T317" s="58"/>
      <c r="U317" s="54"/>
      <c r="V317" s="58"/>
      <c r="W317" s="57"/>
      <c r="X317" s="55"/>
      <c r="Y317" s="54"/>
      <c r="Z317" s="56"/>
      <c r="AA317" s="58" t="str">
        <f aca="false">IF(AND(ISNUMBER(M317),ISNUMBER(Z317)),IF(Z317&gt;=M317,(Z317-M317)*1440,""),"")</f>
        <v/>
      </c>
      <c r="AB317" s="57"/>
      <c r="AC317" s="56"/>
      <c r="AD317" s="58" t="str">
        <f aca="false">IF(AND(ISNUMBER(Z317),ISNUMBER(AC317)),IF(AC317&gt;=Z317,(AC317-Z317)*1440,""),"")</f>
        <v/>
      </c>
      <c r="AE317" s="54"/>
      <c r="AF317" s="54"/>
      <c r="AG317" s="54"/>
      <c r="AH317" s="58"/>
      <c r="AI317" s="55" t="n">
        <v>1</v>
      </c>
      <c r="AJ317" s="54" t="s">
        <v>216</v>
      </c>
      <c r="AK317" s="54" t="s">
        <v>212</v>
      </c>
    </row>
    <row r="318" customFormat="false" ht="15" hidden="false" customHeight="false" outlineLevel="0" collapsed="false">
      <c r="A318" s="54" t="s">
        <v>27</v>
      </c>
      <c r="B318" s="55" t="n">
        <v>1210</v>
      </c>
      <c r="C318" s="54" t="s">
        <v>127</v>
      </c>
      <c r="D318" s="54" t="s">
        <v>212</v>
      </c>
      <c r="E318" s="54"/>
      <c r="F318" s="56" t="n">
        <v>46305.7275526852</v>
      </c>
      <c r="G318" s="54" t="s">
        <v>212</v>
      </c>
      <c r="H318" s="54" t="s">
        <v>212</v>
      </c>
      <c r="I318" s="57"/>
      <c r="J318" s="56"/>
      <c r="K318" s="56"/>
      <c r="L318" s="58" t="str">
        <f aca="false">IF(AND(ISNUMBER(J318),ISNUMBER(K318)),IF(K318&gt;=J318,(K318-J318)*1440,""),"")</f>
        <v/>
      </c>
      <c r="M318" s="56"/>
      <c r="N318" s="58" t="str">
        <f aca="false">IF(AND(ISNUMBER(J318),ISNUMBER(M318)),IF(M318&gt;=J318,(M318-J318)*1440,""),"")</f>
        <v/>
      </c>
      <c r="O318" s="54" t="str">
        <f aca="false">IF(N318="","",LOOKUP(N318,Tiempos!$A$6:$A$10,Tiempos!$B$6:$B$10))</f>
        <v/>
      </c>
      <c r="P318" s="54"/>
      <c r="Q318" s="54"/>
      <c r="R318" s="54"/>
      <c r="S318" s="54"/>
      <c r="T318" s="58"/>
      <c r="U318" s="54"/>
      <c r="V318" s="58"/>
      <c r="W318" s="57"/>
      <c r="X318" s="55"/>
      <c r="Y318" s="54"/>
      <c r="Z318" s="56"/>
      <c r="AA318" s="58" t="str">
        <f aca="false">IF(AND(ISNUMBER(M318),ISNUMBER(Z318)),IF(Z318&gt;=M318,(Z318-M318)*1440,""),"")</f>
        <v/>
      </c>
      <c r="AB318" s="57"/>
      <c r="AC318" s="56"/>
      <c r="AD318" s="58" t="str">
        <f aca="false">IF(AND(ISNUMBER(Z318),ISNUMBER(AC318)),IF(AC318&gt;=Z318,(AC318-Z318)*1440,""),"")</f>
        <v/>
      </c>
      <c r="AE318" s="54"/>
      <c r="AF318" s="54"/>
      <c r="AG318" s="54"/>
      <c r="AH318" s="58"/>
      <c r="AI318" s="55" t="n">
        <v>1</v>
      </c>
      <c r="AJ318" s="54" t="s">
        <v>216</v>
      </c>
      <c r="AK318" s="54" t="s">
        <v>212</v>
      </c>
    </row>
    <row r="319" customFormat="false" ht="15" hidden="false" customHeight="false" outlineLevel="0" collapsed="false">
      <c r="A319" s="54" t="s">
        <v>27</v>
      </c>
      <c r="B319" s="55" t="n">
        <v>1213</v>
      </c>
      <c r="C319" s="54" t="s">
        <v>128</v>
      </c>
      <c r="D319" s="54" t="s">
        <v>214</v>
      </c>
      <c r="E319" s="54" t="s">
        <v>224</v>
      </c>
      <c r="F319" s="56" t="n">
        <v>46305.7297178588</v>
      </c>
      <c r="G319" s="54" t="s">
        <v>212</v>
      </c>
      <c r="H319" s="54" t="s">
        <v>214</v>
      </c>
      <c r="I319" s="57" t="s">
        <v>564</v>
      </c>
      <c r="J319" s="56" t="n">
        <v>46305.7307204051</v>
      </c>
      <c r="K319" s="56" t="n">
        <v>46305.7309700463</v>
      </c>
      <c r="L319" s="58" t="n">
        <f aca="false">IF(AND(ISNUMBER(J319),ISNUMBER(K319)),IF(K319&gt;=J319,(K319-J319)*1440,""),"")</f>
        <v>0.3594833042</v>
      </c>
      <c r="M319" s="56" t="n">
        <v>46305.7344111111</v>
      </c>
      <c r="N319" s="58" t="n">
        <f aca="false">IF(AND(ISNUMBER(J319),ISNUMBER(M319)),IF(M319&gt;=J319,(M319-J319)*1440,""),"")</f>
        <v>5.31461664823333</v>
      </c>
      <c r="O319" s="54" t="str">
        <f aca="false">IF(N319="","",LOOKUP(N319,Tiempos!$A$6:$A$10,Tiempos!$B$6:$B$10))</f>
        <v>4 a 6 min</v>
      </c>
      <c r="P319" s="54" t="s">
        <v>229</v>
      </c>
      <c r="Q319" s="54" t="s">
        <v>214</v>
      </c>
      <c r="R319" s="54" t="s">
        <v>128</v>
      </c>
      <c r="S319" s="54" t="s">
        <v>220</v>
      </c>
      <c r="T319" s="58" t="n">
        <v>103.1</v>
      </c>
      <c r="U319" s="54" t="s">
        <v>214</v>
      </c>
      <c r="V319" s="58" t="n">
        <v>4.96</v>
      </c>
      <c r="W319" s="57" t="s">
        <v>565</v>
      </c>
      <c r="X319" s="55" t="n">
        <v>2</v>
      </c>
      <c r="Y319" s="54" t="s">
        <v>214</v>
      </c>
      <c r="Z319" s="56" t="n">
        <v>46305.7420397685</v>
      </c>
      <c r="AA319" s="58" t="n">
        <f aca="false">IF(AND(ISNUMBER(M319),ISNUMBER(Z319)),IF(Z319&gt;=M319,(Z319-M319)*1440,""),"")</f>
        <v>10.9852666722</v>
      </c>
      <c r="AB319" s="57" t="s">
        <v>566</v>
      </c>
      <c r="AC319" s="56" t="n">
        <v>46305.7440461111</v>
      </c>
      <c r="AD319" s="58" t="n">
        <f aca="false">IF(AND(ISNUMBER(Z319),ISNUMBER(AC319)),IF(AC319&gt;=Z319,(AC319-Z319)*1440,""),"")</f>
        <v>2.8891333309</v>
      </c>
      <c r="AE319" s="54" t="s">
        <v>277</v>
      </c>
      <c r="AF319" s="54" t="s">
        <v>214</v>
      </c>
      <c r="AG319" s="54" t="s">
        <v>214</v>
      </c>
      <c r="AH319" s="58" t="n">
        <v>3.6</v>
      </c>
      <c r="AI319" s="55" t="n">
        <v>2</v>
      </c>
      <c r="AJ319" s="54" t="s">
        <v>216</v>
      </c>
      <c r="AK319" s="54" t="s">
        <v>212</v>
      </c>
    </row>
    <row r="320" customFormat="false" ht="15" hidden="false" customHeight="false" outlineLevel="0" collapsed="false">
      <c r="A320" s="54" t="s">
        <v>27</v>
      </c>
      <c r="B320" s="55" t="n">
        <v>1221</v>
      </c>
      <c r="C320" s="54" t="s">
        <v>127</v>
      </c>
      <c r="D320" s="54" t="s">
        <v>212</v>
      </c>
      <c r="E320" s="54"/>
      <c r="F320" s="56" t="n">
        <v>46305.7785999769</v>
      </c>
      <c r="G320" s="54" t="s">
        <v>212</v>
      </c>
      <c r="H320" s="54" t="s">
        <v>214</v>
      </c>
      <c r="I320" s="57"/>
      <c r="J320" s="56"/>
      <c r="K320" s="56"/>
      <c r="L320" s="58" t="str">
        <f aca="false">IF(AND(ISNUMBER(J320),ISNUMBER(K320)),IF(K320&gt;=J320,(K320-J320)*1440,""),"")</f>
        <v/>
      </c>
      <c r="M320" s="56"/>
      <c r="N320" s="58" t="str">
        <f aca="false">IF(AND(ISNUMBER(J320),ISNUMBER(M320)),IF(M320&gt;=J320,(M320-J320)*1440,""),"")</f>
        <v/>
      </c>
      <c r="O320" s="54" t="str">
        <f aca="false">IF(N320="","",LOOKUP(N320,Tiempos!$A$6:$A$10,Tiempos!$B$6:$B$10))</f>
        <v/>
      </c>
      <c r="P320" s="54"/>
      <c r="Q320" s="54"/>
      <c r="R320" s="54"/>
      <c r="S320" s="54"/>
      <c r="T320" s="58"/>
      <c r="U320" s="54"/>
      <c r="V320" s="58"/>
      <c r="W320" s="57"/>
      <c r="X320" s="55"/>
      <c r="Y320" s="54"/>
      <c r="Z320" s="56"/>
      <c r="AA320" s="58" t="str">
        <f aca="false">IF(AND(ISNUMBER(M320),ISNUMBER(Z320)),IF(Z320&gt;=M320,(Z320-M320)*1440,""),"")</f>
        <v/>
      </c>
      <c r="AB320" s="57"/>
      <c r="AC320" s="56"/>
      <c r="AD320" s="58" t="str">
        <f aca="false">IF(AND(ISNUMBER(Z320),ISNUMBER(AC320)),IF(AC320&gt;=Z320,(AC320-Z320)*1440,""),"")</f>
        <v/>
      </c>
      <c r="AE320" s="54"/>
      <c r="AF320" s="54"/>
      <c r="AG320" s="54"/>
      <c r="AH320" s="58"/>
      <c r="AI320" s="55" t="n">
        <v>1</v>
      </c>
      <c r="AJ320" s="54" t="s">
        <v>216</v>
      </c>
      <c r="AK320" s="54" t="s">
        <v>212</v>
      </c>
    </row>
    <row r="321" customFormat="false" ht="15" hidden="false" customHeight="false" outlineLevel="0" collapsed="false">
      <c r="A321" s="54" t="s">
        <v>27</v>
      </c>
      <c r="B321" s="55" t="n">
        <v>1234</v>
      </c>
      <c r="C321" s="54" t="s">
        <v>128</v>
      </c>
      <c r="D321" s="54" t="s">
        <v>214</v>
      </c>
      <c r="E321" s="54" t="s">
        <v>242</v>
      </c>
      <c r="F321" s="56" t="n">
        <v>46305.8197207292</v>
      </c>
      <c r="G321" s="54" t="s">
        <v>212</v>
      </c>
      <c r="H321" s="54" t="s">
        <v>212</v>
      </c>
      <c r="I321" s="57" t="s">
        <v>567</v>
      </c>
      <c r="J321" s="56" t="n">
        <v>46305.819932037</v>
      </c>
      <c r="K321" s="56" t="n">
        <v>46305.8203262963</v>
      </c>
      <c r="L321" s="58" t="n">
        <f aca="false">IF(AND(ISNUMBER(J321),ISNUMBER(K321)),IF(K321&gt;=J321,(K321-J321)*1440,""),"")</f>
        <v>0.567733333433333</v>
      </c>
      <c r="M321" s="56" t="n">
        <v>46305.8224028241</v>
      </c>
      <c r="N321" s="58" t="n">
        <f aca="false">IF(AND(ISNUMBER(J321),ISNUMBER(M321)),IF(M321&gt;=J321,(M321-J321)*1440,""),"")</f>
        <v>3.5579333268</v>
      </c>
      <c r="O321" s="54" t="str">
        <f aca="false">IF(N321="","",LOOKUP(N321,Tiempos!$A$6:$A$10,Tiempos!$B$6:$B$10))</f>
        <v>Menos de 4 min</v>
      </c>
      <c r="P321" s="54" t="s">
        <v>219</v>
      </c>
      <c r="Q321" s="54" t="s">
        <v>214</v>
      </c>
      <c r="R321" s="54" t="s">
        <v>128</v>
      </c>
      <c r="S321" s="54" t="s">
        <v>220</v>
      </c>
      <c r="T321" s="58" t="n">
        <v>89.8</v>
      </c>
      <c r="U321" s="54" t="s">
        <v>212</v>
      </c>
      <c r="V321" s="58" t="n">
        <v>2.99</v>
      </c>
      <c r="W321" s="57" t="s">
        <v>568</v>
      </c>
      <c r="X321" s="55" t="n">
        <v>4</v>
      </c>
      <c r="Y321" s="54" t="s">
        <v>214</v>
      </c>
      <c r="Z321" s="56" t="n">
        <v>46305.8312143519</v>
      </c>
      <c r="AA321" s="58" t="n">
        <f aca="false">IF(AND(ISNUMBER(M321),ISNUMBER(Z321)),IF(Z321&gt;=M321,(Z321-M321)*1440,""),"")</f>
        <v>12.6885999972</v>
      </c>
      <c r="AB321" s="57" t="s">
        <v>569</v>
      </c>
      <c r="AC321" s="56" t="n">
        <v>46305.8318313195</v>
      </c>
      <c r="AD321" s="58" t="n">
        <f aca="false">IF(AND(ISNUMBER(Z321),ISNUMBER(AC321)),IF(AC321&gt;=Z321,(AC321-Z321)*1440,""),"")</f>
        <v>0.888433341166667</v>
      </c>
      <c r="AE321" s="54" t="s">
        <v>302</v>
      </c>
      <c r="AF321" s="54" t="s">
        <v>212</v>
      </c>
      <c r="AG321" s="54" t="s">
        <v>212</v>
      </c>
      <c r="AH321" s="58"/>
      <c r="AI321" s="55" t="n">
        <v>2</v>
      </c>
      <c r="AJ321" s="54" t="s">
        <v>473</v>
      </c>
      <c r="AK321" s="54" t="s">
        <v>212</v>
      </c>
    </row>
    <row r="322" customFormat="false" ht="15" hidden="false" customHeight="false" outlineLevel="0" collapsed="false">
      <c r="A322" s="54" t="s">
        <v>27</v>
      </c>
      <c r="B322" s="55" t="n">
        <v>1233</v>
      </c>
      <c r="C322" s="54" t="s">
        <v>128</v>
      </c>
      <c r="D322" s="54" t="s">
        <v>214</v>
      </c>
      <c r="E322" s="54" t="s">
        <v>412</v>
      </c>
      <c r="F322" s="56" t="n">
        <v>46305.8215647107</v>
      </c>
      <c r="G322" s="54" t="s">
        <v>212</v>
      </c>
      <c r="H322" s="54" t="s">
        <v>214</v>
      </c>
      <c r="I322" s="57" t="s">
        <v>570</v>
      </c>
      <c r="J322" s="56" t="n">
        <v>46305.8222691898</v>
      </c>
      <c r="K322" s="56" t="n">
        <v>46305.8234626389</v>
      </c>
      <c r="L322" s="58" t="n">
        <f aca="false">IF(AND(ISNUMBER(J322),ISNUMBER(K322)),IF(K322&gt;=J322,(K322-J322)*1440,""),"")</f>
        <v>1.71856666915</v>
      </c>
      <c r="M322" s="56" t="n">
        <v>46305.8248940278</v>
      </c>
      <c r="N322" s="58" t="n">
        <f aca="false">IF(AND(ISNUMBER(J322),ISNUMBER(M322)),IF(M322&gt;=J322,(M322-J322)*1440,""),"")</f>
        <v>3.77976667018333</v>
      </c>
      <c r="O322" s="54" t="str">
        <f aca="false">IF(N322="","",LOOKUP(N322,Tiempos!$A$6:$A$10,Tiempos!$B$6:$B$10))</f>
        <v>Menos de 4 min</v>
      </c>
      <c r="P322" s="54" t="s">
        <v>244</v>
      </c>
      <c r="Q322" s="54" t="s">
        <v>214</v>
      </c>
      <c r="R322" s="54" t="s">
        <v>128</v>
      </c>
      <c r="S322" s="54" t="s">
        <v>220</v>
      </c>
      <c r="T322" s="58" t="n">
        <v>75.3</v>
      </c>
      <c r="U322" s="54" t="s">
        <v>214</v>
      </c>
      <c r="V322" s="58" t="n">
        <v>2.06</v>
      </c>
      <c r="W322" s="57" t="s">
        <v>571</v>
      </c>
      <c r="X322" s="55" t="n">
        <v>3</v>
      </c>
      <c r="Y322" s="54" t="s">
        <v>214</v>
      </c>
      <c r="Z322" s="56" t="n">
        <v>46305.8310016898</v>
      </c>
      <c r="AA322" s="58" t="n">
        <f aca="false">IF(AND(ISNUMBER(M322),ISNUMBER(Z322)),IF(Z322&gt;=M322,(Z322-M322)*1440,""),"")</f>
        <v>8.79503333823334</v>
      </c>
      <c r="AB322" s="57" t="s">
        <v>572</v>
      </c>
      <c r="AC322" s="56" t="n">
        <v>46305.8320787384</v>
      </c>
      <c r="AD322" s="58" t="n">
        <f aca="false">IF(AND(ISNUMBER(Z322),ISNUMBER(AC322)),IF(AC322&gt;=Z322,(AC322-Z322)*1440,""),"")</f>
        <v>1.55095000051667</v>
      </c>
      <c r="AE322" s="54" t="s">
        <v>237</v>
      </c>
      <c r="AF322" s="54" t="s">
        <v>212</v>
      </c>
      <c r="AG322" s="54" t="s">
        <v>212</v>
      </c>
      <c r="AH322" s="58"/>
      <c r="AI322" s="55" t="n">
        <v>2</v>
      </c>
      <c r="AJ322" s="54" t="s">
        <v>216</v>
      </c>
      <c r="AK322" s="54" t="s">
        <v>212</v>
      </c>
    </row>
    <row r="323" customFormat="false" ht="15" hidden="false" customHeight="false" outlineLevel="0" collapsed="false">
      <c r="A323" s="54" t="s">
        <v>27</v>
      </c>
      <c r="B323" s="55" t="n">
        <v>1237</v>
      </c>
      <c r="C323" s="54" t="s">
        <v>129</v>
      </c>
      <c r="D323" s="54" t="s">
        <v>211</v>
      </c>
      <c r="E323" s="54"/>
      <c r="F323" s="56" t="n">
        <v>46305.8357501852</v>
      </c>
      <c r="G323" s="54" t="s">
        <v>212</v>
      </c>
      <c r="H323" s="54" t="s">
        <v>214</v>
      </c>
      <c r="I323" s="57" t="s">
        <v>573</v>
      </c>
      <c r="J323" s="56" t="n">
        <v>46305.8389209144</v>
      </c>
      <c r="K323" s="56" t="n">
        <v>46305.8427419792</v>
      </c>
      <c r="L323" s="58" t="n">
        <f aca="false">IF(AND(ISNUMBER(J323),ISNUMBER(K323)),IF(K323&gt;=J323,(K323-J323)*1440,""),"")</f>
        <v>5.5023333407</v>
      </c>
      <c r="M323" s="56" t="n">
        <v>46305.8427419792</v>
      </c>
      <c r="N323" s="58" t="n">
        <f aca="false">IF(AND(ISNUMBER(J323),ISNUMBER(M323)),IF(M323&gt;=J323,(M323-J323)*1440,""),"")</f>
        <v>5.5023333407</v>
      </c>
      <c r="O323" s="54" t="str">
        <f aca="false">IF(N323="","",LOOKUP(N323,Tiempos!$A$6:$A$10,Tiempos!$B$6:$B$10))</f>
        <v>4 a 6 min</v>
      </c>
      <c r="P323" s="54" t="s">
        <v>226</v>
      </c>
      <c r="Q323" s="54" t="s">
        <v>212</v>
      </c>
      <c r="R323" s="54" t="s">
        <v>129</v>
      </c>
      <c r="S323" s="54" t="s">
        <v>220</v>
      </c>
      <c r="T323" s="58"/>
      <c r="U323" s="54"/>
      <c r="V323" s="58"/>
      <c r="W323" s="57"/>
      <c r="X323" s="55" t="n">
        <v>0</v>
      </c>
      <c r="Y323" s="54" t="s">
        <v>214</v>
      </c>
      <c r="Z323" s="56" t="n">
        <v>46309.5636126157</v>
      </c>
      <c r="AA323" s="58" t="n">
        <f aca="false">IF(AND(ISNUMBER(M323),ISNUMBER(Z323)),IF(Z323&gt;=M323,(Z323-M323)*1440,""),"")</f>
        <v>5358.0537166621</v>
      </c>
      <c r="AB323" s="57" t="s">
        <v>574</v>
      </c>
      <c r="AC323" s="56" t="n">
        <v>46309.5640867824</v>
      </c>
      <c r="AD323" s="58" t="n">
        <f aca="false">IF(AND(ISNUMBER(Z323),ISNUMBER(AC323)),IF(AC323&gt;=Z323,(AC323-Z323)*1440,""),"")</f>
        <v>0.682799984933333</v>
      </c>
      <c r="AE323" s="54" t="s">
        <v>575</v>
      </c>
      <c r="AF323" s="54" t="s">
        <v>214</v>
      </c>
      <c r="AG323" s="54" t="s">
        <v>212</v>
      </c>
      <c r="AH323" s="58"/>
      <c r="AI323" s="55" t="n">
        <v>2</v>
      </c>
      <c r="AJ323" s="54" t="s">
        <v>210</v>
      </c>
      <c r="AK323" s="54" t="s">
        <v>214</v>
      </c>
    </row>
    <row r="324" customFormat="false" ht="15" hidden="false" customHeight="false" outlineLevel="0" collapsed="false">
      <c r="A324" s="54" t="s">
        <v>27</v>
      </c>
      <c r="B324" s="55" t="n">
        <v>1243</v>
      </c>
      <c r="C324" s="54" t="s">
        <v>127</v>
      </c>
      <c r="D324" s="54" t="s">
        <v>212</v>
      </c>
      <c r="E324" s="54"/>
      <c r="F324" s="56" t="n">
        <v>46305.8539187153</v>
      </c>
      <c r="G324" s="54" t="s">
        <v>212</v>
      </c>
      <c r="H324" s="54" t="s">
        <v>214</v>
      </c>
      <c r="I324" s="57"/>
      <c r="J324" s="56"/>
      <c r="K324" s="56"/>
      <c r="L324" s="58" t="str">
        <f aca="false">IF(AND(ISNUMBER(J324),ISNUMBER(K324)),IF(K324&gt;=J324,(K324-J324)*1440,""),"")</f>
        <v/>
      </c>
      <c r="M324" s="56"/>
      <c r="N324" s="58" t="str">
        <f aca="false">IF(AND(ISNUMBER(J324),ISNUMBER(M324)),IF(M324&gt;=J324,(M324-J324)*1440,""),"")</f>
        <v/>
      </c>
      <c r="O324" s="54" t="str">
        <f aca="false">IF(N324="","",LOOKUP(N324,Tiempos!$A$6:$A$10,Tiempos!$B$6:$B$10))</f>
        <v/>
      </c>
      <c r="P324" s="54"/>
      <c r="Q324" s="54"/>
      <c r="R324" s="54"/>
      <c r="S324" s="54"/>
      <c r="T324" s="58"/>
      <c r="U324" s="54"/>
      <c r="V324" s="58"/>
      <c r="W324" s="57"/>
      <c r="X324" s="55"/>
      <c r="Y324" s="54"/>
      <c r="Z324" s="56"/>
      <c r="AA324" s="58" t="str">
        <f aca="false">IF(AND(ISNUMBER(M324),ISNUMBER(Z324)),IF(Z324&gt;=M324,(Z324-M324)*1440,""),"")</f>
        <v/>
      </c>
      <c r="AB324" s="57"/>
      <c r="AC324" s="56"/>
      <c r="AD324" s="58" t="str">
        <f aca="false">IF(AND(ISNUMBER(Z324),ISNUMBER(AC324)),IF(AC324&gt;=Z324,(AC324-Z324)*1440,""),"")</f>
        <v/>
      </c>
      <c r="AE324" s="54"/>
      <c r="AF324" s="54"/>
      <c r="AG324" s="54"/>
      <c r="AH324" s="58"/>
      <c r="AI324" s="55" t="n">
        <v>2</v>
      </c>
      <c r="AJ324" s="54" t="s">
        <v>216</v>
      </c>
      <c r="AK324" s="54" t="s">
        <v>212</v>
      </c>
    </row>
    <row r="325" customFormat="false" ht="15" hidden="false" customHeight="false" outlineLevel="0" collapsed="false">
      <c r="A325" s="54" t="s">
        <v>27</v>
      </c>
      <c r="B325" s="55" t="n">
        <v>1240</v>
      </c>
      <c r="C325" s="54" t="s">
        <v>127</v>
      </c>
      <c r="D325" s="54" t="s">
        <v>212</v>
      </c>
      <c r="E325" s="54"/>
      <c r="F325" s="56" t="n">
        <v>46305.869109456</v>
      </c>
      <c r="G325" s="54" t="s">
        <v>212</v>
      </c>
      <c r="H325" s="54" t="s">
        <v>212</v>
      </c>
      <c r="I325" s="57"/>
      <c r="J325" s="56"/>
      <c r="K325" s="56"/>
      <c r="L325" s="58" t="str">
        <f aca="false">IF(AND(ISNUMBER(J325),ISNUMBER(K325)),IF(K325&gt;=J325,(K325-J325)*1440,""),"")</f>
        <v/>
      </c>
      <c r="M325" s="56"/>
      <c r="N325" s="58" t="str">
        <f aca="false">IF(AND(ISNUMBER(J325),ISNUMBER(M325)),IF(M325&gt;=J325,(M325-J325)*1440,""),"")</f>
        <v/>
      </c>
      <c r="O325" s="54" t="str">
        <f aca="false">IF(N325="","",LOOKUP(N325,Tiempos!$A$6:$A$10,Tiempos!$B$6:$B$10))</f>
        <v/>
      </c>
      <c r="P325" s="54"/>
      <c r="Q325" s="54"/>
      <c r="R325" s="54"/>
      <c r="S325" s="54"/>
      <c r="T325" s="58"/>
      <c r="U325" s="54"/>
      <c r="V325" s="58"/>
      <c r="W325" s="57"/>
      <c r="X325" s="55"/>
      <c r="Y325" s="54"/>
      <c r="Z325" s="56"/>
      <c r="AA325" s="58" t="str">
        <f aca="false">IF(AND(ISNUMBER(M325),ISNUMBER(Z325)),IF(Z325&gt;=M325,(Z325-M325)*1440,""),"")</f>
        <v/>
      </c>
      <c r="AB325" s="57"/>
      <c r="AC325" s="56"/>
      <c r="AD325" s="58" t="str">
        <f aca="false">IF(AND(ISNUMBER(Z325),ISNUMBER(AC325)),IF(AC325&gt;=Z325,(AC325-Z325)*1440,""),"")</f>
        <v/>
      </c>
      <c r="AE325" s="54"/>
      <c r="AF325" s="54"/>
      <c r="AG325" s="54"/>
      <c r="AH325" s="58"/>
      <c r="AI325" s="55" t="n">
        <v>1</v>
      </c>
      <c r="AJ325" s="54" t="s">
        <v>216</v>
      </c>
      <c r="AK325" s="54" t="s">
        <v>212</v>
      </c>
    </row>
    <row r="326" customFormat="false" ht="15" hidden="false" customHeight="false" outlineLevel="0" collapsed="false">
      <c r="A326" s="54" t="s">
        <v>27</v>
      </c>
      <c r="B326" s="55" t="n">
        <v>1242</v>
      </c>
      <c r="C326" s="54" t="s">
        <v>127</v>
      </c>
      <c r="D326" s="54" t="s">
        <v>212</v>
      </c>
      <c r="E326" s="54"/>
      <c r="F326" s="56" t="n">
        <v>46305.8728153588</v>
      </c>
      <c r="G326" s="54" t="s">
        <v>212</v>
      </c>
      <c r="H326" s="54" t="s">
        <v>214</v>
      </c>
      <c r="I326" s="57"/>
      <c r="J326" s="56"/>
      <c r="K326" s="56"/>
      <c r="L326" s="58" t="str">
        <f aca="false">IF(AND(ISNUMBER(J326),ISNUMBER(K326)),IF(K326&gt;=J326,(K326-J326)*1440,""),"")</f>
        <v/>
      </c>
      <c r="M326" s="56"/>
      <c r="N326" s="58" t="str">
        <f aca="false">IF(AND(ISNUMBER(J326),ISNUMBER(M326)),IF(M326&gt;=J326,(M326-J326)*1440,""),"")</f>
        <v/>
      </c>
      <c r="O326" s="54" t="str">
        <f aca="false">IF(N326="","",LOOKUP(N326,Tiempos!$A$6:$A$10,Tiempos!$B$6:$B$10))</f>
        <v/>
      </c>
      <c r="P326" s="54"/>
      <c r="Q326" s="54"/>
      <c r="R326" s="54"/>
      <c r="S326" s="54"/>
      <c r="T326" s="58"/>
      <c r="U326" s="54"/>
      <c r="V326" s="58"/>
      <c r="W326" s="57"/>
      <c r="X326" s="55"/>
      <c r="Y326" s="54"/>
      <c r="Z326" s="56"/>
      <c r="AA326" s="58" t="str">
        <f aca="false">IF(AND(ISNUMBER(M326),ISNUMBER(Z326)),IF(Z326&gt;=M326,(Z326-M326)*1440,""),"")</f>
        <v/>
      </c>
      <c r="AB326" s="57"/>
      <c r="AC326" s="56"/>
      <c r="AD326" s="58" t="str">
        <f aca="false">IF(AND(ISNUMBER(Z326),ISNUMBER(AC326)),IF(AC326&gt;=Z326,(AC326-Z326)*1440,""),"")</f>
        <v/>
      </c>
      <c r="AE326" s="54"/>
      <c r="AF326" s="54"/>
      <c r="AG326" s="54"/>
      <c r="AH326" s="58"/>
      <c r="AI326" s="55" t="n">
        <v>1</v>
      </c>
      <c r="AJ326" s="54" t="s">
        <v>216</v>
      </c>
      <c r="AK326" s="54" t="s">
        <v>212</v>
      </c>
    </row>
    <row r="327" customFormat="false" ht="15" hidden="false" customHeight="false" outlineLevel="0" collapsed="false">
      <c r="A327" s="54" t="s">
        <v>27</v>
      </c>
      <c r="B327" s="55" t="n">
        <v>1249</v>
      </c>
      <c r="C327" s="54" t="s">
        <v>127</v>
      </c>
      <c r="D327" s="54" t="s">
        <v>212</v>
      </c>
      <c r="E327" s="54"/>
      <c r="F327" s="56" t="n">
        <v>46305.9554836921</v>
      </c>
      <c r="G327" s="54" t="s">
        <v>214</v>
      </c>
      <c r="H327" s="54" t="s">
        <v>214</v>
      </c>
      <c r="I327" s="57"/>
      <c r="J327" s="56"/>
      <c r="K327" s="56"/>
      <c r="L327" s="58" t="str">
        <f aca="false">IF(AND(ISNUMBER(J327),ISNUMBER(K327)),IF(K327&gt;=J327,(K327-J327)*1440,""),"")</f>
        <v/>
      </c>
      <c r="M327" s="56"/>
      <c r="N327" s="58" t="str">
        <f aca="false">IF(AND(ISNUMBER(J327),ISNUMBER(M327)),IF(M327&gt;=J327,(M327-J327)*1440,""),"")</f>
        <v/>
      </c>
      <c r="O327" s="54" t="str">
        <f aca="false">IF(N327="","",LOOKUP(N327,Tiempos!$A$6:$A$10,Tiempos!$B$6:$B$10))</f>
        <v/>
      </c>
      <c r="P327" s="54"/>
      <c r="Q327" s="54"/>
      <c r="R327" s="54"/>
      <c r="S327" s="54"/>
      <c r="T327" s="58"/>
      <c r="U327" s="54"/>
      <c r="V327" s="58"/>
      <c r="W327" s="57"/>
      <c r="X327" s="55"/>
      <c r="Y327" s="54"/>
      <c r="Z327" s="56"/>
      <c r="AA327" s="58" t="str">
        <f aca="false">IF(AND(ISNUMBER(M327),ISNUMBER(Z327)),IF(Z327&gt;=M327,(Z327-M327)*1440,""),"")</f>
        <v/>
      </c>
      <c r="AB327" s="57"/>
      <c r="AC327" s="56"/>
      <c r="AD327" s="58" t="str">
        <f aca="false">IF(AND(ISNUMBER(Z327),ISNUMBER(AC327)),IF(AC327&gt;=Z327,(AC327-Z327)*1440,""),"")</f>
        <v/>
      </c>
      <c r="AE327" s="54"/>
      <c r="AF327" s="54"/>
      <c r="AG327" s="54"/>
      <c r="AH327" s="58"/>
      <c r="AI327" s="55" t="n">
        <v>1</v>
      </c>
      <c r="AJ327" s="54" t="s">
        <v>216</v>
      </c>
      <c r="AK327" s="54" t="s">
        <v>212</v>
      </c>
    </row>
    <row r="328" customFormat="false" ht="15" hidden="false" customHeight="false" outlineLevel="0" collapsed="false">
      <c r="A328" s="54" t="s">
        <v>27</v>
      </c>
      <c r="B328" s="55" t="n">
        <v>1257</v>
      </c>
      <c r="C328" s="54" t="s">
        <v>127</v>
      </c>
      <c r="D328" s="54" t="s">
        <v>212</v>
      </c>
      <c r="E328" s="54"/>
      <c r="F328" s="56" t="n">
        <v>46306.2965815394</v>
      </c>
      <c r="G328" s="54" t="s">
        <v>214</v>
      </c>
      <c r="H328" s="54" t="s">
        <v>214</v>
      </c>
      <c r="I328" s="57"/>
      <c r="J328" s="56"/>
      <c r="K328" s="56"/>
      <c r="L328" s="58" t="str">
        <f aca="false">IF(AND(ISNUMBER(J328),ISNUMBER(K328)),IF(K328&gt;=J328,(K328-J328)*1440,""),"")</f>
        <v/>
      </c>
      <c r="M328" s="56"/>
      <c r="N328" s="58" t="str">
        <f aca="false">IF(AND(ISNUMBER(J328),ISNUMBER(M328)),IF(M328&gt;=J328,(M328-J328)*1440,""),"")</f>
        <v/>
      </c>
      <c r="O328" s="54" t="str">
        <f aca="false">IF(N328="","",LOOKUP(N328,Tiempos!$A$6:$A$10,Tiempos!$B$6:$B$10))</f>
        <v/>
      </c>
      <c r="P328" s="54"/>
      <c r="Q328" s="54"/>
      <c r="R328" s="54"/>
      <c r="S328" s="54"/>
      <c r="T328" s="58"/>
      <c r="U328" s="54"/>
      <c r="V328" s="58"/>
      <c r="W328" s="57"/>
      <c r="X328" s="55"/>
      <c r="Y328" s="54"/>
      <c r="Z328" s="56"/>
      <c r="AA328" s="58" t="str">
        <f aca="false">IF(AND(ISNUMBER(M328),ISNUMBER(Z328)),IF(Z328&gt;=M328,(Z328-M328)*1440,""),"")</f>
        <v/>
      </c>
      <c r="AB328" s="57"/>
      <c r="AC328" s="56"/>
      <c r="AD328" s="58" t="str">
        <f aca="false">IF(AND(ISNUMBER(Z328),ISNUMBER(AC328)),IF(AC328&gt;=Z328,(AC328-Z328)*1440,""),"")</f>
        <v/>
      </c>
      <c r="AE328" s="54"/>
      <c r="AF328" s="54"/>
      <c r="AG328" s="54"/>
      <c r="AH328" s="58"/>
      <c r="AI328" s="55" t="n">
        <v>2</v>
      </c>
      <c r="AJ328" s="54" t="s">
        <v>216</v>
      </c>
      <c r="AK328" s="54" t="s">
        <v>212</v>
      </c>
    </row>
    <row r="329" customFormat="false" ht="15" hidden="false" customHeight="false" outlineLevel="0" collapsed="false">
      <c r="A329" s="54" t="s">
        <v>27</v>
      </c>
      <c r="B329" s="55" t="n">
        <v>1260</v>
      </c>
      <c r="C329" s="54" t="s">
        <v>127</v>
      </c>
      <c r="D329" s="54" t="s">
        <v>212</v>
      </c>
      <c r="E329" s="54"/>
      <c r="F329" s="56" t="n">
        <v>46306.3041676157</v>
      </c>
      <c r="G329" s="54" t="s">
        <v>214</v>
      </c>
      <c r="H329" s="54" t="s">
        <v>214</v>
      </c>
      <c r="I329" s="57"/>
      <c r="J329" s="56"/>
      <c r="K329" s="56"/>
      <c r="L329" s="58" t="str">
        <f aca="false">IF(AND(ISNUMBER(J329),ISNUMBER(K329)),IF(K329&gt;=J329,(K329-J329)*1440,""),"")</f>
        <v/>
      </c>
      <c r="M329" s="56"/>
      <c r="N329" s="58" t="str">
        <f aca="false">IF(AND(ISNUMBER(J329),ISNUMBER(M329)),IF(M329&gt;=J329,(M329-J329)*1440,""),"")</f>
        <v/>
      </c>
      <c r="O329" s="54" t="str">
        <f aca="false">IF(N329="","",LOOKUP(N329,Tiempos!$A$6:$A$10,Tiempos!$B$6:$B$10))</f>
        <v/>
      </c>
      <c r="P329" s="54"/>
      <c r="Q329" s="54"/>
      <c r="R329" s="54"/>
      <c r="S329" s="54"/>
      <c r="T329" s="58"/>
      <c r="U329" s="54"/>
      <c r="V329" s="58"/>
      <c r="W329" s="57"/>
      <c r="X329" s="55"/>
      <c r="Y329" s="54"/>
      <c r="Z329" s="56"/>
      <c r="AA329" s="58" t="str">
        <f aca="false">IF(AND(ISNUMBER(M329),ISNUMBER(Z329)),IF(Z329&gt;=M329,(Z329-M329)*1440,""),"")</f>
        <v/>
      </c>
      <c r="AB329" s="57"/>
      <c r="AC329" s="56"/>
      <c r="AD329" s="58" t="str">
        <f aca="false">IF(AND(ISNUMBER(Z329),ISNUMBER(AC329)),IF(AC329&gt;=Z329,(AC329-Z329)*1440,""),"")</f>
        <v/>
      </c>
      <c r="AE329" s="54"/>
      <c r="AF329" s="54"/>
      <c r="AG329" s="54"/>
      <c r="AH329" s="58"/>
      <c r="AI329" s="55" t="n">
        <v>2</v>
      </c>
      <c r="AJ329" s="54" t="s">
        <v>216</v>
      </c>
      <c r="AK329" s="54" t="s">
        <v>212</v>
      </c>
    </row>
    <row r="330" customFormat="false" ht="15" hidden="false" customHeight="false" outlineLevel="0" collapsed="false">
      <c r="A330" s="54" t="s">
        <v>27</v>
      </c>
      <c r="B330" s="55" t="n">
        <v>1263</v>
      </c>
      <c r="C330" s="54" t="s">
        <v>127</v>
      </c>
      <c r="D330" s="54" t="s">
        <v>211</v>
      </c>
      <c r="E330" s="54"/>
      <c r="F330" s="56" t="n">
        <v>46306.323244919</v>
      </c>
      <c r="G330" s="54" t="s">
        <v>214</v>
      </c>
      <c r="H330" s="54" t="s">
        <v>214</v>
      </c>
      <c r="I330" s="57" t="s">
        <v>385</v>
      </c>
      <c r="J330" s="56" t="n">
        <v>46306.4351471875</v>
      </c>
      <c r="K330" s="56" t="n">
        <v>46306.4354196181</v>
      </c>
      <c r="L330" s="58" t="n">
        <f aca="false">IF(AND(ISNUMBER(J330),ISNUMBER(K330)),IF(K330&gt;=J330,(K330-J330)*1440,""),"")</f>
        <v>0.392300005766667</v>
      </c>
      <c r="M330" s="56" t="n">
        <v>46306.4354196181</v>
      </c>
      <c r="N330" s="58" t="n">
        <f aca="false">IF(AND(ISNUMBER(J330),ISNUMBER(M330)),IF(M330&gt;=J330,(M330-J330)*1440,""),"")</f>
        <v>0.392300005766667</v>
      </c>
      <c r="O330" s="54" t="str">
        <f aca="false">IF(N330="","",LOOKUP(N330,Tiempos!$A$6:$A$10,Tiempos!$B$6:$B$10))</f>
        <v>Menos de 4 min</v>
      </c>
      <c r="P330" s="54" t="s">
        <v>226</v>
      </c>
      <c r="Q330" s="54" t="s">
        <v>212</v>
      </c>
      <c r="R330" s="54" t="s">
        <v>127</v>
      </c>
      <c r="S330" s="54" t="s">
        <v>220</v>
      </c>
      <c r="T330" s="58"/>
      <c r="U330" s="54"/>
      <c r="V330" s="58"/>
      <c r="W330" s="57"/>
      <c r="X330" s="55" t="n">
        <v>0</v>
      </c>
      <c r="Y330" s="54" t="s">
        <v>212</v>
      </c>
      <c r="Z330" s="56"/>
      <c r="AA330" s="58" t="str">
        <f aca="false">IF(AND(ISNUMBER(M330),ISNUMBER(Z330)),IF(Z330&gt;=M330,(Z330-M330)*1440,""),"")</f>
        <v/>
      </c>
      <c r="AB330" s="57"/>
      <c r="AC330" s="56"/>
      <c r="AD330" s="58" t="str">
        <f aca="false">IF(AND(ISNUMBER(Z330),ISNUMBER(AC330)),IF(AC330&gt;=Z330,(AC330-Z330)*1440,""),"")</f>
        <v/>
      </c>
      <c r="AE330" s="54"/>
      <c r="AF330" s="54" t="s">
        <v>212</v>
      </c>
      <c r="AG330" s="54"/>
      <c r="AH330" s="58"/>
      <c r="AI330" s="55" t="n">
        <v>2</v>
      </c>
      <c r="AJ330" s="54" t="s">
        <v>216</v>
      </c>
      <c r="AK330" s="54" t="s">
        <v>212</v>
      </c>
    </row>
    <row r="331" customFormat="false" ht="15" hidden="false" customHeight="false" outlineLevel="0" collapsed="false">
      <c r="A331" s="54" t="s">
        <v>27</v>
      </c>
      <c r="B331" s="55" t="n">
        <v>1270</v>
      </c>
      <c r="C331" s="54" t="s">
        <v>127</v>
      </c>
      <c r="D331" s="54" t="s">
        <v>211</v>
      </c>
      <c r="E331" s="54"/>
      <c r="F331" s="56" t="n">
        <v>46306.3692907523</v>
      </c>
      <c r="G331" s="54" t="s">
        <v>212</v>
      </c>
      <c r="H331" s="54" t="s">
        <v>214</v>
      </c>
      <c r="I331" s="57" t="s">
        <v>576</v>
      </c>
      <c r="J331" s="56" t="n">
        <v>46306.7615938889</v>
      </c>
      <c r="K331" s="56" t="n">
        <v>46306.7644611227</v>
      </c>
      <c r="L331" s="58" t="n">
        <f aca="false">IF(AND(ISNUMBER(J331),ISNUMBER(K331)),IF(K331&gt;=J331,(K331-J331)*1440,""),"")</f>
        <v>4.12881667375</v>
      </c>
      <c r="M331" s="56" t="n">
        <v>46306.7644611227</v>
      </c>
      <c r="N331" s="58" t="n">
        <f aca="false">IF(AND(ISNUMBER(J331),ISNUMBER(M331)),IF(M331&gt;=J331,(M331-J331)*1440,""),"")</f>
        <v>4.12881667375</v>
      </c>
      <c r="O331" s="54" t="str">
        <f aca="false">IF(N331="","",LOOKUP(N331,Tiempos!$A$6:$A$10,Tiempos!$B$6:$B$10))</f>
        <v>4 a 6 min</v>
      </c>
      <c r="P331" s="54" t="s">
        <v>226</v>
      </c>
      <c r="Q331" s="54" t="s">
        <v>212</v>
      </c>
      <c r="R331" s="54" t="s">
        <v>129</v>
      </c>
      <c r="S331" s="54" t="s">
        <v>220</v>
      </c>
      <c r="T331" s="58"/>
      <c r="U331" s="54"/>
      <c r="V331" s="58"/>
      <c r="W331" s="57"/>
      <c r="X331" s="55" t="n">
        <v>0</v>
      </c>
      <c r="Y331" s="54" t="s">
        <v>214</v>
      </c>
      <c r="Z331" s="56" t="n">
        <v>46307.3847841435</v>
      </c>
      <c r="AA331" s="58" t="n">
        <f aca="false">IF(AND(ISNUMBER(M331),ISNUMBER(Z331)),IF(Z331&gt;=M331,(Z331-M331)*1440,""),"")</f>
        <v>893.265149990317</v>
      </c>
      <c r="AB331" s="57" t="s">
        <v>577</v>
      </c>
      <c r="AC331" s="56" t="n">
        <v>46307.385346412</v>
      </c>
      <c r="AD331" s="58" t="n">
        <f aca="false">IF(AND(ISNUMBER(Z331),ISNUMBER(AC331)),IF(AC331&gt;=Z331,(AC331-Z331)*1440,""),"")</f>
        <v>0.809666669216667</v>
      </c>
      <c r="AE331" s="54" t="s">
        <v>258</v>
      </c>
      <c r="AF331" s="54" t="s">
        <v>212</v>
      </c>
      <c r="AG331" s="54" t="s">
        <v>212</v>
      </c>
      <c r="AH331" s="58"/>
      <c r="AI331" s="55" t="n">
        <v>3</v>
      </c>
      <c r="AJ331" s="54" t="s">
        <v>216</v>
      </c>
      <c r="AK331" s="54" t="s">
        <v>212</v>
      </c>
    </row>
    <row r="332" customFormat="false" ht="15" hidden="false" customHeight="false" outlineLevel="0" collapsed="false">
      <c r="A332" s="54" t="s">
        <v>27</v>
      </c>
      <c r="B332" s="55" t="n">
        <v>1272</v>
      </c>
      <c r="C332" s="54" t="s">
        <v>127</v>
      </c>
      <c r="D332" s="54" t="s">
        <v>212</v>
      </c>
      <c r="E332" s="54"/>
      <c r="F332" s="56" t="n">
        <v>46306.403001169</v>
      </c>
      <c r="G332" s="54" t="s">
        <v>212</v>
      </c>
      <c r="H332" s="54" t="s">
        <v>212</v>
      </c>
      <c r="I332" s="57"/>
      <c r="J332" s="56"/>
      <c r="K332" s="56"/>
      <c r="L332" s="58" t="str">
        <f aca="false">IF(AND(ISNUMBER(J332),ISNUMBER(K332)),IF(K332&gt;=J332,(K332-J332)*1440,""),"")</f>
        <v/>
      </c>
      <c r="M332" s="56"/>
      <c r="N332" s="58" t="str">
        <f aca="false">IF(AND(ISNUMBER(J332),ISNUMBER(M332)),IF(M332&gt;=J332,(M332-J332)*1440,""),"")</f>
        <v/>
      </c>
      <c r="O332" s="54" t="str">
        <f aca="false">IF(N332="","",LOOKUP(N332,Tiempos!$A$6:$A$10,Tiempos!$B$6:$B$10))</f>
        <v/>
      </c>
      <c r="P332" s="54"/>
      <c r="Q332" s="54"/>
      <c r="R332" s="54"/>
      <c r="S332" s="54"/>
      <c r="T332" s="58"/>
      <c r="U332" s="54"/>
      <c r="V332" s="58"/>
      <c r="W332" s="57"/>
      <c r="X332" s="55"/>
      <c r="Y332" s="54"/>
      <c r="Z332" s="56"/>
      <c r="AA332" s="58" t="str">
        <f aca="false">IF(AND(ISNUMBER(M332),ISNUMBER(Z332)),IF(Z332&gt;=M332,(Z332-M332)*1440,""),"")</f>
        <v/>
      </c>
      <c r="AB332" s="57"/>
      <c r="AC332" s="56"/>
      <c r="AD332" s="58" t="str">
        <f aca="false">IF(AND(ISNUMBER(Z332),ISNUMBER(AC332)),IF(AC332&gt;=Z332,(AC332-Z332)*1440,""),"")</f>
        <v/>
      </c>
      <c r="AE332" s="54"/>
      <c r="AF332" s="54"/>
      <c r="AG332" s="54"/>
      <c r="AH332" s="58"/>
      <c r="AI332" s="55" t="n">
        <v>1</v>
      </c>
      <c r="AJ332" s="54" t="s">
        <v>216</v>
      </c>
      <c r="AK332" s="54" t="s">
        <v>212</v>
      </c>
    </row>
    <row r="333" customFormat="false" ht="15" hidden="false" customHeight="false" outlineLevel="0" collapsed="false">
      <c r="A333" s="54" t="s">
        <v>27</v>
      </c>
      <c r="B333" s="55" t="n">
        <v>1279</v>
      </c>
      <c r="C333" s="54" t="s">
        <v>127</v>
      </c>
      <c r="D333" s="54" t="s">
        <v>212</v>
      </c>
      <c r="E333" s="54"/>
      <c r="F333" s="56" t="n">
        <v>46306.4418257755</v>
      </c>
      <c r="G333" s="54" t="s">
        <v>212</v>
      </c>
      <c r="H333" s="54" t="s">
        <v>214</v>
      </c>
      <c r="I333" s="57"/>
      <c r="J333" s="56"/>
      <c r="K333" s="56"/>
      <c r="L333" s="58" t="str">
        <f aca="false">IF(AND(ISNUMBER(J333),ISNUMBER(K333)),IF(K333&gt;=J333,(K333-J333)*1440,""),"")</f>
        <v/>
      </c>
      <c r="M333" s="56"/>
      <c r="N333" s="58" t="str">
        <f aca="false">IF(AND(ISNUMBER(J333),ISNUMBER(M333)),IF(M333&gt;=J333,(M333-J333)*1440,""),"")</f>
        <v/>
      </c>
      <c r="O333" s="54" t="str">
        <f aca="false">IF(N333="","",LOOKUP(N333,Tiempos!$A$6:$A$10,Tiempos!$B$6:$B$10))</f>
        <v/>
      </c>
      <c r="P333" s="54"/>
      <c r="Q333" s="54"/>
      <c r="R333" s="54"/>
      <c r="S333" s="54"/>
      <c r="T333" s="58"/>
      <c r="U333" s="54"/>
      <c r="V333" s="58"/>
      <c r="W333" s="57"/>
      <c r="X333" s="55"/>
      <c r="Y333" s="54"/>
      <c r="Z333" s="56"/>
      <c r="AA333" s="58" t="str">
        <f aca="false">IF(AND(ISNUMBER(M333),ISNUMBER(Z333)),IF(Z333&gt;=M333,(Z333-M333)*1440,""),"")</f>
        <v/>
      </c>
      <c r="AB333" s="57"/>
      <c r="AC333" s="56"/>
      <c r="AD333" s="58" t="str">
        <f aca="false">IF(AND(ISNUMBER(Z333),ISNUMBER(AC333)),IF(AC333&gt;=Z333,(AC333-Z333)*1440,""),"")</f>
        <v/>
      </c>
      <c r="AE333" s="54"/>
      <c r="AF333" s="54"/>
      <c r="AG333" s="54"/>
      <c r="AH333" s="58"/>
      <c r="AI333" s="55" t="n">
        <v>1</v>
      </c>
      <c r="AJ333" s="54" t="s">
        <v>216</v>
      </c>
      <c r="AK333" s="54" t="s">
        <v>212</v>
      </c>
    </row>
    <row r="334" customFormat="false" ht="15" hidden="false" customHeight="false" outlineLevel="0" collapsed="false">
      <c r="A334" s="54" t="s">
        <v>27</v>
      </c>
      <c r="B334" s="55" t="n">
        <v>1280</v>
      </c>
      <c r="C334" s="54" t="s">
        <v>127</v>
      </c>
      <c r="D334" s="54" t="s">
        <v>211</v>
      </c>
      <c r="E334" s="54"/>
      <c r="F334" s="56" t="n">
        <v>46306.4462878935</v>
      </c>
      <c r="G334" s="54" t="s">
        <v>212</v>
      </c>
      <c r="H334" s="54" t="s">
        <v>212</v>
      </c>
      <c r="I334" s="57" t="s">
        <v>578</v>
      </c>
      <c r="J334" s="56" t="n">
        <v>46306.5446859491</v>
      </c>
      <c r="K334" s="56" t="n">
        <v>46306.5449861921</v>
      </c>
      <c r="L334" s="58" t="n">
        <f aca="false">IF(AND(ISNUMBER(J334),ISNUMBER(K334)),IF(K334&gt;=J334,(K334-J334)*1440,""),"")</f>
        <v>0.4323499964</v>
      </c>
      <c r="M334" s="56" t="n">
        <v>46306.5449861921</v>
      </c>
      <c r="N334" s="58" t="n">
        <f aca="false">IF(AND(ISNUMBER(J334),ISNUMBER(M334)),IF(M334&gt;=J334,(M334-J334)*1440,""),"")</f>
        <v>0.4323499964</v>
      </c>
      <c r="O334" s="54" t="str">
        <f aca="false">IF(N334="","",LOOKUP(N334,Tiempos!$A$6:$A$10,Tiempos!$B$6:$B$10))</f>
        <v>Menos de 4 min</v>
      </c>
      <c r="P334" s="54" t="s">
        <v>226</v>
      </c>
      <c r="Q334" s="54" t="s">
        <v>212</v>
      </c>
      <c r="R334" s="54" t="s">
        <v>127</v>
      </c>
      <c r="S334" s="54" t="s">
        <v>220</v>
      </c>
      <c r="T334" s="58"/>
      <c r="U334" s="54"/>
      <c r="V334" s="58"/>
      <c r="W334" s="57"/>
      <c r="X334" s="55" t="n">
        <v>0</v>
      </c>
      <c r="Y334" s="54" t="s">
        <v>214</v>
      </c>
      <c r="Z334" s="56" t="n">
        <v>46309.364296169</v>
      </c>
      <c r="AA334" s="58" t="n">
        <f aca="false">IF(AND(ISNUMBER(M334),ISNUMBER(Z334)),IF(Z334&gt;=M334,(Z334-M334)*1440,""),"")</f>
        <v>4059.80636665947</v>
      </c>
      <c r="AB334" s="57" t="s">
        <v>579</v>
      </c>
      <c r="AC334" s="56" t="n">
        <v>46309.3643923264</v>
      </c>
      <c r="AD334" s="58" t="n">
        <f aca="false">IF(AND(ISNUMBER(Z334),ISNUMBER(AC334)),IF(AC334&gt;=Z334,(AC334-Z334)*1440,""),"")</f>
        <v>0.1384666725</v>
      </c>
      <c r="AE334" s="54" t="s">
        <v>302</v>
      </c>
      <c r="AF334" s="54" t="s">
        <v>212</v>
      </c>
      <c r="AG334" s="54" t="s">
        <v>212</v>
      </c>
      <c r="AH334" s="58"/>
      <c r="AI334" s="55" t="n">
        <v>1</v>
      </c>
      <c r="AJ334" s="54" t="s">
        <v>216</v>
      </c>
      <c r="AK334" s="54" t="s">
        <v>212</v>
      </c>
    </row>
    <row r="335" customFormat="false" ht="15" hidden="false" customHeight="false" outlineLevel="0" collapsed="false">
      <c r="A335" s="54" t="s">
        <v>27</v>
      </c>
      <c r="B335" s="55" t="n">
        <v>1282</v>
      </c>
      <c r="C335" s="54" t="s">
        <v>127</v>
      </c>
      <c r="D335" s="54" t="s">
        <v>214</v>
      </c>
      <c r="E335" s="54" t="s">
        <v>224</v>
      </c>
      <c r="F335" s="56" t="n">
        <v>46306.4477478472</v>
      </c>
      <c r="G335" s="54" t="s">
        <v>212</v>
      </c>
      <c r="H335" s="54" t="s">
        <v>214</v>
      </c>
      <c r="I335" s="57" t="s">
        <v>580</v>
      </c>
      <c r="J335" s="56" t="n">
        <v>46306.4498599769</v>
      </c>
      <c r="K335" s="56" t="n">
        <v>46306.4590884491</v>
      </c>
      <c r="L335" s="58" t="n">
        <f aca="false">IF(AND(ISNUMBER(J335),ISNUMBER(K335)),IF(K335&gt;=J335,(K335-J335)*1440,""),"")</f>
        <v>13.2890000171</v>
      </c>
      <c r="M335" s="56" t="n">
        <v>46306.4631914931</v>
      </c>
      <c r="N335" s="58" t="n">
        <f aca="false">IF(AND(ISNUMBER(J335),ISNUMBER(M335)),IF(M335&gt;=J335,(M335-J335)*1440,""),"")</f>
        <v>19.1973833413667</v>
      </c>
      <c r="O335" s="54" t="str">
        <f aca="false">IF(N335="","",LOOKUP(N335,Tiempos!$A$6:$A$10,Tiempos!$B$6:$B$10))</f>
        <v>10 a 30 min</v>
      </c>
      <c r="P335" s="54" t="s">
        <v>229</v>
      </c>
      <c r="Q335" s="54" t="s">
        <v>214</v>
      </c>
      <c r="R335" s="54" t="s">
        <v>127</v>
      </c>
      <c r="S335" s="54" t="s">
        <v>220</v>
      </c>
      <c r="T335" s="58" t="n">
        <v>113.6</v>
      </c>
      <c r="U335" s="54" t="s">
        <v>214</v>
      </c>
      <c r="V335" s="58" t="n">
        <v>5.91</v>
      </c>
      <c r="W335" s="57" t="s">
        <v>581</v>
      </c>
      <c r="X335" s="55" t="n">
        <v>2</v>
      </c>
      <c r="Y335" s="54" t="s">
        <v>214</v>
      </c>
      <c r="Z335" s="56" t="n">
        <v>46306.4801471296</v>
      </c>
      <c r="AA335" s="58" t="n">
        <f aca="false">IF(AND(ISNUMBER(M335),ISNUMBER(Z335)),IF(Z335&gt;=M335,(Z335-M335)*1440,""),"")</f>
        <v>24.41611666465</v>
      </c>
      <c r="AB335" s="57" t="s">
        <v>582</v>
      </c>
      <c r="AC335" s="56" t="n">
        <v>46306.4803643982</v>
      </c>
      <c r="AD335" s="58" t="n">
        <f aca="false">IF(AND(ISNUMBER(Z335),ISNUMBER(AC335)),IF(AC335&gt;=Z335,(AC335-Z335)*1440,""),"")</f>
        <v>0.312866668666667</v>
      </c>
      <c r="AE335" s="54" t="s">
        <v>346</v>
      </c>
      <c r="AF335" s="54" t="s">
        <v>214</v>
      </c>
      <c r="AG335" s="54" t="s">
        <v>214</v>
      </c>
      <c r="AH335" s="58" t="n">
        <v>1.7</v>
      </c>
      <c r="AI335" s="55" t="n">
        <v>2</v>
      </c>
      <c r="AJ335" s="54" t="s">
        <v>216</v>
      </c>
      <c r="AK335" s="54" t="s">
        <v>212</v>
      </c>
    </row>
    <row r="336" customFormat="false" ht="15" hidden="false" customHeight="false" outlineLevel="0" collapsed="false">
      <c r="A336" s="54" t="s">
        <v>27</v>
      </c>
      <c r="B336" s="55" t="n">
        <v>1288</v>
      </c>
      <c r="C336" s="54" t="s">
        <v>127</v>
      </c>
      <c r="D336" s="54" t="s">
        <v>214</v>
      </c>
      <c r="E336" s="54" t="s">
        <v>242</v>
      </c>
      <c r="F336" s="56" t="n">
        <v>46306.4967728357</v>
      </c>
      <c r="G336" s="54" t="s">
        <v>212</v>
      </c>
      <c r="H336" s="54" t="s">
        <v>214</v>
      </c>
      <c r="I336" s="57" t="s">
        <v>583</v>
      </c>
      <c r="J336" s="56" t="n">
        <v>46306.49752625</v>
      </c>
      <c r="K336" s="56" t="n">
        <v>46306.4975527315</v>
      </c>
      <c r="L336" s="58" t="n">
        <f aca="false">IF(AND(ISNUMBER(J336),ISNUMBER(K336)),IF(K336&gt;=J336,(K336-J336)*1440,""),"")</f>
        <v>0.0381333322666667</v>
      </c>
      <c r="M336" s="56" t="n">
        <v>46306.5005577894</v>
      </c>
      <c r="N336" s="58" t="n">
        <f aca="false">IF(AND(ISNUMBER(J336),ISNUMBER(M336)),IF(M336&gt;=J336,(M336-J336)*1440,""),"")</f>
        <v>4.36541666741667</v>
      </c>
      <c r="O336" s="54" t="str">
        <f aca="false">IF(N336="","",LOOKUP(N336,Tiempos!$A$6:$A$10,Tiempos!$B$6:$B$10))</f>
        <v>4 a 6 min</v>
      </c>
      <c r="P336" s="54" t="s">
        <v>229</v>
      </c>
      <c r="Q336" s="54" t="s">
        <v>214</v>
      </c>
      <c r="R336" s="54" t="s">
        <v>127</v>
      </c>
      <c r="S336" s="54" t="s">
        <v>220</v>
      </c>
      <c r="T336" s="58" t="n">
        <v>107.6</v>
      </c>
      <c r="U336" s="54" t="s">
        <v>214</v>
      </c>
      <c r="V336" s="58" t="n">
        <v>3.72</v>
      </c>
      <c r="W336" s="57" t="s">
        <v>475</v>
      </c>
      <c r="X336" s="55" t="n">
        <v>2</v>
      </c>
      <c r="Y336" s="54" t="s">
        <v>214</v>
      </c>
      <c r="Z336" s="56" t="n">
        <v>46306.5082639005</v>
      </c>
      <c r="AA336" s="58" t="n">
        <f aca="false">IF(AND(ISNUMBER(M336),ISNUMBER(Z336)),IF(Z336&gt;=M336,(Z336-M336)*1440,""),"")</f>
        <v>11.0967999952833</v>
      </c>
      <c r="AB336" s="57" t="s">
        <v>584</v>
      </c>
      <c r="AC336" s="56" t="n">
        <v>46306.5086875926</v>
      </c>
      <c r="AD336" s="58" t="n">
        <f aca="false">IF(AND(ISNUMBER(Z336),ISNUMBER(AC336)),IF(AC336&gt;=Z336,(AC336-Z336)*1440,""),"")</f>
        <v>0.6101166678</v>
      </c>
      <c r="AE336" s="54" t="s">
        <v>346</v>
      </c>
      <c r="AF336" s="54" t="s">
        <v>214</v>
      </c>
      <c r="AG336" s="54" t="s">
        <v>214</v>
      </c>
      <c r="AH336" s="58" t="n">
        <v>3.7</v>
      </c>
      <c r="AI336" s="55" t="n">
        <v>2</v>
      </c>
      <c r="AJ336" s="54" t="s">
        <v>216</v>
      </c>
      <c r="AK336" s="54" t="s">
        <v>212</v>
      </c>
    </row>
    <row r="337" customFormat="false" ht="15" hidden="false" customHeight="false" outlineLevel="0" collapsed="false">
      <c r="A337" s="54" t="s">
        <v>27</v>
      </c>
      <c r="B337" s="55" t="n">
        <v>1298</v>
      </c>
      <c r="C337" s="54" t="s">
        <v>127</v>
      </c>
      <c r="D337" s="54" t="s">
        <v>214</v>
      </c>
      <c r="E337" s="54" t="s">
        <v>242</v>
      </c>
      <c r="F337" s="56" t="n">
        <v>46306.5221835648</v>
      </c>
      <c r="G337" s="54" t="s">
        <v>212</v>
      </c>
      <c r="H337" s="54" t="s">
        <v>214</v>
      </c>
      <c r="I337" s="57" t="s">
        <v>585</v>
      </c>
      <c r="J337" s="56" t="n">
        <v>46306.5231740278</v>
      </c>
      <c r="K337" s="56" t="n">
        <v>46306.5232914931</v>
      </c>
      <c r="L337" s="58" t="n">
        <f aca="false">IF(AND(ISNUMBER(J337),ISNUMBER(K337)),IF(K337&gt;=J337,(K337-J337)*1440,""),"")</f>
        <v>0.169149991116667</v>
      </c>
      <c r="M337" s="56" t="n">
        <v>46306.5255234259</v>
      </c>
      <c r="N337" s="58" t="n">
        <f aca="false">IF(AND(ISNUMBER(J337),ISNUMBER(M337)),IF(M337&gt;=J337,(M337-J337)*1440,""),"")</f>
        <v>3.38313331476667</v>
      </c>
      <c r="O337" s="54" t="str">
        <f aca="false">IF(N337="","",LOOKUP(N337,Tiempos!$A$6:$A$10,Tiempos!$B$6:$B$10))</f>
        <v>Menos de 4 min</v>
      </c>
      <c r="P337" s="54" t="s">
        <v>229</v>
      </c>
      <c r="Q337" s="54" t="s">
        <v>214</v>
      </c>
      <c r="R337" s="54" t="s">
        <v>127</v>
      </c>
      <c r="S337" s="54" t="s">
        <v>220</v>
      </c>
      <c r="T337" s="58" t="n">
        <v>109.6</v>
      </c>
      <c r="U337" s="54" t="s">
        <v>214</v>
      </c>
      <c r="V337" s="58" t="n">
        <v>2.84</v>
      </c>
      <c r="W337" s="57" t="s">
        <v>475</v>
      </c>
      <c r="X337" s="55" t="n">
        <v>2</v>
      </c>
      <c r="Y337" s="54" t="s">
        <v>214</v>
      </c>
      <c r="Z337" s="56" t="n">
        <v>46306.5327118634</v>
      </c>
      <c r="AA337" s="58" t="n">
        <f aca="false">IF(AND(ISNUMBER(M337),ISNUMBER(Z337)),IF(Z337&gt;=M337,(Z337-M337)*1440,""),"")</f>
        <v>10.3513500094333</v>
      </c>
      <c r="AB337" s="57" t="s">
        <v>586</v>
      </c>
      <c r="AC337" s="56" t="n">
        <v>46306.5328986574</v>
      </c>
      <c r="AD337" s="58" t="n">
        <f aca="false">IF(AND(ISNUMBER(Z337),ISNUMBER(AC337)),IF(AC337&gt;=Z337,(AC337-Z337)*1440,""),"")</f>
        <v>0.26898334035</v>
      </c>
      <c r="AE337" s="54" t="s">
        <v>223</v>
      </c>
      <c r="AF337" s="54" t="s">
        <v>214</v>
      </c>
      <c r="AG337" s="54" t="s">
        <v>214</v>
      </c>
      <c r="AH337" s="58" t="n">
        <v>4</v>
      </c>
      <c r="AI337" s="55" t="n">
        <v>2</v>
      </c>
      <c r="AJ337" s="54" t="s">
        <v>216</v>
      </c>
      <c r="AK337" s="54" t="s">
        <v>212</v>
      </c>
    </row>
    <row r="338" customFormat="false" ht="15" hidden="false" customHeight="false" outlineLevel="0" collapsed="false">
      <c r="A338" s="54" t="s">
        <v>27</v>
      </c>
      <c r="B338" s="55" t="n">
        <v>1299</v>
      </c>
      <c r="C338" s="54" t="s">
        <v>127</v>
      </c>
      <c r="D338" s="54" t="s">
        <v>214</v>
      </c>
      <c r="E338" s="54" t="s">
        <v>224</v>
      </c>
      <c r="F338" s="56" t="n">
        <v>46306.5228440625</v>
      </c>
      <c r="G338" s="54" t="s">
        <v>212</v>
      </c>
      <c r="H338" s="54" t="s">
        <v>214</v>
      </c>
      <c r="I338" s="57" t="s">
        <v>587</v>
      </c>
      <c r="J338" s="56" t="n">
        <v>46306.6569622917</v>
      </c>
      <c r="K338" s="56" t="n">
        <v>46306.6570584607</v>
      </c>
      <c r="L338" s="58" t="n">
        <f aca="false">IF(AND(ISNUMBER(J338),ISNUMBER(K338)),IF(K338&gt;=J338,(K338-J338)*1440,""),"")</f>
        <v>0.138483352483333</v>
      </c>
      <c r="M338" s="56" t="n">
        <v>46306.6611586227</v>
      </c>
      <c r="N338" s="58" t="n">
        <f aca="false">IF(AND(ISNUMBER(J338),ISNUMBER(M338)),IF(M338&gt;=J338,(M338-J338)*1440,""),"")</f>
        <v>6.04271669173333</v>
      </c>
      <c r="O338" s="54" t="str">
        <f aca="false">IF(N338="","",LOOKUP(N338,Tiempos!$A$6:$A$10,Tiempos!$B$6:$B$10))</f>
        <v>6 a 10 min</v>
      </c>
      <c r="P338" s="54" t="s">
        <v>229</v>
      </c>
      <c r="Q338" s="54" t="s">
        <v>214</v>
      </c>
      <c r="R338" s="54" t="s">
        <v>127</v>
      </c>
      <c r="S338" s="54" t="s">
        <v>220</v>
      </c>
      <c r="T338" s="58" t="n">
        <v>96.8</v>
      </c>
      <c r="U338" s="54" t="s">
        <v>214</v>
      </c>
      <c r="V338" s="58" t="n">
        <v>5.9</v>
      </c>
      <c r="W338" s="57" t="s">
        <v>320</v>
      </c>
      <c r="X338" s="55" t="n">
        <v>2</v>
      </c>
      <c r="Y338" s="54" t="s">
        <v>212</v>
      </c>
      <c r="Z338" s="56"/>
      <c r="AA338" s="58" t="str">
        <f aca="false">IF(AND(ISNUMBER(M338),ISNUMBER(Z338)),IF(Z338&gt;=M338,(Z338-M338)*1440,""),"")</f>
        <v/>
      </c>
      <c r="AB338" s="57"/>
      <c r="AC338" s="56"/>
      <c r="AD338" s="58" t="str">
        <f aca="false">IF(AND(ISNUMBER(Z338),ISNUMBER(AC338)),IF(AC338&gt;=Z338,(AC338-Z338)*1440,""),"")</f>
        <v/>
      </c>
      <c r="AE338" s="54"/>
      <c r="AF338" s="54" t="s">
        <v>214</v>
      </c>
      <c r="AG338" s="54"/>
      <c r="AH338" s="58"/>
      <c r="AI338" s="55" t="n">
        <v>2</v>
      </c>
      <c r="AJ338" s="54" t="s">
        <v>216</v>
      </c>
      <c r="AK338" s="54" t="s">
        <v>212</v>
      </c>
    </row>
    <row r="339" customFormat="false" ht="15" hidden="false" customHeight="false" outlineLevel="0" collapsed="false">
      <c r="A339" s="54" t="s">
        <v>27</v>
      </c>
      <c r="B339" s="55" t="n">
        <v>1296</v>
      </c>
      <c r="C339" s="54" t="s">
        <v>127</v>
      </c>
      <c r="D339" s="54" t="s">
        <v>211</v>
      </c>
      <c r="E339" s="54"/>
      <c r="F339" s="56" t="n">
        <v>46306.5308001042</v>
      </c>
      <c r="G339" s="54" t="s">
        <v>212</v>
      </c>
      <c r="H339" s="54" t="s">
        <v>214</v>
      </c>
      <c r="I339" s="57" t="s">
        <v>588</v>
      </c>
      <c r="J339" s="56" t="n">
        <v>46307.4482784838</v>
      </c>
      <c r="K339" s="56" t="n">
        <v>46308.40077</v>
      </c>
      <c r="L339" s="58" t="n">
        <f aca="false">IF(AND(ISNUMBER(J339),ISNUMBER(K339)),IF(K339&gt;=J339,(K339-J339)*1440,""),"")</f>
        <v>1371.58778333337</v>
      </c>
      <c r="M339" s="56" t="n">
        <v>46308.40077</v>
      </c>
      <c r="N339" s="58" t="n">
        <f aca="false">IF(AND(ISNUMBER(J339),ISNUMBER(M339)),IF(M339&gt;=J339,(M339-J339)*1440,""),"")</f>
        <v>1371.58778333337</v>
      </c>
      <c r="O339" s="54" t="str">
        <f aca="false">IF(N339="","",LOOKUP(N339,Tiempos!$A$6:$A$10,Tiempos!$B$6:$B$10))</f>
        <v>30 min o más</v>
      </c>
      <c r="P339" s="54" t="s">
        <v>226</v>
      </c>
      <c r="Q339" s="54" t="s">
        <v>212</v>
      </c>
      <c r="R339" s="54" t="s">
        <v>130</v>
      </c>
      <c r="S339" s="54" t="s">
        <v>215</v>
      </c>
      <c r="T339" s="58"/>
      <c r="U339" s="54"/>
      <c r="V339" s="58"/>
      <c r="W339" s="57"/>
      <c r="X339" s="55" t="n">
        <v>0</v>
      </c>
      <c r="Y339" s="54" t="s">
        <v>212</v>
      </c>
      <c r="Z339" s="56"/>
      <c r="AA339" s="58" t="str">
        <f aca="false">IF(AND(ISNUMBER(M339),ISNUMBER(Z339)),IF(Z339&gt;=M339,(Z339-M339)*1440,""),"")</f>
        <v/>
      </c>
      <c r="AB339" s="57"/>
      <c r="AC339" s="56"/>
      <c r="AD339" s="58" t="str">
        <f aca="false">IF(AND(ISNUMBER(Z339),ISNUMBER(AC339)),IF(AC339&gt;=Z339,(AC339-Z339)*1440,""),"")</f>
        <v/>
      </c>
      <c r="AE339" s="54"/>
      <c r="AF339" s="54" t="s">
        <v>212</v>
      </c>
      <c r="AG339" s="54"/>
      <c r="AH339" s="58"/>
      <c r="AI339" s="55" t="n">
        <v>1</v>
      </c>
      <c r="AJ339" s="54" t="s">
        <v>216</v>
      </c>
      <c r="AK339" s="54" t="s">
        <v>212</v>
      </c>
    </row>
    <row r="340" customFormat="false" ht="15" hidden="false" customHeight="false" outlineLevel="0" collapsed="false">
      <c r="A340" s="54" t="s">
        <v>27</v>
      </c>
      <c r="B340" s="55" t="n">
        <v>1305</v>
      </c>
      <c r="C340" s="54" t="s">
        <v>127</v>
      </c>
      <c r="D340" s="54" t="s">
        <v>212</v>
      </c>
      <c r="E340" s="54"/>
      <c r="F340" s="56" t="n">
        <v>46306.5777062269</v>
      </c>
      <c r="G340" s="54" t="s">
        <v>212</v>
      </c>
      <c r="H340" s="54" t="s">
        <v>214</v>
      </c>
      <c r="I340" s="57"/>
      <c r="J340" s="56"/>
      <c r="K340" s="56"/>
      <c r="L340" s="58" t="str">
        <f aca="false">IF(AND(ISNUMBER(J340),ISNUMBER(K340)),IF(K340&gt;=J340,(K340-J340)*1440,""),"")</f>
        <v/>
      </c>
      <c r="M340" s="56"/>
      <c r="N340" s="58" t="str">
        <f aca="false">IF(AND(ISNUMBER(J340),ISNUMBER(M340)),IF(M340&gt;=J340,(M340-J340)*1440,""),"")</f>
        <v/>
      </c>
      <c r="O340" s="54" t="str">
        <f aca="false">IF(N340="","",LOOKUP(N340,Tiempos!$A$6:$A$10,Tiempos!$B$6:$B$10))</f>
        <v/>
      </c>
      <c r="P340" s="54"/>
      <c r="Q340" s="54"/>
      <c r="R340" s="54"/>
      <c r="S340" s="54"/>
      <c r="T340" s="58"/>
      <c r="U340" s="54"/>
      <c r="V340" s="58"/>
      <c r="W340" s="57"/>
      <c r="X340" s="55"/>
      <c r="Y340" s="54"/>
      <c r="Z340" s="56"/>
      <c r="AA340" s="58" t="str">
        <f aca="false">IF(AND(ISNUMBER(M340),ISNUMBER(Z340)),IF(Z340&gt;=M340,(Z340-M340)*1440,""),"")</f>
        <v/>
      </c>
      <c r="AB340" s="57"/>
      <c r="AC340" s="56"/>
      <c r="AD340" s="58" t="str">
        <f aca="false">IF(AND(ISNUMBER(Z340),ISNUMBER(AC340)),IF(AC340&gt;=Z340,(AC340-Z340)*1440,""),"")</f>
        <v/>
      </c>
      <c r="AE340" s="54"/>
      <c r="AF340" s="54"/>
      <c r="AG340" s="54"/>
      <c r="AH340" s="58"/>
      <c r="AI340" s="55" t="n">
        <v>1</v>
      </c>
      <c r="AJ340" s="54" t="s">
        <v>216</v>
      </c>
      <c r="AK340" s="54" t="s">
        <v>212</v>
      </c>
    </row>
    <row r="341" customFormat="false" ht="15" hidden="false" customHeight="false" outlineLevel="0" collapsed="false">
      <c r="A341" s="54" t="s">
        <v>27</v>
      </c>
      <c r="B341" s="55" t="n">
        <v>1312</v>
      </c>
      <c r="C341" s="54" t="s">
        <v>127</v>
      </c>
      <c r="D341" s="54" t="s">
        <v>212</v>
      </c>
      <c r="E341" s="54"/>
      <c r="F341" s="56" t="n">
        <v>46306.6432629398</v>
      </c>
      <c r="G341" s="54" t="s">
        <v>212</v>
      </c>
      <c r="H341" s="54" t="s">
        <v>214</v>
      </c>
      <c r="I341" s="57"/>
      <c r="J341" s="56"/>
      <c r="K341" s="56"/>
      <c r="L341" s="58" t="str">
        <f aca="false">IF(AND(ISNUMBER(J341),ISNUMBER(K341)),IF(K341&gt;=J341,(K341-J341)*1440,""),"")</f>
        <v/>
      </c>
      <c r="M341" s="56"/>
      <c r="N341" s="58" t="str">
        <f aca="false">IF(AND(ISNUMBER(J341),ISNUMBER(M341)),IF(M341&gt;=J341,(M341-J341)*1440,""),"")</f>
        <v/>
      </c>
      <c r="O341" s="54" t="str">
        <f aca="false">IF(N341="","",LOOKUP(N341,Tiempos!$A$6:$A$10,Tiempos!$B$6:$B$10))</f>
        <v/>
      </c>
      <c r="P341" s="54"/>
      <c r="Q341" s="54"/>
      <c r="R341" s="54"/>
      <c r="S341" s="54"/>
      <c r="T341" s="58"/>
      <c r="U341" s="54"/>
      <c r="V341" s="58"/>
      <c r="W341" s="57"/>
      <c r="X341" s="55"/>
      <c r="Y341" s="54"/>
      <c r="Z341" s="56"/>
      <c r="AA341" s="58" t="str">
        <f aca="false">IF(AND(ISNUMBER(M341),ISNUMBER(Z341)),IF(Z341&gt;=M341,(Z341-M341)*1440,""),"")</f>
        <v/>
      </c>
      <c r="AB341" s="57"/>
      <c r="AC341" s="56"/>
      <c r="AD341" s="58" t="str">
        <f aca="false">IF(AND(ISNUMBER(Z341),ISNUMBER(AC341)),IF(AC341&gt;=Z341,(AC341-Z341)*1440,""),"")</f>
        <v/>
      </c>
      <c r="AE341" s="54"/>
      <c r="AF341" s="54"/>
      <c r="AG341" s="54"/>
      <c r="AH341" s="58"/>
      <c r="AI341" s="55" t="n">
        <v>1</v>
      </c>
      <c r="AJ341" s="54" t="s">
        <v>216</v>
      </c>
      <c r="AK341" s="54" t="s">
        <v>212</v>
      </c>
    </row>
    <row r="342" customFormat="false" ht="15" hidden="false" customHeight="false" outlineLevel="0" collapsed="false">
      <c r="A342" s="54" t="s">
        <v>27</v>
      </c>
      <c r="B342" s="55" t="n">
        <v>1320</v>
      </c>
      <c r="C342" s="54" t="s">
        <v>127</v>
      </c>
      <c r="D342" s="54" t="s">
        <v>212</v>
      </c>
      <c r="E342" s="54"/>
      <c r="F342" s="56" t="n">
        <v>46306.6894809722</v>
      </c>
      <c r="G342" s="54" t="s">
        <v>212</v>
      </c>
      <c r="H342" s="54" t="s">
        <v>214</v>
      </c>
      <c r="I342" s="57"/>
      <c r="J342" s="56"/>
      <c r="K342" s="56"/>
      <c r="L342" s="58" t="str">
        <f aca="false">IF(AND(ISNUMBER(J342),ISNUMBER(K342)),IF(K342&gt;=J342,(K342-J342)*1440,""),"")</f>
        <v/>
      </c>
      <c r="M342" s="56"/>
      <c r="N342" s="58" t="str">
        <f aca="false">IF(AND(ISNUMBER(J342),ISNUMBER(M342)),IF(M342&gt;=J342,(M342-J342)*1440,""),"")</f>
        <v/>
      </c>
      <c r="O342" s="54" t="str">
        <f aca="false">IF(N342="","",LOOKUP(N342,Tiempos!$A$6:$A$10,Tiempos!$B$6:$B$10))</f>
        <v/>
      </c>
      <c r="P342" s="54"/>
      <c r="Q342" s="54"/>
      <c r="R342" s="54"/>
      <c r="S342" s="54"/>
      <c r="T342" s="58"/>
      <c r="U342" s="54"/>
      <c r="V342" s="58"/>
      <c r="W342" s="57"/>
      <c r="X342" s="55"/>
      <c r="Y342" s="54"/>
      <c r="Z342" s="56"/>
      <c r="AA342" s="58" t="str">
        <f aca="false">IF(AND(ISNUMBER(M342),ISNUMBER(Z342)),IF(Z342&gt;=M342,(Z342-M342)*1440,""),"")</f>
        <v/>
      </c>
      <c r="AB342" s="57"/>
      <c r="AC342" s="56"/>
      <c r="AD342" s="58" t="str">
        <f aca="false">IF(AND(ISNUMBER(Z342),ISNUMBER(AC342)),IF(AC342&gt;=Z342,(AC342-Z342)*1440,""),"")</f>
        <v/>
      </c>
      <c r="AE342" s="54"/>
      <c r="AF342" s="54"/>
      <c r="AG342" s="54"/>
      <c r="AH342" s="58"/>
      <c r="AI342" s="55" t="n">
        <v>1</v>
      </c>
      <c r="AJ342" s="54" t="s">
        <v>216</v>
      </c>
      <c r="AK342" s="54" t="s">
        <v>212</v>
      </c>
    </row>
    <row r="343" customFormat="false" ht="15" hidden="false" customHeight="false" outlineLevel="0" collapsed="false">
      <c r="A343" s="54" t="s">
        <v>27</v>
      </c>
      <c r="B343" s="55" t="n">
        <v>1324</v>
      </c>
      <c r="C343" s="54" t="s">
        <v>129</v>
      </c>
      <c r="D343" s="54" t="s">
        <v>214</v>
      </c>
      <c r="E343" s="54" t="s">
        <v>217</v>
      </c>
      <c r="F343" s="56" t="n">
        <v>46306.7050014931</v>
      </c>
      <c r="G343" s="54" t="s">
        <v>212</v>
      </c>
      <c r="H343" s="54" t="s">
        <v>214</v>
      </c>
      <c r="I343" s="57" t="s">
        <v>589</v>
      </c>
      <c r="J343" s="56" t="n">
        <v>46306.8996399769</v>
      </c>
      <c r="K343" s="56" t="n">
        <v>46306.9015076157</v>
      </c>
      <c r="L343" s="58" t="n">
        <f aca="false">IF(AND(ISNUMBER(J343),ISNUMBER(K343)),IF(K343&gt;=J343,(K343-J343)*1440,""),"")</f>
        <v>2.6893999963</v>
      </c>
      <c r="M343" s="56" t="n">
        <v>46306.9037187963</v>
      </c>
      <c r="N343" s="58" t="n">
        <f aca="false">IF(AND(ISNUMBER(J343),ISNUMBER(M343)),IF(M343&gt;=J343,(M343-J343)*1440,""),"")</f>
        <v>5.87350000161667</v>
      </c>
      <c r="O343" s="54" t="str">
        <f aca="false">IF(N343="","",LOOKUP(N343,Tiempos!$A$6:$A$10,Tiempos!$B$6:$B$10))</f>
        <v>4 a 6 min</v>
      </c>
      <c r="P343" s="54" t="s">
        <v>219</v>
      </c>
      <c r="Q343" s="54" t="s">
        <v>214</v>
      </c>
      <c r="R343" s="54" t="s">
        <v>129</v>
      </c>
      <c r="S343" s="54" t="s">
        <v>220</v>
      </c>
      <c r="T343" s="58" t="n">
        <v>107.8</v>
      </c>
      <c r="U343" s="54" t="s">
        <v>214</v>
      </c>
      <c r="V343" s="58" t="n">
        <v>3.18</v>
      </c>
      <c r="W343" s="57" t="s">
        <v>590</v>
      </c>
      <c r="X343" s="55" t="n">
        <v>4</v>
      </c>
      <c r="Y343" s="54" t="s">
        <v>214</v>
      </c>
      <c r="Z343" s="56" t="n">
        <v>46306.9085650579</v>
      </c>
      <c r="AA343" s="58" t="n">
        <f aca="false">IF(AND(ISNUMBER(M343),ISNUMBER(Z343)),IF(Z343&gt;=M343,(Z343-M343)*1440,""),"")</f>
        <v>6.97861666673333</v>
      </c>
      <c r="AB343" s="57" t="s">
        <v>591</v>
      </c>
      <c r="AC343" s="56" t="n">
        <v>46306.9100618287</v>
      </c>
      <c r="AD343" s="58" t="n">
        <f aca="false">IF(AND(ISNUMBER(Z343),ISNUMBER(AC343)),IF(AC343&gt;=Z343,(AC343-Z343)*1440,""),"")</f>
        <v>2.15534999035</v>
      </c>
      <c r="AE343" s="54" t="s">
        <v>346</v>
      </c>
      <c r="AF343" s="54" t="s">
        <v>214</v>
      </c>
      <c r="AG343" s="54" t="s">
        <v>214</v>
      </c>
      <c r="AH343" s="58" t="n">
        <v>4.1</v>
      </c>
      <c r="AI343" s="55" t="n">
        <v>3</v>
      </c>
      <c r="AJ343" s="54" t="s">
        <v>216</v>
      </c>
      <c r="AK343" s="54" t="s">
        <v>212</v>
      </c>
    </row>
    <row r="344" customFormat="false" ht="15" hidden="false" customHeight="false" outlineLevel="0" collapsed="false">
      <c r="A344" s="54" t="s">
        <v>27</v>
      </c>
      <c r="B344" s="55" t="n">
        <v>1330</v>
      </c>
      <c r="C344" s="54" t="s">
        <v>127</v>
      </c>
      <c r="D344" s="54" t="s">
        <v>212</v>
      </c>
      <c r="E344" s="54"/>
      <c r="F344" s="56" t="n">
        <v>46306.7057633681</v>
      </c>
      <c r="G344" s="54" t="s">
        <v>212</v>
      </c>
      <c r="H344" s="54" t="s">
        <v>214</v>
      </c>
      <c r="I344" s="57"/>
      <c r="J344" s="56"/>
      <c r="K344" s="56"/>
      <c r="L344" s="58" t="str">
        <f aca="false">IF(AND(ISNUMBER(J344),ISNUMBER(K344)),IF(K344&gt;=J344,(K344-J344)*1440,""),"")</f>
        <v/>
      </c>
      <c r="M344" s="56"/>
      <c r="N344" s="58" t="str">
        <f aca="false">IF(AND(ISNUMBER(J344),ISNUMBER(M344)),IF(M344&gt;=J344,(M344-J344)*1440,""),"")</f>
        <v/>
      </c>
      <c r="O344" s="54" t="str">
        <f aca="false">IF(N344="","",LOOKUP(N344,Tiempos!$A$6:$A$10,Tiempos!$B$6:$B$10))</f>
        <v/>
      </c>
      <c r="P344" s="54"/>
      <c r="Q344" s="54"/>
      <c r="R344" s="54"/>
      <c r="S344" s="54"/>
      <c r="T344" s="58"/>
      <c r="U344" s="54"/>
      <c r="V344" s="58"/>
      <c r="W344" s="57"/>
      <c r="X344" s="55"/>
      <c r="Y344" s="54"/>
      <c r="Z344" s="56"/>
      <c r="AA344" s="58" t="str">
        <f aca="false">IF(AND(ISNUMBER(M344),ISNUMBER(Z344)),IF(Z344&gt;=M344,(Z344-M344)*1440,""),"")</f>
        <v/>
      </c>
      <c r="AB344" s="57"/>
      <c r="AC344" s="56"/>
      <c r="AD344" s="58" t="str">
        <f aca="false">IF(AND(ISNUMBER(Z344),ISNUMBER(AC344)),IF(AC344&gt;=Z344,(AC344-Z344)*1440,""),"")</f>
        <v/>
      </c>
      <c r="AE344" s="54"/>
      <c r="AF344" s="54"/>
      <c r="AG344" s="54"/>
      <c r="AH344" s="58"/>
      <c r="AI344" s="55" t="n">
        <v>2</v>
      </c>
      <c r="AJ344" s="54" t="s">
        <v>216</v>
      </c>
      <c r="AK344" s="54" t="s">
        <v>212</v>
      </c>
    </row>
    <row r="345" customFormat="false" ht="15" hidden="false" customHeight="false" outlineLevel="0" collapsed="false">
      <c r="A345" s="54" t="s">
        <v>27</v>
      </c>
      <c r="B345" s="55" t="n">
        <v>1334</v>
      </c>
      <c r="C345" s="54" t="s">
        <v>129</v>
      </c>
      <c r="D345" s="54" t="s">
        <v>214</v>
      </c>
      <c r="E345" s="54" t="s">
        <v>217</v>
      </c>
      <c r="F345" s="56" t="n">
        <v>46306.7229965046</v>
      </c>
      <c r="G345" s="54" t="s">
        <v>212</v>
      </c>
      <c r="H345" s="54" t="s">
        <v>214</v>
      </c>
      <c r="I345" s="57" t="s">
        <v>592</v>
      </c>
      <c r="J345" s="56" t="n">
        <v>46306.7234065625</v>
      </c>
      <c r="K345" s="56" t="n">
        <v>46306.7264569907</v>
      </c>
      <c r="L345" s="58" t="n">
        <f aca="false">IF(AND(ISNUMBER(J345),ISNUMBER(K345)),IF(K345&gt;=J345,(K345-J345)*1440,""),"")</f>
        <v>4.39261666615</v>
      </c>
      <c r="M345" s="56" t="n">
        <v>46306.7286265857</v>
      </c>
      <c r="N345" s="58" t="n">
        <f aca="false">IF(AND(ISNUMBER(J345),ISNUMBER(M345)),IF(M345&gt;=J345,(M345-J345)*1440,""),"")</f>
        <v>7.51683333771667</v>
      </c>
      <c r="O345" s="54" t="str">
        <f aca="false">IF(N345="","",LOOKUP(N345,Tiempos!$A$6:$A$10,Tiempos!$B$6:$B$10))</f>
        <v>6 a 10 min</v>
      </c>
      <c r="P345" s="54" t="s">
        <v>219</v>
      </c>
      <c r="Q345" s="54" t="s">
        <v>214</v>
      </c>
      <c r="R345" s="54" t="s">
        <v>129</v>
      </c>
      <c r="S345" s="54" t="s">
        <v>220</v>
      </c>
      <c r="T345" s="58" t="n">
        <v>95.1</v>
      </c>
      <c r="U345" s="54" t="s">
        <v>214</v>
      </c>
      <c r="V345" s="58" t="n">
        <v>3.12</v>
      </c>
      <c r="W345" s="57" t="s">
        <v>593</v>
      </c>
      <c r="X345" s="55" t="n">
        <v>4</v>
      </c>
      <c r="Y345" s="54" t="s">
        <v>212</v>
      </c>
      <c r="Z345" s="56"/>
      <c r="AA345" s="58" t="str">
        <f aca="false">IF(AND(ISNUMBER(M345),ISNUMBER(Z345)),IF(Z345&gt;=M345,(Z345-M345)*1440,""),"")</f>
        <v/>
      </c>
      <c r="AB345" s="57"/>
      <c r="AC345" s="56"/>
      <c r="AD345" s="58" t="str">
        <f aca="false">IF(AND(ISNUMBER(Z345),ISNUMBER(AC345)),IF(AC345&gt;=Z345,(AC345-Z345)*1440,""),"")</f>
        <v/>
      </c>
      <c r="AE345" s="54"/>
      <c r="AF345" s="54" t="s">
        <v>214</v>
      </c>
      <c r="AG345" s="54"/>
      <c r="AH345" s="58"/>
      <c r="AI345" s="55" t="n">
        <v>2</v>
      </c>
      <c r="AJ345" s="54" t="s">
        <v>216</v>
      </c>
      <c r="AK345" s="54" t="s">
        <v>212</v>
      </c>
    </row>
    <row r="346" customFormat="false" ht="15" hidden="false" customHeight="false" outlineLevel="0" collapsed="false">
      <c r="A346" s="54" t="s">
        <v>27</v>
      </c>
      <c r="B346" s="55" t="n">
        <v>1338</v>
      </c>
      <c r="C346" s="54" t="s">
        <v>127</v>
      </c>
      <c r="D346" s="54" t="s">
        <v>212</v>
      </c>
      <c r="E346" s="54"/>
      <c r="F346" s="56" t="n">
        <v>46306.7460907986</v>
      </c>
      <c r="G346" s="54" t="s">
        <v>212</v>
      </c>
      <c r="H346" s="54" t="s">
        <v>214</v>
      </c>
      <c r="I346" s="57"/>
      <c r="J346" s="56"/>
      <c r="K346" s="56"/>
      <c r="L346" s="58" t="str">
        <f aca="false">IF(AND(ISNUMBER(J346),ISNUMBER(K346)),IF(K346&gt;=J346,(K346-J346)*1440,""),"")</f>
        <v/>
      </c>
      <c r="M346" s="56"/>
      <c r="N346" s="58" t="str">
        <f aca="false">IF(AND(ISNUMBER(J346),ISNUMBER(M346)),IF(M346&gt;=J346,(M346-J346)*1440,""),"")</f>
        <v/>
      </c>
      <c r="O346" s="54" t="str">
        <f aca="false">IF(N346="","",LOOKUP(N346,Tiempos!$A$6:$A$10,Tiempos!$B$6:$B$10))</f>
        <v/>
      </c>
      <c r="P346" s="54"/>
      <c r="Q346" s="54"/>
      <c r="R346" s="54"/>
      <c r="S346" s="54"/>
      <c r="T346" s="58"/>
      <c r="U346" s="54"/>
      <c r="V346" s="58"/>
      <c r="W346" s="57"/>
      <c r="X346" s="55"/>
      <c r="Y346" s="54"/>
      <c r="Z346" s="56"/>
      <c r="AA346" s="58" t="str">
        <f aca="false">IF(AND(ISNUMBER(M346),ISNUMBER(Z346)),IF(Z346&gt;=M346,(Z346-M346)*1440,""),"")</f>
        <v/>
      </c>
      <c r="AB346" s="57"/>
      <c r="AC346" s="56"/>
      <c r="AD346" s="58" t="str">
        <f aca="false">IF(AND(ISNUMBER(Z346),ISNUMBER(AC346)),IF(AC346&gt;=Z346,(AC346-Z346)*1440,""),"")</f>
        <v/>
      </c>
      <c r="AE346" s="54"/>
      <c r="AF346" s="54"/>
      <c r="AG346" s="54"/>
      <c r="AH346" s="58"/>
      <c r="AI346" s="55" t="n">
        <v>2</v>
      </c>
      <c r="AJ346" s="54" t="s">
        <v>210</v>
      </c>
      <c r="AK346" s="54" t="s">
        <v>214</v>
      </c>
    </row>
    <row r="347" customFormat="false" ht="15" hidden="false" customHeight="false" outlineLevel="0" collapsed="false">
      <c r="A347" s="54" t="s">
        <v>27</v>
      </c>
      <c r="B347" s="55" t="n">
        <v>1340</v>
      </c>
      <c r="C347" s="54" t="s">
        <v>127</v>
      </c>
      <c r="D347" s="54" t="s">
        <v>212</v>
      </c>
      <c r="E347" s="54"/>
      <c r="F347" s="56" t="n">
        <v>46306.7661833565</v>
      </c>
      <c r="G347" s="54" t="s">
        <v>212</v>
      </c>
      <c r="H347" s="54" t="s">
        <v>214</v>
      </c>
      <c r="I347" s="57"/>
      <c r="J347" s="56"/>
      <c r="K347" s="56"/>
      <c r="L347" s="58" t="str">
        <f aca="false">IF(AND(ISNUMBER(J347),ISNUMBER(K347)),IF(K347&gt;=J347,(K347-J347)*1440,""),"")</f>
        <v/>
      </c>
      <c r="M347" s="56"/>
      <c r="N347" s="58" t="str">
        <f aca="false">IF(AND(ISNUMBER(J347),ISNUMBER(M347)),IF(M347&gt;=J347,(M347-J347)*1440,""),"")</f>
        <v/>
      </c>
      <c r="O347" s="54" t="str">
        <f aca="false">IF(N347="","",LOOKUP(N347,Tiempos!$A$6:$A$10,Tiempos!$B$6:$B$10))</f>
        <v/>
      </c>
      <c r="P347" s="54"/>
      <c r="Q347" s="54"/>
      <c r="R347" s="54"/>
      <c r="S347" s="54"/>
      <c r="T347" s="58"/>
      <c r="U347" s="54"/>
      <c r="V347" s="58"/>
      <c r="W347" s="57"/>
      <c r="X347" s="55"/>
      <c r="Y347" s="54"/>
      <c r="Z347" s="56"/>
      <c r="AA347" s="58" t="str">
        <f aca="false">IF(AND(ISNUMBER(M347),ISNUMBER(Z347)),IF(Z347&gt;=M347,(Z347-M347)*1440,""),"")</f>
        <v/>
      </c>
      <c r="AB347" s="57"/>
      <c r="AC347" s="56"/>
      <c r="AD347" s="58" t="str">
        <f aca="false">IF(AND(ISNUMBER(Z347),ISNUMBER(AC347)),IF(AC347&gt;=Z347,(AC347-Z347)*1440,""),"")</f>
        <v/>
      </c>
      <c r="AE347" s="54"/>
      <c r="AF347" s="54"/>
      <c r="AG347" s="54"/>
      <c r="AH347" s="58"/>
      <c r="AI347" s="55" t="n">
        <v>2</v>
      </c>
      <c r="AJ347" s="54" t="s">
        <v>332</v>
      </c>
      <c r="AK347" s="54" t="s">
        <v>212</v>
      </c>
    </row>
    <row r="348" customFormat="false" ht="15" hidden="false" customHeight="false" outlineLevel="0" collapsed="false">
      <c r="A348" s="54" t="s">
        <v>27</v>
      </c>
      <c r="B348" s="55" t="n">
        <v>1343</v>
      </c>
      <c r="C348" s="54" t="s">
        <v>129</v>
      </c>
      <c r="D348" s="54" t="s">
        <v>214</v>
      </c>
      <c r="E348" s="54" t="s">
        <v>224</v>
      </c>
      <c r="F348" s="56" t="n">
        <v>46306.7931600694</v>
      </c>
      <c r="G348" s="54" t="s">
        <v>212</v>
      </c>
      <c r="H348" s="54" t="s">
        <v>214</v>
      </c>
      <c r="I348" s="57" t="s">
        <v>594</v>
      </c>
      <c r="J348" s="56" t="n">
        <v>46306.7941678935</v>
      </c>
      <c r="K348" s="56" t="n">
        <v>46306.8008305556</v>
      </c>
      <c r="L348" s="58" t="n">
        <f aca="false">IF(AND(ISNUMBER(J348),ISNUMBER(K348)),IF(K348&gt;=J348,(K348-J348)*1440,""),"")</f>
        <v>9.59423334686667</v>
      </c>
      <c r="M348" s="56" t="n">
        <v>46306.8008305556</v>
      </c>
      <c r="N348" s="58" t="n">
        <f aca="false">IF(AND(ISNUMBER(J348),ISNUMBER(M348)),IF(M348&gt;=J348,(M348-J348)*1440,""),"")</f>
        <v>9.59423334686667</v>
      </c>
      <c r="O348" s="54" t="str">
        <f aca="false">IF(N348="","",LOOKUP(N348,Tiempos!$A$6:$A$10,Tiempos!$B$6:$B$10))</f>
        <v>6 a 10 min</v>
      </c>
      <c r="P348" s="54" t="s">
        <v>239</v>
      </c>
      <c r="Q348" s="54" t="s">
        <v>214</v>
      </c>
      <c r="R348" s="54" t="s">
        <v>129</v>
      </c>
      <c r="S348" s="54" t="s">
        <v>220</v>
      </c>
      <c r="T348" s="58" t="n">
        <v>93.4</v>
      </c>
      <c r="U348" s="54" t="s">
        <v>214</v>
      </c>
      <c r="V348" s="58"/>
      <c r="W348" s="57" t="s">
        <v>595</v>
      </c>
      <c r="X348" s="55" t="n">
        <v>4</v>
      </c>
      <c r="Y348" s="54" t="s">
        <v>212</v>
      </c>
      <c r="Z348" s="56"/>
      <c r="AA348" s="58" t="str">
        <f aca="false">IF(AND(ISNUMBER(M348),ISNUMBER(Z348)),IF(Z348&gt;=M348,(Z348-M348)*1440,""),"")</f>
        <v/>
      </c>
      <c r="AB348" s="57"/>
      <c r="AC348" s="56"/>
      <c r="AD348" s="58" t="str">
        <f aca="false">IF(AND(ISNUMBER(Z348),ISNUMBER(AC348)),IF(AC348&gt;=Z348,(AC348-Z348)*1440,""),"")</f>
        <v/>
      </c>
      <c r="AE348" s="54"/>
      <c r="AF348" s="54" t="s">
        <v>214</v>
      </c>
      <c r="AG348" s="54"/>
      <c r="AH348" s="58"/>
      <c r="AI348" s="55" t="n">
        <v>2</v>
      </c>
      <c r="AJ348" s="54" t="s">
        <v>216</v>
      </c>
      <c r="AK348" s="54" t="s">
        <v>212</v>
      </c>
    </row>
    <row r="349" customFormat="false" ht="15" hidden="false" customHeight="false" outlineLevel="0" collapsed="false">
      <c r="A349" s="54" t="s">
        <v>27</v>
      </c>
      <c r="B349" s="55" t="n">
        <v>1347</v>
      </c>
      <c r="C349" s="54" t="s">
        <v>127</v>
      </c>
      <c r="D349" s="54" t="s">
        <v>212</v>
      </c>
      <c r="E349" s="54"/>
      <c r="F349" s="56" t="n">
        <v>46306.8297305093</v>
      </c>
      <c r="G349" s="54" t="s">
        <v>212</v>
      </c>
      <c r="H349" s="54" t="s">
        <v>214</v>
      </c>
      <c r="I349" s="57"/>
      <c r="J349" s="56"/>
      <c r="K349" s="56"/>
      <c r="L349" s="58" t="str">
        <f aca="false">IF(AND(ISNUMBER(J349),ISNUMBER(K349)),IF(K349&gt;=J349,(K349-J349)*1440,""),"")</f>
        <v/>
      </c>
      <c r="M349" s="56"/>
      <c r="N349" s="58" t="str">
        <f aca="false">IF(AND(ISNUMBER(J349),ISNUMBER(M349)),IF(M349&gt;=J349,(M349-J349)*1440,""),"")</f>
        <v/>
      </c>
      <c r="O349" s="54" t="str">
        <f aca="false">IF(N349="","",LOOKUP(N349,Tiempos!$A$6:$A$10,Tiempos!$B$6:$B$10))</f>
        <v/>
      </c>
      <c r="P349" s="54"/>
      <c r="Q349" s="54"/>
      <c r="R349" s="54"/>
      <c r="S349" s="54"/>
      <c r="T349" s="58"/>
      <c r="U349" s="54"/>
      <c r="V349" s="58"/>
      <c r="W349" s="57"/>
      <c r="X349" s="55"/>
      <c r="Y349" s="54"/>
      <c r="Z349" s="56"/>
      <c r="AA349" s="58" t="str">
        <f aca="false">IF(AND(ISNUMBER(M349),ISNUMBER(Z349)),IF(Z349&gt;=M349,(Z349-M349)*1440,""),"")</f>
        <v/>
      </c>
      <c r="AB349" s="57"/>
      <c r="AC349" s="56"/>
      <c r="AD349" s="58" t="str">
        <f aca="false">IF(AND(ISNUMBER(Z349),ISNUMBER(AC349)),IF(AC349&gt;=Z349,(AC349-Z349)*1440,""),"")</f>
        <v/>
      </c>
      <c r="AE349" s="54"/>
      <c r="AF349" s="54"/>
      <c r="AG349" s="54"/>
      <c r="AH349" s="58"/>
      <c r="AI349" s="55" t="n">
        <v>1</v>
      </c>
      <c r="AJ349" s="54" t="s">
        <v>216</v>
      </c>
      <c r="AK349" s="54" t="s">
        <v>212</v>
      </c>
    </row>
    <row r="350" customFormat="false" ht="15" hidden="false" customHeight="false" outlineLevel="0" collapsed="false">
      <c r="A350" s="54" t="s">
        <v>27</v>
      </c>
      <c r="B350" s="55" t="n">
        <v>1368</v>
      </c>
      <c r="C350" s="54" t="s">
        <v>129</v>
      </c>
      <c r="D350" s="54" t="s">
        <v>214</v>
      </c>
      <c r="E350" s="54" t="s">
        <v>217</v>
      </c>
      <c r="F350" s="56" t="n">
        <v>46306.8953860417</v>
      </c>
      <c r="G350" s="54" t="s">
        <v>212</v>
      </c>
      <c r="H350" s="54" t="s">
        <v>214</v>
      </c>
      <c r="I350" s="57" t="s">
        <v>596</v>
      </c>
      <c r="J350" s="56" t="n">
        <v>46306.8957335764</v>
      </c>
      <c r="K350" s="56" t="n">
        <v>46306.8964290509</v>
      </c>
      <c r="L350" s="58" t="n">
        <f aca="false">IF(AND(ISNUMBER(J350),ISNUMBER(K350)),IF(K350&gt;=J350,(K350-J350)*1440,""),"")</f>
        <v>1.00148331721667</v>
      </c>
      <c r="M350" s="56" t="n">
        <v>46306.8977303241</v>
      </c>
      <c r="N350" s="58" t="n">
        <f aca="false">IF(AND(ISNUMBER(J350),ISNUMBER(M350)),IF(M350&gt;=J350,(M350-J350)*1440,""),"")</f>
        <v>2.87531667505</v>
      </c>
      <c r="O350" s="54" t="str">
        <f aca="false">IF(N350="","",LOOKUP(N350,Tiempos!$A$6:$A$10,Tiempos!$B$6:$B$10))</f>
        <v>Menos de 4 min</v>
      </c>
      <c r="P350" s="54" t="s">
        <v>219</v>
      </c>
      <c r="Q350" s="54" t="s">
        <v>214</v>
      </c>
      <c r="R350" s="54" t="s">
        <v>129</v>
      </c>
      <c r="S350" s="54" t="s">
        <v>220</v>
      </c>
      <c r="T350" s="58" t="n">
        <v>100.9</v>
      </c>
      <c r="U350" s="54" t="s">
        <v>214</v>
      </c>
      <c r="V350" s="58" t="n">
        <v>1.87</v>
      </c>
      <c r="W350" s="57" t="s">
        <v>590</v>
      </c>
      <c r="X350" s="55" t="n">
        <v>4</v>
      </c>
      <c r="Y350" s="54" t="s">
        <v>214</v>
      </c>
      <c r="Z350" s="56" t="n">
        <v>46307.5439866782</v>
      </c>
      <c r="AA350" s="58" t="n">
        <f aca="false">IF(AND(ISNUMBER(M350),ISNUMBER(Z350)),IF(Z350&gt;=M350,(Z350-M350)*1440,""),"")</f>
        <v>930.6091499864</v>
      </c>
      <c r="AB350" s="57" t="s">
        <v>597</v>
      </c>
      <c r="AC350" s="56" t="n">
        <v>46307.546368206</v>
      </c>
      <c r="AD350" s="58" t="n">
        <f aca="false">IF(AND(ISNUMBER(Z350),ISNUMBER(AC350)),IF(AC350&gt;=Z350,(AC350-Z350)*1440,""),"")</f>
        <v>3.42940000583333</v>
      </c>
      <c r="AE350" s="54" t="s">
        <v>258</v>
      </c>
      <c r="AF350" s="54" t="s">
        <v>214</v>
      </c>
      <c r="AG350" s="54" t="s">
        <v>212</v>
      </c>
      <c r="AH350" s="58"/>
      <c r="AI350" s="55" t="n">
        <v>2</v>
      </c>
      <c r="AJ350" s="54" t="s">
        <v>216</v>
      </c>
      <c r="AK350" s="54" t="s">
        <v>212</v>
      </c>
    </row>
    <row r="351" customFormat="false" ht="15" hidden="false" customHeight="false" outlineLevel="0" collapsed="false">
      <c r="A351" s="54" t="s">
        <v>27</v>
      </c>
      <c r="B351" s="55" t="n">
        <v>1381</v>
      </c>
      <c r="C351" s="54" t="s">
        <v>127</v>
      </c>
      <c r="D351" s="54" t="s">
        <v>212</v>
      </c>
      <c r="E351" s="54"/>
      <c r="F351" s="56" t="n">
        <v>46306.9785929282</v>
      </c>
      <c r="G351" s="54" t="s">
        <v>214</v>
      </c>
      <c r="H351" s="54" t="s">
        <v>212</v>
      </c>
      <c r="I351" s="57"/>
      <c r="J351" s="56"/>
      <c r="K351" s="56"/>
      <c r="L351" s="58" t="str">
        <f aca="false">IF(AND(ISNUMBER(J351),ISNUMBER(K351)),IF(K351&gt;=J351,(K351-J351)*1440,""),"")</f>
        <v/>
      </c>
      <c r="M351" s="56"/>
      <c r="N351" s="58" t="str">
        <f aca="false">IF(AND(ISNUMBER(J351),ISNUMBER(M351)),IF(M351&gt;=J351,(M351-J351)*1440,""),"")</f>
        <v/>
      </c>
      <c r="O351" s="54" t="str">
        <f aca="false">IF(N351="","",LOOKUP(N351,Tiempos!$A$6:$A$10,Tiempos!$B$6:$B$10))</f>
        <v/>
      </c>
      <c r="P351" s="54"/>
      <c r="Q351" s="54"/>
      <c r="R351" s="54"/>
      <c r="S351" s="54"/>
      <c r="T351" s="58"/>
      <c r="U351" s="54"/>
      <c r="V351" s="58"/>
      <c r="W351" s="57"/>
      <c r="X351" s="55"/>
      <c r="Y351" s="54"/>
      <c r="Z351" s="56"/>
      <c r="AA351" s="58" t="str">
        <f aca="false">IF(AND(ISNUMBER(M351),ISNUMBER(Z351)),IF(Z351&gt;=M351,(Z351-M351)*1440,""),"")</f>
        <v/>
      </c>
      <c r="AB351" s="57"/>
      <c r="AC351" s="56"/>
      <c r="AD351" s="58" t="str">
        <f aca="false">IF(AND(ISNUMBER(Z351),ISNUMBER(AC351)),IF(AC351&gt;=Z351,(AC351-Z351)*1440,""),"")</f>
        <v/>
      </c>
      <c r="AE351" s="54"/>
      <c r="AF351" s="54"/>
      <c r="AG351" s="54"/>
      <c r="AH351" s="58"/>
      <c r="AI351" s="55" t="n">
        <v>1</v>
      </c>
      <c r="AJ351" s="54" t="s">
        <v>216</v>
      </c>
      <c r="AK351" s="54" t="s">
        <v>212</v>
      </c>
    </row>
    <row r="352" customFormat="false" ht="15" hidden="false" customHeight="false" outlineLevel="0" collapsed="false">
      <c r="A352" s="54" t="s">
        <v>27</v>
      </c>
      <c r="B352" s="55" t="n">
        <v>1386</v>
      </c>
      <c r="C352" s="54" t="s">
        <v>127</v>
      </c>
      <c r="D352" s="54" t="s">
        <v>212</v>
      </c>
      <c r="E352" s="54"/>
      <c r="F352" s="56" t="n">
        <v>46307.013799375</v>
      </c>
      <c r="G352" s="54" t="s">
        <v>214</v>
      </c>
      <c r="H352" s="54" t="s">
        <v>214</v>
      </c>
      <c r="I352" s="57"/>
      <c r="J352" s="56"/>
      <c r="K352" s="56"/>
      <c r="L352" s="58" t="str">
        <f aca="false">IF(AND(ISNUMBER(J352),ISNUMBER(K352)),IF(K352&gt;=J352,(K352-J352)*1440,""),"")</f>
        <v/>
      </c>
      <c r="M352" s="56"/>
      <c r="N352" s="58" t="str">
        <f aca="false">IF(AND(ISNUMBER(J352),ISNUMBER(M352)),IF(M352&gt;=J352,(M352-J352)*1440,""),"")</f>
        <v/>
      </c>
      <c r="O352" s="54" t="str">
        <f aca="false">IF(N352="","",LOOKUP(N352,Tiempos!$A$6:$A$10,Tiempos!$B$6:$B$10))</f>
        <v/>
      </c>
      <c r="P352" s="54"/>
      <c r="Q352" s="54"/>
      <c r="R352" s="54"/>
      <c r="S352" s="54"/>
      <c r="T352" s="58"/>
      <c r="U352" s="54"/>
      <c r="V352" s="58"/>
      <c r="W352" s="57"/>
      <c r="X352" s="55"/>
      <c r="Y352" s="54"/>
      <c r="Z352" s="56"/>
      <c r="AA352" s="58" t="str">
        <f aca="false">IF(AND(ISNUMBER(M352),ISNUMBER(Z352)),IF(Z352&gt;=M352,(Z352-M352)*1440,""),"")</f>
        <v/>
      </c>
      <c r="AB352" s="57"/>
      <c r="AC352" s="56"/>
      <c r="AD352" s="58" t="str">
        <f aca="false">IF(AND(ISNUMBER(Z352),ISNUMBER(AC352)),IF(AC352&gt;=Z352,(AC352-Z352)*1440,""),"")</f>
        <v/>
      </c>
      <c r="AE352" s="54"/>
      <c r="AF352" s="54"/>
      <c r="AG352" s="54"/>
      <c r="AH352" s="58"/>
      <c r="AI352" s="55" t="n">
        <v>1</v>
      </c>
      <c r="AJ352" s="54" t="s">
        <v>216</v>
      </c>
      <c r="AK352" s="54" t="s">
        <v>212</v>
      </c>
    </row>
    <row r="353" customFormat="false" ht="15" hidden="false" customHeight="false" outlineLevel="0" collapsed="false">
      <c r="A353" s="54" t="s">
        <v>27</v>
      </c>
      <c r="B353" s="55" t="n">
        <v>1388</v>
      </c>
      <c r="C353" s="54" t="s">
        <v>127</v>
      </c>
      <c r="D353" s="54" t="s">
        <v>212</v>
      </c>
      <c r="E353" s="54"/>
      <c r="F353" s="56" t="n">
        <v>46307.0324211921</v>
      </c>
      <c r="G353" s="54" t="s">
        <v>214</v>
      </c>
      <c r="H353" s="54" t="s">
        <v>212</v>
      </c>
      <c r="I353" s="57"/>
      <c r="J353" s="56"/>
      <c r="K353" s="56"/>
      <c r="L353" s="58" t="str">
        <f aca="false">IF(AND(ISNUMBER(J353),ISNUMBER(K353)),IF(K353&gt;=J353,(K353-J353)*1440,""),"")</f>
        <v/>
      </c>
      <c r="M353" s="56"/>
      <c r="N353" s="58" t="str">
        <f aca="false">IF(AND(ISNUMBER(J353),ISNUMBER(M353)),IF(M353&gt;=J353,(M353-J353)*1440,""),"")</f>
        <v/>
      </c>
      <c r="O353" s="54" t="str">
        <f aca="false">IF(N353="","",LOOKUP(N353,Tiempos!$A$6:$A$10,Tiempos!$B$6:$B$10))</f>
        <v/>
      </c>
      <c r="P353" s="54"/>
      <c r="Q353" s="54"/>
      <c r="R353" s="54"/>
      <c r="S353" s="54"/>
      <c r="T353" s="58"/>
      <c r="U353" s="54"/>
      <c r="V353" s="58"/>
      <c r="W353" s="57"/>
      <c r="X353" s="55"/>
      <c r="Y353" s="54"/>
      <c r="Z353" s="56"/>
      <c r="AA353" s="58" t="str">
        <f aca="false">IF(AND(ISNUMBER(M353),ISNUMBER(Z353)),IF(Z353&gt;=M353,(Z353-M353)*1440,""),"")</f>
        <v/>
      </c>
      <c r="AB353" s="57"/>
      <c r="AC353" s="56"/>
      <c r="AD353" s="58" t="str">
        <f aca="false">IF(AND(ISNUMBER(Z353),ISNUMBER(AC353)),IF(AC353&gt;=Z353,(AC353-Z353)*1440,""),"")</f>
        <v/>
      </c>
      <c r="AE353" s="54"/>
      <c r="AF353" s="54"/>
      <c r="AG353" s="54"/>
      <c r="AH353" s="58"/>
      <c r="AI353" s="55" t="n">
        <v>1</v>
      </c>
      <c r="AJ353" s="54" t="s">
        <v>216</v>
      </c>
      <c r="AK353" s="54" t="s">
        <v>212</v>
      </c>
    </row>
    <row r="354" customFormat="false" ht="15" hidden="false" customHeight="false" outlineLevel="0" collapsed="false">
      <c r="A354" s="54" t="s">
        <v>27</v>
      </c>
      <c r="B354" s="55" t="n">
        <v>1390</v>
      </c>
      <c r="C354" s="54" t="s">
        <v>127</v>
      </c>
      <c r="D354" s="54" t="s">
        <v>212</v>
      </c>
      <c r="E354" s="54"/>
      <c r="F354" s="56" t="n">
        <v>46307.0615899306</v>
      </c>
      <c r="G354" s="54" t="s">
        <v>214</v>
      </c>
      <c r="H354" s="54" t="s">
        <v>212</v>
      </c>
      <c r="I354" s="57"/>
      <c r="J354" s="56"/>
      <c r="K354" s="56"/>
      <c r="L354" s="58" t="str">
        <f aca="false">IF(AND(ISNUMBER(J354),ISNUMBER(K354)),IF(K354&gt;=J354,(K354-J354)*1440,""),"")</f>
        <v/>
      </c>
      <c r="M354" s="56"/>
      <c r="N354" s="58" t="str">
        <f aca="false">IF(AND(ISNUMBER(J354),ISNUMBER(M354)),IF(M354&gt;=J354,(M354-J354)*1440,""),"")</f>
        <v/>
      </c>
      <c r="O354" s="54" t="str">
        <f aca="false">IF(N354="","",LOOKUP(N354,Tiempos!$A$6:$A$10,Tiempos!$B$6:$B$10))</f>
        <v/>
      </c>
      <c r="P354" s="54"/>
      <c r="Q354" s="54"/>
      <c r="R354" s="54"/>
      <c r="S354" s="54"/>
      <c r="T354" s="58"/>
      <c r="U354" s="54"/>
      <c r="V354" s="58"/>
      <c r="W354" s="57"/>
      <c r="X354" s="55"/>
      <c r="Y354" s="54"/>
      <c r="Z354" s="56"/>
      <c r="AA354" s="58" t="str">
        <f aca="false">IF(AND(ISNUMBER(M354),ISNUMBER(Z354)),IF(Z354&gt;=M354,(Z354-M354)*1440,""),"")</f>
        <v/>
      </c>
      <c r="AB354" s="57"/>
      <c r="AC354" s="56"/>
      <c r="AD354" s="58" t="str">
        <f aca="false">IF(AND(ISNUMBER(Z354),ISNUMBER(AC354)),IF(AC354&gt;=Z354,(AC354-Z354)*1440,""),"")</f>
        <v/>
      </c>
      <c r="AE354" s="54"/>
      <c r="AF354" s="54"/>
      <c r="AG354" s="54"/>
      <c r="AH354" s="58"/>
      <c r="AI354" s="55" t="n">
        <v>1</v>
      </c>
      <c r="AJ354" s="54" t="s">
        <v>216</v>
      </c>
      <c r="AK354" s="54" t="s">
        <v>212</v>
      </c>
    </row>
    <row r="355" customFormat="false" ht="15" hidden="false" customHeight="false" outlineLevel="0" collapsed="false">
      <c r="A355" s="54" t="s">
        <v>27</v>
      </c>
      <c r="B355" s="55" t="n">
        <v>1393</v>
      </c>
      <c r="C355" s="54" t="s">
        <v>127</v>
      </c>
      <c r="D355" s="54" t="s">
        <v>212</v>
      </c>
      <c r="E355" s="54"/>
      <c r="F355" s="56" t="n">
        <v>46307.1365259259</v>
      </c>
      <c r="G355" s="54" t="s">
        <v>214</v>
      </c>
      <c r="H355" s="54" t="s">
        <v>214</v>
      </c>
      <c r="I355" s="57"/>
      <c r="J355" s="56"/>
      <c r="K355" s="56"/>
      <c r="L355" s="58" t="str">
        <f aca="false">IF(AND(ISNUMBER(J355),ISNUMBER(K355)),IF(K355&gt;=J355,(K355-J355)*1440,""),"")</f>
        <v/>
      </c>
      <c r="M355" s="56"/>
      <c r="N355" s="58" t="str">
        <f aca="false">IF(AND(ISNUMBER(J355),ISNUMBER(M355)),IF(M355&gt;=J355,(M355-J355)*1440,""),"")</f>
        <v/>
      </c>
      <c r="O355" s="54" t="str">
        <f aca="false">IF(N355="","",LOOKUP(N355,Tiempos!$A$6:$A$10,Tiempos!$B$6:$B$10))</f>
        <v/>
      </c>
      <c r="P355" s="54"/>
      <c r="Q355" s="54"/>
      <c r="R355" s="54"/>
      <c r="S355" s="54"/>
      <c r="T355" s="58"/>
      <c r="U355" s="54"/>
      <c r="V355" s="58"/>
      <c r="W355" s="57"/>
      <c r="X355" s="55"/>
      <c r="Y355" s="54"/>
      <c r="Z355" s="56"/>
      <c r="AA355" s="58" t="str">
        <f aca="false">IF(AND(ISNUMBER(M355),ISNUMBER(Z355)),IF(Z355&gt;=M355,(Z355-M355)*1440,""),"")</f>
        <v/>
      </c>
      <c r="AB355" s="57"/>
      <c r="AC355" s="56"/>
      <c r="AD355" s="58" t="str">
        <f aca="false">IF(AND(ISNUMBER(Z355),ISNUMBER(AC355)),IF(AC355&gt;=Z355,(AC355-Z355)*1440,""),"")</f>
        <v/>
      </c>
      <c r="AE355" s="54"/>
      <c r="AF355" s="54"/>
      <c r="AG355" s="54"/>
      <c r="AH355" s="58"/>
      <c r="AI355" s="55" t="n">
        <v>1</v>
      </c>
      <c r="AJ355" s="54" t="s">
        <v>216</v>
      </c>
      <c r="AK355" s="54" t="s">
        <v>212</v>
      </c>
    </row>
    <row r="356" customFormat="false" ht="15" hidden="false" customHeight="false" outlineLevel="0" collapsed="false">
      <c r="A356" s="54" t="s">
        <v>27</v>
      </c>
      <c r="B356" s="55" t="n">
        <v>1377</v>
      </c>
      <c r="C356" s="54" t="s">
        <v>127</v>
      </c>
      <c r="D356" s="54" t="s">
        <v>212</v>
      </c>
      <c r="E356" s="54"/>
      <c r="F356" s="56" t="n">
        <v>46307.295927338</v>
      </c>
      <c r="G356" s="54" t="s">
        <v>214</v>
      </c>
      <c r="H356" s="54" t="s">
        <v>214</v>
      </c>
      <c r="I356" s="57"/>
      <c r="J356" s="56"/>
      <c r="K356" s="56"/>
      <c r="L356" s="58" t="str">
        <f aca="false">IF(AND(ISNUMBER(J356),ISNUMBER(K356)),IF(K356&gt;=J356,(K356-J356)*1440,""),"")</f>
        <v/>
      </c>
      <c r="M356" s="56"/>
      <c r="N356" s="58" t="str">
        <f aca="false">IF(AND(ISNUMBER(J356),ISNUMBER(M356)),IF(M356&gt;=J356,(M356-J356)*1440,""),"")</f>
        <v/>
      </c>
      <c r="O356" s="54" t="str">
        <f aca="false">IF(N356="","",LOOKUP(N356,Tiempos!$A$6:$A$10,Tiempos!$B$6:$B$10))</f>
        <v/>
      </c>
      <c r="P356" s="54"/>
      <c r="Q356" s="54"/>
      <c r="R356" s="54"/>
      <c r="S356" s="54"/>
      <c r="T356" s="58"/>
      <c r="U356" s="54"/>
      <c r="V356" s="58"/>
      <c r="W356" s="57"/>
      <c r="X356" s="55"/>
      <c r="Y356" s="54"/>
      <c r="Z356" s="56"/>
      <c r="AA356" s="58" t="str">
        <f aca="false">IF(AND(ISNUMBER(M356),ISNUMBER(Z356)),IF(Z356&gt;=M356,(Z356-M356)*1440,""),"")</f>
        <v/>
      </c>
      <c r="AB356" s="57"/>
      <c r="AC356" s="56"/>
      <c r="AD356" s="58" t="str">
        <f aca="false">IF(AND(ISNUMBER(Z356),ISNUMBER(AC356)),IF(AC356&gt;=Z356,(AC356-Z356)*1440,""),"")</f>
        <v/>
      </c>
      <c r="AE356" s="54"/>
      <c r="AF356" s="54"/>
      <c r="AG356" s="54"/>
      <c r="AH356" s="58"/>
      <c r="AI356" s="55" t="n">
        <v>2</v>
      </c>
      <c r="AJ356" s="54" t="s">
        <v>216</v>
      </c>
      <c r="AK356" s="54" t="s">
        <v>212</v>
      </c>
    </row>
    <row r="357" customFormat="false" ht="15" hidden="false" customHeight="false" outlineLevel="0" collapsed="false">
      <c r="A357" s="54" t="s">
        <v>27</v>
      </c>
      <c r="B357" s="55" t="n">
        <v>1385</v>
      </c>
      <c r="C357" s="54" t="s">
        <v>127</v>
      </c>
      <c r="D357" s="54" t="s">
        <v>212</v>
      </c>
      <c r="E357" s="54"/>
      <c r="F357" s="56" t="n">
        <v>46307.2992915741</v>
      </c>
      <c r="G357" s="54" t="s">
        <v>214</v>
      </c>
      <c r="H357" s="54" t="s">
        <v>214</v>
      </c>
      <c r="I357" s="57"/>
      <c r="J357" s="56"/>
      <c r="K357" s="56"/>
      <c r="L357" s="58" t="str">
        <f aca="false">IF(AND(ISNUMBER(J357),ISNUMBER(K357)),IF(K357&gt;=J357,(K357-J357)*1440,""),"")</f>
        <v/>
      </c>
      <c r="M357" s="56"/>
      <c r="N357" s="58" t="str">
        <f aca="false">IF(AND(ISNUMBER(J357),ISNUMBER(M357)),IF(M357&gt;=J357,(M357-J357)*1440,""),"")</f>
        <v/>
      </c>
      <c r="O357" s="54" t="str">
        <f aca="false">IF(N357="","",LOOKUP(N357,Tiempos!$A$6:$A$10,Tiempos!$B$6:$B$10))</f>
        <v/>
      </c>
      <c r="P357" s="54"/>
      <c r="Q357" s="54"/>
      <c r="R357" s="54"/>
      <c r="S357" s="54"/>
      <c r="T357" s="58"/>
      <c r="U357" s="54"/>
      <c r="V357" s="58"/>
      <c r="W357" s="57"/>
      <c r="X357" s="55"/>
      <c r="Y357" s="54"/>
      <c r="Z357" s="56"/>
      <c r="AA357" s="58" t="str">
        <f aca="false">IF(AND(ISNUMBER(M357),ISNUMBER(Z357)),IF(Z357&gt;=M357,(Z357-M357)*1440,""),"")</f>
        <v/>
      </c>
      <c r="AB357" s="57"/>
      <c r="AC357" s="56"/>
      <c r="AD357" s="58" t="str">
        <f aca="false">IF(AND(ISNUMBER(Z357),ISNUMBER(AC357)),IF(AC357&gt;=Z357,(AC357-Z357)*1440,""),"")</f>
        <v/>
      </c>
      <c r="AE357" s="54"/>
      <c r="AF357" s="54"/>
      <c r="AG357" s="54"/>
      <c r="AH357" s="58"/>
      <c r="AI357" s="55" t="n">
        <v>2</v>
      </c>
      <c r="AJ357" s="54" t="s">
        <v>216</v>
      </c>
      <c r="AK357" s="54" t="s">
        <v>212</v>
      </c>
    </row>
    <row r="358" customFormat="false" ht="15" hidden="false" customHeight="false" outlineLevel="0" collapsed="false">
      <c r="A358" s="54" t="s">
        <v>27</v>
      </c>
      <c r="B358" s="55" t="n">
        <v>1402</v>
      </c>
      <c r="C358" s="54" t="s">
        <v>127</v>
      </c>
      <c r="D358" s="54" t="s">
        <v>212</v>
      </c>
      <c r="E358" s="54"/>
      <c r="F358" s="56" t="n">
        <v>46307.3046375116</v>
      </c>
      <c r="G358" s="54" t="s">
        <v>214</v>
      </c>
      <c r="H358" s="54" t="s">
        <v>214</v>
      </c>
      <c r="I358" s="57"/>
      <c r="J358" s="56"/>
      <c r="K358" s="56"/>
      <c r="L358" s="58" t="str">
        <f aca="false">IF(AND(ISNUMBER(J358),ISNUMBER(K358)),IF(K358&gt;=J358,(K358-J358)*1440,""),"")</f>
        <v/>
      </c>
      <c r="M358" s="56"/>
      <c r="N358" s="58" t="str">
        <f aca="false">IF(AND(ISNUMBER(J358),ISNUMBER(M358)),IF(M358&gt;=J358,(M358-J358)*1440,""),"")</f>
        <v/>
      </c>
      <c r="O358" s="54" t="str">
        <f aca="false">IF(N358="","",LOOKUP(N358,Tiempos!$A$6:$A$10,Tiempos!$B$6:$B$10))</f>
        <v/>
      </c>
      <c r="P358" s="54"/>
      <c r="Q358" s="54"/>
      <c r="R358" s="54"/>
      <c r="S358" s="54"/>
      <c r="T358" s="58"/>
      <c r="U358" s="54"/>
      <c r="V358" s="58"/>
      <c r="W358" s="57"/>
      <c r="X358" s="55"/>
      <c r="Y358" s="54"/>
      <c r="Z358" s="56"/>
      <c r="AA358" s="58" t="str">
        <f aca="false">IF(AND(ISNUMBER(M358),ISNUMBER(Z358)),IF(Z358&gt;=M358,(Z358-M358)*1440,""),"")</f>
        <v/>
      </c>
      <c r="AB358" s="57"/>
      <c r="AC358" s="56"/>
      <c r="AD358" s="58" t="str">
        <f aca="false">IF(AND(ISNUMBER(Z358),ISNUMBER(AC358)),IF(AC358&gt;=Z358,(AC358-Z358)*1440,""),"")</f>
        <v/>
      </c>
      <c r="AE358" s="54"/>
      <c r="AF358" s="54"/>
      <c r="AG358" s="54"/>
      <c r="AH358" s="58"/>
      <c r="AI358" s="55" t="n">
        <v>2</v>
      </c>
      <c r="AJ358" s="54" t="s">
        <v>216</v>
      </c>
      <c r="AK358" s="54" t="s">
        <v>212</v>
      </c>
    </row>
    <row r="359" customFormat="false" ht="15" hidden="false" customHeight="false" outlineLevel="0" collapsed="false">
      <c r="A359" s="54" t="s">
        <v>27</v>
      </c>
      <c r="B359" s="55" t="n">
        <v>1403</v>
      </c>
      <c r="C359" s="54" t="s">
        <v>127</v>
      </c>
      <c r="D359" s="54" t="s">
        <v>214</v>
      </c>
      <c r="E359" s="54" t="s">
        <v>242</v>
      </c>
      <c r="F359" s="56" t="n">
        <v>46307.3052758449</v>
      </c>
      <c r="G359" s="54" t="s">
        <v>214</v>
      </c>
      <c r="H359" s="54" t="s">
        <v>214</v>
      </c>
      <c r="I359" s="57" t="s">
        <v>598</v>
      </c>
      <c r="J359" s="56" t="n">
        <v>46307.3060850116</v>
      </c>
      <c r="K359" s="56" t="n">
        <v>46307.3063783333</v>
      </c>
      <c r="L359" s="58" t="n">
        <f aca="false">IF(AND(ISNUMBER(J359),ISNUMBER(K359)),IF(K359&gt;=J359,(K359-J359)*1440,""),"")</f>
        <v>0.4223833268</v>
      </c>
      <c r="M359" s="56" t="n">
        <v>46307.3082132639</v>
      </c>
      <c r="N359" s="58" t="n">
        <f aca="false">IF(AND(ISNUMBER(J359),ISNUMBER(M359)),IF(M359&gt;=J359,(M359-J359)*1440,""),"")</f>
        <v>3.06468333466667</v>
      </c>
      <c r="O359" s="54" t="str">
        <f aca="false">IF(N359="","",LOOKUP(N359,Tiempos!$A$6:$A$10,Tiempos!$B$6:$B$10))</f>
        <v>Menos de 4 min</v>
      </c>
      <c r="P359" s="54" t="s">
        <v>229</v>
      </c>
      <c r="Q359" s="54" t="s">
        <v>214</v>
      </c>
      <c r="R359" s="54" t="s">
        <v>127</v>
      </c>
      <c r="S359" s="54" t="s">
        <v>220</v>
      </c>
      <c r="T359" s="58" t="n">
        <v>125.3</v>
      </c>
      <c r="U359" s="54" t="s">
        <v>214</v>
      </c>
      <c r="V359" s="58" t="n">
        <v>2.64</v>
      </c>
      <c r="W359" s="57" t="s">
        <v>411</v>
      </c>
      <c r="X359" s="55" t="n">
        <v>2</v>
      </c>
      <c r="Y359" s="54" t="s">
        <v>214</v>
      </c>
      <c r="Z359" s="56" t="n">
        <v>46307.3111016782</v>
      </c>
      <c r="AA359" s="58" t="n">
        <f aca="false">IF(AND(ISNUMBER(M359),ISNUMBER(Z359)),IF(Z359&gt;=M359,(Z359-M359)*1440,""),"")</f>
        <v>4.15931666968333</v>
      </c>
      <c r="AB359" s="57" t="s">
        <v>599</v>
      </c>
      <c r="AC359" s="56" t="n">
        <v>46307.3112700347</v>
      </c>
      <c r="AD359" s="58" t="n">
        <f aca="false">IF(AND(ISNUMBER(Z359),ISNUMBER(AC359)),IF(AC359&gt;=Z359,(AC359-Z359)*1440,""),"")</f>
        <v>0.242433326783333</v>
      </c>
      <c r="AE359" s="54" t="s">
        <v>346</v>
      </c>
      <c r="AF359" s="54" t="s">
        <v>214</v>
      </c>
      <c r="AG359" s="54" t="s">
        <v>214</v>
      </c>
      <c r="AH359" s="58" t="n">
        <v>4.1</v>
      </c>
      <c r="AI359" s="55" t="n">
        <v>2</v>
      </c>
      <c r="AJ359" s="54" t="s">
        <v>216</v>
      </c>
      <c r="AK359" s="54" t="s">
        <v>212</v>
      </c>
    </row>
    <row r="360" customFormat="false" ht="15" hidden="false" customHeight="false" outlineLevel="0" collapsed="false">
      <c r="A360" s="54" t="s">
        <v>27</v>
      </c>
      <c r="B360" s="55" t="n">
        <v>1405</v>
      </c>
      <c r="C360" s="54" t="s">
        <v>127</v>
      </c>
      <c r="D360" s="54" t="s">
        <v>211</v>
      </c>
      <c r="E360" s="54"/>
      <c r="F360" s="56" t="n">
        <v>46307.3259150116</v>
      </c>
      <c r="G360" s="54" t="s">
        <v>214</v>
      </c>
      <c r="H360" s="54" t="s">
        <v>214</v>
      </c>
      <c r="I360" s="57" t="s">
        <v>600</v>
      </c>
      <c r="J360" s="56" t="n">
        <v>46307.5488045833</v>
      </c>
      <c r="K360" s="56" t="n">
        <v>46307.5491991898</v>
      </c>
      <c r="L360" s="58" t="n">
        <f aca="false">IF(AND(ISNUMBER(J360),ISNUMBER(K360)),IF(K360&gt;=J360,(K360-J360)*1440,""),"")</f>
        <v>0.5682333454</v>
      </c>
      <c r="M360" s="56" t="n">
        <v>46307.5491991898</v>
      </c>
      <c r="N360" s="58" t="n">
        <f aca="false">IF(AND(ISNUMBER(J360),ISNUMBER(M360)),IF(M360&gt;=J360,(M360-J360)*1440,""),"")</f>
        <v>0.5682333454</v>
      </c>
      <c r="O360" s="54" t="str">
        <f aca="false">IF(N360="","",LOOKUP(N360,Tiempos!$A$6:$A$10,Tiempos!$B$6:$B$10))</f>
        <v>Menos de 4 min</v>
      </c>
      <c r="P360" s="54" t="s">
        <v>226</v>
      </c>
      <c r="Q360" s="54" t="s">
        <v>212</v>
      </c>
      <c r="R360" s="54" t="s">
        <v>130</v>
      </c>
      <c r="S360" s="54" t="s">
        <v>215</v>
      </c>
      <c r="T360" s="58"/>
      <c r="U360" s="54"/>
      <c r="V360" s="58"/>
      <c r="W360" s="57"/>
      <c r="X360" s="55" t="n">
        <v>0</v>
      </c>
      <c r="Y360" s="54" t="s">
        <v>214</v>
      </c>
      <c r="Z360" s="56" t="n">
        <v>46307.550474919</v>
      </c>
      <c r="AA360" s="58" t="n">
        <f aca="false">IF(AND(ISNUMBER(M360),ISNUMBER(Z360)),IF(Z360&gt;=M360,(Z360-M360)*1440,""),"")</f>
        <v>1.83704998343333</v>
      </c>
      <c r="AB360" s="57" t="s">
        <v>601</v>
      </c>
      <c r="AC360" s="56" t="n">
        <v>46307.5540493866</v>
      </c>
      <c r="AD360" s="58" t="n">
        <f aca="false">IF(AND(ISNUMBER(Z360),ISNUMBER(AC360)),IF(AC360&gt;=Z360,(AC360-Z360)*1440,""),"")</f>
        <v>5.14723334228333</v>
      </c>
      <c r="AE360" s="54" t="s">
        <v>247</v>
      </c>
      <c r="AF360" s="54" t="s">
        <v>212</v>
      </c>
      <c r="AG360" s="54" t="s">
        <v>212</v>
      </c>
      <c r="AH360" s="58"/>
      <c r="AI360" s="55" t="n">
        <v>3</v>
      </c>
      <c r="AJ360" s="54" t="s">
        <v>216</v>
      </c>
      <c r="AK360" s="54" t="s">
        <v>212</v>
      </c>
    </row>
    <row r="361" customFormat="false" ht="15" hidden="false" customHeight="false" outlineLevel="0" collapsed="false">
      <c r="A361" s="54" t="s">
        <v>27</v>
      </c>
      <c r="B361" s="55" t="n">
        <v>1407</v>
      </c>
      <c r="C361" s="54" t="s">
        <v>127</v>
      </c>
      <c r="D361" s="54" t="s">
        <v>212</v>
      </c>
      <c r="E361" s="54"/>
      <c r="F361" s="56" t="n">
        <v>46307.3411900116</v>
      </c>
      <c r="G361" s="54" t="s">
        <v>212</v>
      </c>
      <c r="H361" s="54" t="s">
        <v>214</v>
      </c>
      <c r="I361" s="57"/>
      <c r="J361" s="56"/>
      <c r="K361" s="56"/>
      <c r="L361" s="58" t="str">
        <f aca="false">IF(AND(ISNUMBER(J361),ISNUMBER(K361)),IF(K361&gt;=J361,(K361-J361)*1440,""),"")</f>
        <v/>
      </c>
      <c r="M361" s="56"/>
      <c r="N361" s="58" t="str">
        <f aca="false">IF(AND(ISNUMBER(J361),ISNUMBER(M361)),IF(M361&gt;=J361,(M361-J361)*1440,""),"")</f>
        <v/>
      </c>
      <c r="O361" s="54" t="str">
        <f aca="false">IF(N361="","",LOOKUP(N361,Tiempos!$A$6:$A$10,Tiempos!$B$6:$B$10))</f>
        <v/>
      </c>
      <c r="P361" s="54"/>
      <c r="Q361" s="54"/>
      <c r="R361" s="54"/>
      <c r="S361" s="54"/>
      <c r="T361" s="58"/>
      <c r="U361" s="54"/>
      <c r="V361" s="58"/>
      <c r="W361" s="57"/>
      <c r="X361" s="55"/>
      <c r="Y361" s="54"/>
      <c r="Z361" s="56"/>
      <c r="AA361" s="58" t="str">
        <f aca="false">IF(AND(ISNUMBER(M361),ISNUMBER(Z361)),IF(Z361&gt;=M361,(Z361-M361)*1440,""),"")</f>
        <v/>
      </c>
      <c r="AB361" s="57"/>
      <c r="AC361" s="56"/>
      <c r="AD361" s="58" t="str">
        <f aca="false">IF(AND(ISNUMBER(Z361),ISNUMBER(AC361)),IF(AC361&gt;=Z361,(AC361-Z361)*1440,""),"")</f>
        <v/>
      </c>
      <c r="AE361" s="54"/>
      <c r="AF361" s="54"/>
      <c r="AG361" s="54"/>
      <c r="AH361" s="58"/>
      <c r="AI361" s="55" t="n">
        <v>2</v>
      </c>
      <c r="AJ361" s="54" t="s">
        <v>216</v>
      </c>
      <c r="AK361" s="54" t="s">
        <v>212</v>
      </c>
    </row>
    <row r="362" customFormat="false" ht="15" hidden="false" customHeight="false" outlineLevel="0" collapsed="false">
      <c r="A362" s="54" t="s">
        <v>27</v>
      </c>
      <c r="B362" s="55" t="n">
        <v>1412</v>
      </c>
      <c r="C362" s="54" t="s">
        <v>127</v>
      </c>
      <c r="D362" s="54" t="s">
        <v>214</v>
      </c>
      <c r="E362" s="54" t="s">
        <v>242</v>
      </c>
      <c r="F362" s="56" t="n">
        <v>46307.3730935532</v>
      </c>
      <c r="G362" s="54" t="s">
        <v>212</v>
      </c>
      <c r="H362" s="54" t="s">
        <v>212</v>
      </c>
      <c r="I362" s="57" t="s">
        <v>602</v>
      </c>
      <c r="J362" s="56" t="n">
        <v>46307.4146897569</v>
      </c>
      <c r="K362" s="56" t="n">
        <v>46307.4148921991</v>
      </c>
      <c r="L362" s="58" t="n">
        <f aca="false">IF(AND(ISNUMBER(J362),ISNUMBER(K362)),IF(K362&gt;=J362,(K362-J362)*1440,""),"")</f>
        <v>0.291516672583333</v>
      </c>
      <c r="M362" s="56" t="n">
        <v>46307.4175671644</v>
      </c>
      <c r="N362" s="58" t="n">
        <f aca="false">IF(AND(ISNUMBER(J362),ISNUMBER(M362)),IF(M362&gt;=J362,(M362-J362)*1440,""),"")</f>
        <v>4.14346667936667</v>
      </c>
      <c r="O362" s="54" t="str">
        <f aca="false">IF(N362="","",LOOKUP(N362,Tiempos!$A$6:$A$10,Tiempos!$B$6:$B$10))</f>
        <v>4 a 6 min</v>
      </c>
      <c r="P362" s="54" t="s">
        <v>603</v>
      </c>
      <c r="Q362" s="54" t="s">
        <v>214</v>
      </c>
      <c r="R362" s="54" t="s">
        <v>127</v>
      </c>
      <c r="S362" s="54" t="s">
        <v>220</v>
      </c>
      <c r="T362" s="58" t="n">
        <v>125.6</v>
      </c>
      <c r="U362" s="54" t="s">
        <v>212</v>
      </c>
      <c r="V362" s="58" t="n">
        <v>3.06</v>
      </c>
      <c r="W362" s="57" t="s">
        <v>604</v>
      </c>
      <c r="X362" s="55" t="n">
        <v>5</v>
      </c>
      <c r="Y362" s="54" t="s">
        <v>214</v>
      </c>
      <c r="Z362" s="56" t="n">
        <v>46307.4179540972</v>
      </c>
      <c r="AA362" s="58" t="n">
        <f aca="false">IF(AND(ISNUMBER(M362),ISNUMBER(Z362)),IF(Z362&gt;=M362,(Z362-M362)*1440,""),"")</f>
        <v>0.557183346233333</v>
      </c>
      <c r="AB362" s="57" t="s">
        <v>605</v>
      </c>
      <c r="AC362" s="56" t="n">
        <v>46307.4249551157</v>
      </c>
      <c r="AD362" s="58" t="n">
        <f aca="false">IF(AND(ISNUMBER(Z362),ISNUMBER(AC362)),IF(AC362&gt;=Z362,(AC362-Z362)*1440,""),"")</f>
        <v>10.08146665175</v>
      </c>
      <c r="AE362" s="54" t="s">
        <v>247</v>
      </c>
      <c r="AF362" s="54" t="s">
        <v>212</v>
      </c>
      <c r="AG362" s="54" t="s">
        <v>212</v>
      </c>
      <c r="AH362" s="58"/>
      <c r="AI362" s="55" t="n">
        <v>2</v>
      </c>
      <c r="AJ362" s="54" t="s">
        <v>216</v>
      </c>
      <c r="AK362" s="54" t="s">
        <v>212</v>
      </c>
    </row>
    <row r="363" customFormat="false" ht="15" hidden="false" customHeight="false" outlineLevel="0" collapsed="false">
      <c r="A363" s="54" t="s">
        <v>27</v>
      </c>
      <c r="B363" s="55" t="n">
        <v>1423</v>
      </c>
      <c r="C363" s="54" t="s">
        <v>127</v>
      </c>
      <c r="D363" s="54" t="s">
        <v>214</v>
      </c>
      <c r="E363" s="54" t="s">
        <v>217</v>
      </c>
      <c r="F363" s="56" t="n">
        <v>46307.4292412616</v>
      </c>
      <c r="G363" s="54" t="s">
        <v>212</v>
      </c>
      <c r="H363" s="54" t="s">
        <v>214</v>
      </c>
      <c r="I363" s="57" t="s">
        <v>606</v>
      </c>
      <c r="J363" s="56" t="n">
        <v>46307.4431711111</v>
      </c>
      <c r="K363" s="56" t="n">
        <v>46307.4513946528</v>
      </c>
      <c r="L363" s="58" t="n">
        <f aca="false">IF(AND(ISNUMBER(J363),ISNUMBER(K363)),IF(K363&gt;=J363,(K363-J363)*1440,""),"")</f>
        <v>11.8419000052333</v>
      </c>
      <c r="M363" s="56" t="n">
        <v>46307.4642328704</v>
      </c>
      <c r="N363" s="58" t="n">
        <f aca="false">IF(AND(ISNUMBER(J363),ISNUMBER(M363)),IF(M363&gt;=J363,(M363-J363)*1440,""),"")</f>
        <v>30.3289333346667</v>
      </c>
      <c r="O363" s="54" t="str">
        <f aca="false">IF(N363="","",LOOKUP(N363,Tiempos!$A$6:$A$10,Tiempos!$B$6:$B$10))</f>
        <v>30 min o más</v>
      </c>
      <c r="P363" s="54" t="s">
        <v>229</v>
      </c>
      <c r="Q363" s="54" t="s">
        <v>214</v>
      </c>
      <c r="R363" s="54" t="s">
        <v>127</v>
      </c>
      <c r="S363" s="54" t="s">
        <v>220</v>
      </c>
      <c r="T363" s="58" t="n">
        <v>108.2</v>
      </c>
      <c r="U363" s="54" t="s">
        <v>214</v>
      </c>
      <c r="V363" s="58" t="n">
        <v>18.49</v>
      </c>
      <c r="W363" s="57" t="s">
        <v>607</v>
      </c>
      <c r="X363" s="55" t="n">
        <v>2</v>
      </c>
      <c r="Y363" s="54" t="s">
        <v>214</v>
      </c>
      <c r="Z363" s="56" t="n">
        <v>46307.5379010995</v>
      </c>
      <c r="AA363" s="58" t="n">
        <f aca="false">IF(AND(ISNUMBER(M363),ISNUMBER(Z363)),IF(Z363&gt;=M363,(Z363-M363)*1440,""),"")</f>
        <v>106.082250002067</v>
      </c>
      <c r="AB363" s="57" t="s">
        <v>372</v>
      </c>
      <c r="AC363" s="56" t="n">
        <v>46307.5385513773</v>
      </c>
      <c r="AD363" s="58" t="n">
        <f aca="false">IF(AND(ISNUMBER(Z363),ISNUMBER(AC363)),IF(AC363&gt;=Z363,(AC363-Z363)*1440,""),"")</f>
        <v>0.936399986966667</v>
      </c>
      <c r="AE363" s="54" t="s">
        <v>346</v>
      </c>
      <c r="AF363" s="54" t="s">
        <v>214</v>
      </c>
      <c r="AG363" s="54" t="s">
        <v>214</v>
      </c>
      <c r="AH363" s="58" t="n">
        <v>2.5</v>
      </c>
      <c r="AI363" s="55" t="n">
        <v>1</v>
      </c>
      <c r="AJ363" s="54" t="s">
        <v>216</v>
      </c>
      <c r="AK363" s="54" t="s">
        <v>212</v>
      </c>
    </row>
    <row r="364" customFormat="false" ht="15" hidden="false" customHeight="false" outlineLevel="0" collapsed="false">
      <c r="A364" s="54" t="s">
        <v>27</v>
      </c>
      <c r="B364" s="55" t="n">
        <v>1439</v>
      </c>
      <c r="C364" s="54" t="s">
        <v>127</v>
      </c>
      <c r="D364" s="54" t="s">
        <v>214</v>
      </c>
      <c r="E364" s="54" t="s">
        <v>242</v>
      </c>
      <c r="F364" s="56" t="n">
        <v>46307.4295330903</v>
      </c>
      <c r="G364" s="54" t="s">
        <v>212</v>
      </c>
      <c r="H364" s="54" t="s">
        <v>214</v>
      </c>
      <c r="I364" s="57" t="s">
        <v>608</v>
      </c>
      <c r="J364" s="56" t="n">
        <v>46307.4328848032</v>
      </c>
      <c r="K364" s="56" t="n">
        <v>46307.4366139931</v>
      </c>
      <c r="L364" s="58" t="n">
        <f aca="false">IF(AND(ISNUMBER(J364),ISNUMBER(K364)),IF(K364&gt;=J364,(K364-J364)*1440,""),"")</f>
        <v>5.37003333911667</v>
      </c>
      <c r="M364" s="56" t="n">
        <v>46307.4441597454</v>
      </c>
      <c r="N364" s="58" t="n">
        <f aca="false">IF(AND(ISNUMBER(J364),ISNUMBER(M364)),IF(M364&gt;=J364,(M364-J364)*1440,""),"")</f>
        <v>16.2359166692333</v>
      </c>
      <c r="O364" s="54" t="str">
        <f aca="false">IF(N364="","",LOOKUP(N364,Tiempos!$A$6:$A$10,Tiempos!$B$6:$B$10))</f>
        <v>10 a 30 min</v>
      </c>
      <c r="P364" s="54" t="s">
        <v>229</v>
      </c>
      <c r="Q364" s="54" t="s">
        <v>214</v>
      </c>
      <c r="R364" s="54" t="s">
        <v>130</v>
      </c>
      <c r="S364" s="54" t="s">
        <v>215</v>
      </c>
      <c r="T364" s="58" t="n">
        <v>142.7</v>
      </c>
      <c r="U364" s="54" t="s">
        <v>214</v>
      </c>
      <c r="V364" s="58" t="n">
        <v>6.6</v>
      </c>
      <c r="W364" s="57" t="s">
        <v>316</v>
      </c>
      <c r="X364" s="55" t="n">
        <v>2</v>
      </c>
      <c r="Y364" s="54" t="s">
        <v>214</v>
      </c>
      <c r="Z364" s="56" t="n">
        <v>46307.4492240972</v>
      </c>
      <c r="AA364" s="58" t="n">
        <f aca="false">IF(AND(ISNUMBER(M364),ISNUMBER(Z364)),IF(Z364&gt;=M364,(Z364-M364)*1440,""),"")</f>
        <v>7.29266666108333</v>
      </c>
      <c r="AB364" s="57" t="s">
        <v>609</v>
      </c>
      <c r="AC364" s="56" t="n">
        <v>46307.4494332639</v>
      </c>
      <c r="AD364" s="58" t="n">
        <f aca="false">IF(AND(ISNUMBER(Z364),ISNUMBER(AC364)),IF(AC364&gt;=Z364,(AC364-Z364)*1440,""),"")</f>
        <v>0.3012000129</v>
      </c>
      <c r="AE364" s="54" t="s">
        <v>346</v>
      </c>
      <c r="AF364" s="54" t="s">
        <v>214</v>
      </c>
      <c r="AG364" s="54" t="s">
        <v>214</v>
      </c>
      <c r="AH364" s="58" t="n">
        <v>1.5</v>
      </c>
      <c r="AI364" s="55" t="n">
        <v>2</v>
      </c>
      <c r="AJ364" s="54" t="s">
        <v>216</v>
      </c>
      <c r="AK364" s="54" t="s">
        <v>212</v>
      </c>
    </row>
    <row r="365" customFormat="false" ht="15" hidden="false" customHeight="false" outlineLevel="0" collapsed="false">
      <c r="A365" s="54" t="s">
        <v>27</v>
      </c>
      <c r="B365" s="55" t="n">
        <v>1443</v>
      </c>
      <c r="C365" s="54" t="s">
        <v>127</v>
      </c>
      <c r="D365" s="54" t="s">
        <v>212</v>
      </c>
      <c r="E365" s="54"/>
      <c r="F365" s="56" t="n">
        <v>46307.4380268866</v>
      </c>
      <c r="G365" s="54" t="s">
        <v>212</v>
      </c>
      <c r="H365" s="54" t="s">
        <v>212</v>
      </c>
      <c r="I365" s="57"/>
      <c r="J365" s="56"/>
      <c r="K365" s="56"/>
      <c r="L365" s="58" t="str">
        <f aca="false">IF(AND(ISNUMBER(J365),ISNUMBER(K365)),IF(K365&gt;=J365,(K365-J365)*1440,""),"")</f>
        <v/>
      </c>
      <c r="M365" s="56"/>
      <c r="N365" s="58" t="str">
        <f aca="false">IF(AND(ISNUMBER(J365),ISNUMBER(M365)),IF(M365&gt;=J365,(M365-J365)*1440,""),"")</f>
        <v/>
      </c>
      <c r="O365" s="54" t="str">
        <f aca="false">IF(N365="","",LOOKUP(N365,Tiempos!$A$6:$A$10,Tiempos!$B$6:$B$10))</f>
        <v/>
      </c>
      <c r="P365" s="54"/>
      <c r="Q365" s="54"/>
      <c r="R365" s="54"/>
      <c r="S365" s="54"/>
      <c r="T365" s="58"/>
      <c r="U365" s="54"/>
      <c r="V365" s="58"/>
      <c r="W365" s="57"/>
      <c r="X365" s="55"/>
      <c r="Y365" s="54"/>
      <c r="Z365" s="56"/>
      <c r="AA365" s="58" t="str">
        <f aca="false">IF(AND(ISNUMBER(M365),ISNUMBER(Z365)),IF(Z365&gt;=M365,(Z365-M365)*1440,""),"")</f>
        <v/>
      </c>
      <c r="AB365" s="57"/>
      <c r="AC365" s="56"/>
      <c r="AD365" s="58" t="str">
        <f aca="false">IF(AND(ISNUMBER(Z365),ISNUMBER(AC365)),IF(AC365&gt;=Z365,(AC365-Z365)*1440,""),"")</f>
        <v/>
      </c>
      <c r="AE365" s="54"/>
      <c r="AF365" s="54"/>
      <c r="AG365" s="54"/>
      <c r="AH365" s="58"/>
      <c r="AI365" s="55" t="n">
        <v>2</v>
      </c>
      <c r="AJ365" s="54" t="s">
        <v>216</v>
      </c>
      <c r="AK365" s="54" t="s">
        <v>212</v>
      </c>
    </row>
    <row r="366" customFormat="false" ht="15" hidden="false" customHeight="false" outlineLevel="0" collapsed="false">
      <c r="A366" s="54" t="s">
        <v>27</v>
      </c>
      <c r="B366" s="55" t="n">
        <v>1431</v>
      </c>
      <c r="C366" s="54" t="s">
        <v>127</v>
      </c>
      <c r="D366" s="54" t="s">
        <v>212</v>
      </c>
      <c r="E366" s="54"/>
      <c r="F366" s="56" t="n">
        <v>46307.4411657523</v>
      </c>
      <c r="G366" s="54" t="s">
        <v>212</v>
      </c>
      <c r="H366" s="54" t="s">
        <v>214</v>
      </c>
      <c r="I366" s="57"/>
      <c r="J366" s="56"/>
      <c r="K366" s="56"/>
      <c r="L366" s="58" t="str">
        <f aca="false">IF(AND(ISNUMBER(J366),ISNUMBER(K366)),IF(K366&gt;=J366,(K366-J366)*1440,""),"")</f>
        <v/>
      </c>
      <c r="M366" s="56"/>
      <c r="N366" s="58" t="str">
        <f aca="false">IF(AND(ISNUMBER(J366),ISNUMBER(M366)),IF(M366&gt;=J366,(M366-J366)*1440,""),"")</f>
        <v/>
      </c>
      <c r="O366" s="54" t="str">
        <f aca="false">IF(N366="","",LOOKUP(N366,Tiempos!$A$6:$A$10,Tiempos!$B$6:$B$10))</f>
        <v/>
      </c>
      <c r="P366" s="54"/>
      <c r="Q366" s="54"/>
      <c r="R366" s="54"/>
      <c r="S366" s="54"/>
      <c r="T366" s="58"/>
      <c r="U366" s="54"/>
      <c r="V366" s="58"/>
      <c r="W366" s="57"/>
      <c r="X366" s="55"/>
      <c r="Y366" s="54"/>
      <c r="Z366" s="56"/>
      <c r="AA366" s="58" t="str">
        <f aca="false">IF(AND(ISNUMBER(M366),ISNUMBER(Z366)),IF(Z366&gt;=M366,(Z366-M366)*1440,""),"")</f>
        <v/>
      </c>
      <c r="AB366" s="57"/>
      <c r="AC366" s="56"/>
      <c r="AD366" s="58" t="str">
        <f aca="false">IF(AND(ISNUMBER(Z366),ISNUMBER(AC366)),IF(AC366&gt;=Z366,(AC366-Z366)*1440,""),"")</f>
        <v/>
      </c>
      <c r="AE366" s="54"/>
      <c r="AF366" s="54"/>
      <c r="AG366" s="54"/>
      <c r="AH366" s="58"/>
      <c r="AI366" s="55" t="n">
        <v>1</v>
      </c>
      <c r="AJ366" s="54" t="s">
        <v>216</v>
      </c>
      <c r="AK366" s="54" t="s">
        <v>212</v>
      </c>
    </row>
    <row r="367" customFormat="false" ht="15" hidden="false" customHeight="false" outlineLevel="0" collapsed="false">
      <c r="A367" s="54" t="s">
        <v>27</v>
      </c>
      <c r="B367" s="55" t="n">
        <v>1456</v>
      </c>
      <c r="C367" s="54" t="s">
        <v>127</v>
      </c>
      <c r="D367" s="54" t="s">
        <v>214</v>
      </c>
      <c r="E367" s="54" t="s">
        <v>289</v>
      </c>
      <c r="F367" s="56" t="n">
        <v>46307.4823292361</v>
      </c>
      <c r="G367" s="54" t="s">
        <v>212</v>
      </c>
      <c r="H367" s="54" t="s">
        <v>212</v>
      </c>
      <c r="I367" s="57" t="s">
        <v>610</v>
      </c>
      <c r="J367" s="56" t="n">
        <v>46307.4846165509</v>
      </c>
      <c r="K367" s="56" t="n">
        <v>46307.4859930556</v>
      </c>
      <c r="L367" s="58" t="n">
        <f aca="false">IF(AND(ISNUMBER(J367),ISNUMBER(K367)),IF(K367&gt;=J367,(K367-J367)*1440,""),"")</f>
        <v>1.98216665885</v>
      </c>
      <c r="M367" s="56" t="n">
        <v>46307.4888199306</v>
      </c>
      <c r="N367" s="58" t="n">
        <f aca="false">IF(AND(ISNUMBER(J367),ISNUMBER(M367)),IF(M367&gt;=J367,(M367-J367)*1440,""),"")</f>
        <v>6.05286667355</v>
      </c>
      <c r="O367" s="54" t="str">
        <f aca="false">IF(N367="","",LOOKUP(N367,Tiempos!$A$6:$A$10,Tiempos!$B$6:$B$10))</f>
        <v>6 a 10 min</v>
      </c>
      <c r="P367" s="54" t="s">
        <v>229</v>
      </c>
      <c r="Q367" s="54" t="s">
        <v>214</v>
      </c>
      <c r="R367" s="54" t="s">
        <v>127</v>
      </c>
      <c r="S367" s="54" t="s">
        <v>220</v>
      </c>
      <c r="T367" s="58" t="n">
        <v>119.5</v>
      </c>
      <c r="U367" s="54" t="s">
        <v>212</v>
      </c>
      <c r="V367" s="58" t="n">
        <v>3.03</v>
      </c>
      <c r="W367" s="57" t="s">
        <v>267</v>
      </c>
      <c r="X367" s="55" t="n">
        <v>2</v>
      </c>
      <c r="Y367" s="54" t="s">
        <v>214</v>
      </c>
      <c r="Z367" s="56" t="n">
        <v>46307.4967615625</v>
      </c>
      <c r="AA367" s="58" t="n">
        <f aca="false">IF(AND(ISNUMBER(M367),ISNUMBER(Z367)),IF(Z367&gt;=M367,(Z367-M367)*1440,""),"")</f>
        <v>11.4359499968</v>
      </c>
      <c r="AB367" s="57" t="s">
        <v>611</v>
      </c>
      <c r="AC367" s="56" t="n">
        <v>46307.4970059375</v>
      </c>
      <c r="AD367" s="58" t="n">
        <f aca="false">IF(AND(ISNUMBER(Z367),ISNUMBER(AC367)),IF(AC367&gt;=Z367,(AC367-Z367)*1440,""),"")</f>
        <v>0.351899997316667</v>
      </c>
      <c r="AE367" s="54" t="s">
        <v>346</v>
      </c>
      <c r="AF367" s="54" t="s">
        <v>214</v>
      </c>
      <c r="AG367" s="54" t="s">
        <v>214</v>
      </c>
      <c r="AH367" s="58" t="n">
        <v>3.8</v>
      </c>
      <c r="AI367" s="55" t="n">
        <v>2</v>
      </c>
      <c r="AJ367" s="54" t="s">
        <v>347</v>
      </c>
      <c r="AK367" s="54" t="s">
        <v>212</v>
      </c>
    </row>
    <row r="368" customFormat="false" ht="15" hidden="false" customHeight="false" outlineLevel="0" collapsed="false">
      <c r="A368" s="54" t="s">
        <v>27</v>
      </c>
      <c r="B368" s="55" t="n">
        <v>1451</v>
      </c>
      <c r="C368" s="54" t="s">
        <v>127</v>
      </c>
      <c r="D368" s="54" t="s">
        <v>212</v>
      </c>
      <c r="E368" s="54"/>
      <c r="F368" s="56" t="n">
        <v>46307.4860711921</v>
      </c>
      <c r="G368" s="54" t="s">
        <v>212</v>
      </c>
      <c r="H368" s="54" t="s">
        <v>212</v>
      </c>
      <c r="I368" s="57"/>
      <c r="J368" s="56"/>
      <c r="K368" s="56"/>
      <c r="L368" s="58" t="str">
        <f aca="false">IF(AND(ISNUMBER(J368),ISNUMBER(K368)),IF(K368&gt;=J368,(K368-J368)*1440,""),"")</f>
        <v/>
      </c>
      <c r="M368" s="56"/>
      <c r="N368" s="58" t="str">
        <f aca="false">IF(AND(ISNUMBER(J368),ISNUMBER(M368)),IF(M368&gt;=J368,(M368-J368)*1440,""),"")</f>
        <v/>
      </c>
      <c r="O368" s="54" t="str">
        <f aca="false">IF(N368="","",LOOKUP(N368,Tiempos!$A$6:$A$10,Tiempos!$B$6:$B$10))</f>
        <v/>
      </c>
      <c r="P368" s="54"/>
      <c r="Q368" s="54"/>
      <c r="R368" s="54"/>
      <c r="S368" s="54"/>
      <c r="T368" s="58"/>
      <c r="U368" s="54"/>
      <c r="V368" s="58"/>
      <c r="W368" s="57"/>
      <c r="X368" s="55"/>
      <c r="Y368" s="54"/>
      <c r="Z368" s="56"/>
      <c r="AA368" s="58" t="str">
        <f aca="false">IF(AND(ISNUMBER(M368),ISNUMBER(Z368)),IF(Z368&gt;=M368,(Z368-M368)*1440,""),"")</f>
        <v/>
      </c>
      <c r="AB368" s="57"/>
      <c r="AC368" s="56"/>
      <c r="AD368" s="58" t="str">
        <f aca="false">IF(AND(ISNUMBER(Z368),ISNUMBER(AC368)),IF(AC368&gt;=Z368,(AC368-Z368)*1440,""),"")</f>
        <v/>
      </c>
      <c r="AE368" s="54"/>
      <c r="AF368" s="54"/>
      <c r="AG368" s="54"/>
      <c r="AH368" s="58"/>
      <c r="AI368" s="55" t="n">
        <v>1</v>
      </c>
      <c r="AJ368" s="54" t="s">
        <v>216</v>
      </c>
      <c r="AK368" s="54" t="s">
        <v>212</v>
      </c>
    </row>
    <row r="369" customFormat="false" ht="15" hidden="false" customHeight="false" outlineLevel="0" collapsed="false">
      <c r="A369" s="54" t="s">
        <v>27</v>
      </c>
      <c r="B369" s="55" t="n">
        <v>1471</v>
      </c>
      <c r="C369" s="54" t="s">
        <v>127</v>
      </c>
      <c r="D369" s="54" t="s">
        <v>214</v>
      </c>
      <c r="E369" s="54" t="s">
        <v>242</v>
      </c>
      <c r="F369" s="56" t="n">
        <v>46307.5412593866</v>
      </c>
      <c r="G369" s="54" t="s">
        <v>212</v>
      </c>
      <c r="H369" s="54" t="s">
        <v>214</v>
      </c>
      <c r="I369" s="57" t="s">
        <v>612</v>
      </c>
      <c r="J369" s="56" t="n">
        <v>46307.5418770139</v>
      </c>
      <c r="K369" s="56" t="n">
        <v>46307.5420202431</v>
      </c>
      <c r="L369" s="58" t="n">
        <f aca="false">IF(AND(ISNUMBER(J369),ISNUMBER(K369)),IF(K369&gt;=J369,(K369-J369)*1440,""),"")</f>
        <v>0.206249981416667</v>
      </c>
      <c r="M369" s="56" t="n">
        <v>46307.5441573032</v>
      </c>
      <c r="N369" s="58" t="n">
        <f aca="false">IF(AND(ISNUMBER(J369),ISNUMBER(M369)),IF(M369&gt;=J369,(M369-J369)*1440,""),"")</f>
        <v>3.2836166548</v>
      </c>
      <c r="O369" s="54" t="str">
        <f aca="false">IF(N369="","",LOOKUP(N369,Tiempos!$A$6:$A$10,Tiempos!$B$6:$B$10))</f>
        <v>Menos de 4 min</v>
      </c>
      <c r="P369" s="54" t="s">
        <v>229</v>
      </c>
      <c r="Q369" s="54" t="s">
        <v>214</v>
      </c>
      <c r="R369" s="54" t="s">
        <v>127</v>
      </c>
      <c r="S369" s="54" t="s">
        <v>220</v>
      </c>
      <c r="T369" s="58" t="n">
        <v>110.1</v>
      </c>
      <c r="U369" s="54" t="s">
        <v>214</v>
      </c>
      <c r="V369" s="58" t="n">
        <v>3.08</v>
      </c>
      <c r="W369" s="57" t="s">
        <v>352</v>
      </c>
      <c r="X369" s="55" t="n">
        <v>2</v>
      </c>
      <c r="Y369" s="54" t="s">
        <v>214</v>
      </c>
      <c r="Z369" s="56" t="n">
        <v>46307.5450306597</v>
      </c>
      <c r="AA369" s="58" t="n">
        <f aca="false">IF(AND(ISNUMBER(M369),ISNUMBER(Z369)),IF(Z369&gt;=M369,(Z369-M369)*1440,""),"")</f>
        <v>1.25763333518333</v>
      </c>
      <c r="AB369" s="57" t="s">
        <v>613</v>
      </c>
      <c r="AC369" s="56" t="n">
        <v>46307.5481894213</v>
      </c>
      <c r="AD369" s="58" t="n">
        <f aca="false">IF(AND(ISNUMBER(Z369),ISNUMBER(AC369)),IF(AC369&gt;=Z369,(AC369-Z369)*1440,""),"")</f>
        <v>4.54861666656667</v>
      </c>
      <c r="AE369" s="54" t="s">
        <v>258</v>
      </c>
      <c r="AF369" s="54" t="s">
        <v>212</v>
      </c>
      <c r="AG369" s="54" t="s">
        <v>212</v>
      </c>
      <c r="AH369" s="58"/>
      <c r="AI369" s="55" t="n">
        <v>2</v>
      </c>
      <c r="AJ369" s="54" t="s">
        <v>216</v>
      </c>
      <c r="AK369" s="54" t="s">
        <v>212</v>
      </c>
    </row>
    <row r="370" customFormat="false" ht="15" hidden="false" customHeight="false" outlineLevel="0" collapsed="false">
      <c r="A370" s="54" t="s">
        <v>27</v>
      </c>
      <c r="B370" s="55" t="n">
        <v>1473</v>
      </c>
      <c r="C370" s="54" t="s">
        <v>128</v>
      </c>
      <c r="D370" s="54" t="s">
        <v>212</v>
      </c>
      <c r="E370" s="54"/>
      <c r="F370" s="56" t="n">
        <v>46307.555605544</v>
      </c>
      <c r="G370" s="54" t="s">
        <v>212</v>
      </c>
      <c r="H370" s="54" t="s">
        <v>214</v>
      </c>
      <c r="I370" s="57"/>
      <c r="J370" s="56"/>
      <c r="K370" s="56"/>
      <c r="L370" s="58" t="str">
        <f aca="false">IF(AND(ISNUMBER(J370),ISNUMBER(K370)),IF(K370&gt;=J370,(K370-J370)*1440,""),"")</f>
        <v/>
      </c>
      <c r="M370" s="56"/>
      <c r="N370" s="58" t="str">
        <f aca="false">IF(AND(ISNUMBER(J370),ISNUMBER(M370)),IF(M370&gt;=J370,(M370-J370)*1440,""),"")</f>
        <v/>
      </c>
      <c r="O370" s="54" t="str">
        <f aca="false">IF(N370="","",LOOKUP(N370,Tiempos!$A$6:$A$10,Tiempos!$B$6:$B$10))</f>
        <v/>
      </c>
      <c r="P370" s="54"/>
      <c r="Q370" s="54"/>
      <c r="R370" s="54"/>
      <c r="S370" s="54"/>
      <c r="T370" s="58"/>
      <c r="U370" s="54"/>
      <c r="V370" s="58"/>
      <c r="W370" s="57"/>
      <c r="X370" s="55"/>
      <c r="Y370" s="54"/>
      <c r="Z370" s="56"/>
      <c r="AA370" s="58" t="str">
        <f aca="false">IF(AND(ISNUMBER(M370),ISNUMBER(Z370)),IF(Z370&gt;=M370,(Z370-M370)*1440,""),"")</f>
        <v/>
      </c>
      <c r="AB370" s="57"/>
      <c r="AC370" s="56"/>
      <c r="AD370" s="58" t="str">
        <f aca="false">IF(AND(ISNUMBER(Z370),ISNUMBER(AC370)),IF(AC370&gt;=Z370,(AC370-Z370)*1440,""),"")</f>
        <v/>
      </c>
      <c r="AE370" s="54"/>
      <c r="AF370" s="54"/>
      <c r="AG370" s="54"/>
      <c r="AH370" s="58"/>
      <c r="AI370" s="55" t="n">
        <v>2</v>
      </c>
      <c r="AJ370" s="54" t="s">
        <v>216</v>
      </c>
      <c r="AK370" s="54" t="s">
        <v>212</v>
      </c>
    </row>
    <row r="371" customFormat="false" ht="15" hidden="false" customHeight="false" outlineLevel="0" collapsed="false">
      <c r="A371" s="54" t="s">
        <v>27</v>
      </c>
      <c r="B371" s="55" t="n">
        <v>1484</v>
      </c>
      <c r="C371" s="54" t="s">
        <v>128</v>
      </c>
      <c r="D371" s="54" t="s">
        <v>214</v>
      </c>
      <c r="E371" s="54" t="s">
        <v>278</v>
      </c>
      <c r="F371" s="56" t="n">
        <v>46307.5837639931</v>
      </c>
      <c r="G371" s="54" t="s">
        <v>212</v>
      </c>
      <c r="H371" s="54" t="s">
        <v>214</v>
      </c>
      <c r="I371" s="57" t="s">
        <v>614</v>
      </c>
      <c r="J371" s="56" t="n">
        <v>46307.5842964005</v>
      </c>
      <c r="K371" s="56" t="n">
        <v>46307.5950738426</v>
      </c>
      <c r="L371" s="58" t="n">
        <f aca="false">IF(AND(ISNUMBER(J371),ISNUMBER(K371)),IF(K371&gt;=J371,(K371-J371)*1440,""),"")</f>
        <v>15.51951666245</v>
      </c>
      <c r="M371" s="56" t="n">
        <v>46307.5950738426</v>
      </c>
      <c r="N371" s="58" t="n">
        <f aca="false">IF(AND(ISNUMBER(J371),ISNUMBER(M371)),IF(M371&gt;=J371,(M371-J371)*1440,""),"")</f>
        <v>15.51951666245</v>
      </c>
      <c r="O371" s="54" t="str">
        <f aca="false">IF(N371="","",LOOKUP(N371,Tiempos!$A$6:$A$10,Tiempos!$B$6:$B$10))</f>
        <v>10 a 30 min</v>
      </c>
      <c r="P371" s="54" t="s">
        <v>226</v>
      </c>
      <c r="Q371" s="54" t="s">
        <v>212</v>
      </c>
      <c r="R371" s="54" t="s">
        <v>128</v>
      </c>
      <c r="S371" s="54" t="s">
        <v>220</v>
      </c>
      <c r="T371" s="58"/>
      <c r="U371" s="54"/>
      <c r="V371" s="58"/>
      <c r="W371" s="57"/>
      <c r="X371" s="55" t="n">
        <v>0</v>
      </c>
      <c r="Y371" s="54" t="s">
        <v>214</v>
      </c>
      <c r="Z371" s="56" t="n">
        <v>46307.5977463542</v>
      </c>
      <c r="AA371" s="58" t="n">
        <f aca="false">IF(AND(ISNUMBER(M371),ISNUMBER(Z371)),IF(Z371&gt;=M371,(Z371-M371)*1440,""),"")</f>
        <v>3.84841665741667</v>
      </c>
      <c r="AB371" s="57" t="s">
        <v>615</v>
      </c>
      <c r="AC371" s="56" t="n">
        <v>46307.7027937037</v>
      </c>
      <c r="AD371" s="58" t="n">
        <f aca="false">IF(AND(ISNUMBER(Z371),ISNUMBER(AC371)),IF(AC371&gt;=Z371,(AC371-Z371)*1440,""),"")</f>
        <v>151.2681833608</v>
      </c>
      <c r="AE371" s="54" t="s">
        <v>616</v>
      </c>
      <c r="AF371" s="54" t="s">
        <v>214</v>
      </c>
      <c r="AG371" s="54" t="s">
        <v>214</v>
      </c>
      <c r="AH371" s="58" t="n">
        <v>2.1</v>
      </c>
      <c r="AI371" s="55" t="n">
        <v>2</v>
      </c>
      <c r="AJ371" s="54" t="s">
        <v>288</v>
      </c>
      <c r="AK371" s="54" t="s">
        <v>212</v>
      </c>
    </row>
    <row r="372" customFormat="false" ht="15" hidden="false" customHeight="false" outlineLevel="0" collapsed="false">
      <c r="A372" s="54" t="s">
        <v>27</v>
      </c>
      <c r="B372" s="55" t="n">
        <v>1480</v>
      </c>
      <c r="C372" s="54" t="s">
        <v>127</v>
      </c>
      <c r="D372" s="54" t="s">
        <v>212</v>
      </c>
      <c r="E372" s="54"/>
      <c r="F372" s="56" t="n">
        <v>46307.5900208912</v>
      </c>
      <c r="G372" s="54" t="s">
        <v>212</v>
      </c>
      <c r="H372" s="54" t="s">
        <v>212</v>
      </c>
      <c r="I372" s="57"/>
      <c r="J372" s="56"/>
      <c r="K372" s="56"/>
      <c r="L372" s="58" t="str">
        <f aca="false">IF(AND(ISNUMBER(J372),ISNUMBER(K372)),IF(K372&gt;=J372,(K372-J372)*1440,""),"")</f>
        <v/>
      </c>
      <c r="M372" s="56"/>
      <c r="N372" s="58" t="str">
        <f aca="false">IF(AND(ISNUMBER(J372),ISNUMBER(M372)),IF(M372&gt;=J372,(M372-J372)*1440,""),"")</f>
        <v/>
      </c>
      <c r="O372" s="54" t="str">
        <f aca="false">IF(N372="","",LOOKUP(N372,Tiempos!$A$6:$A$10,Tiempos!$B$6:$B$10))</f>
        <v/>
      </c>
      <c r="P372" s="54"/>
      <c r="Q372" s="54"/>
      <c r="R372" s="54"/>
      <c r="S372" s="54"/>
      <c r="T372" s="58"/>
      <c r="U372" s="54"/>
      <c r="V372" s="58"/>
      <c r="W372" s="57"/>
      <c r="X372" s="55"/>
      <c r="Y372" s="54"/>
      <c r="Z372" s="56"/>
      <c r="AA372" s="58" t="str">
        <f aca="false">IF(AND(ISNUMBER(M372),ISNUMBER(Z372)),IF(Z372&gt;=M372,(Z372-M372)*1440,""),"")</f>
        <v/>
      </c>
      <c r="AB372" s="57"/>
      <c r="AC372" s="56"/>
      <c r="AD372" s="58" t="str">
        <f aca="false">IF(AND(ISNUMBER(Z372),ISNUMBER(AC372)),IF(AC372&gt;=Z372,(AC372-Z372)*1440,""),"")</f>
        <v/>
      </c>
      <c r="AE372" s="54"/>
      <c r="AF372" s="54"/>
      <c r="AG372" s="54"/>
      <c r="AH372" s="58"/>
      <c r="AI372" s="55" t="n">
        <v>1</v>
      </c>
      <c r="AJ372" s="54" t="s">
        <v>216</v>
      </c>
      <c r="AK372" s="54" t="s">
        <v>212</v>
      </c>
    </row>
    <row r="373" customFormat="false" ht="15" hidden="false" customHeight="false" outlineLevel="0" collapsed="false">
      <c r="A373" s="54" t="s">
        <v>27</v>
      </c>
      <c r="B373" s="55" t="n">
        <v>1485</v>
      </c>
      <c r="C373" s="54" t="s">
        <v>127</v>
      </c>
      <c r="D373" s="54" t="s">
        <v>214</v>
      </c>
      <c r="E373" s="54" t="s">
        <v>242</v>
      </c>
      <c r="F373" s="56" t="n">
        <v>46307.5909387847</v>
      </c>
      <c r="G373" s="54" t="s">
        <v>212</v>
      </c>
      <c r="H373" s="54" t="s">
        <v>214</v>
      </c>
      <c r="I373" s="57" t="s">
        <v>617</v>
      </c>
      <c r="J373" s="56" t="n">
        <v>46307.5928309375</v>
      </c>
      <c r="K373" s="56" t="n">
        <v>46307.5935014931</v>
      </c>
      <c r="L373" s="58" t="n">
        <f aca="false">IF(AND(ISNUMBER(J373),ISNUMBER(K373)),IF(K373&gt;=J373,(K373-J373)*1440,""),"")</f>
        <v>0.965600002083333</v>
      </c>
      <c r="M373" s="56" t="n">
        <v>46307.5954265394</v>
      </c>
      <c r="N373" s="58" t="n">
        <f aca="false">IF(AND(ISNUMBER(J373),ISNUMBER(M373)),IF(M373&gt;=J373,(M373-J373)*1440,""),"")</f>
        <v>3.7376666651</v>
      </c>
      <c r="O373" s="54" t="str">
        <f aca="false">IF(N373="","",LOOKUP(N373,Tiempos!$A$6:$A$10,Tiempos!$B$6:$B$10))</f>
        <v>Menos de 4 min</v>
      </c>
      <c r="P373" s="54" t="s">
        <v>229</v>
      </c>
      <c r="Q373" s="54" t="s">
        <v>214</v>
      </c>
      <c r="R373" s="54" t="s">
        <v>127</v>
      </c>
      <c r="S373" s="54" t="s">
        <v>220</v>
      </c>
      <c r="T373" s="58" t="n">
        <v>112.2</v>
      </c>
      <c r="U373" s="54" t="s">
        <v>214</v>
      </c>
      <c r="V373" s="58" t="n">
        <v>2.77</v>
      </c>
      <c r="W373" s="57" t="s">
        <v>618</v>
      </c>
      <c r="X373" s="55" t="n">
        <v>2</v>
      </c>
      <c r="Y373" s="54" t="s">
        <v>214</v>
      </c>
      <c r="Z373" s="56" t="n">
        <v>46307.5991702894</v>
      </c>
      <c r="AA373" s="58" t="n">
        <f aca="false">IF(AND(ISNUMBER(M373),ISNUMBER(Z373)),IF(Z373&gt;=M373,(Z373-M373)*1440,""),"")</f>
        <v>5.39099999935</v>
      </c>
      <c r="AB373" s="57" t="s">
        <v>619</v>
      </c>
      <c r="AC373" s="56" t="n">
        <v>46307.599411331</v>
      </c>
      <c r="AD373" s="58" t="n">
        <f aca="false">IF(AND(ISNUMBER(Z373),ISNUMBER(AC373)),IF(AC373&gt;=Z373,(AC373-Z373)*1440,""),"")</f>
        <v>0.347100006183333</v>
      </c>
      <c r="AE373" s="54" t="s">
        <v>346</v>
      </c>
      <c r="AF373" s="54" t="s">
        <v>214</v>
      </c>
      <c r="AG373" s="54" t="s">
        <v>214</v>
      </c>
      <c r="AH373" s="58" t="n">
        <v>4.2</v>
      </c>
      <c r="AI373" s="55" t="n">
        <v>2</v>
      </c>
      <c r="AJ373" s="54" t="s">
        <v>216</v>
      </c>
      <c r="AK373" s="54" t="s">
        <v>212</v>
      </c>
    </row>
    <row r="374" customFormat="false" ht="15" hidden="false" customHeight="false" outlineLevel="0" collapsed="false">
      <c r="A374" s="54" t="s">
        <v>27</v>
      </c>
      <c r="B374" s="55" t="n">
        <v>1491</v>
      </c>
      <c r="C374" s="54" t="s">
        <v>129</v>
      </c>
      <c r="D374" s="54" t="s">
        <v>212</v>
      </c>
      <c r="E374" s="54"/>
      <c r="F374" s="56" t="n">
        <v>46307.6032424769</v>
      </c>
      <c r="G374" s="54" t="s">
        <v>212</v>
      </c>
      <c r="H374" s="54" t="s">
        <v>214</v>
      </c>
      <c r="I374" s="57"/>
      <c r="J374" s="56"/>
      <c r="K374" s="56"/>
      <c r="L374" s="58" t="str">
        <f aca="false">IF(AND(ISNUMBER(J374),ISNUMBER(K374)),IF(K374&gt;=J374,(K374-J374)*1440,""),"")</f>
        <v/>
      </c>
      <c r="M374" s="56"/>
      <c r="N374" s="58" t="str">
        <f aca="false">IF(AND(ISNUMBER(J374),ISNUMBER(M374)),IF(M374&gt;=J374,(M374-J374)*1440,""),"")</f>
        <v/>
      </c>
      <c r="O374" s="54" t="str">
        <f aca="false">IF(N374="","",LOOKUP(N374,Tiempos!$A$6:$A$10,Tiempos!$B$6:$B$10))</f>
        <v/>
      </c>
      <c r="P374" s="54"/>
      <c r="Q374" s="54"/>
      <c r="R374" s="54"/>
      <c r="S374" s="54"/>
      <c r="T374" s="58"/>
      <c r="U374" s="54"/>
      <c r="V374" s="58"/>
      <c r="W374" s="57"/>
      <c r="X374" s="55"/>
      <c r="Y374" s="54"/>
      <c r="Z374" s="56"/>
      <c r="AA374" s="58" t="str">
        <f aca="false">IF(AND(ISNUMBER(M374),ISNUMBER(Z374)),IF(Z374&gt;=M374,(Z374-M374)*1440,""),"")</f>
        <v/>
      </c>
      <c r="AB374" s="57"/>
      <c r="AC374" s="56"/>
      <c r="AD374" s="58" t="str">
        <f aca="false">IF(AND(ISNUMBER(Z374),ISNUMBER(AC374)),IF(AC374&gt;=Z374,(AC374-Z374)*1440,""),"")</f>
        <v/>
      </c>
      <c r="AE374" s="54"/>
      <c r="AF374" s="54"/>
      <c r="AG374" s="54"/>
      <c r="AH374" s="58"/>
      <c r="AI374" s="55" t="n">
        <v>2</v>
      </c>
      <c r="AJ374" s="54" t="s">
        <v>216</v>
      </c>
      <c r="AK374" s="54" t="s">
        <v>212</v>
      </c>
    </row>
    <row r="375" customFormat="false" ht="15" hidden="false" customHeight="false" outlineLevel="0" collapsed="false">
      <c r="A375" s="54" t="s">
        <v>27</v>
      </c>
      <c r="B375" s="55" t="n">
        <v>1492</v>
      </c>
      <c r="C375" s="54" t="s">
        <v>129</v>
      </c>
      <c r="D375" s="54" t="s">
        <v>214</v>
      </c>
      <c r="E375" s="54" t="s">
        <v>224</v>
      </c>
      <c r="F375" s="56" t="n">
        <v>46307.6051317824</v>
      </c>
      <c r="G375" s="54" t="s">
        <v>212</v>
      </c>
      <c r="H375" s="54" t="s">
        <v>214</v>
      </c>
      <c r="I375" s="57" t="s">
        <v>620</v>
      </c>
      <c r="J375" s="56" t="n">
        <v>46307.6104269445</v>
      </c>
      <c r="K375" s="56"/>
      <c r="L375" s="58" t="str">
        <f aca="false">IF(AND(ISNUMBER(J375),ISNUMBER(K375)),IF(K375&gt;=J375,(K375-J375)*1440,""),"")</f>
        <v/>
      </c>
      <c r="M375" s="56"/>
      <c r="N375" s="58" t="str">
        <f aca="false">IF(AND(ISNUMBER(J375),ISNUMBER(M375)),IF(M375&gt;=J375,(M375-J375)*1440,""),"")</f>
        <v/>
      </c>
      <c r="O375" s="54" t="str">
        <f aca="false">IF(N375="","",LOOKUP(N375,Tiempos!$A$6:$A$10,Tiempos!$B$6:$B$10))</f>
        <v/>
      </c>
      <c r="P375" s="54"/>
      <c r="Q375" s="54"/>
      <c r="R375" s="54"/>
      <c r="S375" s="54"/>
      <c r="T375" s="58"/>
      <c r="U375" s="54"/>
      <c r="V375" s="58"/>
      <c r="W375" s="57"/>
      <c r="X375" s="55"/>
      <c r="Y375" s="54"/>
      <c r="Z375" s="56"/>
      <c r="AA375" s="58" t="str">
        <f aca="false">IF(AND(ISNUMBER(M375),ISNUMBER(Z375)),IF(Z375&gt;=M375,(Z375-M375)*1440,""),"")</f>
        <v/>
      </c>
      <c r="AB375" s="57"/>
      <c r="AC375" s="56"/>
      <c r="AD375" s="58" t="str">
        <f aca="false">IF(AND(ISNUMBER(Z375),ISNUMBER(AC375)),IF(AC375&gt;=Z375,(AC375-Z375)*1440,""),"")</f>
        <v/>
      </c>
      <c r="AE375" s="54"/>
      <c r="AF375" s="54"/>
      <c r="AG375" s="54"/>
      <c r="AH375" s="58"/>
      <c r="AI375" s="55" t="n">
        <v>4</v>
      </c>
      <c r="AJ375" s="54" t="s">
        <v>347</v>
      </c>
      <c r="AK375" s="54" t="s">
        <v>212</v>
      </c>
    </row>
    <row r="376" customFormat="false" ht="15" hidden="false" customHeight="false" outlineLevel="0" collapsed="false">
      <c r="A376" s="54" t="s">
        <v>27</v>
      </c>
      <c r="B376" s="55" t="n">
        <v>1493</v>
      </c>
      <c r="C376" s="54" t="s">
        <v>128</v>
      </c>
      <c r="D376" s="54" t="s">
        <v>214</v>
      </c>
      <c r="E376" s="54" t="s">
        <v>242</v>
      </c>
      <c r="F376" s="56" t="n">
        <v>46307.613968044</v>
      </c>
      <c r="G376" s="54" t="s">
        <v>212</v>
      </c>
      <c r="H376" s="54" t="s">
        <v>214</v>
      </c>
      <c r="I376" s="57" t="s">
        <v>621</v>
      </c>
      <c r="J376" s="56" t="n">
        <v>46307.614662581</v>
      </c>
      <c r="K376" s="56" t="n">
        <v>46307.6149547107</v>
      </c>
      <c r="L376" s="58" t="n">
        <f aca="false">IF(AND(ISNUMBER(J376),ISNUMBER(K376)),IF(K376&gt;=J376,(K376-J376)*1440,""),"")</f>
        <v>0.420666660633333</v>
      </c>
      <c r="M376" s="56" t="n">
        <v>46307.6172189352</v>
      </c>
      <c r="N376" s="58" t="n">
        <f aca="false">IF(AND(ISNUMBER(J376),ISNUMBER(M376)),IF(M376&gt;=J376,(M376-J376)*1440,""),"")</f>
        <v>3.68115000658333</v>
      </c>
      <c r="O376" s="54" t="str">
        <f aca="false">IF(N376="","",LOOKUP(N376,Tiempos!$A$6:$A$10,Tiempos!$B$6:$B$10))</f>
        <v>Menos de 4 min</v>
      </c>
      <c r="P376" s="54" t="s">
        <v>219</v>
      </c>
      <c r="Q376" s="54" t="s">
        <v>214</v>
      </c>
      <c r="R376" s="54" t="s">
        <v>128</v>
      </c>
      <c r="S376" s="54" t="s">
        <v>220</v>
      </c>
      <c r="T376" s="58" t="n">
        <v>97.4</v>
      </c>
      <c r="U376" s="54" t="s">
        <v>214</v>
      </c>
      <c r="V376" s="58" t="n">
        <v>3.26</v>
      </c>
      <c r="W376" s="57" t="s">
        <v>622</v>
      </c>
      <c r="X376" s="55" t="n">
        <v>4</v>
      </c>
      <c r="Y376" s="54" t="s">
        <v>212</v>
      </c>
      <c r="Z376" s="56"/>
      <c r="AA376" s="58" t="str">
        <f aca="false">IF(AND(ISNUMBER(M376),ISNUMBER(Z376)),IF(Z376&gt;=M376,(Z376-M376)*1440,""),"")</f>
        <v/>
      </c>
      <c r="AB376" s="57"/>
      <c r="AC376" s="56"/>
      <c r="AD376" s="58" t="str">
        <f aca="false">IF(AND(ISNUMBER(Z376),ISNUMBER(AC376)),IF(AC376&gt;=Z376,(AC376-Z376)*1440,""),"")</f>
        <v/>
      </c>
      <c r="AE376" s="54"/>
      <c r="AF376" s="54" t="s">
        <v>214</v>
      </c>
      <c r="AG376" s="54"/>
      <c r="AH376" s="58"/>
      <c r="AI376" s="55" t="n">
        <v>2</v>
      </c>
      <c r="AJ376" s="54" t="s">
        <v>347</v>
      </c>
      <c r="AK376" s="54" t="s">
        <v>212</v>
      </c>
    </row>
    <row r="377" customFormat="false" ht="15" hidden="false" customHeight="false" outlineLevel="0" collapsed="false">
      <c r="A377" s="54" t="s">
        <v>27</v>
      </c>
      <c r="B377" s="55" t="n">
        <v>1498</v>
      </c>
      <c r="C377" s="54" t="s">
        <v>128</v>
      </c>
      <c r="D377" s="54" t="s">
        <v>214</v>
      </c>
      <c r="E377" s="54" t="s">
        <v>224</v>
      </c>
      <c r="F377" s="56" t="n">
        <v>46307.6267998032</v>
      </c>
      <c r="G377" s="54" t="s">
        <v>212</v>
      </c>
      <c r="H377" s="54" t="s">
        <v>214</v>
      </c>
      <c r="I377" s="57" t="s">
        <v>623</v>
      </c>
      <c r="J377" s="56" t="n">
        <v>46307.627163125</v>
      </c>
      <c r="K377" s="56" t="n">
        <v>46307.6273756019</v>
      </c>
      <c r="L377" s="58" t="n">
        <f aca="false">IF(AND(ISNUMBER(J377),ISNUMBER(K377)),IF(K377&gt;=J377,(K377-J377)*1440,""),"")</f>
        <v>0.305966665033333</v>
      </c>
      <c r="M377" s="56" t="n">
        <v>46307.6296949537</v>
      </c>
      <c r="N377" s="58" t="n">
        <f aca="false">IF(AND(ISNUMBER(J377),ISNUMBER(M377)),IF(M377&gt;=J377,(M377-J377)*1440,""),"")</f>
        <v>3.64583335001667</v>
      </c>
      <c r="O377" s="54" t="str">
        <f aca="false">IF(N377="","",LOOKUP(N377,Tiempos!$A$6:$A$10,Tiempos!$B$6:$B$10))</f>
        <v>Menos de 4 min</v>
      </c>
      <c r="P377" s="54" t="s">
        <v>244</v>
      </c>
      <c r="Q377" s="54" t="s">
        <v>214</v>
      </c>
      <c r="R377" s="54" t="s">
        <v>128</v>
      </c>
      <c r="S377" s="54" t="s">
        <v>220</v>
      </c>
      <c r="T377" s="58" t="n">
        <v>89</v>
      </c>
      <c r="U377" s="54" t="s">
        <v>214</v>
      </c>
      <c r="V377" s="58" t="n">
        <v>3.34</v>
      </c>
      <c r="W377" s="57" t="s">
        <v>624</v>
      </c>
      <c r="X377" s="55" t="n">
        <v>3</v>
      </c>
      <c r="Y377" s="54" t="s">
        <v>214</v>
      </c>
      <c r="Z377" s="56" t="n">
        <v>46307.6312229282</v>
      </c>
      <c r="AA377" s="58" t="n">
        <f aca="false">IF(AND(ISNUMBER(M377),ISNUMBER(Z377)),IF(Z377&gt;=M377,(Z377-M377)*1440,""),"")</f>
        <v>2.20028331968333</v>
      </c>
      <c r="AB377" s="57" t="s">
        <v>625</v>
      </c>
      <c r="AC377" s="56" t="n">
        <v>46307.634155706</v>
      </c>
      <c r="AD377" s="58" t="n">
        <f aca="false">IF(AND(ISNUMBER(Z377),ISNUMBER(AC377)),IF(AC377&gt;=Z377,(AC377-Z377)*1440,""),"")</f>
        <v>4.22320000476667</v>
      </c>
      <c r="AE377" s="54" t="s">
        <v>302</v>
      </c>
      <c r="AF377" s="54" t="s">
        <v>212</v>
      </c>
      <c r="AG377" s="54" t="s">
        <v>212</v>
      </c>
      <c r="AH377" s="58"/>
      <c r="AI377" s="55" t="n">
        <v>2</v>
      </c>
      <c r="AJ377" s="54" t="s">
        <v>473</v>
      </c>
      <c r="AK377" s="54" t="s">
        <v>212</v>
      </c>
    </row>
    <row r="378" customFormat="false" ht="15" hidden="false" customHeight="false" outlineLevel="0" collapsed="false">
      <c r="A378" s="54" t="s">
        <v>27</v>
      </c>
      <c r="B378" s="55" t="n">
        <v>1501</v>
      </c>
      <c r="C378" s="54" t="s">
        <v>127</v>
      </c>
      <c r="D378" s="54" t="s">
        <v>214</v>
      </c>
      <c r="E378" s="54" t="s">
        <v>278</v>
      </c>
      <c r="F378" s="56" t="n">
        <v>46307.6335273495</v>
      </c>
      <c r="G378" s="54" t="s">
        <v>212</v>
      </c>
      <c r="H378" s="54" t="s">
        <v>212</v>
      </c>
      <c r="I378" s="57" t="s">
        <v>626</v>
      </c>
      <c r="J378" s="56" t="n">
        <v>46307.6341560069</v>
      </c>
      <c r="K378" s="56" t="n">
        <v>46307.6344130903</v>
      </c>
      <c r="L378" s="58" t="n">
        <f aca="false">IF(AND(ISNUMBER(J378),ISNUMBER(K378)),IF(K378&gt;=J378,(K378-J378)*1440,""),"")</f>
        <v>0.37020000745</v>
      </c>
      <c r="M378" s="56" t="n">
        <v>46307.6370546644</v>
      </c>
      <c r="N378" s="58" t="n">
        <f aca="false">IF(AND(ISNUMBER(J378),ISNUMBER(M378)),IF(M378&gt;=J378,(M378-J378)*1440,""),"")</f>
        <v>4.1740666714</v>
      </c>
      <c r="O378" s="54" t="str">
        <f aca="false">IF(N378="","",LOOKUP(N378,Tiempos!$A$6:$A$10,Tiempos!$B$6:$B$10))</f>
        <v>4 a 6 min</v>
      </c>
      <c r="P378" s="54" t="s">
        <v>229</v>
      </c>
      <c r="Q378" s="54" t="s">
        <v>214</v>
      </c>
      <c r="R378" s="54" t="s">
        <v>127</v>
      </c>
      <c r="S378" s="54" t="s">
        <v>220</v>
      </c>
      <c r="T378" s="58" t="n">
        <v>103.7</v>
      </c>
      <c r="U378" s="54" t="s">
        <v>212</v>
      </c>
      <c r="V378" s="58" t="n">
        <v>3.8</v>
      </c>
      <c r="W378" s="57" t="s">
        <v>627</v>
      </c>
      <c r="X378" s="55" t="n">
        <v>2</v>
      </c>
      <c r="Y378" s="54" t="s">
        <v>214</v>
      </c>
      <c r="Z378" s="56" t="n">
        <v>46307.6406389699</v>
      </c>
      <c r="AA378" s="58" t="n">
        <f aca="false">IF(AND(ISNUMBER(M378),ISNUMBER(Z378)),IF(Z378&gt;=M378,(Z378-M378)*1440,""),"")</f>
        <v>5.16139998448333</v>
      </c>
      <c r="AB378" s="57" t="s">
        <v>628</v>
      </c>
      <c r="AC378" s="56" t="n">
        <v>46307.6430933218</v>
      </c>
      <c r="AD378" s="58" t="n">
        <f aca="false">IF(AND(ISNUMBER(Z378),ISNUMBER(AC378)),IF(AC378&gt;=Z378,(AC378-Z378)*1440,""),"")</f>
        <v>3.53426668791667</v>
      </c>
      <c r="AE378" s="54" t="s">
        <v>346</v>
      </c>
      <c r="AF378" s="54" t="s">
        <v>214</v>
      </c>
      <c r="AG378" s="54" t="s">
        <v>214</v>
      </c>
      <c r="AH378" s="58" t="n">
        <v>4.1</v>
      </c>
      <c r="AI378" s="55" t="n">
        <v>2</v>
      </c>
      <c r="AJ378" s="54" t="s">
        <v>347</v>
      </c>
      <c r="AK378" s="54" t="s">
        <v>212</v>
      </c>
    </row>
    <row r="379" customFormat="false" ht="15" hidden="false" customHeight="false" outlineLevel="0" collapsed="false">
      <c r="A379" s="54" t="s">
        <v>27</v>
      </c>
      <c r="B379" s="55" t="n">
        <v>1508</v>
      </c>
      <c r="C379" s="54" t="s">
        <v>127</v>
      </c>
      <c r="D379" s="54" t="s">
        <v>212</v>
      </c>
      <c r="E379" s="54"/>
      <c r="F379" s="56" t="n">
        <v>46307.6536741088</v>
      </c>
      <c r="G379" s="54" t="s">
        <v>212</v>
      </c>
      <c r="H379" s="54" t="s">
        <v>212</v>
      </c>
      <c r="I379" s="57"/>
      <c r="J379" s="56"/>
      <c r="K379" s="56"/>
      <c r="L379" s="58" t="str">
        <f aca="false">IF(AND(ISNUMBER(J379),ISNUMBER(K379)),IF(K379&gt;=J379,(K379-J379)*1440,""),"")</f>
        <v/>
      </c>
      <c r="M379" s="56"/>
      <c r="N379" s="58" t="str">
        <f aca="false">IF(AND(ISNUMBER(J379),ISNUMBER(M379)),IF(M379&gt;=J379,(M379-J379)*1440,""),"")</f>
        <v/>
      </c>
      <c r="O379" s="54" t="str">
        <f aca="false">IF(N379="","",LOOKUP(N379,Tiempos!$A$6:$A$10,Tiempos!$B$6:$B$10))</f>
        <v/>
      </c>
      <c r="P379" s="54"/>
      <c r="Q379" s="54"/>
      <c r="R379" s="54"/>
      <c r="S379" s="54"/>
      <c r="T379" s="58"/>
      <c r="U379" s="54"/>
      <c r="V379" s="58"/>
      <c r="W379" s="57"/>
      <c r="X379" s="55"/>
      <c r="Y379" s="54"/>
      <c r="Z379" s="56"/>
      <c r="AA379" s="58" t="str">
        <f aca="false">IF(AND(ISNUMBER(M379),ISNUMBER(Z379)),IF(Z379&gt;=M379,(Z379-M379)*1440,""),"")</f>
        <v/>
      </c>
      <c r="AB379" s="57"/>
      <c r="AC379" s="56"/>
      <c r="AD379" s="58" t="str">
        <f aca="false">IF(AND(ISNUMBER(Z379),ISNUMBER(AC379)),IF(AC379&gt;=Z379,(AC379-Z379)*1440,""),"")</f>
        <v/>
      </c>
      <c r="AE379" s="54"/>
      <c r="AF379" s="54"/>
      <c r="AG379" s="54"/>
      <c r="AH379" s="58"/>
      <c r="AI379" s="55" t="n">
        <v>2</v>
      </c>
      <c r="AJ379" s="54" t="s">
        <v>216</v>
      </c>
      <c r="AK379" s="54" t="s">
        <v>212</v>
      </c>
    </row>
    <row r="380" customFormat="false" ht="15" hidden="false" customHeight="false" outlineLevel="0" collapsed="false">
      <c r="A380" s="54" t="s">
        <v>27</v>
      </c>
      <c r="B380" s="55" t="n">
        <v>1502</v>
      </c>
      <c r="C380" s="54" t="s">
        <v>127</v>
      </c>
      <c r="D380" s="54" t="s">
        <v>212</v>
      </c>
      <c r="E380" s="54"/>
      <c r="F380" s="56" t="n">
        <v>46307.6592116319</v>
      </c>
      <c r="G380" s="54" t="s">
        <v>212</v>
      </c>
      <c r="H380" s="54" t="s">
        <v>214</v>
      </c>
      <c r="I380" s="57"/>
      <c r="J380" s="56"/>
      <c r="K380" s="56"/>
      <c r="L380" s="58" t="str">
        <f aca="false">IF(AND(ISNUMBER(J380),ISNUMBER(K380)),IF(K380&gt;=J380,(K380-J380)*1440,""),"")</f>
        <v/>
      </c>
      <c r="M380" s="56"/>
      <c r="N380" s="58" t="str">
        <f aca="false">IF(AND(ISNUMBER(J380),ISNUMBER(M380)),IF(M380&gt;=J380,(M380-J380)*1440,""),"")</f>
        <v/>
      </c>
      <c r="O380" s="54" t="str">
        <f aca="false">IF(N380="","",LOOKUP(N380,Tiempos!$A$6:$A$10,Tiempos!$B$6:$B$10))</f>
        <v/>
      </c>
      <c r="P380" s="54"/>
      <c r="Q380" s="54"/>
      <c r="R380" s="54"/>
      <c r="S380" s="54"/>
      <c r="T380" s="58"/>
      <c r="U380" s="54"/>
      <c r="V380" s="58"/>
      <c r="W380" s="57"/>
      <c r="X380" s="55"/>
      <c r="Y380" s="54"/>
      <c r="Z380" s="56"/>
      <c r="AA380" s="58" t="str">
        <f aca="false">IF(AND(ISNUMBER(M380),ISNUMBER(Z380)),IF(Z380&gt;=M380,(Z380-M380)*1440,""),"")</f>
        <v/>
      </c>
      <c r="AB380" s="57"/>
      <c r="AC380" s="56"/>
      <c r="AD380" s="58" t="str">
        <f aca="false">IF(AND(ISNUMBER(Z380),ISNUMBER(AC380)),IF(AC380&gt;=Z380,(AC380-Z380)*1440,""),"")</f>
        <v/>
      </c>
      <c r="AE380" s="54"/>
      <c r="AF380" s="54"/>
      <c r="AG380" s="54"/>
      <c r="AH380" s="58"/>
      <c r="AI380" s="55" t="n">
        <v>1</v>
      </c>
      <c r="AJ380" s="54" t="s">
        <v>347</v>
      </c>
      <c r="AK380" s="54" t="s">
        <v>212</v>
      </c>
    </row>
    <row r="381" customFormat="false" ht="15" hidden="false" customHeight="false" outlineLevel="0" collapsed="false">
      <c r="A381" s="54" t="s">
        <v>27</v>
      </c>
      <c r="B381" s="55" t="n">
        <v>1505</v>
      </c>
      <c r="C381" s="54" t="s">
        <v>127</v>
      </c>
      <c r="D381" s="54" t="s">
        <v>212</v>
      </c>
      <c r="E381" s="54"/>
      <c r="F381" s="56" t="n">
        <v>46307.6627346875</v>
      </c>
      <c r="G381" s="54" t="s">
        <v>212</v>
      </c>
      <c r="H381" s="54" t="s">
        <v>214</v>
      </c>
      <c r="I381" s="57"/>
      <c r="J381" s="56"/>
      <c r="K381" s="56"/>
      <c r="L381" s="58" t="str">
        <f aca="false">IF(AND(ISNUMBER(J381),ISNUMBER(K381)),IF(K381&gt;=J381,(K381-J381)*1440,""),"")</f>
        <v/>
      </c>
      <c r="M381" s="56"/>
      <c r="N381" s="58" t="str">
        <f aca="false">IF(AND(ISNUMBER(J381),ISNUMBER(M381)),IF(M381&gt;=J381,(M381-J381)*1440,""),"")</f>
        <v/>
      </c>
      <c r="O381" s="54" t="str">
        <f aca="false">IF(N381="","",LOOKUP(N381,Tiempos!$A$6:$A$10,Tiempos!$B$6:$B$10))</f>
        <v/>
      </c>
      <c r="P381" s="54"/>
      <c r="Q381" s="54"/>
      <c r="R381" s="54"/>
      <c r="S381" s="54"/>
      <c r="T381" s="58"/>
      <c r="U381" s="54"/>
      <c r="V381" s="58"/>
      <c r="W381" s="57"/>
      <c r="X381" s="55"/>
      <c r="Y381" s="54"/>
      <c r="Z381" s="56"/>
      <c r="AA381" s="58" t="str">
        <f aca="false">IF(AND(ISNUMBER(M381),ISNUMBER(Z381)),IF(Z381&gt;=M381,(Z381-M381)*1440,""),"")</f>
        <v/>
      </c>
      <c r="AB381" s="57"/>
      <c r="AC381" s="56"/>
      <c r="AD381" s="58" t="str">
        <f aca="false">IF(AND(ISNUMBER(Z381),ISNUMBER(AC381)),IF(AC381&gt;=Z381,(AC381-Z381)*1440,""),"")</f>
        <v/>
      </c>
      <c r="AE381" s="54"/>
      <c r="AF381" s="54"/>
      <c r="AG381" s="54"/>
      <c r="AH381" s="58"/>
      <c r="AI381" s="55" t="n">
        <v>1</v>
      </c>
      <c r="AJ381" s="54" t="s">
        <v>216</v>
      </c>
      <c r="AK381" s="54" t="s">
        <v>212</v>
      </c>
    </row>
    <row r="382" customFormat="false" ht="15" hidden="false" customHeight="false" outlineLevel="0" collapsed="false">
      <c r="A382" s="54" t="s">
        <v>27</v>
      </c>
      <c r="B382" s="55" t="n">
        <v>1509</v>
      </c>
      <c r="C382" s="54" t="s">
        <v>129</v>
      </c>
      <c r="D382" s="54" t="s">
        <v>214</v>
      </c>
      <c r="E382" s="54" t="s">
        <v>233</v>
      </c>
      <c r="F382" s="56" t="n">
        <v>46307.6739556829</v>
      </c>
      <c r="G382" s="54" t="s">
        <v>212</v>
      </c>
      <c r="H382" s="54" t="s">
        <v>214</v>
      </c>
      <c r="I382" s="57" t="s">
        <v>629</v>
      </c>
      <c r="J382" s="56" t="n">
        <v>46307.6754328819</v>
      </c>
      <c r="K382" s="56" t="n">
        <v>46307.6758138542</v>
      </c>
      <c r="L382" s="58" t="n">
        <f aca="false">IF(AND(ISNUMBER(J382),ISNUMBER(K382)),IF(K382&gt;=J382,(K382-J382)*1440,""),"")</f>
        <v>0.54860001545</v>
      </c>
      <c r="M382" s="56" t="n">
        <v>46307.6775284375</v>
      </c>
      <c r="N382" s="58" t="n">
        <f aca="false">IF(AND(ISNUMBER(J382),ISNUMBER(M382)),IF(M382&gt;=J382,(M382-J382)*1440,""),"")</f>
        <v>3.01760001573333</v>
      </c>
      <c r="O382" s="54" t="str">
        <f aca="false">IF(N382="","",LOOKUP(N382,Tiempos!$A$6:$A$10,Tiempos!$B$6:$B$10))</f>
        <v>Menos de 4 min</v>
      </c>
      <c r="P382" s="54" t="s">
        <v>244</v>
      </c>
      <c r="Q382" s="54" t="s">
        <v>214</v>
      </c>
      <c r="R382" s="54" t="s">
        <v>129</v>
      </c>
      <c r="S382" s="54" t="s">
        <v>220</v>
      </c>
      <c r="T382" s="58" t="n">
        <v>96.7</v>
      </c>
      <c r="U382" s="54" t="s">
        <v>214</v>
      </c>
      <c r="V382" s="58" t="n">
        <v>2.47</v>
      </c>
      <c r="W382" s="57" t="s">
        <v>630</v>
      </c>
      <c r="X382" s="55" t="n">
        <v>3</v>
      </c>
      <c r="Y382" s="54" t="s">
        <v>214</v>
      </c>
      <c r="Z382" s="56" t="n">
        <v>46308.5987904514</v>
      </c>
      <c r="AA382" s="58" t="n">
        <f aca="false">IF(AND(ISNUMBER(M382),ISNUMBER(Z382)),IF(Z382&gt;=M382,(Z382-M382)*1440,""),"")</f>
        <v>1326.61729999585</v>
      </c>
      <c r="AB382" s="57" t="s">
        <v>631</v>
      </c>
      <c r="AC382" s="56" t="n">
        <v>46308.5999813657</v>
      </c>
      <c r="AD382" s="58" t="n">
        <f aca="false">IF(AND(ISNUMBER(Z382),ISNUMBER(AC382)),IF(AC382&gt;=Z382,(AC382-Z382)*1440,""),"")</f>
        <v>1.71491666463333</v>
      </c>
      <c r="AE382" s="54" t="s">
        <v>302</v>
      </c>
      <c r="AF382" s="54" t="s">
        <v>214</v>
      </c>
      <c r="AG382" s="54" t="s">
        <v>212</v>
      </c>
      <c r="AH382" s="58"/>
      <c r="AI382" s="55" t="n">
        <v>1</v>
      </c>
      <c r="AJ382" s="54" t="s">
        <v>347</v>
      </c>
      <c r="AK382" s="54" t="s">
        <v>212</v>
      </c>
    </row>
    <row r="383" customFormat="false" ht="15" hidden="false" customHeight="false" outlineLevel="0" collapsed="false">
      <c r="A383" s="54" t="s">
        <v>27</v>
      </c>
      <c r="B383" s="55" t="n">
        <v>1518</v>
      </c>
      <c r="C383" s="54" t="s">
        <v>127</v>
      </c>
      <c r="D383" s="54" t="s">
        <v>212</v>
      </c>
      <c r="E383" s="54"/>
      <c r="F383" s="56" t="n">
        <v>46307.6806256482</v>
      </c>
      <c r="G383" s="54" t="s">
        <v>212</v>
      </c>
      <c r="H383" s="54" t="s">
        <v>214</v>
      </c>
      <c r="I383" s="57"/>
      <c r="J383" s="56"/>
      <c r="K383" s="56"/>
      <c r="L383" s="58" t="str">
        <f aca="false">IF(AND(ISNUMBER(J383),ISNUMBER(K383)),IF(K383&gt;=J383,(K383-J383)*1440,""),"")</f>
        <v/>
      </c>
      <c r="M383" s="56"/>
      <c r="N383" s="58" t="str">
        <f aca="false">IF(AND(ISNUMBER(J383),ISNUMBER(M383)),IF(M383&gt;=J383,(M383-J383)*1440,""),"")</f>
        <v/>
      </c>
      <c r="O383" s="54" t="str">
        <f aca="false">IF(N383="","",LOOKUP(N383,Tiempos!$A$6:$A$10,Tiempos!$B$6:$B$10))</f>
        <v/>
      </c>
      <c r="P383" s="54"/>
      <c r="Q383" s="54"/>
      <c r="R383" s="54"/>
      <c r="S383" s="54"/>
      <c r="T383" s="58"/>
      <c r="U383" s="54"/>
      <c r="V383" s="58"/>
      <c r="W383" s="57"/>
      <c r="X383" s="55"/>
      <c r="Y383" s="54"/>
      <c r="Z383" s="56"/>
      <c r="AA383" s="58" t="str">
        <f aca="false">IF(AND(ISNUMBER(M383),ISNUMBER(Z383)),IF(Z383&gt;=M383,(Z383-M383)*1440,""),"")</f>
        <v/>
      </c>
      <c r="AB383" s="57"/>
      <c r="AC383" s="56"/>
      <c r="AD383" s="58" t="str">
        <f aca="false">IF(AND(ISNUMBER(Z383),ISNUMBER(AC383)),IF(AC383&gt;=Z383,(AC383-Z383)*1440,""),"")</f>
        <v/>
      </c>
      <c r="AE383" s="54"/>
      <c r="AF383" s="54"/>
      <c r="AG383" s="54"/>
      <c r="AH383" s="58"/>
      <c r="AI383" s="55" t="n">
        <v>2</v>
      </c>
      <c r="AJ383" s="54" t="s">
        <v>216</v>
      </c>
      <c r="AK383" s="54" t="s">
        <v>212</v>
      </c>
    </row>
    <row r="384" customFormat="false" ht="15" hidden="false" customHeight="false" outlineLevel="0" collapsed="false">
      <c r="A384" s="54" t="s">
        <v>27</v>
      </c>
      <c r="B384" s="55" t="n">
        <v>1513</v>
      </c>
      <c r="C384" s="54" t="s">
        <v>127</v>
      </c>
      <c r="D384" s="54" t="s">
        <v>212</v>
      </c>
      <c r="E384" s="54"/>
      <c r="F384" s="56" t="n">
        <v>46307.6871541435</v>
      </c>
      <c r="G384" s="54" t="s">
        <v>212</v>
      </c>
      <c r="H384" s="54" t="s">
        <v>212</v>
      </c>
      <c r="I384" s="57"/>
      <c r="J384" s="56"/>
      <c r="K384" s="56"/>
      <c r="L384" s="58" t="str">
        <f aca="false">IF(AND(ISNUMBER(J384),ISNUMBER(K384)),IF(K384&gt;=J384,(K384-J384)*1440,""),"")</f>
        <v/>
      </c>
      <c r="M384" s="56"/>
      <c r="N384" s="58" t="str">
        <f aca="false">IF(AND(ISNUMBER(J384),ISNUMBER(M384)),IF(M384&gt;=J384,(M384-J384)*1440,""),"")</f>
        <v/>
      </c>
      <c r="O384" s="54" t="str">
        <f aca="false">IF(N384="","",LOOKUP(N384,Tiempos!$A$6:$A$10,Tiempos!$B$6:$B$10))</f>
        <v/>
      </c>
      <c r="P384" s="54"/>
      <c r="Q384" s="54"/>
      <c r="R384" s="54"/>
      <c r="S384" s="54"/>
      <c r="T384" s="58"/>
      <c r="U384" s="54"/>
      <c r="V384" s="58"/>
      <c r="W384" s="57"/>
      <c r="X384" s="55"/>
      <c r="Y384" s="54"/>
      <c r="Z384" s="56"/>
      <c r="AA384" s="58" t="str">
        <f aca="false">IF(AND(ISNUMBER(M384),ISNUMBER(Z384)),IF(Z384&gt;=M384,(Z384-M384)*1440,""),"")</f>
        <v/>
      </c>
      <c r="AB384" s="57"/>
      <c r="AC384" s="56"/>
      <c r="AD384" s="58" t="str">
        <f aca="false">IF(AND(ISNUMBER(Z384),ISNUMBER(AC384)),IF(AC384&gt;=Z384,(AC384-Z384)*1440,""),"")</f>
        <v/>
      </c>
      <c r="AE384" s="54"/>
      <c r="AF384" s="54"/>
      <c r="AG384" s="54"/>
      <c r="AH384" s="58"/>
      <c r="AI384" s="55" t="n">
        <v>1</v>
      </c>
      <c r="AJ384" s="54" t="s">
        <v>347</v>
      </c>
      <c r="AK384" s="54" t="s">
        <v>212</v>
      </c>
    </row>
    <row r="385" customFormat="false" ht="15" hidden="false" customHeight="false" outlineLevel="0" collapsed="false">
      <c r="A385" s="54" t="s">
        <v>27</v>
      </c>
      <c r="B385" s="55" t="n">
        <v>1519</v>
      </c>
      <c r="C385" s="54" t="s">
        <v>127</v>
      </c>
      <c r="D385" s="54" t="s">
        <v>212</v>
      </c>
      <c r="E385" s="54"/>
      <c r="F385" s="56" t="n">
        <v>46307.6887235069</v>
      </c>
      <c r="G385" s="54" t="s">
        <v>212</v>
      </c>
      <c r="H385" s="54" t="s">
        <v>212</v>
      </c>
      <c r="I385" s="57"/>
      <c r="J385" s="56"/>
      <c r="K385" s="56"/>
      <c r="L385" s="58" t="str">
        <f aca="false">IF(AND(ISNUMBER(J385),ISNUMBER(K385)),IF(K385&gt;=J385,(K385-J385)*1440,""),"")</f>
        <v/>
      </c>
      <c r="M385" s="56"/>
      <c r="N385" s="58" t="str">
        <f aca="false">IF(AND(ISNUMBER(J385),ISNUMBER(M385)),IF(M385&gt;=J385,(M385-J385)*1440,""),"")</f>
        <v/>
      </c>
      <c r="O385" s="54" t="str">
        <f aca="false">IF(N385="","",LOOKUP(N385,Tiempos!$A$6:$A$10,Tiempos!$B$6:$B$10))</f>
        <v/>
      </c>
      <c r="P385" s="54"/>
      <c r="Q385" s="54"/>
      <c r="R385" s="54"/>
      <c r="S385" s="54"/>
      <c r="T385" s="58"/>
      <c r="U385" s="54"/>
      <c r="V385" s="58"/>
      <c r="W385" s="57"/>
      <c r="X385" s="55"/>
      <c r="Y385" s="54"/>
      <c r="Z385" s="56"/>
      <c r="AA385" s="58" t="str">
        <f aca="false">IF(AND(ISNUMBER(M385),ISNUMBER(Z385)),IF(Z385&gt;=M385,(Z385-M385)*1440,""),"")</f>
        <v/>
      </c>
      <c r="AB385" s="57"/>
      <c r="AC385" s="56"/>
      <c r="AD385" s="58" t="str">
        <f aca="false">IF(AND(ISNUMBER(Z385),ISNUMBER(AC385)),IF(AC385&gt;=Z385,(AC385-Z385)*1440,""),"")</f>
        <v/>
      </c>
      <c r="AE385" s="54"/>
      <c r="AF385" s="54"/>
      <c r="AG385" s="54"/>
      <c r="AH385" s="58"/>
      <c r="AI385" s="55" t="n">
        <v>2</v>
      </c>
      <c r="AJ385" s="54" t="s">
        <v>216</v>
      </c>
      <c r="AK385" s="54" t="s">
        <v>212</v>
      </c>
    </row>
    <row r="386" customFormat="false" ht="15" hidden="false" customHeight="false" outlineLevel="0" collapsed="false">
      <c r="A386" s="54" t="s">
        <v>27</v>
      </c>
      <c r="B386" s="55" t="n">
        <v>1525</v>
      </c>
      <c r="C386" s="54" t="s">
        <v>129</v>
      </c>
      <c r="D386" s="54" t="s">
        <v>212</v>
      </c>
      <c r="E386" s="54"/>
      <c r="F386" s="56" t="n">
        <v>46307.725244838</v>
      </c>
      <c r="G386" s="54" t="s">
        <v>212</v>
      </c>
      <c r="H386" s="54" t="s">
        <v>214</v>
      </c>
      <c r="I386" s="57"/>
      <c r="J386" s="56"/>
      <c r="K386" s="56"/>
      <c r="L386" s="58" t="str">
        <f aca="false">IF(AND(ISNUMBER(J386),ISNUMBER(K386)),IF(K386&gt;=J386,(K386-J386)*1440,""),"")</f>
        <v/>
      </c>
      <c r="M386" s="56"/>
      <c r="N386" s="58" t="str">
        <f aca="false">IF(AND(ISNUMBER(J386),ISNUMBER(M386)),IF(M386&gt;=J386,(M386-J386)*1440,""),"")</f>
        <v/>
      </c>
      <c r="O386" s="54" t="str">
        <f aca="false">IF(N386="","",LOOKUP(N386,Tiempos!$A$6:$A$10,Tiempos!$B$6:$B$10))</f>
        <v/>
      </c>
      <c r="P386" s="54"/>
      <c r="Q386" s="54"/>
      <c r="R386" s="54"/>
      <c r="S386" s="54"/>
      <c r="T386" s="58"/>
      <c r="U386" s="54"/>
      <c r="V386" s="58"/>
      <c r="W386" s="57"/>
      <c r="X386" s="55"/>
      <c r="Y386" s="54"/>
      <c r="Z386" s="56"/>
      <c r="AA386" s="58" t="str">
        <f aca="false">IF(AND(ISNUMBER(M386),ISNUMBER(Z386)),IF(Z386&gt;=M386,(Z386-M386)*1440,""),"")</f>
        <v/>
      </c>
      <c r="AB386" s="57"/>
      <c r="AC386" s="56"/>
      <c r="AD386" s="58" t="str">
        <f aca="false">IF(AND(ISNUMBER(Z386),ISNUMBER(AC386)),IF(AC386&gt;=Z386,(AC386-Z386)*1440,""),"")</f>
        <v/>
      </c>
      <c r="AE386" s="54"/>
      <c r="AF386" s="54"/>
      <c r="AG386" s="54"/>
      <c r="AH386" s="58"/>
      <c r="AI386" s="55" t="n">
        <v>2</v>
      </c>
      <c r="AJ386" s="54" t="s">
        <v>347</v>
      </c>
      <c r="AK386" s="54" t="s">
        <v>212</v>
      </c>
    </row>
    <row r="387" customFormat="false" ht="15" hidden="false" customHeight="false" outlineLevel="0" collapsed="false">
      <c r="A387" s="54" t="s">
        <v>27</v>
      </c>
      <c r="B387" s="55" t="n">
        <v>1529</v>
      </c>
      <c r="C387" s="54" t="s">
        <v>128</v>
      </c>
      <c r="D387" s="54" t="s">
        <v>214</v>
      </c>
      <c r="E387" s="54" t="s">
        <v>233</v>
      </c>
      <c r="F387" s="56" t="n">
        <v>46307.7460824884</v>
      </c>
      <c r="G387" s="54" t="s">
        <v>212</v>
      </c>
      <c r="H387" s="54" t="s">
        <v>214</v>
      </c>
      <c r="I387" s="57" t="s">
        <v>632</v>
      </c>
      <c r="J387" s="56" t="n">
        <v>46307.7478627083</v>
      </c>
      <c r="K387" s="56" t="n">
        <v>46307.7533014815</v>
      </c>
      <c r="L387" s="58" t="n">
        <f aca="false">IF(AND(ISNUMBER(J387),ISNUMBER(K387)),IF(K387&gt;=J387,(K387-J387)*1440,""),"")</f>
        <v>7.83183333696667</v>
      </c>
      <c r="M387" s="56" t="n">
        <v>46307.7552090278</v>
      </c>
      <c r="N387" s="58" t="n">
        <f aca="false">IF(AND(ISNUMBER(J387),ISNUMBER(M387)),IF(M387&gt;=J387,(M387-J387)*1440,""),"")</f>
        <v>10.5786999862167</v>
      </c>
      <c r="O387" s="54" t="str">
        <f aca="false">IF(N387="","",LOOKUP(N387,Tiempos!$A$6:$A$10,Tiempos!$B$6:$B$10))</f>
        <v>10 a 30 min</v>
      </c>
      <c r="P387" s="54" t="s">
        <v>244</v>
      </c>
      <c r="Q387" s="54" t="s">
        <v>214</v>
      </c>
      <c r="R387" s="54" t="s">
        <v>128</v>
      </c>
      <c r="S387" s="54" t="s">
        <v>220</v>
      </c>
      <c r="T387" s="58" t="n">
        <v>84.6</v>
      </c>
      <c r="U387" s="54" t="s">
        <v>214</v>
      </c>
      <c r="V387" s="58" t="n">
        <v>2.75</v>
      </c>
      <c r="W387" s="57" t="s">
        <v>633</v>
      </c>
      <c r="X387" s="55" t="n">
        <v>3</v>
      </c>
      <c r="Y387" s="54" t="s">
        <v>212</v>
      </c>
      <c r="Z387" s="56"/>
      <c r="AA387" s="58" t="str">
        <f aca="false">IF(AND(ISNUMBER(M387),ISNUMBER(Z387)),IF(Z387&gt;=M387,(Z387-M387)*1440,""),"")</f>
        <v/>
      </c>
      <c r="AB387" s="57"/>
      <c r="AC387" s="56"/>
      <c r="AD387" s="58" t="str">
        <f aca="false">IF(AND(ISNUMBER(Z387),ISNUMBER(AC387)),IF(AC387&gt;=Z387,(AC387-Z387)*1440,""),"")</f>
        <v/>
      </c>
      <c r="AE387" s="54"/>
      <c r="AF387" s="54" t="s">
        <v>214</v>
      </c>
      <c r="AG387" s="54"/>
      <c r="AH387" s="58"/>
      <c r="AI387" s="55" t="n">
        <v>2</v>
      </c>
      <c r="AJ387" s="54" t="s">
        <v>216</v>
      </c>
      <c r="AK387" s="54" t="s">
        <v>212</v>
      </c>
    </row>
    <row r="388" customFormat="false" ht="15" hidden="false" customHeight="false" outlineLevel="0" collapsed="false">
      <c r="A388" s="54" t="s">
        <v>27</v>
      </c>
      <c r="B388" s="55" t="n">
        <v>1533</v>
      </c>
      <c r="C388" s="54" t="s">
        <v>127</v>
      </c>
      <c r="D388" s="54" t="s">
        <v>211</v>
      </c>
      <c r="E388" s="54"/>
      <c r="F388" s="56" t="n">
        <v>46307.7576922338</v>
      </c>
      <c r="G388" s="54" t="s">
        <v>212</v>
      </c>
      <c r="H388" s="54" t="s">
        <v>214</v>
      </c>
      <c r="I388" s="57" t="s">
        <v>634</v>
      </c>
      <c r="J388" s="56" t="n">
        <v>46308.4053545833</v>
      </c>
      <c r="K388" s="56" t="n">
        <v>46308.4059021412</v>
      </c>
      <c r="L388" s="58" t="n">
        <f aca="false">IF(AND(ISNUMBER(J388),ISNUMBER(K388)),IF(K388&gt;=J388,(K388-J388)*1440,""),"")</f>
        <v>0.7884833368</v>
      </c>
      <c r="M388" s="56" t="n">
        <v>46308.4059021412</v>
      </c>
      <c r="N388" s="58" t="n">
        <f aca="false">IF(AND(ISNUMBER(J388),ISNUMBER(M388)),IF(M388&gt;=J388,(M388-J388)*1440,""),"")</f>
        <v>0.7884833368</v>
      </c>
      <c r="O388" s="54" t="str">
        <f aca="false">IF(N388="","",LOOKUP(N388,Tiempos!$A$6:$A$10,Tiempos!$B$6:$B$10))</f>
        <v>Menos de 4 min</v>
      </c>
      <c r="P388" s="54" t="s">
        <v>226</v>
      </c>
      <c r="Q388" s="54" t="s">
        <v>212</v>
      </c>
      <c r="R388" s="54" t="s">
        <v>127</v>
      </c>
      <c r="S388" s="54" t="s">
        <v>220</v>
      </c>
      <c r="T388" s="58"/>
      <c r="U388" s="54"/>
      <c r="V388" s="58"/>
      <c r="W388" s="57"/>
      <c r="X388" s="55" t="n">
        <v>0</v>
      </c>
      <c r="Y388" s="54" t="s">
        <v>214</v>
      </c>
      <c r="Z388" s="56" t="n">
        <v>46308.4081268982</v>
      </c>
      <c r="AA388" s="58" t="n">
        <f aca="false">IF(AND(ISNUMBER(M388),ISNUMBER(Z388)),IF(Z388&gt;=M388,(Z388-M388)*1440,""),"")</f>
        <v>3.20365000865</v>
      </c>
      <c r="AB388" s="57" t="s">
        <v>635</v>
      </c>
      <c r="AC388" s="56" t="n">
        <v>46308.4105339931</v>
      </c>
      <c r="AD388" s="58" t="n">
        <f aca="false">IF(AND(ISNUMBER(Z388),ISNUMBER(AC388)),IF(AC388&gt;=Z388,(AC388-Z388)*1440,""),"")</f>
        <v>3.4662166459</v>
      </c>
      <c r="AE388" s="54" t="s">
        <v>636</v>
      </c>
      <c r="AF388" s="54" t="s">
        <v>212</v>
      </c>
      <c r="AG388" s="54" t="s">
        <v>212</v>
      </c>
      <c r="AH388" s="58"/>
      <c r="AI388" s="55" t="n">
        <v>2</v>
      </c>
      <c r="AJ388" s="54" t="s">
        <v>210</v>
      </c>
      <c r="AK388" s="54" t="s">
        <v>214</v>
      </c>
    </row>
    <row r="389" customFormat="false" ht="15" hidden="false" customHeight="false" outlineLevel="0" collapsed="false">
      <c r="A389" s="54" t="s">
        <v>27</v>
      </c>
      <c r="B389" s="55" t="n">
        <v>1532</v>
      </c>
      <c r="C389" s="54" t="s">
        <v>127</v>
      </c>
      <c r="D389" s="54" t="s">
        <v>211</v>
      </c>
      <c r="E389" s="54"/>
      <c r="F389" s="56" t="n">
        <v>46307.7773058565</v>
      </c>
      <c r="G389" s="54" t="s">
        <v>212</v>
      </c>
      <c r="H389" s="54" t="s">
        <v>212</v>
      </c>
      <c r="I389" s="57" t="s">
        <v>637</v>
      </c>
      <c r="J389" s="56" t="n">
        <v>46308.4112664468</v>
      </c>
      <c r="K389" s="56" t="n">
        <v>46308.413804919</v>
      </c>
      <c r="L389" s="58" t="n">
        <f aca="false">IF(AND(ISNUMBER(J389),ISNUMBER(K389)),IF(K389&gt;=J389,(K389-J389)*1440,""),"")</f>
        <v>3.65539999328333</v>
      </c>
      <c r="M389" s="56" t="n">
        <v>46308.5028198148</v>
      </c>
      <c r="N389" s="58" t="n">
        <f aca="false">IF(AND(ISNUMBER(J389),ISNUMBER(M389)),IF(M389&gt;=J389,(M389-J389)*1440,""),"")</f>
        <v>131.8368499854</v>
      </c>
      <c r="O389" s="54" t="str">
        <f aca="false">IF(N389="","",LOOKUP(N389,Tiempos!$A$6:$A$10,Tiempos!$B$6:$B$10))</f>
        <v>30 min o más</v>
      </c>
      <c r="P389" s="54" t="s">
        <v>170</v>
      </c>
      <c r="Q389" s="54" t="s">
        <v>214</v>
      </c>
      <c r="R389" s="54" t="s">
        <v>127</v>
      </c>
      <c r="S389" s="54" t="s">
        <v>220</v>
      </c>
      <c r="T389" s="58" t="n">
        <v>57</v>
      </c>
      <c r="U389" s="54" t="s">
        <v>212</v>
      </c>
      <c r="V389" s="58"/>
      <c r="W389" s="57"/>
      <c r="X389" s="55" t="n">
        <v>0</v>
      </c>
      <c r="Y389" s="54" t="s">
        <v>212</v>
      </c>
      <c r="Z389" s="56"/>
      <c r="AA389" s="58" t="str">
        <f aca="false">IF(AND(ISNUMBER(M389),ISNUMBER(Z389)),IF(Z389&gt;=M389,(Z389-M389)*1440,""),"")</f>
        <v/>
      </c>
      <c r="AB389" s="57"/>
      <c r="AC389" s="56"/>
      <c r="AD389" s="58" t="str">
        <f aca="false">IF(AND(ISNUMBER(Z389),ISNUMBER(AC389)),IF(AC389&gt;=Z389,(AC389-Z389)*1440,""),"")</f>
        <v/>
      </c>
      <c r="AE389" s="54"/>
      <c r="AF389" s="54" t="s">
        <v>212</v>
      </c>
      <c r="AG389" s="54"/>
      <c r="AH389" s="58"/>
      <c r="AI389" s="55" t="n">
        <v>1</v>
      </c>
      <c r="AJ389" s="54" t="s">
        <v>347</v>
      </c>
      <c r="AK389" s="54" t="s">
        <v>212</v>
      </c>
    </row>
    <row r="390" customFormat="false" ht="15" hidden="false" customHeight="false" outlineLevel="0" collapsed="false">
      <c r="A390" s="54" t="s">
        <v>27</v>
      </c>
      <c r="B390" s="55" t="n">
        <v>1534</v>
      </c>
      <c r="C390" s="54" t="s">
        <v>127</v>
      </c>
      <c r="D390" s="54" t="s">
        <v>212</v>
      </c>
      <c r="E390" s="54"/>
      <c r="F390" s="56" t="n">
        <v>46307.7815708681</v>
      </c>
      <c r="G390" s="54" t="s">
        <v>212</v>
      </c>
      <c r="H390" s="54" t="s">
        <v>212</v>
      </c>
      <c r="I390" s="57"/>
      <c r="J390" s="56"/>
      <c r="K390" s="56"/>
      <c r="L390" s="58" t="str">
        <f aca="false">IF(AND(ISNUMBER(J390),ISNUMBER(K390)),IF(K390&gt;=J390,(K390-J390)*1440,""),"")</f>
        <v/>
      </c>
      <c r="M390" s="56"/>
      <c r="N390" s="58" t="str">
        <f aca="false">IF(AND(ISNUMBER(J390),ISNUMBER(M390)),IF(M390&gt;=J390,(M390-J390)*1440,""),"")</f>
        <v/>
      </c>
      <c r="O390" s="54" t="str">
        <f aca="false">IF(N390="","",LOOKUP(N390,Tiempos!$A$6:$A$10,Tiempos!$B$6:$B$10))</f>
        <v/>
      </c>
      <c r="P390" s="54"/>
      <c r="Q390" s="54"/>
      <c r="R390" s="54"/>
      <c r="S390" s="54"/>
      <c r="T390" s="58"/>
      <c r="U390" s="54"/>
      <c r="V390" s="58"/>
      <c r="W390" s="57"/>
      <c r="X390" s="55"/>
      <c r="Y390" s="54"/>
      <c r="Z390" s="56"/>
      <c r="AA390" s="58" t="str">
        <f aca="false">IF(AND(ISNUMBER(M390),ISNUMBER(Z390)),IF(Z390&gt;=M390,(Z390-M390)*1440,""),"")</f>
        <v/>
      </c>
      <c r="AB390" s="57"/>
      <c r="AC390" s="56"/>
      <c r="AD390" s="58" t="str">
        <f aca="false">IF(AND(ISNUMBER(Z390),ISNUMBER(AC390)),IF(AC390&gt;=Z390,(AC390-Z390)*1440,""),"")</f>
        <v/>
      </c>
      <c r="AE390" s="54"/>
      <c r="AF390" s="54"/>
      <c r="AG390" s="54"/>
      <c r="AH390" s="58"/>
      <c r="AI390" s="55" t="n">
        <v>1</v>
      </c>
      <c r="AJ390" s="54" t="s">
        <v>347</v>
      </c>
      <c r="AK390" s="54" t="s">
        <v>212</v>
      </c>
    </row>
    <row r="391" customFormat="false" ht="15" hidden="false" customHeight="false" outlineLevel="0" collapsed="false">
      <c r="A391" s="54" t="s">
        <v>27</v>
      </c>
      <c r="B391" s="55" t="n">
        <v>1546</v>
      </c>
      <c r="C391" s="54" t="s">
        <v>129</v>
      </c>
      <c r="D391" s="54" t="s">
        <v>214</v>
      </c>
      <c r="E391" s="54" t="s">
        <v>224</v>
      </c>
      <c r="F391" s="56" t="n">
        <v>46307.7925244097</v>
      </c>
      <c r="G391" s="54" t="s">
        <v>212</v>
      </c>
      <c r="H391" s="54" t="s">
        <v>212</v>
      </c>
      <c r="I391" s="57" t="s">
        <v>638</v>
      </c>
      <c r="J391" s="56" t="n">
        <v>46307.8502345255</v>
      </c>
      <c r="K391" s="56" t="n">
        <v>46307.8523703357</v>
      </c>
      <c r="L391" s="58" t="n">
        <f aca="false">IF(AND(ISNUMBER(J391),ISNUMBER(K391)),IF(K391&gt;=J391,(K391-J391)*1440,""),"")</f>
        <v>3.07556667015</v>
      </c>
      <c r="M391" s="56" t="n">
        <v>46307.8559967477</v>
      </c>
      <c r="N391" s="58" t="n">
        <f aca="false">IF(AND(ISNUMBER(J391),ISNUMBER(M391)),IF(M391&gt;=J391,(M391-J391)*1440,""),"")</f>
        <v>8.29760000108333</v>
      </c>
      <c r="O391" s="54" t="str">
        <f aca="false">IF(N391="","",LOOKUP(N391,Tiempos!$A$6:$A$10,Tiempos!$B$6:$B$10))</f>
        <v>6 a 10 min</v>
      </c>
      <c r="P391" s="54" t="s">
        <v>244</v>
      </c>
      <c r="Q391" s="54" t="s">
        <v>214</v>
      </c>
      <c r="R391" s="54" t="s">
        <v>129</v>
      </c>
      <c r="S391" s="54" t="s">
        <v>220</v>
      </c>
      <c r="T391" s="58" t="n">
        <v>110.8</v>
      </c>
      <c r="U391" s="54" t="s">
        <v>212</v>
      </c>
      <c r="V391" s="58" t="n">
        <v>5.22</v>
      </c>
      <c r="W391" s="57" t="s">
        <v>639</v>
      </c>
      <c r="X391" s="55" t="n">
        <v>3</v>
      </c>
      <c r="Y391" s="54" t="s">
        <v>212</v>
      </c>
      <c r="Z391" s="56"/>
      <c r="AA391" s="58" t="str">
        <f aca="false">IF(AND(ISNUMBER(M391),ISNUMBER(Z391)),IF(Z391&gt;=M391,(Z391-M391)*1440,""),"")</f>
        <v/>
      </c>
      <c r="AB391" s="57"/>
      <c r="AC391" s="56"/>
      <c r="AD391" s="58" t="str">
        <f aca="false">IF(AND(ISNUMBER(Z391),ISNUMBER(AC391)),IF(AC391&gt;=Z391,(AC391-Z391)*1440,""),"")</f>
        <v/>
      </c>
      <c r="AE391" s="54"/>
      <c r="AF391" s="54" t="s">
        <v>214</v>
      </c>
      <c r="AG391" s="54"/>
      <c r="AH391" s="58"/>
      <c r="AI391" s="55" t="n">
        <v>3</v>
      </c>
      <c r="AJ391" s="54" t="s">
        <v>347</v>
      </c>
      <c r="AK391" s="54" t="s">
        <v>212</v>
      </c>
    </row>
    <row r="392" customFormat="false" ht="15" hidden="false" customHeight="false" outlineLevel="0" collapsed="false">
      <c r="A392" s="54" t="s">
        <v>27</v>
      </c>
      <c r="B392" s="55" t="n">
        <v>1551</v>
      </c>
      <c r="C392" s="54" t="s">
        <v>128</v>
      </c>
      <c r="D392" s="54" t="s">
        <v>214</v>
      </c>
      <c r="E392" s="54" t="s">
        <v>242</v>
      </c>
      <c r="F392" s="56" t="n">
        <v>46307.80419125</v>
      </c>
      <c r="G392" s="54" t="s">
        <v>212</v>
      </c>
      <c r="H392" s="54" t="s">
        <v>212</v>
      </c>
      <c r="I392" s="57" t="s">
        <v>640</v>
      </c>
      <c r="J392" s="56" t="n">
        <v>46307.8045824769</v>
      </c>
      <c r="K392" s="56" t="n">
        <v>46307.8062809838</v>
      </c>
      <c r="L392" s="58" t="n">
        <f aca="false">IF(AND(ISNUMBER(J392),ISNUMBER(K392)),IF(K392&gt;=J392,(K392-J392)*1440,""),"")</f>
        <v>2.44584999046667</v>
      </c>
      <c r="M392" s="56" t="n">
        <v>46308.6407350926</v>
      </c>
      <c r="N392" s="58" t="n">
        <f aca="false">IF(AND(ISNUMBER(J392),ISNUMBER(M392)),IF(M392&gt;=J392,(M392-J392)*1440,""),"")</f>
        <v>1204.0597666637</v>
      </c>
      <c r="O392" s="54" t="str">
        <f aca="false">IF(N392="","",LOOKUP(N392,Tiempos!$A$6:$A$10,Tiempos!$B$6:$B$10))</f>
        <v>30 min o más</v>
      </c>
      <c r="P392" s="54" t="s">
        <v>170</v>
      </c>
      <c r="Q392" s="54" t="s">
        <v>214</v>
      </c>
      <c r="R392" s="54" t="s">
        <v>128</v>
      </c>
      <c r="S392" s="54" t="s">
        <v>220</v>
      </c>
      <c r="T392" s="58" t="n">
        <v>73.1</v>
      </c>
      <c r="U392" s="54" t="s">
        <v>212</v>
      </c>
      <c r="V392" s="58"/>
      <c r="W392" s="57"/>
      <c r="X392" s="55" t="n">
        <v>0</v>
      </c>
      <c r="Y392" s="54" t="s">
        <v>212</v>
      </c>
      <c r="Z392" s="56"/>
      <c r="AA392" s="58" t="str">
        <f aca="false">IF(AND(ISNUMBER(M392),ISNUMBER(Z392)),IF(Z392&gt;=M392,(Z392-M392)*1440,""),"")</f>
        <v/>
      </c>
      <c r="AB392" s="57"/>
      <c r="AC392" s="56"/>
      <c r="AD392" s="58" t="str">
        <f aca="false">IF(AND(ISNUMBER(Z392),ISNUMBER(AC392)),IF(AC392&gt;=Z392,(AC392-Z392)*1440,""),"")</f>
        <v/>
      </c>
      <c r="AE392" s="54"/>
      <c r="AF392" s="54" t="s">
        <v>214</v>
      </c>
      <c r="AG392" s="54"/>
      <c r="AH392" s="58"/>
      <c r="AI392" s="55" t="n">
        <v>2</v>
      </c>
      <c r="AJ392" s="54" t="s">
        <v>347</v>
      </c>
      <c r="AK392" s="54" t="s">
        <v>212</v>
      </c>
    </row>
    <row r="393" customFormat="false" ht="15" hidden="false" customHeight="false" outlineLevel="0" collapsed="false">
      <c r="A393" s="54" t="s">
        <v>27</v>
      </c>
      <c r="B393" s="55" t="n">
        <v>1550</v>
      </c>
      <c r="C393" s="54" t="s">
        <v>128</v>
      </c>
      <c r="D393" s="54" t="s">
        <v>214</v>
      </c>
      <c r="E393" s="54" t="s">
        <v>278</v>
      </c>
      <c r="F393" s="56" t="n">
        <v>46307.8045786458</v>
      </c>
      <c r="G393" s="54" t="s">
        <v>212</v>
      </c>
      <c r="H393" s="54" t="s">
        <v>214</v>
      </c>
      <c r="I393" s="57" t="s">
        <v>641</v>
      </c>
      <c r="J393" s="56" t="n">
        <v>46307.8055225926</v>
      </c>
      <c r="K393" s="56" t="n">
        <v>46307.8082610532</v>
      </c>
      <c r="L393" s="58" t="n">
        <f aca="false">IF(AND(ISNUMBER(J393),ISNUMBER(K393)),IF(K393&gt;=J393,(K393-J393)*1440,""),"")</f>
        <v>3.94338332698333</v>
      </c>
      <c r="M393" s="56" t="n">
        <v>46307.8112977662</v>
      </c>
      <c r="N393" s="58" t="n">
        <f aca="false">IF(AND(ISNUMBER(J393),ISNUMBER(M393)),IF(M393&gt;=J393,(M393-J393)*1440,""),"")</f>
        <v>8.31624999758333</v>
      </c>
      <c r="O393" s="54" t="str">
        <f aca="false">IF(N393="","",LOOKUP(N393,Tiempos!$A$6:$A$10,Tiempos!$B$6:$B$10))</f>
        <v>6 a 10 min</v>
      </c>
      <c r="P393" s="54" t="s">
        <v>244</v>
      </c>
      <c r="Q393" s="54" t="s">
        <v>214</v>
      </c>
      <c r="R393" s="54" t="s">
        <v>128</v>
      </c>
      <c r="S393" s="54" t="s">
        <v>220</v>
      </c>
      <c r="T393" s="58" t="n">
        <v>82.3</v>
      </c>
      <c r="U393" s="54" t="s">
        <v>214</v>
      </c>
      <c r="V393" s="58" t="n">
        <v>4.37</v>
      </c>
      <c r="W393" s="57" t="s">
        <v>642</v>
      </c>
      <c r="X393" s="55" t="n">
        <v>3</v>
      </c>
      <c r="Y393" s="54" t="s">
        <v>214</v>
      </c>
      <c r="Z393" s="56" t="n">
        <v>46307.8167450347</v>
      </c>
      <c r="AA393" s="58" t="n">
        <f aca="false">IF(AND(ISNUMBER(M393),ISNUMBER(Z393)),IF(Z393&gt;=M393,(Z393-M393)*1440,""),"")</f>
        <v>7.84406666176667</v>
      </c>
      <c r="AB393" s="57" t="s">
        <v>643</v>
      </c>
      <c r="AC393" s="56" t="n">
        <v>46307.8173315741</v>
      </c>
      <c r="AD393" s="58" t="n">
        <f aca="false">IF(AND(ISNUMBER(Z393),ISNUMBER(AC393)),IF(AC393&gt;=Z393,(AC393-Z393)*1440,""),"")</f>
        <v>0.844616669916667</v>
      </c>
      <c r="AE393" s="54" t="s">
        <v>346</v>
      </c>
      <c r="AF393" s="54" t="s">
        <v>214</v>
      </c>
      <c r="AG393" s="54" t="s">
        <v>214</v>
      </c>
      <c r="AH393" s="58" t="n">
        <v>4.1</v>
      </c>
      <c r="AI393" s="55" t="n">
        <v>3</v>
      </c>
      <c r="AJ393" s="54" t="s">
        <v>216</v>
      </c>
      <c r="AK393" s="54" t="s">
        <v>212</v>
      </c>
    </row>
    <row r="394" customFormat="false" ht="15" hidden="false" customHeight="false" outlineLevel="0" collapsed="false">
      <c r="A394" s="54" t="s">
        <v>27</v>
      </c>
      <c r="B394" s="55" t="n">
        <v>1553</v>
      </c>
      <c r="C394" s="54" t="s">
        <v>127</v>
      </c>
      <c r="D394" s="54" t="s">
        <v>212</v>
      </c>
      <c r="E394" s="54"/>
      <c r="F394" s="56" t="n">
        <v>46307.8308662963</v>
      </c>
      <c r="G394" s="54" t="s">
        <v>212</v>
      </c>
      <c r="H394" s="54" t="s">
        <v>214</v>
      </c>
      <c r="I394" s="57"/>
      <c r="J394" s="56"/>
      <c r="K394" s="56"/>
      <c r="L394" s="58" t="str">
        <f aca="false">IF(AND(ISNUMBER(J394),ISNUMBER(K394)),IF(K394&gt;=J394,(K394-J394)*1440,""),"")</f>
        <v/>
      </c>
      <c r="M394" s="56"/>
      <c r="N394" s="58" t="str">
        <f aca="false">IF(AND(ISNUMBER(J394),ISNUMBER(M394)),IF(M394&gt;=J394,(M394-J394)*1440,""),"")</f>
        <v/>
      </c>
      <c r="O394" s="54" t="str">
        <f aca="false">IF(N394="","",LOOKUP(N394,Tiempos!$A$6:$A$10,Tiempos!$B$6:$B$10))</f>
        <v/>
      </c>
      <c r="P394" s="54"/>
      <c r="Q394" s="54"/>
      <c r="R394" s="54"/>
      <c r="S394" s="54"/>
      <c r="T394" s="58"/>
      <c r="U394" s="54"/>
      <c r="V394" s="58"/>
      <c r="W394" s="57"/>
      <c r="X394" s="55"/>
      <c r="Y394" s="54"/>
      <c r="Z394" s="56"/>
      <c r="AA394" s="58" t="str">
        <f aca="false">IF(AND(ISNUMBER(M394),ISNUMBER(Z394)),IF(Z394&gt;=M394,(Z394-M394)*1440,""),"")</f>
        <v/>
      </c>
      <c r="AB394" s="57"/>
      <c r="AC394" s="56"/>
      <c r="AD394" s="58" t="str">
        <f aca="false">IF(AND(ISNUMBER(Z394),ISNUMBER(AC394)),IF(AC394&gt;=Z394,(AC394-Z394)*1440,""),"")</f>
        <v/>
      </c>
      <c r="AE394" s="54"/>
      <c r="AF394" s="54"/>
      <c r="AG394" s="54"/>
      <c r="AH394" s="58"/>
      <c r="AI394" s="55" t="n">
        <v>1</v>
      </c>
      <c r="AJ394" s="54" t="s">
        <v>216</v>
      </c>
      <c r="AK394" s="54" t="s">
        <v>212</v>
      </c>
    </row>
    <row r="395" customFormat="false" ht="15" hidden="false" customHeight="false" outlineLevel="0" collapsed="false">
      <c r="A395" s="54" t="s">
        <v>27</v>
      </c>
      <c r="B395" s="55" t="n">
        <v>1567</v>
      </c>
      <c r="C395" s="54" t="s">
        <v>128</v>
      </c>
      <c r="D395" s="54" t="s">
        <v>214</v>
      </c>
      <c r="E395" s="54" t="s">
        <v>233</v>
      </c>
      <c r="F395" s="56" t="n">
        <v>46307.8744856482</v>
      </c>
      <c r="G395" s="54" t="s">
        <v>212</v>
      </c>
      <c r="H395" s="54" t="s">
        <v>212</v>
      </c>
      <c r="I395" s="57" t="s">
        <v>644</v>
      </c>
      <c r="J395" s="56" t="n">
        <v>46307.8780159722</v>
      </c>
      <c r="K395" s="56" t="n">
        <v>46307.8784765278</v>
      </c>
      <c r="L395" s="58" t="n">
        <f aca="false">IF(AND(ISNUMBER(J395),ISNUMBER(K395)),IF(K395&gt;=J395,(K395-J395)*1440,""),"")</f>
        <v>0.663199983533333</v>
      </c>
      <c r="M395" s="56" t="n">
        <v>46307.8801671528</v>
      </c>
      <c r="N395" s="58" t="n">
        <f aca="false">IF(AND(ISNUMBER(J395),ISNUMBER(M395)),IF(M395&gt;=J395,(M395-J395)*1440,""),"")</f>
        <v>3.09770000748333</v>
      </c>
      <c r="O395" s="54" t="str">
        <f aca="false">IF(N395="","",LOOKUP(N395,Tiempos!$A$6:$A$10,Tiempos!$B$6:$B$10))</f>
        <v>Menos de 4 min</v>
      </c>
      <c r="P395" s="54" t="s">
        <v>244</v>
      </c>
      <c r="Q395" s="54" t="s">
        <v>214</v>
      </c>
      <c r="R395" s="54" t="s">
        <v>128</v>
      </c>
      <c r="S395" s="54" t="s">
        <v>220</v>
      </c>
      <c r="T395" s="58" t="n">
        <v>79.4</v>
      </c>
      <c r="U395" s="54" t="s">
        <v>212</v>
      </c>
      <c r="V395" s="58" t="n">
        <v>2.43</v>
      </c>
      <c r="W395" s="57" t="s">
        <v>645</v>
      </c>
      <c r="X395" s="55" t="n">
        <v>3</v>
      </c>
      <c r="Y395" s="54" t="s">
        <v>212</v>
      </c>
      <c r="Z395" s="56"/>
      <c r="AA395" s="58" t="str">
        <f aca="false">IF(AND(ISNUMBER(M395),ISNUMBER(Z395)),IF(Z395&gt;=M395,(Z395-M395)*1440,""),"")</f>
        <v/>
      </c>
      <c r="AB395" s="57"/>
      <c r="AC395" s="56"/>
      <c r="AD395" s="58" t="str">
        <f aca="false">IF(AND(ISNUMBER(Z395),ISNUMBER(AC395)),IF(AC395&gt;=Z395,(AC395-Z395)*1440,""),"")</f>
        <v/>
      </c>
      <c r="AE395" s="54"/>
      <c r="AF395" s="54" t="s">
        <v>214</v>
      </c>
      <c r="AG395" s="54"/>
      <c r="AH395" s="58"/>
      <c r="AI395" s="55" t="n">
        <v>3</v>
      </c>
      <c r="AJ395" s="54" t="s">
        <v>347</v>
      </c>
      <c r="AK395" s="54" t="s">
        <v>212</v>
      </c>
    </row>
    <row r="396" customFormat="false" ht="15" hidden="false" customHeight="false" outlineLevel="0" collapsed="false">
      <c r="A396" s="54" t="s">
        <v>27</v>
      </c>
      <c r="B396" s="55" t="n">
        <v>1571</v>
      </c>
      <c r="C396" s="54" t="s">
        <v>127</v>
      </c>
      <c r="D396" s="54" t="s">
        <v>212</v>
      </c>
      <c r="E396" s="54"/>
      <c r="F396" s="56" t="n">
        <v>46307.9016918519</v>
      </c>
      <c r="G396" s="54" t="s">
        <v>212</v>
      </c>
      <c r="H396" s="54" t="s">
        <v>214</v>
      </c>
      <c r="I396" s="57"/>
      <c r="J396" s="56"/>
      <c r="K396" s="56"/>
      <c r="L396" s="58" t="str">
        <f aca="false">IF(AND(ISNUMBER(J396),ISNUMBER(K396)),IF(K396&gt;=J396,(K396-J396)*1440,""),"")</f>
        <v/>
      </c>
      <c r="M396" s="56"/>
      <c r="N396" s="58" t="str">
        <f aca="false">IF(AND(ISNUMBER(J396),ISNUMBER(M396)),IF(M396&gt;=J396,(M396-J396)*1440,""),"")</f>
        <v/>
      </c>
      <c r="O396" s="54" t="str">
        <f aca="false">IF(N396="","",LOOKUP(N396,Tiempos!$A$6:$A$10,Tiempos!$B$6:$B$10))</f>
        <v/>
      </c>
      <c r="P396" s="54"/>
      <c r="Q396" s="54"/>
      <c r="R396" s="54"/>
      <c r="S396" s="54"/>
      <c r="T396" s="58"/>
      <c r="U396" s="54"/>
      <c r="V396" s="58"/>
      <c r="W396" s="57"/>
      <c r="X396" s="55"/>
      <c r="Y396" s="54"/>
      <c r="Z396" s="56"/>
      <c r="AA396" s="58" t="str">
        <f aca="false">IF(AND(ISNUMBER(M396),ISNUMBER(Z396)),IF(Z396&gt;=M396,(Z396-M396)*1440,""),"")</f>
        <v/>
      </c>
      <c r="AB396" s="57"/>
      <c r="AC396" s="56"/>
      <c r="AD396" s="58" t="str">
        <f aca="false">IF(AND(ISNUMBER(Z396),ISNUMBER(AC396)),IF(AC396&gt;=Z396,(AC396-Z396)*1440,""),"")</f>
        <v/>
      </c>
      <c r="AE396" s="54"/>
      <c r="AF396" s="54"/>
      <c r="AG396" s="54"/>
      <c r="AH396" s="58"/>
      <c r="AI396" s="55" t="n">
        <v>2</v>
      </c>
      <c r="AJ396" s="54" t="s">
        <v>347</v>
      </c>
      <c r="AK396" s="54" t="s">
        <v>212</v>
      </c>
    </row>
    <row r="397" customFormat="false" ht="15" hidden="false" customHeight="false" outlineLevel="0" collapsed="false">
      <c r="A397" s="54" t="s">
        <v>27</v>
      </c>
      <c r="B397" s="55" t="n">
        <v>1586</v>
      </c>
      <c r="C397" s="54" t="s">
        <v>127</v>
      </c>
      <c r="D397" s="54" t="s">
        <v>214</v>
      </c>
      <c r="E397" s="54" t="s">
        <v>233</v>
      </c>
      <c r="F397" s="56" t="n">
        <v>46307.9531091782</v>
      </c>
      <c r="G397" s="54" t="s">
        <v>214</v>
      </c>
      <c r="H397" s="54" t="s">
        <v>214</v>
      </c>
      <c r="I397" s="57" t="s">
        <v>646</v>
      </c>
      <c r="J397" s="56" t="n">
        <v>46307.9546539583</v>
      </c>
      <c r="K397" s="56" t="n">
        <v>46308.2975500347</v>
      </c>
      <c r="L397" s="58" t="n">
        <f aca="false">IF(AND(ISNUMBER(J397),ISNUMBER(K397)),IF(K397&gt;=J397,(K397-J397)*1440,""),"")</f>
        <v>493.7703499943</v>
      </c>
      <c r="M397" s="56" t="n">
        <v>46308.2992216782</v>
      </c>
      <c r="N397" s="58" t="n">
        <f aca="false">IF(AND(ISNUMBER(J397),ISNUMBER(M397)),IF(M397&gt;=J397,(M397-J397)*1440,""),"")</f>
        <v>496.177516663433</v>
      </c>
      <c r="O397" s="54" t="str">
        <f aca="false">IF(N397="","",LOOKUP(N397,Tiempos!$A$6:$A$10,Tiempos!$B$6:$B$10))</f>
        <v>30 min o más</v>
      </c>
      <c r="P397" s="54" t="s">
        <v>229</v>
      </c>
      <c r="Q397" s="54" t="s">
        <v>214</v>
      </c>
      <c r="R397" s="54" t="s">
        <v>127</v>
      </c>
      <c r="S397" s="54" t="s">
        <v>220</v>
      </c>
      <c r="T397" s="58" t="n">
        <v>112.6</v>
      </c>
      <c r="U397" s="54" t="s">
        <v>214</v>
      </c>
      <c r="V397" s="58" t="n">
        <v>2.41</v>
      </c>
      <c r="W397" s="57" t="s">
        <v>267</v>
      </c>
      <c r="X397" s="55" t="n">
        <v>2</v>
      </c>
      <c r="Y397" s="54" t="s">
        <v>212</v>
      </c>
      <c r="Z397" s="56"/>
      <c r="AA397" s="58" t="str">
        <f aca="false">IF(AND(ISNUMBER(M397),ISNUMBER(Z397)),IF(Z397&gt;=M397,(Z397-M397)*1440,""),"")</f>
        <v/>
      </c>
      <c r="AB397" s="57"/>
      <c r="AC397" s="56"/>
      <c r="AD397" s="58" t="str">
        <f aca="false">IF(AND(ISNUMBER(Z397),ISNUMBER(AC397)),IF(AC397&gt;=Z397,(AC397-Z397)*1440,""),"")</f>
        <v/>
      </c>
      <c r="AE397" s="54"/>
      <c r="AF397" s="54" t="s">
        <v>214</v>
      </c>
      <c r="AG397" s="54"/>
      <c r="AH397" s="58"/>
      <c r="AI397" s="55" t="n">
        <v>2</v>
      </c>
      <c r="AJ397" s="54" t="s">
        <v>347</v>
      </c>
      <c r="AK397" s="54" t="s">
        <v>212</v>
      </c>
    </row>
    <row r="398" customFormat="false" ht="15" hidden="false" customHeight="false" outlineLevel="0" collapsed="false">
      <c r="A398" s="54" t="s">
        <v>27</v>
      </c>
      <c r="B398" s="55" t="n">
        <v>1588</v>
      </c>
      <c r="C398" s="54" t="s">
        <v>127</v>
      </c>
      <c r="D398" s="54" t="s">
        <v>212</v>
      </c>
      <c r="E398" s="54"/>
      <c r="F398" s="56" t="n">
        <v>46307.9669120949</v>
      </c>
      <c r="G398" s="54" t="s">
        <v>214</v>
      </c>
      <c r="H398" s="54" t="s">
        <v>212</v>
      </c>
      <c r="I398" s="57"/>
      <c r="J398" s="56"/>
      <c r="K398" s="56"/>
      <c r="L398" s="58" t="str">
        <f aca="false">IF(AND(ISNUMBER(J398),ISNUMBER(K398)),IF(K398&gt;=J398,(K398-J398)*1440,""),"")</f>
        <v/>
      </c>
      <c r="M398" s="56"/>
      <c r="N398" s="58" t="str">
        <f aca="false">IF(AND(ISNUMBER(J398),ISNUMBER(M398)),IF(M398&gt;=J398,(M398-J398)*1440,""),"")</f>
        <v/>
      </c>
      <c r="O398" s="54" t="str">
        <f aca="false">IF(N398="","",LOOKUP(N398,Tiempos!$A$6:$A$10,Tiempos!$B$6:$B$10))</f>
        <v/>
      </c>
      <c r="P398" s="54"/>
      <c r="Q398" s="54"/>
      <c r="R398" s="54"/>
      <c r="S398" s="54"/>
      <c r="T398" s="58"/>
      <c r="U398" s="54"/>
      <c r="V398" s="58"/>
      <c r="W398" s="57"/>
      <c r="X398" s="55"/>
      <c r="Y398" s="54"/>
      <c r="Z398" s="56"/>
      <c r="AA398" s="58" t="str">
        <f aca="false">IF(AND(ISNUMBER(M398),ISNUMBER(Z398)),IF(Z398&gt;=M398,(Z398-M398)*1440,""),"")</f>
        <v/>
      </c>
      <c r="AB398" s="57"/>
      <c r="AC398" s="56"/>
      <c r="AD398" s="58" t="str">
        <f aca="false">IF(AND(ISNUMBER(Z398),ISNUMBER(AC398)),IF(AC398&gt;=Z398,(AC398-Z398)*1440,""),"")</f>
        <v/>
      </c>
      <c r="AE398" s="54"/>
      <c r="AF398" s="54"/>
      <c r="AG398" s="54"/>
      <c r="AH398" s="58"/>
      <c r="AI398" s="55" t="n">
        <v>1</v>
      </c>
      <c r="AJ398" s="54" t="s">
        <v>347</v>
      </c>
      <c r="AK398" s="54" t="s">
        <v>212</v>
      </c>
    </row>
    <row r="399" customFormat="false" ht="15" hidden="false" customHeight="false" outlineLevel="0" collapsed="false">
      <c r="A399" s="54" t="s">
        <v>27</v>
      </c>
      <c r="B399" s="55" t="n">
        <v>1599</v>
      </c>
      <c r="C399" s="54" t="s">
        <v>127</v>
      </c>
      <c r="D399" s="54" t="s">
        <v>212</v>
      </c>
      <c r="E399" s="54"/>
      <c r="F399" s="56" t="n">
        <v>46308.0727327778</v>
      </c>
      <c r="G399" s="54" t="s">
        <v>214</v>
      </c>
      <c r="H399" s="54" t="s">
        <v>212</v>
      </c>
      <c r="I399" s="57"/>
      <c r="J399" s="56"/>
      <c r="K399" s="56"/>
      <c r="L399" s="58" t="str">
        <f aca="false">IF(AND(ISNUMBER(J399),ISNUMBER(K399)),IF(K399&gt;=J399,(K399-J399)*1440,""),"")</f>
        <v/>
      </c>
      <c r="M399" s="56"/>
      <c r="N399" s="58" t="str">
        <f aca="false">IF(AND(ISNUMBER(J399),ISNUMBER(M399)),IF(M399&gt;=J399,(M399-J399)*1440,""),"")</f>
        <v/>
      </c>
      <c r="O399" s="54" t="str">
        <f aca="false">IF(N399="","",LOOKUP(N399,Tiempos!$A$6:$A$10,Tiempos!$B$6:$B$10))</f>
        <v/>
      </c>
      <c r="P399" s="54"/>
      <c r="Q399" s="54"/>
      <c r="R399" s="54"/>
      <c r="S399" s="54"/>
      <c r="T399" s="58"/>
      <c r="U399" s="54"/>
      <c r="V399" s="58"/>
      <c r="W399" s="57"/>
      <c r="X399" s="55"/>
      <c r="Y399" s="54"/>
      <c r="Z399" s="56"/>
      <c r="AA399" s="58" t="str">
        <f aca="false">IF(AND(ISNUMBER(M399),ISNUMBER(Z399)),IF(Z399&gt;=M399,(Z399-M399)*1440,""),"")</f>
        <v/>
      </c>
      <c r="AB399" s="57"/>
      <c r="AC399" s="56"/>
      <c r="AD399" s="58" t="str">
        <f aca="false">IF(AND(ISNUMBER(Z399),ISNUMBER(AC399)),IF(AC399&gt;=Z399,(AC399-Z399)*1440,""),"")</f>
        <v/>
      </c>
      <c r="AE399" s="54"/>
      <c r="AF399" s="54"/>
      <c r="AG399" s="54"/>
      <c r="AH399" s="58"/>
      <c r="AI399" s="55" t="n">
        <v>1</v>
      </c>
      <c r="AJ399" s="54" t="s">
        <v>347</v>
      </c>
      <c r="AK399" s="54" t="s">
        <v>212</v>
      </c>
    </row>
    <row r="400" customFormat="false" ht="15" hidden="false" customHeight="false" outlineLevel="0" collapsed="false">
      <c r="A400" s="54" t="s">
        <v>27</v>
      </c>
      <c r="B400" s="55" t="n">
        <v>1597</v>
      </c>
      <c r="C400" s="54" t="s">
        <v>127</v>
      </c>
      <c r="D400" s="54" t="s">
        <v>212</v>
      </c>
      <c r="E400" s="54"/>
      <c r="F400" s="56" t="n">
        <v>46308.3083304167</v>
      </c>
      <c r="G400" s="54" t="s">
        <v>214</v>
      </c>
      <c r="H400" s="54" t="s">
        <v>212</v>
      </c>
      <c r="I400" s="57"/>
      <c r="J400" s="56"/>
      <c r="K400" s="56"/>
      <c r="L400" s="58" t="str">
        <f aca="false">IF(AND(ISNUMBER(J400),ISNUMBER(K400)),IF(K400&gt;=J400,(K400-J400)*1440,""),"")</f>
        <v/>
      </c>
      <c r="M400" s="56"/>
      <c r="N400" s="58" t="str">
        <f aca="false">IF(AND(ISNUMBER(J400),ISNUMBER(M400)),IF(M400&gt;=J400,(M400-J400)*1440,""),"")</f>
        <v/>
      </c>
      <c r="O400" s="54" t="str">
        <f aca="false">IF(N400="","",LOOKUP(N400,Tiempos!$A$6:$A$10,Tiempos!$B$6:$B$10))</f>
        <v/>
      </c>
      <c r="P400" s="54"/>
      <c r="Q400" s="54"/>
      <c r="R400" s="54"/>
      <c r="S400" s="54"/>
      <c r="T400" s="58"/>
      <c r="U400" s="54"/>
      <c r="V400" s="58"/>
      <c r="W400" s="57"/>
      <c r="X400" s="55"/>
      <c r="Y400" s="54"/>
      <c r="Z400" s="56"/>
      <c r="AA400" s="58" t="str">
        <f aca="false">IF(AND(ISNUMBER(M400),ISNUMBER(Z400)),IF(Z400&gt;=M400,(Z400-M400)*1440,""),"")</f>
        <v/>
      </c>
      <c r="AB400" s="57"/>
      <c r="AC400" s="56"/>
      <c r="AD400" s="58" t="str">
        <f aca="false">IF(AND(ISNUMBER(Z400),ISNUMBER(AC400)),IF(AC400&gt;=Z400,(AC400-Z400)*1440,""),"")</f>
        <v/>
      </c>
      <c r="AE400" s="54"/>
      <c r="AF400" s="54"/>
      <c r="AG400" s="54"/>
      <c r="AH400" s="58"/>
      <c r="AI400" s="55" t="n">
        <v>2</v>
      </c>
      <c r="AJ400" s="54" t="s">
        <v>347</v>
      </c>
      <c r="AK400" s="54" t="s">
        <v>212</v>
      </c>
    </row>
    <row r="401" customFormat="false" ht="15" hidden="false" customHeight="false" outlineLevel="0" collapsed="false">
      <c r="A401" s="54" t="s">
        <v>27</v>
      </c>
      <c r="B401" s="55" t="n">
        <v>1608</v>
      </c>
      <c r="C401" s="54" t="s">
        <v>127</v>
      </c>
      <c r="D401" s="54" t="s">
        <v>212</v>
      </c>
      <c r="E401" s="54"/>
      <c r="F401" s="56" t="n">
        <v>46308.3302740394</v>
      </c>
      <c r="G401" s="54" t="s">
        <v>214</v>
      </c>
      <c r="H401" s="54" t="s">
        <v>214</v>
      </c>
      <c r="I401" s="57"/>
      <c r="J401" s="56"/>
      <c r="K401" s="56"/>
      <c r="L401" s="58" t="str">
        <f aca="false">IF(AND(ISNUMBER(J401),ISNUMBER(K401)),IF(K401&gt;=J401,(K401-J401)*1440,""),"")</f>
        <v/>
      </c>
      <c r="M401" s="56"/>
      <c r="N401" s="58" t="str">
        <f aca="false">IF(AND(ISNUMBER(J401),ISNUMBER(M401)),IF(M401&gt;=J401,(M401-J401)*1440,""),"")</f>
        <v/>
      </c>
      <c r="O401" s="54" t="str">
        <f aca="false">IF(N401="","",LOOKUP(N401,Tiempos!$A$6:$A$10,Tiempos!$B$6:$B$10))</f>
        <v/>
      </c>
      <c r="P401" s="54"/>
      <c r="Q401" s="54"/>
      <c r="R401" s="54"/>
      <c r="S401" s="54"/>
      <c r="T401" s="58"/>
      <c r="U401" s="54"/>
      <c r="V401" s="58"/>
      <c r="W401" s="57"/>
      <c r="X401" s="55"/>
      <c r="Y401" s="54"/>
      <c r="Z401" s="56"/>
      <c r="AA401" s="58" t="str">
        <f aca="false">IF(AND(ISNUMBER(M401),ISNUMBER(Z401)),IF(Z401&gt;=M401,(Z401-M401)*1440,""),"")</f>
        <v/>
      </c>
      <c r="AB401" s="57"/>
      <c r="AC401" s="56"/>
      <c r="AD401" s="58" t="str">
        <f aca="false">IF(AND(ISNUMBER(Z401),ISNUMBER(AC401)),IF(AC401&gt;=Z401,(AC401-Z401)*1440,""),"")</f>
        <v/>
      </c>
      <c r="AE401" s="54"/>
      <c r="AF401" s="54"/>
      <c r="AG401" s="54"/>
      <c r="AH401" s="58"/>
      <c r="AI401" s="55" t="n">
        <v>2</v>
      </c>
      <c r="AJ401" s="54" t="s">
        <v>347</v>
      </c>
      <c r="AK401" s="54" t="s">
        <v>212</v>
      </c>
    </row>
    <row r="402" customFormat="false" ht="15" hidden="false" customHeight="false" outlineLevel="0" collapsed="false">
      <c r="A402" s="54" t="s">
        <v>27</v>
      </c>
      <c r="B402" s="55" t="n">
        <v>1628</v>
      </c>
      <c r="C402" s="54" t="s">
        <v>127</v>
      </c>
      <c r="D402" s="54" t="s">
        <v>212</v>
      </c>
      <c r="E402" s="54"/>
      <c r="F402" s="56" t="n">
        <v>46308.4171013657</v>
      </c>
      <c r="G402" s="54" t="s">
        <v>212</v>
      </c>
      <c r="H402" s="54" t="s">
        <v>214</v>
      </c>
      <c r="I402" s="57"/>
      <c r="J402" s="56"/>
      <c r="K402" s="56"/>
      <c r="L402" s="58" t="str">
        <f aca="false">IF(AND(ISNUMBER(J402),ISNUMBER(K402)),IF(K402&gt;=J402,(K402-J402)*1440,""),"")</f>
        <v/>
      </c>
      <c r="M402" s="56"/>
      <c r="N402" s="58" t="str">
        <f aca="false">IF(AND(ISNUMBER(J402),ISNUMBER(M402)),IF(M402&gt;=J402,(M402-J402)*1440,""),"")</f>
        <v/>
      </c>
      <c r="O402" s="54" t="str">
        <f aca="false">IF(N402="","",LOOKUP(N402,Tiempos!$A$6:$A$10,Tiempos!$B$6:$B$10))</f>
        <v/>
      </c>
      <c r="P402" s="54"/>
      <c r="Q402" s="54"/>
      <c r="R402" s="54"/>
      <c r="S402" s="54"/>
      <c r="T402" s="58"/>
      <c r="U402" s="54"/>
      <c r="V402" s="58"/>
      <c r="W402" s="57"/>
      <c r="X402" s="55"/>
      <c r="Y402" s="54"/>
      <c r="Z402" s="56"/>
      <c r="AA402" s="58" t="str">
        <f aca="false">IF(AND(ISNUMBER(M402),ISNUMBER(Z402)),IF(Z402&gt;=M402,(Z402-M402)*1440,""),"")</f>
        <v/>
      </c>
      <c r="AB402" s="57"/>
      <c r="AC402" s="56"/>
      <c r="AD402" s="58" t="str">
        <f aca="false">IF(AND(ISNUMBER(Z402),ISNUMBER(AC402)),IF(AC402&gt;=Z402,(AC402-Z402)*1440,""),"")</f>
        <v/>
      </c>
      <c r="AE402" s="54"/>
      <c r="AF402" s="54"/>
      <c r="AG402" s="54"/>
      <c r="AH402" s="58"/>
      <c r="AI402" s="55" t="n">
        <v>2</v>
      </c>
      <c r="AJ402" s="54" t="s">
        <v>216</v>
      </c>
      <c r="AK402" s="54" t="s">
        <v>212</v>
      </c>
    </row>
    <row r="403" customFormat="false" ht="15" hidden="false" customHeight="false" outlineLevel="0" collapsed="false">
      <c r="A403" s="54" t="s">
        <v>27</v>
      </c>
      <c r="B403" s="55" t="n">
        <v>1623</v>
      </c>
      <c r="C403" s="54" t="s">
        <v>127</v>
      </c>
      <c r="D403" s="54" t="s">
        <v>212</v>
      </c>
      <c r="E403" s="54"/>
      <c r="F403" s="56" t="n">
        <v>46308.4273639931</v>
      </c>
      <c r="G403" s="54" t="s">
        <v>212</v>
      </c>
      <c r="H403" s="54" t="s">
        <v>214</v>
      </c>
      <c r="I403" s="57"/>
      <c r="J403" s="56"/>
      <c r="K403" s="56"/>
      <c r="L403" s="58" t="str">
        <f aca="false">IF(AND(ISNUMBER(J403),ISNUMBER(K403)),IF(K403&gt;=J403,(K403-J403)*1440,""),"")</f>
        <v/>
      </c>
      <c r="M403" s="56"/>
      <c r="N403" s="58" t="str">
        <f aca="false">IF(AND(ISNUMBER(J403),ISNUMBER(M403)),IF(M403&gt;=J403,(M403-J403)*1440,""),"")</f>
        <v/>
      </c>
      <c r="O403" s="54" t="str">
        <f aca="false">IF(N403="","",LOOKUP(N403,Tiempos!$A$6:$A$10,Tiempos!$B$6:$B$10))</f>
        <v/>
      </c>
      <c r="P403" s="54"/>
      <c r="Q403" s="54"/>
      <c r="R403" s="54"/>
      <c r="S403" s="54"/>
      <c r="T403" s="58"/>
      <c r="U403" s="54"/>
      <c r="V403" s="58"/>
      <c r="W403" s="57"/>
      <c r="X403" s="55"/>
      <c r="Y403" s="54"/>
      <c r="Z403" s="56"/>
      <c r="AA403" s="58" t="str">
        <f aca="false">IF(AND(ISNUMBER(M403),ISNUMBER(Z403)),IF(Z403&gt;=M403,(Z403-M403)*1440,""),"")</f>
        <v/>
      </c>
      <c r="AB403" s="57"/>
      <c r="AC403" s="56"/>
      <c r="AD403" s="58" t="str">
        <f aca="false">IF(AND(ISNUMBER(Z403),ISNUMBER(AC403)),IF(AC403&gt;=Z403,(AC403-Z403)*1440,""),"")</f>
        <v/>
      </c>
      <c r="AE403" s="54"/>
      <c r="AF403" s="54"/>
      <c r="AG403" s="54"/>
      <c r="AH403" s="58"/>
      <c r="AI403" s="55" t="n">
        <v>1</v>
      </c>
      <c r="AJ403" s="54" t="s">
        <v>216</v>
      </c>
      <c r="AK403" s="54" t="s">
        <v>212</v>
      </c>
    </row>
    <row r="404" customFormat="false" ht="15" hidden="false" customHeight="false" outlineLevel="0" collapsed="false">
      <c r="A404" s="54" t="s">
        <v>27</v>
      </c>
      <c r="B404" s="55" t="n">
        <v>1625</v>
      </c>
      <c r="C404" s="54" t="s">
        <v>127</v>
      </c>
      <c r="D404" s="54" t="s">
        <v>212</v>
      </c>
      <c r="E404" s="54"/>
      <c r="F404" s="56" t="n">
        <v>46308.4308320602</v>
      </c>
      <c r="G404" s="54" t="s">
        <v>212</v>
      </c>
      <c r="H404" s="54" t="s">
        <v>212</v>
      </c>
      <c r="I404" s="57"/>
      <c r="J404" s="56"/>
      <c r="K404" s="56"/>
      <c r="L404" s="58" t="str">
        <f aca="false">IF(AND(ISNUMBER(J404),ISNUMBER(K404)),IF(K404&gt;=J404,(K404-J404)*1440,""),"")</f>
        <v/>
      </c>
      <c r="M404" s="56"/>
      <c r="N404" s="58" t="str">
        <f aca="false">IF(AND(ISNUMBER(J404),ISNUMBER(M404)),IF(M404&gt;=J404,(M404-J404)*1440,""),"")</f>
        <v/>
      </c>
      <c r="O404" s="54" t="str">
        <f aca="false">IF(N404="","",LOOKUP(N404,Tiempos!$A$6:$A$10,Tiempos!$B$6:$B$10))</f>
        <v/>
      </c>
      <c r="P404" s="54"/>
      <c r="Q404" s="54"/>
      <c r="R404" s="54"/>
      <c r="S404" s="54"/>
      <c r="T404" s="58"/>
      <c r="U404" s="54"/>
      <c r="V404" s="58"/>
      <c r="W404" s="57"/>
      <c r="X404" s="55"/>
      <c r="Y404" s="54"/>
      <c r="Z404" s="56"/>
      <c r="AA404" s="58" t="str">
        <f aca="false">IF(AND(ISNUMBER(M404),ISNUMBER(Z404)),IF(Z404&gt;=M404,(Z404-M404)*1440,""),"")</f>
        <v/>
      </c>
      <c r="AB404" s="57"/>
      <c r="AC404" s="56"/>
      <c r="AD404" s="58" t="str">
        <f aca="false">IF(AND(ISNUMBER(Z404),ISNUMBER(AC404)),IF(AC404&gt;=Z404,(AC404-Z404)*1440,""),"")</f>
        <v/>
      </c>
      <c r="AE404" s="54"/>
      <c r="AF404" s="54"/>
      <c r="AG404" s="54"/>
      <c r="AH404" s="58"/>
      <c r="AI404" s="55" t="n">
        <v>1</v>
      </c>
      <c r="AJ404" s="54" t="s">
        <v>216</v>
      </c>
      <c r="AK404" s="54" t="s">
        <v>212</v>
      </c>
    </row>
    <row r="405" customFormat="false" ht="15" hidden="false" customHeight="false" outlineLevel="0" collapsed="false">
      <c r="A405" s="54" t="s">
        <v>27</v>
      </c>
      <c r="B405" s="55" t="n">
        <v>1632</v>
      </c>
      <c r="C405" s="54" t="s">
        <v>127</v>
      </c>
      <c r="D405" s="54" t="s">
        <v>212</v>
      </c>
      <c r="E405" s="54"/>
      <c r="F405" s="56" t="n">
        <v>46308.4372117593</v>
      </c>
      <c r="G405" s="54" t="s">
        <v>212</v>
      </c>
      <c r="H405" s="54" t="s">
        <v>212</v>
      </c>
      <c r="I405" s="57"/>
      <c r="J405" s="56"/>
      <c r="K405" s="56"/>
      <c r="L405" s="58" t="str">
        <f aca="false">IF(AND(ISNUMBER(J405),ISNUMBER(K405)),IF(K405&gt;=J405,(K405-J405)*1440,""),"")</f>
        <v/>
      </c>
      <c r="M405" s="56"/>
      <c r="N405" s="58" t="str">
        <f aca="false">IF(AND(ISNUMBER(J405),ISNUMBER(M405)),IF(M405&gt;=J405,(M405-J405)*1440,""),"")</f>
        <v/>
      </c>
      <c r="O405" s="54" t="str">
        <f aca="false">IF(N405="","",LOOKUP(N405,Tiempos!$A$6:$A$10,Tiempos!$B$6:$B$10))</f>
        <v/>
      </c>
      <c r="P405" s="54"/>
      <c r="Q405" s="54"/>
      <c r="R405" s="54"/>
      <c r="S405" s="54"/>
      <c r="T405" s="58"/>
      <c r="U405" s="54"/>
      <c r="V405" s="58"/>
      <c r="W405" s="57"/>
      <c r="X405" s="55"/>
      <c r="Y405" s="54"/>
      <c r="Z405" s="56"/>
      <c r="AA405" s="58" t="str">
        <f aca="false">IF(AND(ISNUMBER(M405),ISNUMBER(Z405)),IF(Z405&gt;=M405,(Z405-M405)*1440,""),"")</f>
        <v/>
      </c>
      <c r="AB405" s="57"/>
      <c r="AC405" s="56"/>
      <c r="AD405" s="58" t="str">
        <f aca="false">IF(AND(ISNUMBER(Z405),ISNUMBER(AC405)),IF(AC405&gt;=Z405,(AC405-Z405)*1440,""),"")</f>
        <v/>
      </c>
      <c r="AE405" s="54"/>
      <c r="AF405" s="54"/>
      <c r="AG405" s="54"/>
      <c r="AH405" s="58"/>
      <c r="AI405" s="55" t="n">
        <v>2</v>
      </c>
      <c r="AJ405" s="54" t="s">
        <v>216</v>
      </c>
      <c r="AK405" s="54" t="s">
        <v>212</v>
      </c>
    </row>
    <row r="406" customFormat="false" ht="15" hidden="false" customHeight="false" outlineLevel="0" collapsed="false">
      <c r="A406" s="54" t="s">
        <v>27</v>
      </c>
      <c r="B406" s="55" t="n">
        <v>1630</v>
      </c>
      <c r="C406" s="54" t="s">
        <v>127</v>
      </c>
      <c r="D406" s="54" t="s">
        <v>212</v>
      </c>
      <c r="E406" s="54"/>
      <c r="F406" s="56" t="n">
        <v>46308.4495114815</v>
      </c>
      <c r="G406" s="54" t="s">
        <v>212</v>
      </c>
      <c r="H406" s="54" t="s">
        <v>214</v>
      </c>
      <c r="I406" s="57"/>
      <c r="J406" s="56"/>
      <c r="K406" s="56"/>
      <c r="L406" s="58" t="str">
        <f aca="false">IF(AND(ISNUMBER(J406),ISNUMBER(K406)),IF(K406&gt;=J406,(K406-J406)*1440,""),"")</f>
        <v/>
      </c>
      <c r="M406" s="56"/>
      <c r="N406" s="58" t="str">
        <f aca="false">IF(AND(ISNUMBER(J406),ISNUMBER(M406)),IF(M406&gt;=J406,(M406-J406)*1440,""),"")</f>
        <v/>
      </c>
      <c r="O406" s="54" t="str">
        <f aca="false">IF(N406="","",LOOKUP(N406,Tiempos!$A$6:$A$10,Tiempos!$B$6:$B$10))</f>
        <v/>
      </c>
      <c r="P406" s="54"/>
      <c r="Q406" s="54"/>
      <c r="R406" s="54"/>
      <c r="S406" s="54"/>
      <c r="T406" s="58"/>
      <c r="U406" s="54"/>
      <c r="V406" s="58"/>
      <c r="W406" s="57"/>
      <c r="X406" s="55"/>
      <c r="Y406" s="54"/>
      <c r="Z406" s="56"/>
      <c r="AA406" s="58" t="str">
        <f aca="false">IF(AND(ISNUMBER(M406),ISNUMBER(Z406)),IF(Z406&gt;=M406,(Z406-M406)*1440,""),"")</f>
        <v/>
      </c>
      <c r="AB406" s="57"/>
      <c r="AC406" s="56"/>
      <c r="AD406" s="58" t="str">
        <f aca="false">IF(AND(ISNUMBER(Z406),ISNUMBER(AC406)),IF(AC406&gt;=Z406,(AC406-Z406)*1440,""),"")</f>
        <v/>
      </c>
      <c r="AE406" s="54"/>
      <c r="AF406" s="54"/>
      <c r="AG406" s="54"/>
      <c r="AH406" s="58"/>
      <c r="AI406" s="55" t="n">
        <v>1</v>
      </c>
      <c r="AJ406" s="54" t="s">
        <v>216</v>
      </c>
      <c r="AK406" s="54" t="s">
        <v>212</v>
      </c>
    </row>
    <row r="407" customFormat="false" ht="15" hidden="false" customHeight="false" outlineLevel="0" collapsed="false">
      <c r="A407" s="54" t="s">
        <v>27</v>
      </c>
      <c r="B407" s="55" t="n">
        <v>1633</v>
      </c>
      <c r="C407" s="54" t="s">
        <v>127</v>
      </c>
      <c r="D407" s="54" t="s">
        <v>212</v>
      </c>
      <c r="E407" s="54"/>
      <c r="F407" s="56" t="n">
        <v>46308.4591890857</v>
      </c>
      <c r="G407" s="54" t="s">
        <v>212</v>
      </c>
      <c r="H407" s="54" t="s">
        <v>212</v>
      </c>
      <c r="I407" s="57"/>
      <c r="J407" s="56"/>
      <c r="K407" s="56"/>
      <c r="L407" s="58" t="str">
        <f aca="false">IF(AND(ISNUMBER(J407),ISNUMBER(K407)),IF(K407&gt;=J407,(K407-J407)*1440,""),"")</f>
        <v/>
      </c>
      <c r="M407" s="56"/>
      <c r="N407" s="58" t="str">
        <f aca="false">IF(AND(ISNUMBER(J407),ISNUMBER(M407)),IF(M407&gt;=J407,(M407-J407)*1440,""),"")</f>
        <v/>
      </c>
      <c r="O407" s="54" t="str">
        <f aca="false">IF(N407="","",LOOKUP(N407,Tiempos!$A$6:$A$10,Tiempos!$B$6:$B$10))</f>
        <v/>
      </c>
      <c r="P407" s="54"/>
      <c r="Q407" s="54"/>
      <c r="R407" s="54"/>
      <c r="S407" s="54"/>
      <c r="T407" s="58"/>
      <c r="U407" s="54"/>
      <c r="V407" s="58"/>
      <c r="W407" s="57"/>
      <c r="X407" s="55"/>
      <c r="Y407" s="54"/>
      <c r="Z407" s="56"/>
      <c r="AA407" s="58" t="str">
        <f aca="false">IF(AND(ISNUMBER(M407),ISNUMBER(Z407)),IF(Z407&gt;=M407,(Z407-M407)*1440,""),"")</f>
        <v/>
      </c>
      <c r="AB407" s="57"/>
      <c r="AC407" s="56"/>
      <c r="AD407" s="58" t="str">
        <f aca="false">IF(AND(ISNUMBER(Z407),ISNUMBER(AC407)),IF(AC407&gt;=Z407,(AC407-Z407)*1440,""),"")</f>
        <v/>
      </c>
      <c r="AE407" s="54"/>
      <c r="AF407" s="54"/>
      <c r="AG407" s="54"/>
      <c r="AH407" s="58"/>
      <c r="AI407" s="55" t="n">
        <v>1</v>
      </c>
      <c r="AJ407" s="54" t="s">
        <v>216</v>
      </c>
      <c r="AK407" s="54" t="s">
        <v>212</v>
      </c>
    </row>
    <row r="408" customFormat="false" ht="15" hidden="false" customHeight="false" outlineLevel="0" collapsed="false">
      <c r="A408" s="54" t="s">
        <v>27</v>
      </c>
      <c r="B408" s="55" t="n">
        <v>1635</v>
      </c>
      <c r="C408" s="54" t="s">
        <v>127</v>
      </c>
      <c r="D408" s="54" t="s">
        <v>211</v>
      </c>
      <c r="E408" s="54"/>
      <c r="F408" s="56" t="n">
        <v>46308.4649283565</v>
      </c>
      <c r="G408" s="54" t="s">
        <v>212</v>
      </c>
      <c r="H408" s="54" t="s">
        <v>212</v>
      </c>
      <c r="I408" s="57" t="s">
        <v>647</v>
      </c>
      <c r="J408" s="56" t="n">
        <v>46308.4679978935</v>
      </c>
      <c r="K408" s="56" t="n">
        <v>46308.4688312384</v>
      </c>
      <c r="L408" s="58" t="n">
        <f aca="false">IF(AND(ISNUMBER(J408),ISNUMBER(K408)),IF(K408&gt;=J408,(K408-J408)*1440,""),"")</f>
        <v>1.20001665665</v>
      </c>
      <c r="M408" s="56" t="n">
        <v>46308.4688312384</v>
      </c>
      <c r="N408" s="58" t="n">
        <f aca="false">IF(AND(ISNUMBER(J408),ISNUMBER(M408)),IF(M408&gt;=J408,(M408-J408)*1440,""),"")</f>
        <v>1.20001665665</v>
      </c>
      <c r="O408" s="54" t="str">
        <f aca="false">IF(N408="","",LOOKUP(N408,Tiempos!$A$6:$A$10,Tiempos!$B$6:$B$10))</f>
        <v>Menos de 4 min</v>
      </c>
      <c r="P408" s="54" t="s">
        <v>226</v>
      </c>
      <c r="Q408" s="54" t="s">
        <v>212</v>
      </c>
      <c r="R408" s="54" t="s">
        <v>127</v>
      </c>
      <c r="S408" s="54" t="s">
        <v>220</v>
      </c>
      <c r="T408" s="58"/>
      <c r="U408" s="54"/>
      <c r="V408" s="58"/>
      <c r="W408" s="57"/>
      <c r="X408" s="55" t="n">
        <v>0</v>
      </c>
      <c r="Y408" s="54" t="s">
        <v>214</v>
      </c>
      <c r="Z408" s="56" t="n">
        <v>46308.5866227894</v>
      </c>
      <c r="AA408" s="58" t="n">
        <f aca="false">IF(AND(ISNUMBER(M408),ISNUMBER(Z408)),IF(Z408&gt;=M408,(Z408-M408)*1440,""),"")</f>
        <v>169.619833342717</v>
      </c>
      <c r="AB408" s="57" t="s">
        <v>648</v>
      </c>
      <c r="AC408" s="56" t="n">
        <v>46308.5907316435</v>
      </c>
      <c r="AD408" s="58" t="n">
        <f aca="false">IF(AND(ISNUMBER(Z408),ISNUMBER(AC408)),IF(AC408&gt;=Z408,(AC408-Z408)*1440,""),"")</f>
        <v>5.9167500038</v>
      </c>
      <c r="AE408" s="54" t="s">
        <v>247</v>
      </c>
      <c r="AF408" s="54" t="s">
        <v>214</v>
      </c>
      <c r="AG408" s="54" t="s">
        <v>212</v>
      </c>
      <c r="AH408" s="58"/>
      <c r="AI408" s="55" t="n">
        <v>1</v>
      </c>
      <c r="AJ408" s="54" t="s">
        <v>216</v>
      </c>
      <c r="AK408" s="54" t="s">
        <v>212</v>
      </c>
    </row>
    <row r="409" customFormat="false" ht="15" hidden="false" customHeight="false" outlineLevel="0" collapsed="false">
      <c r="A409" s="54" t="s">
        <v>27</v>
      </c>
      <c r="B409" s="55" t="n">
        <v>1641</v>
      </c>
      <c r="C409" s="54" t="s">
        <v>127</v>
      </c>
      <c r="D409" s="54" t="s">
        <v>212</v>
      </c>
      <c r="E409" s="54"/>
      <c r="F409" s="56" t="n">
        <v>46308.4732797685</v>
      </c>
      <c r="G409" s="54" t="s">
        <v>212</v>
      </c>
      <c r="H409" s="54" t="s">
        <v>214</v>
      </c>
      <c r="I409" s="57"/>
      <c r="J409" s="56"/>
      <c r="K409" s="56"/>
      <c r="L409" s="58" t="str">
        <f aca="false">IF(AND(ISNUMBER(J409),ISNUMBER(K409)),IF(K409&gt;=J409,(K409-J409)*1440,""),"")</f>
        <v/>
      </c>
      <c r="M409" s="56"/>
      <c r="N409" s="58" t="str">
        <f aca="false">IF(AND(ISNUMBER(J409),ISNUMBER(M409)),IF(M409&gt;=J409,(M409-J409)*1440,""),"")</f>
        <v/>
      </c>
      <c r="O409" s="54" t="str">
        <f aca="false">IF(N409="","",LOOKUP(N409,Tiempos!$A$6:$A$10,Tiempos!$B$6:$B$10))</f>
        <v/>
      </c>
      <c r="P409" s="54"/>
      <c r="Q409" s="54"/>
      <c r="R409" s="54"/>
      <c r="S409" s="54"/>
      <c r="T409" s="58"/>
      <c r="U409" s="54"/>
      <c r="V409" s="58"/>
      <c r="W409" s="57"/>
      <c r="X409" s="55"/>
      <c r="Y409" s="54"/>
      <c r="Z409" s="56"/>
      <c r="AA409" s="58" t="str">
        <f aca="false">IF(AND(ISNUMBER(M409),ISNUMBER(Z409)),IF(Z409&gt;=M409,(Z409-M409)*1440,""),"")</f>
        <v/>
      </c>
      <c r="AB409" s="57"/>
      <c r="AC409" s="56"/>
      <c r="AD409" s="58" t="str">
        <f aca="false">IF(AND(ISNUMBER(Z409),ISNUMBER(AC409)),IF(AC409&gt;=Z409,(AC409-Z409)*1440,""),"")</f>
        <v/>
      </c>
      <c r="AE409" s="54"/>
      <c r="AF409" s="54"/>
      <c r="AG409" s="54"/>
      <c r="AH409" s="58"/>
      <c r="AI409" s="55" t="n">
        <v>2</v>
      </c>
      <c r="AJ409" s="54" t="s">
        <v>216</v>
      </c>
      <c r="AK409" s="54" t="s">
        <v>212</v>
      </c>
    </row>
    <row r="410" customFormat="false" ht="15" hidden="false" customHeight="false" outlineLevel="0" collapsed="false">
      <c r="A410" s="54" t="s">
        <v>27</v>
      </c>
      <c r="B410" s="55" t="n">
        <v>1640</v>
      </c>
      <c r="C410" s="54" t="s">
        <v>127</v>
      </c>
      <c r="D410" s="54" t="s">
        <v>212</v>
      </c>
      <c r="E410" s="54"/>
      <c r="F410" s="56" t="n">
        <v>46308.4817997338</v>
      </c>
      <c r="G410" s="54" t="s">
        <v>212</v>
      </c>
      <c r="H410" s="54" t="s">
        <v>212</v>
      </c>
      <c r="I410" s="57"/>
      <c r="J410" s="56"/>
      <c r="K410" s="56"/>
      <c r="L410" s="58" t="str">
        <f aca="false">IF(AND(ISNUMBER(J410),ISNUMBER(K410)),IF(K410&gt;=J410,(K410-J410)*1440,""),"")</f>
        <v/>
      </c>
      <c r="M410" s="56"/>
      <c r="N410" s="58" t="str">
        <f aca="false">IF(AND(ISNUMBER(J410),ISNUMBER(M410)),IF(M410&gt;=J410,(M410-J410)*1440,""),"")</f>
        <v/>
      </c>
      <c r="O410" s="54" t="str">
        <f aca="false">IF(N410="","",LOOKUP(N410,Tiempos!$A$6:$A$10,Tiempos!$B$6:$B$10))</f>
        <v/>
      </c>
      <c r="P410" s="54"/>
      <c r="Q410" s="54"/>
      <c r="R410" s="54"/>
      <c r="S410" s="54"/>
      <c r="T410" s="58"/>
      <c r="U410" s="54"/>
      <c r="V410" s="58"/>
      <c r="W410" s="57"/>
      <c r="X410" s="55"/>
      <c r="Y410" s="54"/>
      <c r="Z410" s="56"/>
      <c r="AA410" s="58" t="str">
        <f aca="false">IF(AND(ISNUMBER(M410),ISNUMBER(Z410)),IF(Z410&gt;=M410,(Z410-M410)*1440,""),"")</f>
        <v/>
      </c>
      <c r="AB410" s="57"/>
      <c r="AC410" s="56"/>
      <c r="AD410" s="58" t="str">
        <f aca="false">IF(AND(ISNUMBER(Z410),ISNUMBER(AC410)),IF(AC410&gt;=Z410,(AC410-Z410)*1440,""),"")</f>
        <v/>
      </c>
      <c r="AE410" s="54"/>
      <c r="AF410" s="54"/>
      <c r="AG410" s="54"/>
      <c r="AH410" s="58"/>
      <c r="AI410" s="55" t="n">
        <v>1</v>
      </c>
      <c r="AJ410" s="54" t="s">
        <v>216</v>
      </c>
      <c r="AK410" s="54" t="s">
        <v>212</v>
      </c>
    </row>
    <row r="411" customFormat="false" ht="15" hidden="false" customHeight="false" outlineLevel="0" collapsed="false">
      <c r="A411" s="54" t="s">
        <v>27</v>
      </c>
      <c r="B411" s="55" t="n">
        <v>1644</v>
      </c>
      <c r="C411" s="54" t="s">
        <v>127</v>
      </c>
      <c r="D411" s="54" t="s">
        <v>212</v>
      </c>
      <c r="E411" s="54"/>
      <c r="F411" s="56" t="n">
        <v>46308.4982946528</v>
      </c>
      <c r="G411" s="54" t="s">
        <v>212</v>
      </c>
      <c r="H411" s="54" t="s">
        <v>212</v>
      </c>
      <c r="I411" s="57"/>
      <c r="J411" s="56"/>
      <c r="K411" s="56"/>
      <c r="L411" s="58" t="str">
        <f aca="false">IF(AND(ISNUMBER(J411),ISNUMBER(K411)),IF(K411&gt;=J411,(K411-J411)*1440,""),"")</f>
        <v/>
      </c>
      <c r="M411" s="56"/>
      <c r="N411" s="58" t="str">
        <f aca="false">IF(AND(ISNUMBER(J411),ISNUMBER(M411)),IF(M411&gt;=J411,(M411-J411)*1440,""),"")</f>
        <v/>
      </c>
      <c r="O411" s="54" t="str">
        <f aca="false">IF(N411="","",LOOKUP(N411,Tiempos!$A$6:$A$10,Tiempos!$B$6:$B$10))</f>
        <v/>
      </c>
      <c r="P411" s="54"/>
      <c r="Q411" s="54"/>
      <c r="R411" s="54"/>
      <c r="S411" s="54"/>
      <c r="T411" s="58"/>
      <c r="U411" s="54"/>
      <c r="V411" s="58"/>
      <c r="W411" s="57"/>
      <c r="X411" s="55"/>
      <c r="Y411" s="54"/>
      <c r="Z411" s="56"/>
      <c r="AA411" s="58" t="str">
        <f aca="false">IF(AND(ISNUMBER(M411),ISNUMBER(Z411)),IF(Z411&gt;=M411,(Z411-M411)*1440,""),"")</f>
        <v/>
      </c>
      <c r="AB411" s="57"/>
      <c r="AC411" s="56"/>
      <c r="AD411" s="58" t="str">
        <f aca="false">IF(AND(ISNUMBER(Z411),ISNUMBER(AC411)),IF(AC411&gt;=Z411,(AC411-Z411)*1440,""),"")</f>
        <v/>
      </c>
      <c r="AE411" s="54"/>
      <c r="AF411" s="54"/>
      <c r="AG411" s="54"/>
      <c r="AH411" s="58"/>
      <c r="AI411" s="55" t="n">
        <v>1</v>
      </c>
      <c r="AJ411" s="54" t="s">
        <v>216</v>
      </c>
      <c r="AK411" s="54" t="s">
        <v>212</v>
      </c>
    </row>
    <row r="412" customFormat="false" ht="15" hidden="false" customHeight="false" outlineLevel="0" collapsed="false">
      <c r="A412" s="54" t="s">
        <v>27</v>
      </c>
      <c r="B412" s="55" t="n">
        <v>1651</v>
      </c>
      <c r="C412" s="54" t="s">
        <v>127</v>
      </c>
      <c r="D412" s="54" t="s">
        <v>214</v>
      </c>
      <c r="E412" s="54" t="s">
        <v>233</v>
      </c>
      <c r="F412" s="56" t="n">
        <v>46308.5226188542</v>
      </c>
      <c r="G412" s="54" t="s">
        <v>212</v>
      </c>
      <c r="H412" s="54" t="s">
        <v>212</v>
      </c>
      <c r="I412" s="57" t="s">
        <v>649</v>
      </c>
      <c r="J412" s="56" t="n">
        <v>46308.5245977315</v>
      </c>
      <c r="K412" s="56" t="n">
        <v>46308.526480787</v>
      </c>
      <c r="L412" s="58" t="n">
        <f aca="false">IF(AND(ISNUMBER(J412),ISNUMBER(K412)),IF(K412&gt;=J412,(K412-J412)*1440,""),"")</f>
        <v>2.7116000012</v>
      </c>
      <c r="M412" s="56" t="n">
        <v>46308.5285004282</v>
      </c>
      <c r="N412" s="58" t="n">
        <f aca="false">IF(AND(ISNUMBER(J412),ISNUMBER(M412)),IF(M412&gt;=J412,(M412-J412)*1440,""),"")</f>
        <v>5.61988334055</v>
      </c>
      <c r="O412" s="54" t="str">
        <f aca="false">IF(N412="","",LOOKUP(N412,Tiempos!$A$6:$A$10,Tiempos!$B$6:$B$10))</f>
        <v>4 a 6 min</v>
      </c>
      <c r="P412" s="54" t="s">
        <v>229</v>
      </c>
      <c r="Q412" s="54" t="s">
        <v>214</v>
      </c>
      <c r="R412" s="54" t="s">
        <v>127</v>
      </c>
      <c r="S412" s="54" t="s">
        <v>220</v>
      </c>
      <c r="T412" s="58" t="n">
        <v>117.1</v>
      </c>
      <c r="U412" s="54" t="s">
        <v>212</v>
      </c>
      <c r="V412" s="58" t="n">
        <v>2.91</v>
      </c>
      <c r="W412" s="57" t="s">
        <v>320</v>
      </c>
      <c r="X412" s="55" t="n">
        <v>2</v>
      </c>
      <c r="Y412" s="54" t="s">
        <v>214</v>
      </c>
      <c r="Z412" s="56" t="n">
        <v>46308.5407804398</v>
      </c>
      <c r="AA412" s="58" t="n">
        <f aca="false">IF(AND(ISNUMBER(M412),ISNUMBER(Z412)),IF(Z412&gt;=M412,(Z412-M412)*1440,""),"")</f>
        <v>17.6832166628333</v>
      </c>
      <c r="AB412" s="57" t="s">
        <v>650</v>
      </c>
      <c r="AC412" s="56" t="n">
        <v>46308.543030162</v>
      </c>
      <c r="AD412" s="58" t="n">
        <f aca="false">IF(AND(ISNUMBER(Z412),ISNUMBER(AC412)),IF(AC412&gt;=Z412,(AC412-Z412)*1440,""),"")</f>
        <v>3.2396000123</v>
      </c>
      <c r="AE412" s="54" t="s">
        <v>346</v>
      </c>
      <c r="AF412" s="54" t="s">
        <v>214</v>
      </c>
      <c r="AG412" s="54" t="s">
        <v>214</v>
      </c>
      <c r="AH412" s="58" t="n">
        <v>4</v>
      </c>
      <c r="AI412" s="55" t="n">
        <v>2</v>
      </c>
      <c r="AJ412" s="54" t="s">
        <v>347</v>
      </c>
      <c r="AK412" s="54" t="s">
        <v>212</v>
      </c>
    </row>
    <row r="413" customFormat="false" ht="15" hidden="false" customHeight="false" outlineLevel="0" collapsed="false">
      <c r="A413" s="54" t="s">
        <v>27</v>
      </c>
      <c r="B413" s="55" t="n">
        <v>1661</v>
      </c>
      <c r="C413" s="54" t="s">
        <v>129</v>
      </c>
      <c r="D413" s="54" t="s">
        <v>214</v>
      </c>
      <c r="E413" s="54" t="s">
        <v>233</v>
      </c>
      <c r="F413" s="56" t="n">
        <v>46308.5739788657</v>
      </c>
      <c r="G413" s="54" t="s">
        <v>212</v>
      </c>
      <c r="H413" s="54" t="s">
        <v>214</v>
      </c>
      <c r="I413" s="57" t="s">
        <v>651</v>
      </c>
      <c r="J413" s="56" t="n">
        <v>46308.5742459607</v>
      </c>
      <c r="K413" s="56" t="n">
        <v>46308.5743512153</v>
      </c>
      <c r="L413" s="58" t="n">
        <f aca="false">IF(AND(ISNUMBER(J413),ISNUMBER(K413)),IF(K413&gt;=J413,(K413-J413)*1440,""),"")</f>
        <v>0.15156666515</v>
      </c>
      <c r="M413" s="56" t="n">
        <v>46308.5775090046</v>
      </c>
      <c r="N413" s="58" t="n">
        <f aca="false">IF(AND(ISNUMBER(J413),ISNUMBER(M413)),IF(M413&gt;=J413,(M413-J413)*1440,""),"")</f>
        <v>4.69878333386667</v>
      </c>
      <c r="O413" s="54" t="str">
        <f aca="false">IF(N413="","",LOOKUP(N413,Tiempos!$A$6:$A$10,Tiempos!$B$6:$B$10))</f>
        <v>4 a 6 min</v>
      </c>
      <c r="P413" s="54" t="s">
        <v>244</v>
      </c>
      <c r="Q413" s="54" t="s">
        <v>214</v>
      </c>
      <c r="R413" s="54" t="s">
        <v>129</v>
      </c>
      <c r="S413" s="54" t="s">
        <v>220</v>
      </c>
      <c r="T413" s="58" t="n">
        <v>116.6</v>
      </c>
      <c r="U413" s="54" t="s">
        <v>214</v>
      </c>
      <c r="V413" s="58" t="n">
        <v>4.55</v>
      </c>
      <c r="W413" s="57" t="s">
        <v>639</v>
      </c>
      <c r="X413" s="55" t="n">
        <v>3</v>
      </c>
      <c r="Y413" s="54" t="s">
        <v>214</v>
      </c>
      <c r="Z413" s="56" t="n">
        <v>46308.8491435301</v>
      </c>
      <c r="AA413" s="58" t="n">
        <f aca="false">IF(AND(ISNUMBER(M413),ISNUMBER(Z413)),IF(Z413&gt;=M413,(Z413-M413)*1440,""),"")</f>
        <v>391.1537166615</v>
      </c>
      <c r="AB413" s="57" t="s">
        <v>652</v>
      </c>
      <c r="AC413" s="56" t="n">
        <v>46308.8649231829</v>
      </c>
      <c r="AD413" s="58" t="n">
        <f aca="false">IF(AND(ISNUMBER(Z413),ISNUMBER(AC413)),IF(AC413&gt;=Z413,(AC413-Z413)*1440,""),"")</f>
        <v>22.7227000007333</v>
      </c>
      <c r="AE413" s="54" t="s">
        <v>653</v>
      </c>
      <c r="AF413" s="54" t="s">
        <v>214</v>
      </c>
      <c r="AG413" s="54" t="s">
        <v>214</v>
      </c>
      <c r="AH413" s="58" t="n">
        <v>3.9</v>
      </c>
      <c r="AI413" s="55" t="n">
        <v>2</v>
      </c>
      <c r="AJ413" s="54" t="s">
        <v>210</v>
      </c>
      <c r="AK413" s="54" t="s">
        <v>214</v>
      </c>
    </row>
    <row r="414" customFormat="false" ht="15" hidden="false" customHeight="false" outlineLevel="0" collapsed="false">
      <c r="A414" s="54" t="s">
        <v>27</v>
      </c>
      <c r="B414" s="55" t="n">
        <v>1668</v>
      </c>
      <c r="C414" s="54" t="s">
        <v>129</v>
      </c>
      <c r="D414" s="54" t="s">
        <v>214</v>
      </c>
      <c r="E414" s="54" t="s">
        <v>233</v>
      </c>
      <c r="F414" s="56" t="n">
        <v>46308.6127185648</v>
      </c>
      <c r="G414" s="54" t="s">
        <v>212</v>
      </c>
      <c r="H414" s="54" t="s">
        <v>214</v>
      </c>
      <c r="I414" s="57" t="s">
        <v>654</v>
      </c>
      <c r="J414" s="56" t="n">
        <v>46308.7914072338</v>
      </c>
      <c r="K414" s="56" t="n">
        <v>46308.7915975926</v>
      </c>
      <c r="L414" s="58" t="n">
        <f aca="false">IF(AND(ISNUMBER(J414),ISNUMBER(K414)),IF(K414&gt;=J414,(K414-J414)*1440,""),"")</f>
        <v>0.274116658833333</v>
      </c>
      <c r="M414" s="56" t="n">
        <v>46308.7942847569</v>
      </c>
      <c r="N414" s="58" t="n">
        <f aca="false">IF(AND(ISNUMBER(J414),ISNUMBER(M414)),IF(M414&gt;=J414,(M414-J414)*1440,""),"")</f>
        <v>4.14363332208333</v>
      </c>
      <c r="O414" s="54" t="str">
        <f aca="false">IF(N414="","",LOOKUP(N414,Tiempos!$A$6:$A$10,Tiempos!$B$6:$B$10))</f>
        <v>4 a 6 min</v>
      </c>
      <c r="P414" s="54" t="s">
        <v>219</v>
      </c>
      <c r="Q414" s="54" t="s">
        <v>214</v>
      </c>
      <c r="R414" s="54" t="s">
        <v>129</v>
      </c>
      <c r="S414" s="54" t="s">
        <v>220</v>
      </c>
      <c r="T414" s="58" t="n">
        <v>106</v>
      </c>
      <c r="U414" s="54" t="s">
        <v>214</v>
      </c>
      <c r="V414" s="58" t="n">
        <v>3.87</v>
      </c>
      <c r="W414" s="57" t="s">
        <v>409</v>
      </c>
      <c r="X414" s="55" t="n">
        <v>4</v>
      </c>
      <c r="Y414" s="54" t="s">
        <v>214</v>
      </c>
      <c r="Z414" s="56" t="n">
        <v>46308.8003660185</v>
      </c>
      <c r="AA414" s="58" t="n">
        <f aca="false">IF(AND(ISNUMBER(M414),ISNUMBER(Z414)),IF(Z414&gt;=M414,(Z414-M414)*1440,""),"")</f>
        <v>8.75701667158333</v>
      </c>
      <c r="AB414" s="57" t="s">
        <v>655</v>
      </c>
      <c r="AC414" s="56" t="n">
        <v>46308.8004914815</v>
      </c>
      <c r="AD414" s="58" t="n">
        <f aca="false">IF(AND(ISNUMBER(Z414),ISNUMBER(AC414)),IF(AC414&gt;=Z414,(AC414-Z414)*1440,""),"")</f>
        <v>0.180666663216667</v>
      </c>
      <c r="AE414" s="54" t="s">
        <v>346</v>
      </c>
      <c r="AF414" s="54" t="s">
        <v>214</v>
      </c>
      <c r="AG414" s="54" t="s">
        <v>214</v>
      </c>
      <c r="AH414" s="58" t="n">
        <v>4.1</v>
      </c>
      <c r="AI414" s="55" t="n">
        <v>2</v>
      </c>
      <c r="AJ414" s="54" t="s">
        <v>347</v>
      </c>
      <c r="AK414" s="54" t="s">
        <v>212</v>
      </c>
    </row>
    <row r="415" customFormat="false" ht="15" hidden="false" customHeight="false" outlineLevel="0" collapsed="false">
      <c r="A415" s="54" t="s">
        <v>27</v>
      </c>
      <c r="B415" s="55" t="n">
        <v>1670</v>
      </c>
      <c r="C415" s="54" t="s">
        <v>127</v>
      </c>
      <c r="D415" s="54" t="s">
        <v>212</v>
      </c>
      <c r="E415" s="54"/>
      <c r="F415" s="56" t="n">
        <v>46308.6247569676</v>
      </c>
      <c r="G415" s="54" t="s">
        <v>212</v>
      </c>
      <c r="H415" s="54" t="s">
        <v>212</v>
      </c>
      <c r="I415" s="57"/>
      <c r="J415" s="56"/>
      <c r="K415" s="56"/>
      <c r="L415" s="58" t="str">
        <f aca="false">IF(AND(ISNUMBER(J415),ISNUMBER(K415)),IF(K415&gt;=J415,(K415-J415)*1440,""),"")</f>
        <v/>
      </c>
      <c r="M415" s="56"/>
      <c r="N415" s="58" t="str">
        <f aca="false">IF(AND(ISNUMBER(J415),ISNUMBER(M415)),IF(M415&gt;=J415,(M415-J415)*1440,""),"")</f>
        <v/>
      </c>
      <c r="O415" s="54" t="str">
        <f aca="false">IF(N415="","",LOOKUP(N415,Tiempos!$A$6:$A$10,Tiempos!$B$6:$B$10))</f>
        <v/>
      </c>
      <c r="P415" s="54"/>
      <c r="Q415" s="54"/>
      <c r="R415" s="54"/>
      <c r="S415" s="54"/>
      <c r="T415" s="58"/>
      <c r="U415" s="54"/>
      <c r="V415" s="58"/>
      <c r="W415" s="57"/>
      <c r="X415" s="55"/>
      <c r="Y415" s="54"/>
      <c r="Z415" s="56"/>
      <c r="AA415" s="58" t="str">
        <f aca="false">IF(AND(ISNUMBER(M415),ISNUMBER(Z415)),IF(Z415&gt;=M415,(Z415-M415)*1440,""),"")</f>
        <v/>
      </c>
      <c r="AB415" s="57"/>
      <c r="AC415" s="56"/>
      <c r="AD415" s="58" t="str">
        <f aca="false">IF(AND(ISNUMBER(Z415),ISNUMBER(AC415)),IF(AC415&gt;=Z415,(AC415-Z415)*1440,""),"")</f>
        <v/>
      </c>
      <c r="AE415" s="54"/>
      <c r="AF415" s="54"/>
      <c r="AG415" s="54"/>
      <c r="AH415" s="58"/>
      <c r="AI415" s="55" t="n">
        <v>1</v>
      </c>
      <c r="AJ415" s="54" t="s">
        <v>347</v>
      </c>
      <c r="AK415" s="54" t="s">
        <v>212</v>
      </c>
    </row>
    <row r="416" customFormat="false" ht="15" hidden="false" customHeight="false" outlineLevel="0" collapsed="false">
      <c r="A416" s="54" t="s">
        <v>27</v>
      </c>
      <c r="B416" s="55" t="n">
        <v>1677</v>
      </c>
      <c r="C416" s="54" t="s">
        <v>127</v>
      </c>
      <c r="D416" s="54" t="s">
        <v>214</v>
      </c>
      <c r="E416" s="54" t="s">
        <v>217</v>
      </c>
      <c r="F416" s="56" t="n">
        <v>46308.6464177546</v>
      </c>
      <c r="G416" s="54" t="s">
        <v>212</v>
      </c>
      <c r="H416" s="54" t="s">
        <v>214</v>
      </c>
      <c r="I416" s="57" t="s">
        <v>656</v>
      </c>
      <c r="J416" s="56" t="n">
        <v>46308.6485064468</v>
      </c>
      <c r="K416" s="56" t="n">
        <v>46308.6493565509</v>
      </c>
      <c r="L416" s="58" t="n">
        <f aca="false">IF(AND(ISNUMBER(J416),ISNUMBER(K416)),IF(K416&gt;=J416,(K416-J416)*1440,""),"")</f>
        <v>1.22414998941667</v>
      </c>
      <c r="M416" s="56" t="n">
        <v>46308.6527750694</v>
      </c>
      <c r="N416" s="58" t="n">
        <f aca="false">IF(AND(ISNUMBER(J416),ISNUMBER(M416)),IF(M416&gt;=J416,(M416-J416)*1440,""),"")</f>
        <v>6.1468166497</v>
      </c>
      <c r="O416" s="54" t="str">
        <f aca="false">IF(N416="","",LOOKUP(N416,Tiempos!$A$6:$A$10,Tiempos!$B$6:$B$10))</f>
        <v>6 a 10 min</v>
      </c>
      <c r="P416" s="54" t="s">
        <v>229</v>
      </c>
      <c r="Q416" s="54" t="s">
        <v>214</v>
      </c>
      <c r="R416" s="54" t="s">
        <v>127</v>
      </c>
      <c r="S416" s="54" t="s">
        <v>220</v>
      </c>
      <c r="T416" s="58" t="n">
        <v>108.1</v>
      </c>
      <c r="U416" s="54" t="s">
        <v>214</v>
      </c>
      <c r="V416" s="58" t="n">
        <v>4.92</v>
      </c>
      <c r="W416" s="57" t="s">
        <v>657</v>
      </c>
      <c r="X416" s="55" t="n">
        <v>2</v>
      </c>
      <c r="Y416" s="54" t="s">
        <v>212</v>
      </c>
      <c r="Z416" s="56"/>
      <c r="AA416" s="58" t="str">
        <f aca="false">IF(AND(ISNUMBER(M416),ISNUMBER(Z416)),IF(Z416&gt;=M416,(Z416-M416)*1440,""),"")</f>
        <v/>
      </c>
      <c r="AB416" s="57"/>
      <c r="AC416" s="56"/>
      <c r="AD416" s="58" t="str">
        <f aca="false">IF(AND(ISNUMBER(Z416),ISNUMBER(AC416)),IF(AC416&gt;=Z416,(AC416-Z416)*1440,""),"")</f>
        <v/>
      </c>
      <c r="AE416" s="54"/>
      <c r="AF416" s="54" t="s">
        <v>214</v>
      </c>
      <c r="AG416" s="54"/>
      <c r="AH416" s="58"/>
      <c r="AI416" s="55" t="n">
        <v>3</v>
      </c>
      <c r="AJ416" s="54" t="s">
        <v>347</v>
      </c>
      <c r="AK416" s="54" t="s">
        <v>212</v>
      </c>
    </row>
    <row r="417" customFormat="false" ht="15" hidden="false" customHeight="false" outlineLevel="0" collapsed="false">
      <c r="A417" s="54" t="s">
        <v>27</v>
      </c>
      <c r="B417" s="55" t="n">
        <v>1675</v>
      </c>
      <c r="C417" s="54" t="s">
        <v>127</v>
      </c>
      <c r="D417" s="54" t="s">
        <v>212</v>
      </c>
      <c r="E417" s="54"/>
      <c r="F417" s="56" t="n">
        <v>46308.6491189236</v>
      </c>
      <c r="G417" s="54" t="s">
        <v>212</v>
      </c>
      <c r="H417" s="54" t="s">
        <v>212</v>
      </c>
      <c r="I417" s="57"/>
      <c r="J417" s="56"/>
      <c r="K417" s="56"/>
      <c r="L417" s="58" t="str">
        <f aca="false">IF(AND(ISNUMBER(J417),ISNUMBER(K417)),IF(K417&gt;=J417,(K417-J417)*1440,""),"")</f>
        <v/>
      </c>
      <c r="M417" s="56"/>
      <c r="N417" s="58" t="str">
        <f aca="false">IF(AND(ISNUMBER(J417),ISNUMBER(M417)),IF(M417&gt;=J417,(M417-J417)*1440,""),"")</f>
        <v/>
      </c>
      <c r="O417" s="54" t="str">
        <f aca="false">IF(N417="","",LOOKUP(N417,Tiempos!$A$6:$A$10,Tiempos!$B$6:$B$10))</f>
        <v/>
      </c>
      <c r="P417" s="54"/>
      <c r="Q417" s="54"/>
      <c r="R417" s="54"/>
      <c r="S417" s="54"/>
      <c r="T417" s="58"/>
      <c r="U417" s="54"/>
      <c r="V417" s="58"/>
      <c r="W417" s="57"/>
      <c r="X417" s="55"/>
      <c r="Y417" s="54"/>
      <c r="Z417" s="56"/>
      <c r="AA417" s="58" t="str">
        <f aca="false">IF(AND(ISNUMBER(M417),ISNUMBER(Z417)),IF(Z417&gt;=M417,(Z417-M417)*1440,""),"")</f>
        <v/>
      </c>
      <c r="AB417" s="57"/>
      <c r="AC417" s="56"/>
      <c r="AD417" s="58" t="str">
        <f aca="false">IF(AND(ISNUMBER(Z417),ISNUMBER(AC417)),IF(AC417&gt;=Z417,(AC417-Z417)*1440,""),"")</f>
        <v/>
      </c>
      <c r="AE417" s="54"/>
      <c r="AF417" s="54"/>
      <c r="AG417" s="54"/>
      <c r="AH417" s="58"/>
      <c r="AI417" s="55" t="n">
        <v>1</v>
      </c>
      <c r="AJ417" s="54" t="s">
        <v>347</v>
      </c>
      <c r="AK417" s="54" t="s">
        <v>212</v>
      </c>
    </row>
    <row r="418" customFormat="false" ht="15" hidden="false" customHeight="false" outlineLevel="0" collapsed="false">
      <c r="A418" s="54" t="s">
        <v>27</v>
      </c>
      <c r="B418" s="55" t="n">
        <v>1679</v>
      </c>
      <c r="C418" s="54" t="s">
        <v>127</v>
      </c>
      <c r="D418" s="54" t="s">
        <v>212</v>
      </c>
      <c r="E418" s="54"/>
      <c r="F418" s="56" t="n">
        <v>46308.649197419</v>
      </c>
      <c r="G418" s="54" t="s">
        <v>212</v>
      </c>
      <c r="H418" s="54" t="s">
        <v>214</v>
      </c>
      <c r="I418" s="57"/>
      <c r="J418" s="56"/>
      <c r="K418" s="56"/>
      <c r="L418" s="58" t="str">
        <f aca="false">IF(AND(ISNUMBER(J418),ISNUMBER(K418)),IF(K418&gt;=J418,(K418-J418)*1440,""),"")</f>
        <v/>
      </c>
      <c r="M418" s="56"/>
      <c r="N418" s="58" t="str">
        <f aca="false">IF(AND(ISNUMBER(J418),ISNUMBER(M418)),IF(M418&gt;=J418,(M418-J418)*1440,""),"")</f>
        <v/>
      </c>
      <c r="O418" s="54" t="str">
        <f aca="false">IF(N418="","",LOOKUP(N418,Tiempos!$A$6:$A$10,Tiempos!$B$6:$B$10))</f>
        <v/>
      </c>
      <c r="P418" s="54"/>
      <c r="Q418" s="54"/>
      <c r="R418" s="54"/>
      <c r="S418" s="54"/>
      <c r="T418" s="58"/>
      <c r="U418" s="54"/>
      <c r="V418" s="58"/>
      <c r="W418" s="57"/>
      <c r="X418" s="55"/>
      <c r="Y418" s="54"/>
      <c r="Z418" s="56"/>
      <c r="AA418" s="58" t="str">
        <f aca="false">IF(AND(ISNUMBER(M418),ISNUMBER(Z418)),IF(Z418&gt;=M418,(Z418-M418)*1440,""),"")</f>
        <v/>
      </c>
      <c r="AB418" s="57"/>
      <c r="AC418" s="56"/>
      <c r="AD418" s="58" t="str">
        <f aca="false">IF(AND(ISNUMBER(Z418),ISNUMBER(AC418)),IF(AC418&gt;=Z418,(AC418-Z418)*1440,""),"")</f>
        <v/>
      </c>
      <c r="AE418" s="54"/>
      <c r="AF418" s="54"/>
      <c r="AG418" s="54"/>
      <c r="AH418" s="58"/>
      <c r="AI418" s="55" t="n">
        <v>2</v>
      </c>
      <c r="AJ418" s="54" t="s">
        <v>347</v>
      </c>
      <c r="AK418" s="54" t="s">
        <v>212</v>
      </c>
    </row>
    <row r="419" customFormat="false" ht="15" hidden="false" customHeight="false" outlineLevel="0" collapsed="false">
      <c r="A419" s="54" t="s">
        <v>27</v>
      </c>
      <c r="B419" s="55" t="n">
        <v>1682</v>
      </c>
      <c r="C419" s="54" t="s">
        <v>127</v>
      </c>
      <c r="D419" s="54" t="s">
        <v>214</v>
      </c>
      <c r="E419" s="54" t="s">
        <v>242</v>
      </c>
      <c r="F419" s="56" t="n">
        <v>46308.6734492361</v>
      </c>
      <c r="G419" s="54" t="s">
        <v>212</v>
      </c>
      <c r="H419" s="54" t="s">
        <v>214</v>
      </c>
      <c r="I419" s="57" t="s">
        <v>658</v>
      </c>
      <c r="J419" s="56" t="n">
        <v>46308.6740591204</v>
      </c>
      <c r="K419" s="56" t="n">
        <v>46308.6742280093</v>
      </c>
      <c r="L419" s="58" t="n">
        <f aca="false">IF(AND(ISNUMBER(J419),ISNUMBER(K419)),IF(K419&gt;=J419,(K419-J419)*1440,""),"")</f>
        <v>0.2431999985</v>
      </c>
      <c r="M419" s="56" t="n">
        <v>46308.6771580903</v>
      </c>
      <c r="N419" s="58" t="n">
        <f aca="false">IF(AND(ISNUMBER(J419),ISNUMBER(M419)),IF(M419&gt;=J419,(M419-J419)*1440,""),"")</f>
        <v>4.46251666755</v>
      </c>
      <c r="O419" s="54" t="str">
        <f aca="false">IF(N419="","",LOOKUP(N419,Tiempos!$A$6:$A$10,Tiempos!$B$6:$B$10))</f>
        <v>4 a 6 min</v>
      </c>
      <c r="P419" s="54" t="s">
        <v>229</v>
      </c>
      <c r="Q419" s="54" t="s">
        <v>214</v>
      </c>
      <c r="R419" s="54" t="s">
        <v>127</v>
      </c>
      <c r="S419" s="54" t="s">
        <v>220</v>
      </c>
      <c r="T419" s="58" t="n">
        <v>106.2</v>
      </c>
      <c r="U419" s="54" t="s">
        <v>214</v>
      </c>
      <c r="V419" s="58" t="n">
        <v>4.22</v>
      </c>
      <c r="W419" s="57" t="s">
        <v>316</v>
      </c>
      <c r="X419" s="55" t="n">
        <v>2</v>
      </c>
      <c r="Y419" s="54" t="s">
        <v>214</v>
      </c>
      <c r="Z419" s="56" t="n">
        <v>46308.689597338</v>
      </c>
      <c r="AA419" s="58" t="n">
        <f aca="false">IF(AND(ISNUMBER(M419),ISNUMBER(Z419)),IF(Z419&gt;=M419,(Z419-M419)*1440,""),"")</f>
        <v>17.9125166789</v>
      </c>
      <c r="AB419" s="57" t="s">
        <v>659</v>
      </c>
      <c r="AC419" s="56" t="n">
        <v>46308.6924382176</v>
      </c>
      <c r="AD419" s="58" t="n">
        <f aca="false">IF(AND(ISNUMBER(Z419),ISNUMBER(AC419)),IF(AC419&gt;=Z419,(AC419-Z419)*1440,""),"")</f>
        <v>4.0908666537</v>
      </c>
      <c r="AE419" s="54" t="s">
        <v>346</v>
      </c>
      <c r="AF419" s="54" t="s">
        <v>214</v>
      </c>
      <c r="AG419" s="54" t="s">
        <v>214</v>
      </c>
      <c r="AH419" s="58" t="n">
        <v>4</v>
      </c>
      <c r="AI419" s="55" t="n">
        <v>2</v>
      </c>
      <c r="AJ419" s="54" t="s">
        <v>347</v>
      </c>
      <c r="AK419" s="54" t="s">
        <v>212</v>
      </c>
    </row>
    <row r="420" customFormat="false" ht="15" hidden="false" customHeight="false" outlineLevel="0" collapsed="false">
      <c r="A420" s="54" t="s">
        <v>27</v>
      </c>
      <c r="B420" s="55" t="n">
        <v>1690</v>
      </c>
      <c r="C420" s="54" t="s">
        <v>129</v>
      </c>
      <c r="D420" s="54" t="s">
        <v>212</v>
      </c>
      <c r="E420" s="54"/>
      <c r="F420" s="56" t="n">
        <v>46308.6903753009</v>
      </c>
      <c r="G420" s="54" t="s">
        <v>212</v>
      </c>
      <c r="H420" s="54" t="s">
        <v>212</v>
      </c>
      <c r="I420" s="57"/>
      <c r="J420" s="56"/>
      <c r="K420" s="56"/>
      <c r="L420" s="58" t="str">
        <f aca="false">IF(AND(ISNUMBER(J420),ISNUMBER(K420)),IF(K420&gt;=J420,(K420-J420)*1440,""),"")</f>
        <v/>
      </c>
      <c r="M420" s="56"/>
      <c r="N420" s="58" t="str">
        <f aca="false">IF(AND(ISNUMBER(J420),ISNUMBER(M420)),IF(M420&gt;=J420,(M420-J420)*1440,""),"")</f>
        <v/>
      </c>
      <c r="O420" s="54" t="str">
        <f aca="false">IF(N420="","",LOOKUP(N420,Tiempos!$A$6:$A$10,Tiempos!$B$6:$B$10))</f>
        <v/>
      </c>
      <c r="P420" s="54"/>
      <c r="Q420" s="54"/>
      <c r="R420" s="54"/>
      <c r="S420" s="54"/>
      <c r="T420" s="58"/>
      <c r="U420" s="54"/>
      <c r="V420" s="58"/>
      <c r="W420" s="57"/>
      <c r="X420" s="55"/>
      <c r="Y420" s="54"/>
      <c r="Z420" s="56"/>
      <c r="AA420" s="58" t="str">
        <f aca="false">IF(AND(ISNUMBER(M420),ISNUMBER(Z420)),IF(Z420&gt;=M420,(Z420-M420)*1440,""),"")</f>
        <v/>
      </c>
      <c r="AB420" s="57"/>
      <c r="AC420" s="56"/>
      <c r="AD420" s="58" t="str">
        <f aca="false">IF(AND(ISNUMBER(Z420),ISNUMBER(AC420)),IF(AC420&gt;=Z420,(AC420-Z420)*1440,""),"")</f>
        <v/>
      </c>
      <c r="AE420" s="54"/>
      <c r="AF420" s="54"/>
      <c r="AG420" s="54"/>
      <c r="AH420" s="58"/>
      <c r="AI420" s="55" t="n">
        <v>2</v>
      </c>
      <c r="AJ420" s="54" t="s">
        <v>347</v>
      </c>
      <c r="AK420" s="54" t="s">
        <v>212</v>
      </c>
    </row>
    <row r="421" customFormat="false" ht="15" hidden="false" customHeight="false" outlineLevel="0" collapsed="false">
      <c r="A421" s="54" t="s">
        <v>27</v>
      </c>
      <c r="B421" s="55" t="n">
        <v>1691</v>
      </c>
      <c r="C421" s="54" t="s">
        <v>128</v>
      </c>
      <c r="D421" s="54" t="s">
        <v>214</v>
      </c>
      <c r="E421" s="54" t="s">
        <v>233</v>
      </c>
      <c r="F421" s="56" t="n">
        <v>46308.690600787</v>
      </c>
      <c r="G421" s="54" t="s">
        <v>212</v>
      </c>
      <c r="H421" s="54" t="s">
        <v>214</v>
      </c>
      <c r="I421" s="57" t="s">
        <v>660</v>
      </c>
      <c r="J421" s="56" t="n">
        <v>46308.7226725926</v>
      </c>
      <c r="K421" s="56" t="n">
        <v>46308.7291237153</v>
      </c>
      <c r="L421" s="58" t="n">
        <f aca="false">IF(AND(ISNUMBER(J421),ISNUMBER(K421)),IF(K421&gt;=J421,(K421-J421)*1440,""),"")</f>
        <v>9.28961666066667</v>
      </c>
      <c r="M421" s="56" t="n">
        <v>46308.7309952431</v>
      </c>
      <c r="N421" s="58" t="n">
        <f aca="false">IF(AND(ISNUMBER(J421),ISNUMBER(M421)),IF(M421&gt;=J421,(M421-J421)*1440,""),"")</f>
        <v>11.9846166798333</v>
      </c>
      <c r="O421" s="54" t="str">
        <f aca="false">IF(N421="","",LOOKUP(N421,Tiempos!$A$6:$A$10,Tiempos!$B$6:$B$10))</f>
        <v>10 a 30 min</v>
      </c>
      <c r="P421" s="54" t="s">
        <v>244</v>
      </c>
      <c r="Q421" s="54" t="s">
        <v>214</v>
      </c>
      <c r="R421" s="54" t="s">
        <v>128</v>
      </c>
      <c r="S421" s="54" t="s">
        <v>220</v>
      </c>
      <c r="T421" s="58" t="n">
        <v>84.1</v>
      </c>
      <c r="U421" s="54" t="s">
        <v>214</v>
      </c>
      <c r="V421" s="58" t="n">
        <v>2.69</v>
      </c>
      <c r="W421" s="57" t="s">
        <v>661</v>
      </c>
      <c r="X421" s="55" t="n">
        <v>3</v>
      </c>
      <c r="Y421" s="54" t="s">
        <v>212</v>
      </c>
      <c r="Z421" s="56"/>
      <c r="AA421" s="58" t="str">
        <f aca="false">IF(AND(ISNUMBER(M421),ISNUMBER(Z421)),IF(Z421&gt;=M421,(Z421-M421)*1440,""),"")</f>
        <v/>
      </c>
      <c r="AB421" s="57"/>
      <c r="AC421" s="56"/>
      <c r="AD421" s="58" t="str">
        <f aca="false">IF(AND(ISNUMBER(Z421),ISNUMBER(AC421)),IF(AC421&gt;=Z421,(AC421-Z421)*1440,""),"")</f>
        <v/>
      </c>
      <c r="AE421" s="54"/>
      <c r="AF421" s="54" t="s">
        <v>214</v>
      </c>
      <c r="AG421" s="54"/>
      <c r="AH421" s="58"/>
      <c r="AI421" s="55" t="n">
        <v>3</v>
      </c>
      <c r="AJ421" s="54" t="s">
        <v>347</v>
      </c>
      <c r="AK421" s="54" t="s">
        <v>212</v>
      </c>
    </row>
    <row r="422" customFormat="false" ht="15" hidden="false" customHeight="false" outlineLevel="0" collapsed="false">
      <c r="A422" s="54" t="s">
        <v>27</v>
      </c>
      <c r="B422" s="55" t="n">
        <v>1683</v>
      </c>
      <c r="C422" s="54" t="s">
        <v>127</v>
      </c>
      <c r="D422" s="54" t="s">
        <v>212</v>
      </c>
      <c r="E422" s="54"/>
      <c r="F422" s="56" t="n">
        <v>46308.6944912384</v>
      </c>
      <c r="G422" s="54" t="s">
        <v>212</v>
      </c>
      <c r="H422" s="54" t="s">
        <v>214</v>
      </c>
      <c r="I422" s="57"/>
      <c r="J422" s="56"/>
      <c r="K422" s="56"/>
      <c r="L422" s="58" t="str">
        <f aca="false">IF(AND(ISNUMBER(J422),ISNUMBER(K422)),IF(K422&gt;=J422,(K422-J422)*1440,""),"")</f>
        <v/>
      </c>
      <c r="M422" s="56"/>
      <c r="N422" s="58" t="str">
        <f aca="false">IF(AND(ISNUMBER(J422),ISNUMBER(M422)),IF(M422&gt;=J422,(M422-J422)*1440,""),"")</f>
        <v/>
      </c>
      <c r="O422" s="54" t="str">
        <f aca="false">IF(N422="","",LOOKUP(N422,Tiempos!$A$6:$A$10,Tiempos!$B$6:$B$10))</f>
        <v/>
      </c>
      <c r="P422" s="54"/>
      <c r="Q422" s="54"/>
      <c r="R422" s="54"/>
      <c r="S422" s="54"/>
      <c r="T422" s="58"/>
      <c r="U422" s="54"/>
      <c r="V422" s="58"/>
      <c r="W422" s="57"/>
      <c r="X422" s="55"/>
      <c r="Y422" s="54"/>
      <c r="Z422" s="56"/>
      <c r="AA422" s="58" t="str">
        <f aca="false">IF(AND(ISNUMBER(M422),ISNUMBER(Z422)),IF(Z422&gt;=M422,(Z422-M422)*1440,""),"")</f>
        <v/>
      </c>
      <c r="AB422" s="57"/>
      <c r="AC422" s="56"/>
      <c r="AD422" s="58" t="str">
        <f aca="false">IF(AND(ISNUMBER(Z422),ISNUMBER(AC422)),IF(AC422&gt;=Z422,(AC422-Z422)*1440,""),"")</f>
        <v/>
      </c>
      <c r="AE422" s="54"/>
      <c r="AF422" s="54"/>
      <c r="AG422" s="54"/>
      <c r="AH422" s="58"/>
      <c r="AI422" s="55" t="n">
        <v>1</v>
      </c>
      <c r="AJ422" s="54" t="s">
        <v>347</v>
      </c>
      <c r="AK422" s="54" t="s">
        <v>212</v>
      </c>
    </row>
    <row r="423" customFormat="false" ht="15" hidden="false" customHeight="false" outlineLevel="0" collapsed="false">
      <c r="A423" s="54" t="s">
        <v>27</v>
      </c>
      <c r="B423" s="55" t="n">
        <v>1686</v>
      </c>
      <c r="C423" s="54" t="s">
        <v>127</v>
      </c>
      <c r="D423" s="54" t="s">
        <v>212</v>
      </c>
      <c r="E423" s="54"/>
      <c r="F423" s="56" t="n">
        <v>46308.7023911458</v>
      </c>
      <c r="G423" s="54" t="s">
        <v>212</v>
      </c>
      <c r="H423" s="54" t="s">
        <v>212</v>
      </c>
      <c r="I423" s="57"/>
      <c r="J423" s="56"/>
      <c r="K423" s="56"/>
      <c r="L423" s="58" t="str">
        <f aca="false">IF(AND(ISNUMBER(J423),ISNUMBER(K423)),IF(K423&gt;=J423,(K423-J423)*1440,""),"")</f>
        <v/>
      </c>
      <c r="M423" s="56"/>
      <c r="N423" s="58" t="str">
        <f aca="false">IF(AND(ISNUMBER(J423),ISNUMBER(M423)),IF(M423&gt;=J423,(M423-J423)*1440,""),"")</f>
        <v/>
      </c>
      <c r="O423" s="54" t="str">
        <f aca="false">IF(N423="","",LOOKUP(N423,Tiempos!$A$6:$A$10,Tiempos!$B$6:$B$10))</f>
        <v/>
      </c>
      <c r="P423" s="54"/>
      <c r="Q423" s="54"/>
      <c r="R423" s="54"/>
      <c r="S423" s="54"/>
      <c r="T423" s="58"/>
      <c r="U423" s="54"/>
      <c r="V423" s="58"/>
      <c r="W423" s="57"/>
      <c r="X423" s="55"/>
      <c r="Y423" s="54"/>
      <c r="Z423" s="56"/>
      <c r="AA423" s="58" t="str">
        <f aca="false">IF(AND(ISNUMBER(M423),ISNUMBER(Z423)),IF(Z423&gt;=M423,(Z423-M423)*1440,""),"")</f>
        <v/>
      </c>
      <c r="AB423" s="57"/>
      <c r="AC423" s="56"/>
      <c r="AD423" s="58" t="str">
        <f aca="false">IF(AND(ISNUMBER(Z423),ISNUMBER(AC423)),IF(AC423&gt;=Z423,(AC423-Z423)*1440,""),"")</f>
        <v/>
      </c>
      <c r="AE423" s="54"/>
      <c r="AF423" s="54"/>
      <c r="AG423" s="54"/>
      <c r="AH423" s="58"/>
      <c r="AI423" s="55" t="n">
        <v>1</v>
      </c>
      <c r="AJ423" s="54" t="s">
        <v>347</v>
      </c>
      <c r="AK423" s="54" t="s">
        <v>212</v>
      </c>
    </row>
    <row r="424" customFormat="false" ht="15" hidden="false" customHeight="false" outlineLevel="0" collapsed="false">
      <c r="A424" s="54" t="s">
        <v>27</v>
      </c>
      <c r="B424" s="55" t="n">
        <v>1692</v>
      </c>
      <c r="C424" s="54" t="s">
        <v>127</v>
      </c>
      <c r="D424" s="54" t="s">
        <v>212</v>
      </c>
      <c r="E424" s="54"/>
      <c r="F424" s="56" t="n">
        <v>46308.7110807407</v>
      </c>
      <c r="G424" s="54" t="s">
        <v>212</v>
      </c>
      <c r="H424" s="54" t="s">
        <v>214</v>
      </c>
      <c r="I424" s="57"/>
      <c r="J424" s="56"/>
      <c r="K424" s="56"/>
      <c r="L424" s="58" t="str">
        <f aca="false">IF(AND(ISNUMBER(J424),ISNUMBER(K424)),IF(K424&gt;=J424,(K424-J424)*1440,""),"")</f>
        <v/>
      </c>
      <c r="M424" s="56"/>
      <c r="N424" s="58" t="str">
        <f aca="false">IF(AND(ISNUMBER(J424),ISNUMBER(M424)),IF(M424&gt;=J424,(M424-J424)*1440,""),"")</f>
        <v/>
      </c>
      <c r="O424" s="54" t="str">
        <f aca="false">IF(N424="","",LOOKUP(N424,Tiempos!$A$6:$A$10,Tiempos!$B$6:$B$10))</f>
        <v/>
      </c>
      <c r="P424" s="54"/>
      <c r="Q424" s="54"/>
      <c r="R424" s="54"/>
      <c r="S424" s="54"/>
      <c r="T424" s="58"/>
      <c r="U424" s="54"/>
      <c r="V424" s="58"/>
      <c r="W424" s="57"/>
      <c r="X424" s="55"/>
      <c r="Y424" s="54"/>
      <c r="Z424" s="56"/>
      <c r="AA424" s="58" t="str">
        <f aca="false">IF(AND(ISNUMBER(M424),ISNUMBER(Z424)),IF(Z424&gt;=M424,(Z424-M424)*1440,""),"")</f>
        <v/>
      </c>
      <c r="AB424" s="57"/>
      <c r="AC424" s="56"/>
      <c r="AD424" s="58" t="str">
        <f aca="false">IF(AND(ISNUMBER(Z424),ISNUMBER(AC424)),IF(AC424&gt;=Z424,(AC424-Z424)*1440,""),"")</f>
        <v/>
      </c>
      <c r="AE424" s="54"/>
      <c r="AF424" s="54"/>
      <c r="AG424" s="54"/>
      <c r="AH424" s="58"/>
      <c r="AI424" s="55" t="n">
        <v>1</v>
      </c>
      <c r="AJ424" s="54" t="s">
        <v>347</v>
      </c>
      <c r="AK424" s="54" t="s">
        <v>212</v>
      </c>
    </row>
    <row r="425" customFormat="false" ht="15" hidden="false" customHeight="false" outlineLevel="0" collapsed="false">
      <c r="A425" s="54" t="s">
        <v>27</v>
      </c>
      <c r="B425" s="55" t="n">
        <v>1696</v>
      </c>
      <c r="C425" s="54" t="s">
        <v>128</v>
      </c>
      <c r="D425" s="54" t="s">
        <v>211</v>
      </c>
      <c r="E425" s="54"/>
      <c r="F425" s="56" t="n">
        <v>46308.7259618403</v>
      </c>
      <c r="G425" s="54" t="s">
        <v>212</v>
      </c>
      <c r="H425" s="54" t="s">
        <v>214</v>
      </c>
      <c r="I425" s="57" t="s">
        <v>662</v>
      </c>
      <c r="J425" s="56" t="n">
        <v>46308.7264718056</v>
      </c>
      <c r="K425" s="56" t="n">
        <v>46308.7288839815</v>
      </c>
      <c r="L425" s="58" t="n">
        <f aca="false">IF(AND(ISNUMBER(J425),ISNUMBER(K425)),IF(K425&gt;=J425,(K425-J425)*1440,""),"")</f>
        <v>3.4735333349</v>
      </c>
      <c r="M425" s="56" t="n">
        <v>46308.7288839815</v>
      </c>
      <c r="N425" s="58" t="n">
        <f aca="false">IF(AND(ISNUMBER(J425),ISNUMBER(M425)),IF(M425&gt;=J425,(M425-J425)*1440,""),"")</f>
        <v>3.4735333349</v>
      </c>
      <c r="O425" s="54" t="str">
        <f aca="false">IF(N425="","",LOOKUP(N425,Tiempos!$A$6:$A$10,Tiempos!$B$6:$B$10))</f>
        <v>Menos de 4 min</v>
      </c>
      <c r="P425" s="54" t="s">
        <v>226</v>
      </c>
      <c r="Q425" s="54" t="s">
        <v>212</v>
      </c>
      <c r="R425" s="54" t="s">
        <v>128</v>
      </c>
      <c r="S425" s="54" t="s">
        <v>220</v>
      </c>
      <c r="T425" s="58"/>
      <c r="U425" s="54"/>
      <c r="V425" s="58"/>
      <c r="W425" s="57"/>
      <c r="X425" s="55" t="n">
        <v>0</v>
      </c>
      <c r="Y425" s="54" t="s">
        <v>212</v>
      </c>
      <c r="Z425" s="56"/>
      <c r="AA425" s="58" t="str">
        <f aca="false">IF(AND(ISNUMBER(M425),ISNUMBER(Z425)),IF(Z425&gt;=M425,(Z425-M425)*1440,""),"")</f>
        <v/>
      </c>
      <c r="AB425" s="57"/>
      <c r="AC425" s="56"/>
      <c r="AD425" s="58" t="str">
        <f aca="false">IF(AND(ISNUMBER(Z425),ISNUMBER(AC425)),IF(AC425&gt;=Z425,(AC425-Z425)*1440,""),"")</f>
        <v/>
      </c>
      <c r="AE425" s="54"/>
      <c r="AF425" s="54" t="s">
        <v>214</v>
      </c>
      <c r="AG425" s="54"/>
      <c r="AH425" s="58"/>
      <c r="AI425" s="55" t="n">
        <v>1</v>
      </c>
      <c r="AJ425" s="54" t="s">
        <v>347</v>
      </c>
      <c r="AK425" s="54" t="s">
        <v>212</v>
      </c>
    </row>
    <row r="426" customFormat="false" ht="15" hidden="false" customHeight="false" outlineLevel="0" collapsed="false">
      <c r="A426" s="54" t="s">
        <v>27</v>
      </c>
      <c r="B426" s="55" t="n">
        <v>1702</v>
      </c>
      <c r="C426" s="54" t="s">
        <v>127</v>
      </c>
      <c r="D426" s="54" t="s">
        <v>212</v>
      </c>
      <c r="E426" s="54"/>
      <c r="F426" s="56" t="n">
        <v>46308.7275783102</v>
      </c>
      <c r="G426" s="54" t="s">
        <v>212</v>
      </c>
      <c r="H426" s="54" t="s">
        <v>214</v>
      </c>
      <c r="I426" s="57"/>
      <c r="J426" s="56"/>
      <c r="K426" s="56"/>
      <c r="L426" s="58" t="str">
        <f aca="false">IF(AND(ISNUMBER(J426),ISNUMBER(K426)),IF(K426&gt;=J426,(K426-J426)*1440,""),"")</f>
        <v/>
      </c>
      <c r="M426" s="56"/>
      <c r="N426" s="58" t="str">
        <f aca="false">IF(AND(ISNUMBER(J426),ISNUMBER(M426)),IF(M426&gt;=J426,(M426-J426)*1440,""),"")</f>
        <v/>
      </c>
      <c r="O426" s="54" t="str">
        <f aca="false">IF(N426="","",LOOKUP(N426,Tiempos!$A$6:$A$10,Tiempos!$B$6:$B$10))</f>
        <v/>
      </c>
      <c r="P426" s="54"/>
      <c r="Q426" s="54"/>
      <c r="R426" s="54"/>
      <c r="S426" s="54"/>
      <c r="T426" s="58"/>
      <c r="U426" s="54"/>
      <c r="V426" s="58"/>
      <c r="W426" s="57"/>
      <c r="X426" s="55"/>
      <c r="Y426" s="54"/>
      <c r="Z426" s="56"/>
      <c r="AA426" s="58" t="str">
        <f aca="false">IF(AND(ISNUMBER(M426),ISNUMBER(Z426)),IF(Z426&gt;=M426,(Z426-M426)*1440,""),"")</f>
        <v/>
      </c>
      <c r="AB426" s="57"/>
      <c r="AC426" s="56"/>
      <c r="AD426" s="58" t="str">
        <f aca="false">IF(AND(ISNUMBER(Z426),ISNUMBER(AC426)),IF(AC426&gt;=Z426,(AC426-Z426)*1440,""),"")</f>
        <v/>
      </c>
      <c r="AE426" s="54"/>
      <c r="AF426" s="54"/>
      <c r="AG426" s="54"/>
      <c r="AH426" s="58"/>
      <c r="AI426" s="55" t="n">
        <v>2</v>
      </c>
      <c r="AJ426" s="54" t="s">
        <v>347</v>
      </c>
      <c r="AK426" s="54" t="s">
        <v>212</v>
      </c>
    </row>
    <row r="427" customFormat="false" ht="15" hidden="false" customHeight="false" outlineLevel="0" collapsed="false">
      <c r="A427" s="54" t="s">
        <v>27</v>
      </c>
      <c r="B427" s="55" t="n">
        <v>1705</v>
      </c>
      <c r="C427" s="54" t="s">
        <v>129</v>
      </c>
      <c r="D427" s="54" t="s">
        <v>212</v>
      </c>
      <c r="E427" s="54"/>
      <c r="F427" s="56" t="n">
        <v>46308.7455277431</v>
      </c>
      <c r="G427" s="54" t="s">
        <v>212</v>
      </c>
      <c r="H427" s="54" t="s">
        <v>214</v>
      </c>
      <c r="I427" s="57"/>
      <c r="J427" s="56"/>
      <c r="K427" s="56"/>
      <c r="L427" s="58" t="str">
        <f aca="false">IF(AND(ISNUMBER(J427),ISNUMBER(K427)),IF(K427&gt;=J427,(K427-J427)*1440,""),"")</f>
        <v/>
      </c>
      <c r="M427" s="56"/>
      <c r="N427" s="58" t="str">
        <f aca="false">IF(AND(ISNUMBER(J427),ISNUMBER(M427)),IF(M427&gt;=J427,(M427-J427)*1440,""),"")</f>
        <v/>
      </c>
      <c r="O427" s="54" t="str">
        <f aca="false">IF(N427="","",LOOKUP(N427,Tiempos!$A$6:$A$10,Tiempos!$B$6:$B$10))</f>
        <v/>
      </c>
      <c r="P427" s="54"/>
      <c r="Q427" s="54"/>
      <c r="R427" s="54"/>
      <c r="S427" s="54"/>
      <c r="T427" s="58"/>
      <c r="U427" s="54"/>
      <c r="V427" s="58"/>
      <c r="W427" s="57"/>
      <c r="X427" s="55"/>
      <c r="Y427" s="54"/>
      <c r="Z427" s="56"/>
      <c r="AA427" s="58" t="str">
        <f aca="false">IF(AND(ISNUMBER(M427),ISNUMBER(Z427)),IF(Z427&gt;=M427,(Z427-M427)*1440,""),"")</f>
        <v/>
      </c>
      <c r="AB427" s="57"/>
      <c r="AC427" s="56"/>
      <c r="AD427" s="58" t="str">
        <f aca="false">IF(AND(ISNUMBER(Z427),ISNUMBER(AC427)),IF(AC427&gt;=Z427,(AC427-Z427)*1440,""),"")</f>
        <v/>
      </c>
      <c r="AE427" s="54"/>
      <c r="AF427" s="54"/>
      <c r="AG427" s="54"/>
      <c r="AH427" s="58"/>
      <c r="AI427" s="55" t="n">
        <v>2</v>
      </c>
      <c r="AJ427" s="54" t="s">
        <v>347</v>
      </c>
      <c r="AK427" s="54" t="s">
        <v>212</v>
      </c>
    </row>
    <row r="428" customFormat="false" ht="15" hidden="false" customHeight="false" outlineLevel="0" collapsed="false">
      <c r="A428" s="54" t="s">
        <v>27</v>
      </c>
      <c r="B428" s="55" t="n">
        <v>1709</v>
      </c>
      <c r="C428" s="54" t="s">
        <v>128</v>
      </c>
      <c r="D428" s="54" t="s">
        <v>214</v>
      </c>
      <c r="E428" s="54" t="s">
        <v>278</v>
      </c>
      <c r="F428" s="56" t="n">
        <v>46308.7609706597</v>
      </c>
      <c r="G428" s="54" t="s">
        <v>212</v>
      </c>
      <c r="H428" s="54" t="s">
        <v>214</v>
      </c>
      <c r="I428" s="57" t="s">
        <v>663</v>
      </c>
      <c r="J428" s="56" t="n">
        <v>46308.7616178241</v>
      </c>
      <c r="K428" s="56" t="n">
        <v>46308.7739607523</v>
      </c>
      <c r="L428" s="58" t="n">
        <f aca="false">IF(AND(ISNUMBER(J428),ISNUMBER(K428)),IF(K428&gt;=J428,(K428-J428)*1440,""),"")</f>
        <v>17.7738166751667</v>
      </c>
      <c r="M428" s="56" t="n">
        <v>46308.7758070486</v>
      </c>
      <c r="N428" s="58" t="n">
        <f aca="false">IF(AND(ISNUMBER(J428),ISNUMBER(M428)),IF(M428&gt;=J428,(M428-J428)*1440,""),"")</f>
        <v>20.43248333385</v>
      </c>
      <c r="O428" s="54" t="str">
        <f aca="false">IF(N428="","",LOOKUP(N428,Tiempos!$A$6:$A$10,Tiempos!$B$6:$B$10))</f>
        <v>10 a 30 min</v>
      </c>
      <c r="P428" s="54" t="s">
        <v>244</v>
      </c>
      <c r="Q428" s="54" t="s">
        <v>214</v>
      </c>
      <c r="R428" s="54" t="s">
        <v>128</v>
      </c>
      <c r="S428" s="54" t="s">
        <v>220</v>
      </c>
      <c r="T428" s="58" t="n">
        <v>79.1</v>
      </c>
      <c r="U428" s="54" t="s">
        <v>214</v>
      </c>
      <c r="V428" s="58" t="n">
        <v>2.66</v>
      </c>
      <c r="W428" s="57" t="s">
        <v>664</v>
      </c>
      <c r="X428" s="55" t="n">
        <v>3</v>
      </c>
      <c r="Y428" s="54" t="s">
        <v>212</v>
      </c>
      <c r="Z428" s="56"/>
      <c r="AA428" s="58" t="str">
        <f aca="false">IF(AND(ISNUMBER(M428),ISNUMBER(Z428)),IF(Z428&gt;=M428,(Z428-M428)*1440,""),"")</f>
        <v/>
      </c>
      <c r="AB428" s="57"/>
      <c r="AC428" s="56"/>
      <c r="AD428" s="58" t="str">
        <f aca="false">IF(AND(ISNUMBER(Z428),ISNUMBER(AC428)),IF(AC428&gt;=Z428,(AC428-Z428)*1440,""),"")</f>
        <v/>
      </c>
      <c r="AE428" s="54"/>
      <c r="AF428" s="54" t="s">
        <v>214</v>
      </c>
      <c r="AG428" s="54"/>
      <c r="AH428" s="58"/>
      <c r="AI428" s="55" t="n">
        <v>2</v>
      </c>
      <c r="AJ428" s="54" t="s">
        <v>347</v>
      </c>
      <c r="AK428" s="54" t="s">
        <v>212</v>
      </c>
    </row>
    <row r="429" customFormat="false" ht="15" hidden="false" customHeight="false" outlineLevel="0" collapsed="false">
      <c r="A429" s="54" t="s">
        <v>27</v>
      </c>
      <c r="B429" s="55" t="n">
        <v>1714</v>
      </c>
      <c r="C429" s="54" t="s">
        <v>128</v>
      </c>
      <c r="D429" s="54" t="s">
        <v>214</v>
      </c>
      <c r="E429" s="54" t="s">
        <v>233</v>
      </c>
      <c r="F429" s="56" t="n">
        <v>46308.7996024884</v>
      </c>
      <c r="G429" s="54" t="s">
        <v>212</v>
      </c>
      <c r="H429" s="54" t="s">
        <v>214</v>
      </c>
      <c r="I429" s="57" t="s">
        <v>665</v>
      </c>
      <c r="J429" s="56" t="n">
        <v>46308.8006108102</v>
      </c>
      <c r="K429" s="56" t="n">
        <v>46308.8014583912</v>
      </c>
      <c r="L429" s="58" t="n">
        <f aca="false">IF(AND(ISNUMBER(J429),ISNUMBER(K429)),IF(K429&gt;=J429,(K429-J429)*1440,""),"")</f>
        <v>1.2205166649</v>
      </c>
      <c r="M429" s="56" t="n">
        <v>46308.8039596181</v>
      </c>
      <c r="N429" s="58" t="n">
        <f aca="false">IF(AND(ISNUMBER(J429),ISNUMBER(M429)),IF(M429&gt;=J429,(M429-J429)*1440,""),"")</f>
        <v>4.82228333246667</v>
      </c>
      <c r="O429" s="54" t="str">
        <f aca="false">IF(N429="","",LOOKUP(N429,Tiempos!$A$6:$A$10,Tiempos!$B$6:$B$10))</f>
        <v>4 a 6 min</v>
      </c>
      <c r="P429" s="54" t="s">
        <v>244</v>
      </c>
      <c r="Q429" s="54" t="s">
        <v>214</v>
      </c>
      <c r="R429" s="54" t="s">
        <v>128</v>
      </c>
      <c r="S429" s="54" t="s">
        <v>220</v>
      </c>
      <c r="T429" s="58" t="n">
        <v>79</v>
      </c>
      <c r="U429" s="54" t="s">
        <v>214</v>
      </c>
      <c r="V429" s="58" t="n">
        <v>3.6</v>
      </c>
      <c r="W429" s="57" t="s">
        <v>664</v>
      </c>
      <c r="X429" s="55" t="n">
        <v>3</v>
      </c>
      <c r="Y429" s="54" t="s">
        <v>214</v>
      </c>
      <c r="Z429" s="56" t="n">
        <v>46308.8155492361</v>
      </c>
      <c r="AA429" s="58" t="n">
        <f aca="false">IF(AND(ISNUMBER(M429),ISNUMBER(Z429)),IF(Z429&gt;=M429,(Z429-M429)*1440,""),"")</f>
        <v>16.6890500031833</v>
      </c>
      <c r="AB429" s="57" t="s">
        <v>666</v>
      </c>
      <c r="AC429" s="56" t="n">
        <v>46308.8182877199</v>
      </c>
      <c r="AD429" s="58" t="n">
        <f aca="false">IF(AND(ISNUMBER(Z429),ISNUMBER(AC429)),IF(AC429&gt;=Z429,(AC429-Z429)*1440,""),"")</f>
        <v>3.943416666</v>
      </c>
      <c r="AE429" s="54" t="s">
        <v>667</v>
      </c>
      <c r="AF429" s="54" t="s">
        <v>214</v>
      </c>
      <c r="AG429" s="54" t="s">
        <v>214</v>
      </c>
      <c r="AH429" s="58" t="n">
        <v>4.8</v>
      </c>
      <c r="AI429" s="55" t="n">
        <v>2</v>
      </c>
      <c r="AJ429" s="54" t="s">
        <v>347</v>
      </c>
      <c r="AK429" s="54" t="s">
        <v>212</v>
      </c>
    </row>
    <row r="430" customFormat="false" ht="15" hidden="false" customHeight="false" outlineLevel="0" collapsed="false">
      <c r="A430" s="54" t="s">
        <v>27</v>
      </c>
      <c r="B430" s="55" t="n">
        <v>1722</v>
      </c>
      <c r="C430" s="54" t="s">
        <v>127</v>
      </c>
      <c r="D430" s="54" t="s">
        <v>212</v>
      </c>
      <c r="E430" s="54"/>
      <c r="F430" s="56" t="n">
        <v>46308.8216495602</v>
      </c>
      <c r="G430" s="54" t="s">
        <v>212</v>
      </c>
      <c r="H430" s="54" t="s">
        <v>212</v>
      </c>
      <c r="I430" s="57"/>
      <c r="J430" s="56"/>
      <c r="K430" s="56"/>
      <c r="L430" s="58" t="str">
        <f aca="false">IF(AND(ISNUMBER(J430),ISNUMBER(K430)),IF(K430&gt;=J430,(K430-J430)*1440,""),"")</f>
        <v/>
      </c>
      <c r="M430" s="56"/>
      <c r="N430" s="58" t="str">
        <f aca="false">IF(AND(ISNUMBER(J430),ISNUMBER(M430)),IF(M430&gt;=J430,(M430-J430)*1440,""),"")</f>
        <v/>
      </c>
      <c r="O430" s="54" t="str">
        <f aca="false">IF(N430="","",LOOKUP(N430,Tiempos!$A$6:$A$10,Tiempos!$B$6:$B$10))</f>
        <v/>
      </c>
      <c r="P430" s="54"/>
      <c r="Q430" s="54"/>
      <c r="R430" s="54"/>
      <c r="S430" s="54"/>
      <c r="T430" s="58"/>
      <c r="U430" s="54"/>
      <c r="V430" s="58"/>
      <c r="W430" s="57"/>
      <c r="X430" s="55"/>
      <c r="Y430" s="54"/>
      <c r="Z430" s="56"/>
      <c r="AA430" s="58" t="str">
        <f aca="false">IF(AND(ISNUMBER(M430),ISNUMBER(Z430)),IF(Z430&gt;=M430,(Z430-M430)*1440,""),"")</f>
        <v/>
      </c>
      <c r="AB430" s="57"/>
      <c r="AC430" s="56"/>
      <c r="AD430" s="58" t="str">
        <f aca="false">IF(AND(ISNUMBER(Z430),ISNUMBER(AC430)),IF(AC430&gt;=Z430,(AC430-Z430)*1440,""),"")</f>
        <v/>
      </c>
      <c r="AE430" s="54"/>
      <c r="AF430" s="54"/>
      <c r="AG430" s="54"/>
      <c r="AH430" s="58"/>
      <c r="AI430" s="55" t="n">
        <v>2</v>
      </c>
      <c r="AJ430" s="54" t="s">
        <v>347</v>
      </c>
      <c r="AK430" s="54" t="s">
        <v>212</v>
      </c>
    </row>
    <row r="431" customFormat="false" ht="15" hidden="false" customHeight="false" outlineLevel="0" collapsed="false">
      <c r="A431" s="54" t="s">
        <v>27</v>
      </c>
      <c r="B431" s="55" t="n">
        <v>1732</v>
      </c>
      <c r="C431" s="54" t="s">
        <v>129</v>
      </c>
      <c r="D431" s="54" t="s">
        <v>214</v>
      </c>
      <c r="E431" s="54" t="s">
        <v>233</v>
      </c>
      <c r="F431" s="56" t="n">
        <v>46308.8460997685</v>
      </c>
      <c r="G431" s="54" t="s">
        <v>212</v>
      </c>
      <c r="H431" s="54" t="s">
        <v>214</v>
      </c>
      <c r="I431" s="57" t="s">
        <v>668</v>
      </c>
      <c r="J431" s="56" t="n">
        <v>46308.8474715394</v>
      </c>
      <c r="K431" s="56" t="n">
        <v>46308.851203669</v>
      </c>
      <c r="L431" s="58" t="n">
        <f aca="false">IF(AND(ISNUMBER(J431),ISNUMBER(K431)),IF(K431&gt;=J431,(K431-J431)*1440,""),"")</f>
        <v>5.37426666123333</v>
      </c>
      <c r="M431" s="56" t="n">
        <v>46308.851203669</v>
      </c>
      <c r="N431" s="58" t="n">
        <f aca="false">IF(AND(ISNUMBER(J431),ISNUMBER(M431)),IF(M431&gt;=J431,(M431-J431)*1440,""),"")</f>
        <v>5.37426666123333</v>
      </c>
      <c r="O431" s="54" t="str">
        <f aca="false">IF(N431="","",LOOKUP(N431,Tiempos!$A$6:$A$10,Tiempos!$B$6:$B$10))</f>
        <v>4 a 6 min</v>
      </c>
      <c r="P431" s="54" t="s">
        <v>239</v>
      </c>
      <c r="Q431" s="54" t="s">
        <v>214</v>
      </c>
      <c r="R431" s="54" t="s">
        <v>129</v>
      </c>
      <c r="S431" s="54" t="s">
        <v>220</v>
      </c>
      <c r="T431" s="58" t="n">
        <v>93.2</v>
      </c>
      <c r="U431" s="54" t="s">
        <v>214</v>
      </c>
      <c r="V431" s="58"/>
      <c r="W431" s="57" t="s">
        <v>409</v>
      </c>
      <c r="X431" s="55" t="n">
        <v>4</v>
      </c>
      <c r="Y431" s="54" t="s">
        <v>212</v>
      </c>
      <c r="Z431" s="56"/>
      <c r="AA431" s="58" t="str">
        <f aca="false">IF(AND(ISNUMBER(M431),ISNUMBER(Z431)),IF(Z431&gt;=M431,(Z431-M431)*1440,""),"")</f>
        <v/>
      </c>
      <c r="AB431" s="57"/>
      <c r="AC431" s="56"/>
      <c r="AD431" s="58" t="str">
        <f aca="false">IF(AND(ISNUMBER(Z431),ISNUMBER(AC431)),IF(AC431&gt;=Z431,(AC431-Z431)*1440,""),"")</f>
        <v/>
      </c>
      <c r="AE431" s="54"/>
      <c r="AF431" s="54" t="s">
        <v>214</v>
      </c>
      <c r="AG431" s="54"/>
      <c r="AH431" s="58"/>
      <c r="AI431" s="55" t="n">
        <v>2</v>
      </c>
      <c r="AJ431" s="54" t="s">
        <v>347</v>
      </c>
      <c r="AK431" s="54" t="s">
        <v>212</v>
      </c>
    </row>
    <row r="432" customFormat="false" ht="15" hidden="false" customHeight="false" outlineLevel="0" collapsed="false">
      <c r="A432" s="54" t="s">
        <v>27</v>
      </c>
      <c r="B432" s="55" t="n">
        <v>1739</v>
      </c>
      <c r="C432" s="54" t="s">
        <v>129</v>
      </c>
      <c r="D432" s="54" t="s">
        <v>214</v>
      </c>
      <c r="E432" s="54" t="s">
        <v>233</v>
      </c>
      <c r="F432" s="56" t="n">
        <v>46308.85477875</v>
      </c>
      <c r="G432" s="54" t="s">
        <v>212</v>
      </c>
      <c r="H432" s="54" t="s">
        <v>214</v>
      </c>
      <c r="I432" s="57" t="s">
        <v>669</v>
      </c>
      <c r="J432" s="56" t="n">
        <v>46308.8562108218</v>
      </c>
      <c r="K432" s="56" t="n">
        <v>46308.8650125579</v>
      </c>
      <c r="L432" s="58" t="n">
        <f aca="false">IF(AND(ISNUMBER(J432),ISNUMBER(K432)),IF(K432&gt;=J432,(K432-J432)*1440,""),"")</f>
        <v>12.6745000015833</v>
      </c>
      <c r="M432" s="56" t="n">
        <v>46308.8661199074</v>
      </c>
      <c r="N432" s="58" t="n">
        <f aca="false">IF(AND(ISNUMBER(J432),ISNUMBER(M432)),IF(M432&gt;=J432,(M432-J432)*1440,""),"")</f>
        <v>14.2690833192167</v>
      </c>
      <c r="O432" s="54" t="str">
        <f aca="false">IF(N432="","",LOOKUP(N432,Tiempos!$A$6:$A$10,Tiempos!$B$6:$B$10))</f>
        <v>10 a 30 min</v>
      </c>
      <c r="P432" s="54" t="s">
        <v>244</v>
      </c>
      <c r="Q432" s="54" t="s">
        <v>214</v>
      </c>
      <c r="R432" s="54" t="s">
        <v>129</v>
      </c>
      <c r="S432" s="54" t="s">
        <v>220</v>
      </c>
      <c r="T432" s="58" t="n">
        <v>91.4</v>
      </c>
      <c r="U432" s="54" t="s">
        <v>214</v>
      </c>
      <c r="V432" s="58" t="n">
        <v>1.59</v>
      </c>
      <c r="W432" s="57" t="s">
        <v>670</v>
      </c>
      <c r="X432" s="55" t="n">
        <v>3</v>
      </c>
      <c r="Y432" s="54" t="s">
        <v>214</v>
      </c>
      <c r="Z432" s="56" t="n">
        <v>46308.8710485185</v>
      </c>
      <c r="AA432" s="58" t="n">
        <f aca="false">IF(AND(ISNUMBER(M432),ISNUMBER(Z432)),IF(Z432&gt;=M432,(Z432-M432)*1440,""),"")</f>
        <v>7.09720001905</v>
      </c>
      <c r="AB432" s="57" t="s">
        <v>671</v>
      </c>
      <c r="AC432" s="56" t="n">
        <v>46308.8717621991</v>
      </c>
      <c r="AD432" s="58" t="n">
        <f aca="false">IF(AND(ISNUMBER(Z432),ISNUMBER(AC432)),IF(AC432&gt;=Z432,(AC432-Z432)*1440,""),"")</f>
        <v>1.02769999298333</v>
      </c>
      <c r="AE432" s="54" t="s">
        <v>223</v>
      </c>
      <c r="AF432" s="54" t="s">
        <v>214</v>
      </c>
      <c r="AG432" s="54" t="s">
        <v>214</v>
      </c>
      <c r="AH432" s="58" t="n">
        <v>4</v>
      </c>
      <c r="AI432" s="55" t="n">
        <v>2</v>
      </c>
      <c r="AJ432" s="54" t="s">
        <v>347</v>
      </c>
      <c r="AK432" s="54" t="s">
        <v>212</v>
      </c>
    </row>
    <row r="433" customFormat="false" ht="15" hidden="false" customHeight="false" outlineLevel="0" collapsed="false">
      <c r="A433" s="54" t="s">
        <v>27</v>
      </c>
      <c r="B433" s="55" t="n">
        <v>1740</v>
      </c>
      <c r="C433" s="54" t="s">
        <v>129</v>
      </c>
      <c r="D433" s="54" t="s">
        <v>214</v>
      </c>
      <c r="E433" s="54" t="s">
        <v>224</v>
      </c>
      <c r="F433" s="56" t="n">
        <v>46308.8552467708</v>
      </c>
      <c r="G433" s="54" t="s">
        <v>212</v>
      </c>
      <c r="H433" s="54" t="s">
        <v>212</v>
      </c>
      <c r="I433" s="57" t="s">
        <v>672</v>
      </c>
      <c r="J433" s="56" t="n">
        <v>46308.8620159722</v>
      </c>
      <c r="K433" s="56" t="n">
        <v>46308.8681675116</v>
      </c>
      <c r="L433" s="58" t="n">
        <f aca="false">IF(AND(ISNUMBER(J433),ISNUMBER(K433)),IF(K433&gt;=J433,(K433-J433)*1440,""),"")</f>
        <v>8.85821666916667</v>
      </c>
      <c r="M433" s="56" t="n">
        <v>46308.869704838</v>
      </c>
      <c r="N433" s="58" t="n">
        <f aca="false">IF(AND(ISNUMBER(J433),ISNUMBER(M433)),IF(M433&gt;=J433,(M433-J433)*1440,""),"")</f>
        <v>11.0719666688167</v>
      </c>
      <c r="O433" s="54" t="str">
        <f aca="false">IF(N433="","",LOOKUP(N433,Tiempos!$A$6:$A$10,Tiempos!$B$6:$B$10))</f>
        <v>10 a 30 min</v>
      </c>
      <c r="P433" s="54" t="s">
        <v>244</v>
      </c>
      <c r="Q433" s="54" t="s">
        <v>214</v>
      </c>
      <c r="R433" s="54" t="s">
        <v>129</v>
      </c>
      <c r="S433" s="54" t="s">
        <v>220</v>
      </c>
      <c r="T433" s="58" t="n">
        <v>85.7</v>
      </c>
      <c r="U433" s="54" t="s">
        <v>212</v>
      </c>
      <c r="V433" s="58" t="n">
        <v>2.21</v>
      </c>
      <c r="W433" s="57" t="s">
        <v>673</v>
      </c>
      <c r="X433" s="55" t="n">
        <v>3</v>
      </c>
      <c r="Y433" s="54" t="s">
        <v>214</v>
      </c>
      <c r="Z433" s="56" t="n">
        <v>46308.8906783218</v>
      </c>
      <c r="AA433" s="58" t="n">
        <f aca="false">IF(AND(ISNUMBER(M433),ISNUMBER(Z433)),IF(Z433&gt;=M433,(Z433-M433)*1440,""),"")</f>
        <v>30.2018166705833</v>
      </c>
      <c r="AB433" s="57" t="s">
        <v>674</v>
      </c>
      <c r="AC433" s="56" t="n">
        <v>46308.8914186227</v>
      </c>
      <c r="AD433" s="58" t="n">
        <f aca="false">IF(AND(ISNUMBER(Z433),ISNUMBER(AC433)),IF(AC433&gt;=Z433,(AC433-Z433)*1440,""),"")</f>
        <v>1.06603332795</v>
      </c>
      <c r="AE433" s="54" t="s">
        <v>223</v>
      </c>
      <c r="AF433" s="54" t="s">
        <v>212</v>
      </c>
      <c r="AG433" s="54" t="s">
        <v>212</v>
      </c>
      <c r="AH433" s="58"/>
      <c r="AI433" s="55" t="n">
        <v>2</v>
      </c>
      <c r="AJ433" s="54" t="s">
        <v>675</v>
      </c>
      <c r="AK433" s="54" t="s">
        <v>212</v>
      </c>
    </row>
    <row r="434" customFormat="false" ht="15" hidden="false" customHeight="false" outlineLevel="0" collapsed="false">
      <c r="A434" s="54" t="s">
        <v>27</v>
      </c>
      <c r="B434" s="55" t="n">
        <v>1735</v>
      </c>
      <c r="C434" s="54" t="s">
        <v>129</v>
      </c>
      <c r="D434" s="54" t="s">
        <v>214</v>
      </c>
      <c r="E434" s="54" t="s">
        <v>233</v>
      </c>
      <c r="F434" s="56" t="n">
        <v>46308.863781713</v>
      </c>
      <c r="G434" s="54" t="s">
        <v>212</v>
      </c>
      <c r="H434" s="54" t="s">
        <v>214</v>
      </c>
      <c r="I434" s="57" t="s">
        <v>676</v>
      </c>
      <c r="J434" s="56" t="n">
        <v>46308.8641503241</v>
      </c>
      <c r="K434" s="56" t="n">
        <v>46308.8701217593</v>
      </c>
      <c r="L434" s="58" t="n">
        <f aca="false">IF(AND(ISNUMBER(J434),ISNUMBER(K434)),IF(K434&gt;=J434,(K434-J434)*1440,""),"")</f>
        <v>8.59886667108333</v>
      </c>
      <c r="M434" s="56" t="n">
        <v>46308.8711681829</v>
      </c>
      <c r="N434" s="58" t="n">
        <f aca="false">IF(AND(ISNUMBER(J434),ISNUMBER(M434)),IF(M434&gt;=J434,(M434-J434)*1440,""),"")</f>
        <v>10.1057166710833</v>
      </c>
      <c r="O434" s="54" t="str">
        <f aca="false">IF(N434="","",LOOKUP(N434,Tiempos!$A$6:$A$10,Tiempos!$B$6:$B$10))</f>
        <v>10 a 30 min</v>
      </c>
      <c r="P434" s="54" t="s">
        <v>244</v>
      </c>
      <c r="Q434" s="54" t="s">
        <v>214</v>
      </c>
      <c r="R434" s="54" t="s">
        <v>129</v>
      </c>
      <c r="S434" s="54" t="s">
        <v>220</v>
      </c>
      <c r="T434" s="58" t="n">
        <v>82.5</v>
      </c>
      <c r="U434" s="54" t="s">
        <v>214</v>
      </c>
      <c r="V434" s="58" t="n">
        <v>1.51</v>
      </c>
      <c r="W434" s="57" t="s">
        <v>677</v>
      </c>
      <c r="X434" s="55" t="n">
        <v>3</v>
      </c>
      <c r="Y434" s="54" t="s">
        <v>212</v>
      </c>
      <c r="Z434" s="56"/>
      <c r="AA434" s="58" t="str">
        <f aca="false">IF(AND(ISNUMBER(M434),ISNUMBER(Z434)),IF(Z434&gt;=M434,(Z434-M434)*1440,""),"")</f>
        <v/>
      </c>
      <c r="AB434" s="57"/>
      <c r="AC434" s="56"/>
      <c r="AD434" s="58" t="str">
        <f aca="false">IF(AND(ISNUMBER(Z434),ISNUMBER(AC434)),IF(AC434&gt;=Z434,(AC434-Z434)*1440,""),"")</f>
        <v/>
      </c>
      <c r="AE434" s="54"/>
      <c r="AF434" s="54" t="s">
        <v>214</v>
      </c>
      <c r="AG434" s="54"/>
      <c r="AH434" s="58"/>
      <c r="AI434" s="55" t="n">
        <v>2</v>
      </c>
      <c r="AJ434" s="54" t="s">
        <v>347</v>
      </c>
      <c r="AK434" s="54" t="s">
        <v>212</v>
      </c>
    </row>
    <row r="435" customFormat="false" ht="15" hidden="false" customHeight="false" outlineLevel="0" collapsed="false">
      <c r="A435" s="54" t="s">
        <v>27</v>
      </c>
      <c r="B435" s="55" t="n">
        <v>1749</v>
      </c>
      <c r="C435" s="54" t="s">
        <v>129</v>
      </c>
      <c r="D435" s="54" t="s">
        <v>212</v>
      </c>
      <c r="E435" s="54"/>
      <c r="F435" s="56" t="n">
        <v>46308.8893308333</v>
      </c>
      <c r="G435" s="54" t="s">
        <v>212</v>
      </c>
      <c r="H435" s="54" t="s">
        <v>214</v>
      </c>
      <c r="I435" s="57"/>
      <c r="J435" s="56"/>
      <c r="K435" s="56"/>
      <c r="L435" s="58" t="str">
        <f aca="false">IF(AND(ISNUMBER(J435),ISNUMBER(K435)),IF(K435&gt;=J435,(K435-J435)*1440,""),"")</f>
        <v/>
      </c>
      <c r="M435" s="56"/>
      <c r="N435" s="58" t="str">
        <f aca="false">IF(AND(ISNUMBER(J435),ISNUMBER(M435)),IF(M435&gt;=J435,(M435-J435)*1440,""),"")</f>
        <v/>
      </c>
      <c r="O435" s="54" t="str">
        <f aca="false">IF(N435="","",LOOKUP(N435,Tiempos!$A$6:$A$10,Tiempos!$B$6:$B$10))</f>
        <v/>
      </c>
      <c r="P435" s="54"/>
      <c r="Q435" s="54"/>
      <c r="R435" s="54"/>
      <c r="S435" s="54"/>
      <c r="T435" s="58"/>
      <c r="U435" s="54"/>
      <c r="V435" s="58"/>
      <c r="W435" s="57"/>
      <c r="X435" s="55"/>
      <c r="Y435" s="54"/>
      <c r="Z435" s="56"/>
      <c r="AA435" s="58" t="str">
        <f aca="false">IF(AND(ISNUMBER(M435),ISNUMBER(Z435)),IF(Z435&gt;=M435,(Z435-M435)*1440,""),"")</f>
        <v/>
      </c>
      <c r="AB435" s="57"/>
      <c r="AC435" s="56"/>
      <c r="AD435" s="58" t="str">
        <f aca="false">IF(AND(ISNUMBER(Z435),ISNUMBER(AC435)),IF(AC435&gt;=Z435,(AC435-Z435)*1440,""),"")</f>
        <v/>
      </c>
      <c r="AE435" s="54"/>
      <c r="AF435" s="54"/>
      <c r="AG435" s="54"/>
      <c r="AH435" s="58"/>
      <c r="AI435" s="55" t="n">
        <v>2</v>
      </c>
      <c r="AJ435" s="54" t="s">
        <v>347</v>
      </c>
      <c r="AK435" s="54" t="s">
        <v>212</v>
      </c>
    </row>
    <row r="436" customFormat="false" ht="15" hidden="false" customHeight="false" outlineLevel="0" collapsed="false">
      <c r="A436" s="54" t="s">
        <v>27</v>
      </c>
      <c r="B436" s="55" t="n">
        <v>1750</v>
      </c>
      <c r="C436" s="54" t="s">
        <v>129</v>
      </c>
      <c r="D436" s="54" t="s">
        <v>214</v>
      </c>
      <c r="E436" s="54" t="s">
        <v>242</v>
      </c>
      <c r="F436" s="56" t="n">
        <v>46308.8955292477</v>
      </c>
      <c r="G436" s="54" t="s">
        <v>212</v>
      </c>
      <c r="H436" s="54" t="s">
        <v>214</v>
      </c>
      <c r="I436" s="57" t="s">
        <v>678</v>
      </c>
      <c r="J436" s="56" t="n">
        <v>46308.8957968982</v>
      </c>
      <c r="K436" s="56" t="n">
        <v>46308.9103826505</v>
      </c>
      <c r="L436" s="58" t="n">
        <f aca="false">IF(AND(ISNUMBER(J436),ISNUMBER(K436)),IF(K436&gt;=J436,(K436-J436)*1440,""),"")</f>
        <v>21.0034833464167</v>
      </c>
      <c r="M436" s="56" t="n">
        <v>46308.9103826505</v>
      </c>
      <c r="N436" s="58" t="n">
        <f aca="false">IF(AND(ISNUMBER(J436),ISNUMBER(M436)),IF(M436&gt;=J436,(M436-J436)*1440,""),"")</f>
        <v>21.0034833464167</v>
      </c>
      <c r="O436" s="54" t="str">
        <f aca="false">IF(N436="","",LOOKUP(N436,Tiempos!$A$6:$A$10,Tiempos!$B$6:$B$10))</f>
        <v>10 a 30 min</v>
      </c>
      <c r="P436" s="54" t="s">
        <v>272</v>
      </c>
      <c r="Q436" s="54" t="s">
        <v>214</v>
      </c>
      <c r="R436" s="54" t="s">
        <v>129</v>
      </c>
      <c r="S436" s="54" t="s">
        <v>220</v>
      </c>
      <c r="T436" s="58" t="n">
        <v>86.9</v>
      </c>
      <c r="U436" s="54" t="s">
        <v>214</v>
      </c>
      <c r="V436" s="58"/>
      <c r="W436" s="57" t="s">
        <v>679</v>
      </c>
      <c r="X436" s="55" t="n">
        <v>3</v>
      </c>
      <c r="Y436" s="54" t="s">
        <v>214</v>
      </c>
      <c r="Z436" s="56" t="n">
        <v>46308.9217192708</v>
      </c>
      <c r="AA436" s="58" t="n">
        <f aca="false">IF(AND(ISNUMBER(M436),ISNUMBER(Z436)),IF(Z436&gt;=M436,(Z436-M436)*1440,""),"")</f>
        <v>16.3247333164167</v>
      </c>
      <c r="AB436" s="57" t="s">
        <v>680</v>
      </c>
      <c r="AC436" s="56" t="n">
        <v>46309.293631794</v>
      </c>
      <c r="AD436" s="58" t="n">
        <f aca="false">IF(AND(ISNUMBER(Z436),ISNUMBER(AC436)),IF(AC436&gt;=Z436,(AC436-Z436)*1440,""),"")</f>
        <v>535.554033337383</v>
      </c>
      <c r="AE436" s="54" t="s">
        <v>346</v>
      </c>
      <c r="AF436" s="54" t="s">
        <v>214</v>
      </c>
      <c r="AG436" s="54" t="s">
        <v>214</v>
      </c>
      <c r="AH436" s="58" t="n">
        <v>4</v>
      </c>
      <c r="AI436" s="55" t="n">
        <v>2</v>
      </c>
      <c r="AJ436" s="54" t="s">
        <v>347</v>
      </c>
      <c r="AK436" s="54" t="s">
        <v>212</v>
      </c>
    </row>
    <row r="437" customFormat="false" ht="15" hidden="false" customHeight="false" outlineLevel="0" collapsed="false">
      <c r="A437" s="54" t="s">
        <v>27</v>
      </c>
      <c r="B437" s="55" t="n">
        <v>1748</v>
      </c>
      <c r="C437" s="54" t="s">
        <v>127</v>
      </c>
      <c r="D437" s="54" t="s">
        <v>212</v>
      </c>
      <c r="E437" s="54"/>
      <c r="F437" s="56" t="n">
        <v>46308.904218044</v>
      </c>
      <c r="G437" s="54" t="s">
        <v>212</v>
      </c>
      <c r="H437" s="54" t="s">
        <v>214</v>
      </c>
      <c r="I437" s="57"/>
      <c r="J437" s="56"/>
      <c r="K437" s="56"/>
      <c r="L437" s="58" t="str">
        <f aca="false">IF(AND(ISNUMBER(J437),ISNUMBER(K437)),IF(K437&gt;=J437,(K437-J437)*1440,""),"")</f>
        <v/>
      </c>
      <c r="M437" s="56"/>
      <c r="N437" s="58" t="str">
        <f aca="false">IF(AND(ISNUMBER(J437),ISNUMBER(M437)),IF(M437&gt;=J437,(M437-J437)*1440,""),"")</f>
        <v/>
      </c>
      <c r="O437" s="54" t="str">
        <f aca="false">IF(N437="","",LOOKUP(N437,Tiempos!$A$6:$A$10,Tiempos!$B$6:$B$10))</f>
        <v/>
      </c>
      <c r="P437" s="54"/>
      <c r="Q437" s="54"/>
      <c r="R437" s="54"/>
      <c r="S437" s="54"/>
      <c r="T437" s="58"/>
      <c r="U437" s="54"/>
      <c r="V437" s="58"/>
      <c r="W437" s="57"/>
      <c r="X437" s="55"/>
      <c r="Y437" s="54"/>
      <c r="Z437" s="56"/>
      <c r="AA437" s="58" t="str">
        <f aca="false">IF(AND(ISNUMBER(M437),ISNUMBER(Z437)),IF(Z437&gt;=M437,(Z437-M437)*1440,""),"")</f>
        <v/>
      </c>
      <c r="AB437" s="57"/>
      <c r="AC437" s="56"/>
      <c r="AD437" s="58" t="str">
        <f aca="false">IF(AND(ISNUMBER(Z437),ISNUMBER(AC437)),IF(AC437&gt;=Z437,(AC437-Z437)*1440,""),"")</f>
        <v/>
      </c>
      <c r="AE437" s="54"/>
      <c r="AF437" s="54"/>
      <c r="AG437" s="54"/>
      <c r="AH437" s="58"/>
      <c r="AI437" s="55" t="n">
        <v>1</v>
      </c>
      <c r="AJ437" s="54" t="s">
        <v>347</v>
      </c>
      <c r="AK437" s="54" t="s">
        <v>212</v>
      </c>
    </row>
    <row r="438" customFormat="false" ht="15" hidden="false" customHeight="false" outlineLevel="0" collapsed="false">
      <c r="A438" s="54" t="s">
        <v>27</v>
      </c>
      <c r="B438" s="55" t="n">
        <v>1754</v>
      </c>
      <c r="C438" s="54" t="s">
        <v>127</v>
      </c>
      <c r="D438" s="54" t="s">
        <v>212</v>
      </c>
      <c r="E438" s="54"/>
      <c r="F438" s="56" t="n">
        <v>46308.9165214005</v>
      </c>
      <c r="G438" s="54" t="s">
        <v>212</v>
      </c>
      <c r="H438" s="54" t="s">
        <v>214</v>
      </c>
      <c r="I438" s="57"/>
      <c r="J438" s="56"/>
      <c r="K438" s="56"/>
      <c r="L438" s="58" t="str">
        <f aca="false">IF(AND(ISNUMBER(J438),ISNUMBER(K438)),IF(K438&gt;=J438,(K438-J438)*1440,""),"")</f>
        <v/>
      </c>
      <c r="M438" s="56"/>
      <c r="N438" s="58" t="str">
        <f aca="false">IF(AND(ISNUMBER(J438),ISNUMBER(M438)),IF(M438&gt;=J438,(M438-J438)*1440,""),"")</f>
        <v/>
      </c>
      <c r="O438" s="54" t="str">
        <f aca="false">IF(N438="","",LOOKUP(N438,Tiempos!$A$6:$A$10,Tiempos!$B$6:$B$10))</f>
        <v/>
      </c>
      <c r="P438" s="54"/>
      <c r="Q438" s="54"/>
      <c r="R438" s="54"/>
      <c r="S438" s="54"/>
      <c r="T438" s="58"/>
      <c r="U438" s="54"/>
      <c r="V438" s="58"/>
      <c r="W438" s="57"/>
      <c r="X438" s="55"/>
      <c r="Y438" s="54"/>
      <c r="Z438" s="56"/>
      <c r="AA438" s="58" t="str">
        <f aca="false">IF(AND(ISNUMBER(M438),ISNUMBER(Z438)),IF(Z438&gt;=M438,(Z438-M438)*1440,""),"")</f>
        <v/>
      </c>
      <c r="AB438" s="57"/>
      <c r="AC438" s="56"/>
      <c r="AD438" s="58" t="str">
        <f aca="false">IF(AND(ISNUMBER(Z438),ISNUMBER(AC438)),IF(AC438&gt;=Z438,(AC438-Z438)*1440,""),"")</f>
        <v/>
      </c>
      <c r="AE438" s="54"/>
      <c r="AF438" s="54"/>
      <c r="AG438" s="54"/>
      <c r="AH438" s="58"/>
      <c r="AI438" s="55" t="n">
        <v>2</v>
      </c>
      <c r="AJ438" s="54" t="s">
        <v>347</v>
      </c>
      <c r="AK438" s="54" t="s">
        <v>212</v>
      </c>
    </row>
    <row r="439" customFormat="false" ht="15" hidden="false" customHeight="false" outlineLevel="0" collapsed="false">
      <c r="A439" s="54" t="s">
        <v>27</v>
      </c>
      <c r="B439" s="55" t="n">
        <v>1764</v>
      </c>
      <c r="C439" s="54" t="s">
        <v>127</v>
      </c>
      <c r="D439" s="54" t="s">
        <v>212</v>
      </c>
      <c r="E439" s="54"/>
      <c r="F439" s="56" t="n">
        <v>46309.2975730093</v>
      </c>
      <c r="G439" s="54" t="s">
        <v>214</v>
      </c>
      <c r="H439" s="54" t="s">
        <v>214</v>
      </c>
      <c r="I439" s="57"/>
      <c r="J439" s="56"/>
      <c r="K439" s="56"/>
      <c r="L439" s="58" t="str">
        <f aca="false">IF(AND(ISNUMBER(J439),ISNUMBER(K439)),IF(K439&gt;=J439,(K439-J439)*1440,""),"")</f>
        <v/>
      </c>
      <c r="M439" s="56"/>
      <c r="N439" s="58" t="str">
        <f aca="false">IF(AND(ISNUMBER(J439),ISNUMBER(M439)),IF(M439&gt;=J439,(M439-J439)*1440,""),"")</f>
        <v/>
      </c>
      <c r="O439" s="54" t="str">
        <f aca="false">IF(N439="","",LOOKUP(N439,Tiempos!$A$6:$A$10,Tiempos!$B$6:$B$10))</f>
        <v/>
      </c>
      <c r="P439" s="54"/>
      <c r="Q439" s="54"/>
      <c r="R439" s="54"/>
      <c r="S439" s="54"/>
      <c r="T439" s="58"/>
      <c r="U439" s="54"/>
      <c r="V439" s="58"/>
      <c r="W439" s="57"/>
      <c r="X439" s="55"/>
      <c r="Y439" s="54"/>
      <c r="Z439" s="56"/>
      <c r="AA439" s="58" t="str">
        <f aca="false">IF(AND(ISNUMBER(M439),ISNUMBER(Z439)),IF(Z439&gt;=M439,(Z439-M439)*1440,""),"")</f>
        <v/>
      </c>
      <c r="AB439" s="57"/>
      <c r="AC439" s="56"/>
      <c r="AD439" s="58" t="str">
        <f aca="false">IF(AND(ISNUMBER(Z439),ISNUMBER(AC439)),IF(AC439&gt;=Z439,(AC439-Z439)*1440,""),"")</f>
        <v/>
      </c>
      <c r="AE439" s="54"/>
      <c r="AF439" s="54"/>
      <c r="AG439" s="54"/>
      <c r="AH439" s="58"/>
      <c r="AI439" s="55" t="n">
        <v>2</v>
      </c>
      <c r="AJ439" s="54" t="s">
        <v>347</v>
      </c>
      <c r="AK439" s="54" t="s">
        <v>212</v>
      </c>
    </row>
    <row r="440" customFormat="false" ht="15" hidden="false" customHeight="false" outlineLevel="0" collapsed="false">
      <c r="A440" s="54" t="s">
        <v>27</v>
      </c>
      <c r="B440" s="55" t="n">
        <v>1767</v>
      </c>
      <c r="C440" s="54" t="s">
        <v>127</v>
      </c>
      <c r="D440" s="54" t="s">
        <v>212</v>
      </c>
      <c r="E440" s="54"/>
      <c r="F440" s="56" t="n">
        <v>46309.2978008449</v>
      </c>
      <c r="G440" s="54" t="s">
        <v>214</v>
      </c>
      <c r="H440" s="54" t="s">
        <v>214</v>
      </c>
      <c r="I440" s="57"/>
      <c r="J440" s="56"/>
      <c r="K440" s="56"/>
      <c r="L440" s="58" t="str">
        <f aca="false">IF(AND(ISNUMBER(J440),ISNUMBER(K440)),IF(K440&gt;=J440,(K440-J440)*1440,""),"")</f>
        <v/>
      </c>
      <c r="M440" s="56"/>
      <c r="N440" s="58" t="str">
        <f aca="false">IF(AND(ISNUMBER(J440),ISNUMBER(M440)),IF(M440&gt;=J440,(M440-J440)*1440,""),"")</f>
        <v/>
      </c>
      <c r="O440" s="54" t="str">
        <f aca="false">IF(N440="","",LOOKUP(N440,Tiempos!$A$6:$A$10,Tiempos!$B$6:$B$10))</f>
        <v/>
      </c>
      <c r="P440" s="54"/>
      <c r="Q440" s="54"/>
      <c r="R440" s="54"/>
      <c r="S440" s="54"/>
      <c r="T440" s="58"/>
      <c r="U440" s="54"/>
      <c r="V440" s="58"/>
      <c r="W440" s="57"/>
      <c r="X440" s="55"/>
      <c r="Y440" s="54"/>
      <c r="Z440" s="56"/>
      <c r="AA440" s="58" t="str">
        <f aca="false">IF(AND(ISNUMBER(M440),ISNUMBER(Z440)),IF(Z440&gt;=M440,(Z440-M440)*1440,""),"")</f>
        <v/>
      </c>
      <c r="AB440" s="57"/>
      <c r="AC440" s="56"/>
      <c r="AD440" s="58" t="str">
        <f aca="false">IF(AND(ISNUMBER(Z440),ISNUMBER(AC440)),IF(AC440&gt;=Z440,(AC440-Z440)*1440,""),"")</f>
        <v/>
      </c>
      <c r="AE440" s="54"/>
      <c r="AF440" s="54"/>
      <c r="AG440" s="54"/>
      <c r="AH440" s="58"/>
      <c r="AI440" s="55" t="n">
        <v>2</v>
      </c>
      <c r="AJ440" s="54" t="s">
        <v>347</v>
      </c>
      <c r="AK440" s="54" t="s">
        <v>212</v>
      </c>
    </row>
    <row r="441" customFormat="false" ht="15" hidden="false" customHeight="false" outlineLevel="0" collapsed="false">
      <c r="A441" s="54" t="s">
        <v>27</v>
      </c>
      <c r="B441" s="55" t="n">
        <v>1769</v>
      </c>
      <c r="C441" s="54" t="s">
        <v>127</v>
      </c>
      <c r="D441" s="54" t="s">
        <v>212</v>
      </c>
      <c r="E441" s="54"/>
      <c r="F441" s="56" t="n">
        <v>46309.2980099769</v>
      </c>
      <c r="G441" s="54" t="s">
        <v>214</v>
      </c>
      <c r="H441" s="54" t="s">
        <v>212</v>
      </c>
      <c r="I441" s="57"/>
      <c r="J441" s="56"/>
      <c r="K441" s="56"/>
      <c r="L441" s="58" t="str">
        <f aca="false">IF(AND(ISNUMBER(J441),ISNUMBER(K441)),IF(K441&gt;=J441,(K441-J441)*1440,""),"")</f>
        <v/>
      </c>
      <c r="M441" s="56"/>
      <c r="N441" s="58" t="str">
        <f aca="false">IF(AND(ISNUMBER(J441),ISNUMBER(M441)),IF(M441&gt;=J441,(M441-J441)*1440,""),"")</f>
        <v/>
      </c>
      <c r="O441" s="54" t="str">
        <f aca="false">IF(N441="","",LOOKUP(N441,Tiempos!$A$6:$A$10,Tiempos!$B$6:$B$10))</f>
        <v/>
      </c>
      <c r="P441" s="54"/>
      <c r="Q441" s="54"/>
      <c r="R441" s="54"/>
      <c r="S441" s="54"/>
      <c r="T441" s="58"/>
      <c r="U441" s="54"/>
      <c r="V441" s="58"/>
      <c r="W441" s="57"/>
      <c r="X441" s="55"/>
      <c r="Y441" s="54"/>
      <c r="Z441" s="56"/>
      <c r="AA441" s="58" t="str">
        <f aca="false">IF(AND(ISNUMBER(M441),ISNUMBER(Z441)),IF(Z441&gt;=M441,(Z441-M441)*1440,""),"")</f>
        <v/>
      </c>
      <c r="AB441" s="57"/>
      <c r="AC441" s="56"/>
      <c r="AD441" s="58" t="str">
        <f aca="false">IF(AND(ISNUMBER(Z441),ISNUMBER(AC441)),IF(AC441&gt;=Z441,(AC441-Z441)*1440,""),"")</f>
        <v/>
      </c>
      <c r="AE441" s="54"/>
      <c r="AF441" s="54"/>
      <c r="AG441" s="54"/>
      <c r="AH441" s="58"/>
      <c r="AI441" s="55" t="n">
        <v>2</v>
      </c>
      <c r="AJ441" s="54" t="s">
        <v>347</v>
      </c>
      <c r="AK441" s="54" t="s">
        <v>212</v>
      </c>
    </row>
    <row r="442" customFormat="false" ht="15" hidden="false" customHeight="false" outlineLevel="0" collapsed="false">
      <c r="A442" s="54" t="s">
        <v>27</v>
      </c>
      <c r="B442" s="55" t="n">
        <v>1773</v>
      </c>
      <c r="C442" s="54" t="s">
        <v>127</v>
      </c>
      <c r="D442" s="54" t="s">
        <v>212</v>
      </c>
      <c r="E442" s="54"/>
      <c r="F442" s="56" t="n">
        <v>46309.3023196065</v>
      </c>
      <c r="G442" s="54" t="s">
        <v>214</v>
      </c>
      <c r="H442" s="54" t="s">
        <v>212</v>
      </c>
      <c r="I442" s="57"/>
      <c r="J442" s="56"/>
      <c r="K442" s="56"/>
      <c r="L442" s="58" t="str">
        <f aca="false">IF(AND(ISNUMBER(J442),ISNUMBER(K442)),IF(K442&gt;=J442,(K442-J442)*1440,""),"")</f>
        <v/>
      </c>
      <c r="M442" s="56"/>
      <c r="N442" s="58" t="str">
        <f aca="false">IF(AND(ISNUMBER(J442),ISNUMBER(M442)),IF(M442&gt;=J442,(M442-J442)*1440,""),"")</f>
        <v/>
      </c>
      <c r="O442" s="54" t="str">
        <f aca="false">IF(N442="","",LOOKUP(N442,Tiempos!$A$6:$A$10,Tiempos!$B$6:$B$10))</f>
        <v/>
      </c>
      <c r="P442" s="54"/>
      <c r="Q442" s="54"/>
      <c r="R442" s="54"/>
      <c r="S442" s="54"/>
      <c r="T442" s="58"/>
      <c r="U442" s="54"/>
      <c r="V442" s="58"/>
      <c r="W442" s="57"/>
      <c r="X442" s="55"/>
      <c r="Y442" s="54"/>
      <c r="Z442" s="56"/>
      <c r="AA442" s="58" t="str">
        <f aca="false">IF(AND(ISNUMBER(M442),ISNUMBER(Z442)),IF(Z442&gt;=M442,(Z442-M442)*1440,""),"")</f>
        <v/>
      </c>
      <c r="AB442" s="57"/>
      <c r="AC442" s="56"/>
      <c r="AD442" s="58" t="str">
        <f aca="false">IF(AND(ISNUMBER(Z442),ISNUMBER(AC442)),IF(AC442&gt;=Z442,(AC442-Z442)*1440,""),"")</f>
        <v/>
      </c>
      <c r="AE442" s="54"/>
      <c r="AF442" s="54"/>
      <c r="AG442" s="54"/>
      <c r="AH442" s="58"/>
      <c r="AI442" s="55" t="n">
        <v>2</v>
      </c>
      <c r="AJ442" s="54" t="s">
        <v>347</v>
      </c>
      <c r="AK442" s="54" t="s">
        <v>212</v>
      </c>
    </row>
    <row r="443" customFormat="false" ht="15" hidden="false" customHeight="false" outlineLevel="0" collapsed="false">
      <c r="A443" s="54" t="s">
        <v>27</v>
      </c>
      <c r="B443" s="55" t="n">
        <v>1777</v>
      </c>
      <c r="C443" s="54" t="s">
        <v>127</v>
      </c>
      <c r="D443" s="54" t="s">
        <v>214</v>
      </c>
      <c r="E443" s="54" t="s">
        <v>233</v>
      </c>
      <c r="F443" s="56" t="n">
        <v>46309.308038588</v>
      </c>
      <c r="G443" s="54" t="s">
        <v>214</v>
      </c>
      <c r="H443" s="54" t="s">
        <v>214</v>
      </c>
      <c r="I443" s="57" t="s">
        <v>681</v>
      </c>
      <c r="J443" s="56" t="n">
        <v>46309.3175090972</v>
      </c>
      <c r="K443" s="56" t="n">
        <v>46309.3176187963</v>
      </c>
      <c r="L443" s="58" t="n">
        <f aca="false">IF(AND(ISNUMBER(J443),ISNUMBER(K443)),IF(K443&gt;=J443,(K443-J443)*1440,""),"")</f>
        <v>0.157966677783333</v>
      </c>
      <c r="M443" s="56" t="n">
        <v>46309.3198763542</v>
      </c>
      <c r="N443" s="58" t="n">
        <f aca="false">IF(AND(ISNUMBER(J443),ISNUMBER(M443)),IF(M443&gt;=J443,(M443-J443)*1440,""),"")</f>
        <v>3.40885001001667</v>
      </c>
      <c r="O443" s="54" t="str">
        <f aca="false">IF(N443="","",LOOKUP(N443,Tiempos!$A$6:$A$10,Tiempos!$B$6:$B$10))</f>
        <v>Menos de 4 min</v>
      </c>
      <c r="P443" s="54" t="s">
        <v>229</v>
      </c>
      <c r="Q443" s="54" t="s">
        <v>214</v>
      </c>
      <c r="R443" s="54" t="s">
        <v>127</v>
      </c>
      <c r="S443" s="54" t="s">
        <v>220</v>
      </c>
      <c r="T443" s="58" t="n">
        <v>117.4</v>
      </c>
      <c r="U443" s="54" t="s">
        <v>214</v>
      </c>
      <c r="V443" s="58" t="n">
        <v>3.25</v>
      </c>
      <c r="W443" s="57" t="s">
        <v>356</v>
      </c>
      <c r="X443" s="55" t="n">
        <v>2</v>
      </c>
      <c r="Y443" s="54" t="s">
        <v>214</v>
      </c>
      <c r="Z443" s="56" t="n">
        <v>46309.3514175694</v>
      </c>
      <c r="AA443" s="58" t="n">
        <f aca="false">IF(AND(ISNUMBER(M443),ISNUMBER(Z443)),IF(Z443&gt;=M443,(Z443-M443)*1440,""),"")</f>
        <v>45.4193499893833</v>
      </c>
      <c r="AB443" s="57" t="s">
        <v>682</v>
      </c>
      <c r="AC443" s="56" t="n">
        <v>46309.3524610069</v>
      </c>
      <c r="AD443" s="58" t="n">
        <f aca="false">IF(AND(ISNUMBER(Z443),ISNUMBER(AC443)),IF(AC443&gt;=Z443,(AC443-Z443)*1440,""),"")</f>
        <v>1.50254999985</v>
      </c>
      <c r="AE443" s="54" t="s">
        <v>346</v>
      </c>
      <c r="AF443" s="54" t="s">
        <v>214</v>
      </c>
      <c r="AG443" s="54" t="s">
        <v>214</v>
      </c>
      <c r="AH443" s="58" t="n">
        <v>3.5</v>
      </c>
      <c r="AI443" s="55" t="n">
        <v>2</v>
      </c>
      <c r="AJ443" s="54" t="s">
        <v>347</v>
      </c>
      <c r="AK443" s="54" t="s">
        <v>212</v>
      </c>
    </row>
    <row r="444" customFormat="false" ht="15" hidden="false" customHeight="false" outlineLevel="0" collapsed="false">
      <c r="A444" s="54" t="s">
        <v>27</v>
      </c>
      <c r="B444" s="55" t="n">
        <v>1778</v>
      </c>
      <c r="C444" s="54" t="s">
        <v>127</v>
      </c>
      <c r="D444" s="54" t="s">
        <v>214</v>
      </c>
      <c r="E444" s="54" t="s">
        <v>242</v>
      </c>
      <c r="F444" s="56" t="n">
        <v>46309.3082224306</v>
      </c>
      <c r="G444" s="54" t="s">
        <v>214</v>
      </c>
      <c r="H444" s="54" t="s">
        <v>214</v>
      </c>
      <c r="I444" s="57" t="s">
        <v>683</v>
      </c>
      <c r="J444" s="56" t="n">
        <v>46309.3378053357</v>
      </c>
      <c r="K444" s="56" t="n">
        <v>46309.3379681944</v>
      </c>
      <c r="L444" s="58" t="n">
        <f aca="false">IF(AND(ISNUMBER(J444),ISNUMBER(K444)),IF(K444&gt;=J444,(K444-J444)*1440,""),"")</f>
        <v>0.234516661133333</v>
      </c>
      <c r="M444" s="56" t="n">
        <v>46309.3398677199</v>
      </c>
      <c r="N444" s="58" t="n">
        <f aca="false">IF(AND(ISNUMBER(J444),ISNUMBER(M444)),IF(M444&gt;=J444,(M444-J444)*1440,""),"")</f>
        <v>2.96983333071667</v>
      </c>
      <c r="O444" s="54" t="str">
        <f aca="false">IF(N444="","",LOOKUP(N444,Tiempos!$A$6:$A$10,Tiempos!$B$6:$B$10))</f>
        <v>Menos de 4 min</v>
      </c>
      <c r="P444" s="54" t="s">
        <v>229</v>
      </c>
      <c r="Q444" s="54" t="s">
        <v>214</v>
      </c>
      <c r="R444" s="54" t="s">
        <v>127</v>
      </c>
      <c r="S444" s="54" t="s">
        <v>220</v>
      </c>
      <c r="T444" s="58" t="n">
        <v>115.5</v>
      </c>
      <c r="U444" s="54" t="s">
        <v>214</v>
      </c>
      <c r="V444" s="58" t="n">
        <v>2.74</v>
      </c>
      <c r="W444" s="57" t="s">
        <v>411</v>
      </c>
      <c r="X444" s="55" t="n">
        <v>2</v>
      </c>
      <c r="Y444" s="54" t="s">
        <v>214</v>
      </c>
      <c r="Z444" s="56" t="n">
        <v>46309.3418221065</v>
      </c>
      <c r="AA444" s="58" t="n">
        <f aca="false">IF(AND(ISNUMBER(M444),ISNUMBER(Z444)),IF(Z444&gt;=M444,(Z444-M444)*1440,""),"")</f>
        <v>2.81431666225</v>
      </c>
      <c r="AB444" s="57" t="s">
        <v>684</v>
      </c>
      <c r="AC444" s="56" t="n">
        <v>46309.343182257</v>
      </c>
      <c r="AD444" s="58" t="n">
        <f aca="false">IF(AND(ISNUMBER(Z444),ISNUMBER(AC444)),IF(AC444&gt;=Z444,(AC444-Z444)*1440,""),"")</f>
        <v>1.9586166751</v>
      </c>
      <c r="AE444" s="54" t="s">
        <v>302</v>
      </c>
      <c r="AF444" s="54" t="s">
        <v>212</v>
      </c>
      <c r="AG444" s="54" t="s">
        <v>212</v>
      </c>
      <c r="AH444" s="58"/>
      <c r="AI444" s="55" t="n">
        <v>2</v>
      </c>
      <c r="AJ444" s="54" t="s">
        <v>473</v>
      </c>
      <c r="AK444" s="54" t="s">
        <v>212</v>
      </c>
    </row>
    <row r="445" customFormat="false" ht="15" hidden="false" customHeight="false" outlineLevel="0" collapsed="false">
      <c r="A445" s="54" t="s">
        <v>27</v>
      </c>
      <c r="B445" s="55" t="n">
        <v>1786</v>
      </c>
      <c r="C445" s="54" t="s">
        <v>127</v>
      </c>
      <c r="D445" s="54" t="s">
        <v>214</v>
      </c>
      <c r="E445" s="54" t="s">
        <v>217</v>
      </c>
      <c r="F445" s="56" t="n">
        <v>46309.3089822338</v>
      </c>
      <c r="G445" s="54" t="s">
        <v>214</v>
      </c>
      <c r="H445" s="54" t="s">
        <v>214</v>
      </c>
      <c r="I445" s="57" t="s">
        <v>685</v>
      </c>
      <c r="J445" s="56" t="n">
        <v>46309.3098205324</v>
      </c>
      <c r="K445" s="56" t="n">
        <v>46309.3138324537</v>
      </c>
      <c r="L445" s="58" t="n">
        <f aca="false">IF(AND(ISNUMBER(J445),ISNUMBER(K445)),IF(K445&gt;=J445,(K445-J445)*1440,""),"")</f>
        <v>5.77716666273333</v>
      </c>
      <c r="M445" s="56" t="n">
        <v>46309.3155908796</v>
      </c>
      <c r="N445" s="58" t="n">
        <f aca="false">IF(AND(ISNUMBER(J445),ISNUMBER(M445)),IF(M445&gt;=J445,(M445-J445)*1440,""),"")</f>
        <v>8.30929999588333</v>
      </c>
      <c r="O445" s="54" t="str">
        <f aca="false">IF(N445="","",LOOKUP(N445,Tiempos!$A$6:$A$10,Tiempos!$B$6:$B$10))</f>
        <v>6 a 10 min</v>
      </c>
      <c r="P445" s="54" t="s">
        <v>229</v>
      </c>
      <c r="Q445" s="54" t="s">
        <v>214</v>
      </c>
      <c r="R445" s="54" t="s">
        <v>127</v>
      </c>
      <c r="S445" s="54" t="s">
        <v>220</v>
      </c>
      <c r="T445" s="58" t="n">
        <v>121.1</v>
      </c>
      <c r="U445" s="54" t="s">
        <v>214</v>
      </c>
      <c r="V445" s="58" t="n">
        <v>2.53</v>
      </c>
      <c r="W445" s="57" t="s">
        <v>286</v>
      </c>
      <c r="X445" s="55" t="n">
        <v>2</v>
      </c>
      <c r="Y445" s="54" t="s">
        <v>214</v>
      </c>
      <c r="Z445" s="56" t="n">
        <v>46309.6211539699</v>
      </c>
      <c r="AA445" s="58" t="n">
        <f aca="false">IF(AND(ISNUMBER(M445),ISNUMBER(Z445)),IF(Z445&gt;=M445,(Z445-M445)*1440,""),"")</f>
        <v>440.0108499953</v>
      </c>
      <c r="AB445" s="57" t="s">
        <v>686</v>
      </c>
      <c r="AC445" s="56" t="n">
        <v>46309.6214919792</v>
      </c>
      <c r="AD445" s="58" t="n">
        <f aca="false">IF(AND(ISNUMBER(Z445),ISNUMBER(AC445)),IF(AC445&gt;=Z445,(AC445-Z445)*1440,""),"")</f>
        <v>0.486733334833333</v>
      </c>
      <c r="AE445" s="54" t="s">
        <v>687</v>
      </c>
      <c r="AF445" s="54" t="s">
        <v>214</v>
      </c>
      <c r="AG445" s="54" t="s">
        <v>212</v>
      </c>
      <c r="AH445" s="58"/>
      <c r="AI445" s="55" t="n">
        <v>2</v>
      </c>
      <c r="AJ445" s="54" t="s">
        <v>688</v>
      </c>
      <c r="AK445" s="54" t="s">
        <v>212</v>
      </c>
    </row>
    <row r="446" customFormat="false" ht="15" hidden="false" customHeight="false" outlineLevel="0" collapsed="false">
      <c r="A446" s="54" t="s">
        <v>27</v>
      </c>
      <c r="B446" s="55" t="n">
        <v>1789</v>
      </c>
      <c r="C446" s="54" t="s">
        <v>127</v>
      </c>
      <c r="D446" s="54" t="s">
        <v>214</v>
      </c>
      <c r="E446" s="54" t="s">
        <v>278</v>
      </c>
      <c r="F446" s="56" t="n">
        <v>46309.3177196644</v>
      </c>
      <c r="G446" s="54" t="s">
        <v>214</v>
      </c>
      <c r="H446" s="54" t="s">
        <v>214</v>
      </c>
      <c r="I446" s="57" t="s">
        <v>689</v>
      </c>
      <c r="J446" s="56" t="n">
        <v>46309.3182731597</v>
      </c>
      <c r="K446" s="56" t="n">
        <v>46309.3212665857</v>
      </c>
      <c r="L446" s="58" t="n">
        <f aca="false">IF(AND(ISNUMBER(J446),ISNUMBER(K446)),IF(K446&gt;=J446,(K446-J446)*1440,""),"")</f>
        <v>4.31053333798333</v>
      </c>
      <c r="M446" s="56" t="n">
        <v>46309.323491875</v>
      </c>
      <c r="N446" s="58" t="n">
        <f aca="false">IF(AND(ISNUMBER(J446),ISNUMBER(M446)),IF(M446&gt;=J446,(M446-J446)*1440,""),"")</f>
        <v>7.51495000788333</v>
      </c>
      <c r="O446" s="54" t="str">
        <f aca="false">IF(N446="","",LOOKUP(N446,Tiempos!$A$6:$A$10,Tiempos!$B$6:$B$10))</f>
        <v>6 a 10 min</v>
      </c>
      <c r="P446" s="54" t="s">
        <v>229</v>
      </c>
      <c r="Q446" s="54" t="s">
        <v>214</v>
      </c>
      <c r="R446" s="54" t="s">
        <v>127</v>
      </c>
      <c r="S446" s="54" t="s">
        <v>220</v>
      </c>
      <c r="T446" s="58" t="n">
        <v>107.2</v>
      </c>
      <c r="U446" s="54" t="s">
        <v>214</v>
      </c>
      <c r="V446" s="58" t="n">
        <v>3.2</v>
      </c>
      <c r="W446" s="57" t="s">
        <v>690</v>
      </c>
      <c r="X446" s="55" t="n">
        <v>2</v>
      </c>
      <c r="Y446" s="54" t="s">
        <v>214</v>
      </c>
      <c r="Z446" s="56" t="n">
        <v>46309.5014120949</v>
      </c>
      <c r="AA446" s="58" t="n">
        <f aca="false">IF(AND(ISNUMBER(M446),ISNUMBER(Z446)),IF(Z446&gt;=M446,(Z446-M446)*1440,""),"")</f>
        <v>256.205116671033</v>
      </c>
      <c r="AB446" s="57" t="s">
        <v>691</v>
      </c>
      <c r="AC446" s="56" t="n">
        <v>46309.5020057986</v>
      </c>
      <c r="AD446" s="58" t="n">
        <f aca="false">IF(AND(ISNUMBER(Z446),ISNUMBER(AC446)),IF(AC446&gt;=Z446,(AC446-Z446)*1440,""),"")</f>
        <v>0.854933325883333</v>
      </c>
      <c r="AE446" s="54" t="s">
        <v>302</v>
      </c>
      <c r="AF446" s="54" t="s">
        <v>214</v>
      </c>
      <c r="AG446" s="54" t="s">
        <v>212</v>
      </c>
      <c r="AH446" s="58"/>
      <c r="AI446" s="55" t="n">
        <v>2</v>
      </c>
      <c r="AJ446" s="54" t="s">
        <v>347</v>
      </c>
      <c r="AK446" s="54" t="s">
        <v>212</v>
      </c>
    </row>
    <row r="447" customFormat="false" ht="15" hidden="false" customHeight="false" outlineLevel="0" collapsed="false">
      <c r="A447" s="54" t="s">
        <v>27</v>
      </c>
      <c r="B447" s="55" t="n">
        <v>1797</v>
      </c>
      <c r="C447" s="54" t="s">
        <v>127</v>
      </c>
      <c r="D447" s="54" t="s">
        <v>212</v>
      </c>
      <c r="E447" s="54"/>
      <c r="F447" s="56" t="n">
        <v>46309.3624494329</v>
      </c>
      <c r="G447" s="54" t="s">
        <v>212</v>
      </c>
      <c r="H447" s="54" t="s">
        <v>214</v>
      </c>
      <c r="I447" s="57"/>
      <c r="J447" s="56"/>
      <c r="K447" s="56"/>
      <c r="L447" s="58" t="str">
        <f aca="false">IF(AND(ISNUMBER(J447),ISNUMBER(K447)),IF(K447&gt;=J447,(K447-J447)*1440,""),"")</f>
        <v/>
      </c>
      <c r="M447" s="56"/>
      <c r="N447" s="58" t="str">
        <f aca="false">IF(AND(ISNUMBER(J447),ISNUMBER(M447)),IF(M447&gt;=J447,(M447-J447)*1440,""),"")</f>
        <v/>
      </c>
      <c r="O447" s="54" t="str">
        <f aca="false">IF(N447="","",LOOKUP(N447,Tiempos!$A$6:$A$10,Tiempos!$B$6:$B$10))</f>
        <v/>
      </c>
      <c r="P447" s="54"/>
      <c r="Q447" s="54"/>
      <c r="R447" s="54"/>
      <c r="S447" s="54"/>
      <c r="T447" s="58"/>
      <c r="U447" s="54"/>
      <c r="V447" s="58"/>
      <c r="W447" s="57"/>
      <c r="X447" s="55"/>
      <c r="Y447" s="54"/>
      <c r="Z447" s="56"/>
      <c r="AA447" s="58" t="str">
        <f aca="false">IF(AND(ISNUMBER(M447),ISNUMBER(Z447)),IF(Z447&gt;=M447,(Z447-M447)*1440,""),"")</f>
        <v/>
      </c>
      <c r="AB447" s="57"/>
      <c r="AC447" s="56"/>
      <c r="AD447" s="58" t="str">
        <f aca="false">IF(AND(ISNUMBER(Z447),ISNUMBER(AC447)),IF(AC447&gt;=Z447,(AC447-Z447)*1440,""),"")</f>
        <v/>
      </c>
      <c r="AE447" s="54"/>
      <c r="AF447" s="54"/>
      <c r="AG447" s="54"/>
      <c r="AH447" s="58"/>
      <c r="AI447" s="55" t="n">
        <v>1</v>
      </c>
      <c r="AJ447" s="54" t="s">
        <v>347</v>
      </c>
      <c r="AK447" s="54" t="s">
        <v>212</v>
      </c>
    </row>
    <row r="448" customFormat="false" ht="15" hidden="false" customHeight="false" outlineLevel="0" collapsed="false">
      <c r="A448" s="54" t="s">
        <v>27</v>
      </c>
      <c r="B448" s="55" t="n">
        <v>1801</v>
      </c>
      <c r="C448" s="54" t="s">
        <v>127</v>
      </c>
      <c r="D448" s="54" t="s">
        <v>214</v>
      </c>
      <c r="E448" s="54" t="s">
        <v>233</v>
      </c>
      <c r="F448" s="56" t="n">
        <v>46309.3779852546</v>
      </c>
      <c r="G448" s="54" t="s">
        <v>212</v>
      </c>
      <c r="H448" s="54" t="s">
        <v>212</v>
      </c>
      <c r="I448" s="57" t="s">
        <v>692</v>
      </c>
      <c r="J448" s="56" t="n">
        <v>46309.381799919</v>
      </c>
      <c r="K448" s="56" t="n">
        <v>46309.3820853472</v>
      </c>
      <c r="L448" s="58" t="n">
        <f aca="false">IF(AND(ISNUMBER(J448),ISNUMBER(K448)),IF(K448&gt;=J448,(K448-J448)*1440,""),"")</f>
        <v>0.411016648866667</v>
      </c>
      <c r="M448" s="56" t="n">
        <v>46309.3852460764</v>
      </c>
      <c r="N448" s="58" t="n">
        <f aca="false">IF(AND(ISNUMBER(J448),ISNUMBER(M448)),IF(M448&gt;=J448,(M448-J448)*1440,""),"")</f>
        <v>4.96246665016667</v>
      </c>
      <c r="O448" s="54" t="str">
        <f aca="false">IF(N448="","",LOOKUP(N448,Tiempos!$A$6:$A$10,Tiempos!$B$6:$B$10))</f>
        <v>4 a 6 min</v>
      </c>
      <c r="P448" s="54" t="s">
        <v>229</v>
      </c>
      <c r="Q448" s="54" t="s">
        <v>214</v>
      </c>
      <c r="R448" s="54" t="s">
        <v>130</v>
      </c>
      <c r="S448" s="54" t="s">
        <v>215</v>
      </c>
      <c r="T448" s="58" t="n">
        <v>127.3</v>
      </c>
      <c r="U448" s="54" t="s">
        <v>212</v>
      </c>
      <c r="V448" s="58" t="n">
        <v>4.55</v>
      </c>
      <c r="W448" s="57" t="s">
        <v>235</v>
      </c>
      <c r="X448" s="55" t="n">
        <v>2</v>
      </c>
      <c r="Y448" s="54" t="s">
        <v>212</v>
      </c>
      <c r="Z448" s="56"/>
      <c r="AA448" s="58" t="str">
        <f aca="false">IF(AND(ISNUMBER(M448),ISNUMBER(Z448)),IF(Z448&gt;=M448,(Z448-M448)*1440,""),"")</f>
        <v/>
      </c>
      <c r="AB448" s="57"/>
      <c r="AC448" s="56"/>
      <c r="AD448" s="58" t="str">
        <f aca="false">IF(AND(ISNUMBER(Z448),ISNUMBER(AC448)),IF(AC448&gt;=Z448,(AC448-Z448)*1440,""),"")</f>
        <v/>
      </c>
      <c r="AE448" s="54"/>
      <c r="AF448" s="54" t="s">
        <v>214</v>
      </c>
      <c r="AG448" s="54"/>
      <c r="AH448" s="58"/>
      <c r="AI448" s="55" t="n">
        <v>2</v>
      </c>
      <c r="AJ448" s="54" t="s">
        <v>347</v>
      </c>
      <c r="AK448" s="54" t="s">
        <v>212</v>
      </c>
    </row>
    <row r="449" customFormat="false" ht="15" hidden="false" customHeight="false" outlineLevel="0" collapsed="false">
      <c r="A449" s="54" t="s">
        <v>27</v>
      </c>
      <c r="B449" s="55" t="n">
        <v>1811</v>
      </c>
      <c r="C449" s="54" t="s">
        <v>127</v>
      </c>
      <c r="D449" s="54" t="s">
        <v>212</v>
      </c>
      <c r="E449" s="54"/>
      <c r="F449" s="56" t="n">
        <v>46309.3982518171</v>
      </c>
      <c r="G449" s="54" t="s">
        <v>212</v>
      </c>
      <c r="H449" s="54" t="s">
        <v>212</v>
      </c>
      <c r="I449" s="57"/>
      <c r="J449" s="56"/>
      <c r="K449" s="56"/>
      <c r="L449" s="58" t="str">
        <f aca="false">IF(AND(ISNUMBER(J449),ISNUMBER(K449)),IF(K449&gt;=J449,(K449-J449)*1440,""),"")</f>
        <v/>
      </c>
      <c r="M449" s="56"/>
      <c r="N449" s="58" t="str">
        <f aca="false">IF(AND(ISNUMBER(J449),ISNUMBER(M449)),IF(M449&gt;=J449,(M449-J449)*1440,""),"")</f>
        <v/>
      </c>
      <c r="O449" s="54" t="str">
        <f aca="false">IF(N449="","",LOOKUP(N449,Tiempos!$A$6:$A$10,Tiempos!$B$6:$B$10))</f>
        <v/>
      </c>
      <c r="P449" s="54"/>
      <c r="Q449" s="54"/>
      <c r="R449" s="54"/>
      <c r="S449" s="54"/>
      <c r="T449" s="58"/>
      <c r="U449" s="54"/>
      <c r="V449" s="58"/>
      <c r="W449" s="57"/>
      <c r="X449" s="55"/>
      <c r="Y449" s="54"/>
      <c r="Z449" s="56"/>
      <c r="AA449" s="58" t="str">
        <f aca="false">IF(AND(ISNUMBER(M449),ISNUMBER(Z449)),IF(Z449&gt;=M449,(Z449-M449)*1440,""),"")</f>
        <v/>
      </c>
      <c r="AB449" s="57"/>
      <c r="AC449" s="56"/>
      <c r="AD449" s="58" t="str">
        <f aca="false">IF(AND(ISNUMBER(Z449),ISNUMBER(AC449)),IF(AC449&gt;=Z449,(AC449-Z449)*1440,""),"")</f>
        <v/>
      </c>
      <c r="AE449" s="54"/>
      <c r="AF449" s="54"/>
      <c r="AG449" s="54"/>
      <c r="AH449" s="58"/>
      <c r="AI449" s="55" t="n">
        <v>3</v>
      </c>
      <c r="AJ449" s="54" t="s">
        <v>347</v>
      </c>
      <c r="AK449" s="54" t="s">
        <v>212</v>
      </c>
    </row>
    <row r="450" customFormat="false" ht="15" hidden="false" customHeight="false" outlineLevel="0" collapsed="false">
      <c r="A450" s="54" t="s">
        <v>27</v>
      </c>
      <c r="B450" s="55" t="n">
        <v>1814</v>
      </c>
      <c r="C450" s="54" t="s">
        <v>127</v>
      </c>
      <c r="D450" s="54" t="s">
        <v>212</v>
      </c>
      <c r="E450" s="54"/>
      <c r="F450" s="56" t="n">
        <v>46309.4059038657</v>
      </c>
      <c r="G450" s="54" t="s">
        <v>212</v>
      </c>
      <c r="H450" s="54" t="s">
        <v>212</v>
      </c>
      <c r="I450" s="57"/>
      <c r="J450" s="56"/>
      <c r="K450" s="56"/>
      <c r="L450" s="58" t="str">
        <f aca="false">IF(AND(ISNUMBER(J450),ISNUMBER(K450)),IF(K450&gt;=J450,(K450-J450)*1440,""),"")</f>
        <v/>
      </c>
      <c r="M450" s="56"/>
      <c r="N450" s="58" t="str">
        <f aca="false">IF(AND(ISNUMBER(J450),ISNUMBER(M450)),IF(M450&gt;=J450,(M450-J450)*1440,""),"")</f>
        <v/>
      </c>
      <c r="O450" s="54" t="str">
        <f aca="false">IF(N450="","",LOOKUP(N450,Tiempos!$A$6:$A$10,Tiempos!$B$6:$B$10))</f>
        <v/>
      </c>
      <c r="P450" s="54"/>
      <c r="Q450" s="54"/>
      <c r="R450" s="54"/>
      <c r="S450" s="54"/>
      <c r="T450" s="58"/>
      <c r="U450" s="54"/>
      <c r="V450" s="58"/>
      <c r="W450" s="57"/>
      <c r="X450" s="55"/>
      <c r="Y450" s="54"/>
      <c r="Z450" s="56"/>
      <c r="AA450" s="58" t="str">
        <f aca="false">IF(AND(ISNUMBER(M450),ISNUMBER(Z450)),IF(Z450&gt;=M450,(Z450-M450)*1440,""),"")</f>
        <v/>
      </c>
      <c r="AB450" s="57"/>
      <c r="AC450" s="56"/>
      <c r="AD450" s="58" t="str">
        <f aca="false">IF(AND(ISNUMBER(Z450),ISNUMBER(AC450)),IF(AC450&gt;=Z450,(AC450-Z450)*1440,""),"")</f>
        <v/>
      </c>
      <c r="AE450" s="54"/>
      <c r="AF450" s="54"/>
      <c r="AG450" s="54"/>
      <c r="AH450" s="58"/>
      <c r="AI450" s="55" t="n">
        <v>2</v>
      </c>
      <c r="AJ450" s="54" t="s">
        <v>347</v>
      </c>
      <c r="AK450" s="54" t="s">
        <v>212</v>
      </c>
    </row>
    <row r="451" customFormat="false" ht="15" hidden="false" customHeight="false" outlineLevel="0" collapsed="false">
      <c r="A451" s="54" t="s">
        <v>27</v>
      </c>
      <c r="B451" s="55" t="n">
        <v>1810</v>
      </c>
      <c r="C451" s="54" t="s">
        <v>127</v>
      </c>
      <c r="D451" s="54" t="s">
        <v>214</v>
      </c>
      <c r="E451" s="54" t="s">
        <v>217</v>
      </c>
      <c r="F451" s="56" t="n">
        <v>46309.4122192014</v>
      </c>
      <c r="G451" s="54" t="s">
        <v>212</v>
      </c>
      <c r="H451" s="54" t="s">
        <v>214</v>
      </c>
      <c r="I451" s="57" t="s">
        <v>693</v>
      </c>
      <c r="J451" s="56" t="n">
        <v>46309.4138357986</v>
      </c>
      <c r="K451" s="56" t="n">
        <v>46309.4140980556</v>
      </c>
      <c r="L451" s="58" t="n">
        <f aca="false">IF(AND(ISNUMBER(J451),ISNUMBER(K451)),IF(K451&gt;=J451,(K451-J451)*1440,""),"")</f>
        <v>0.37765000015</v>
      </c>
      <c r="M451" s="56" t="n">
        <v>46309.4171789468</v>
      </c>
      <c r="N451" s="58" t="n">
        <f aca="false">IF(AND(ISNUMBER(J451),ISNUMBER(M451)),IF(M451&gt;=J451,(M451-J451)*1440,""),"")</f>
        <v>4.8141333356</v>
      </c>
      <c r="O451" s="54" t="str">
        <f aca="false">IF(N451="","",LOOKUP(N451,Tiempos!$A$6:$A$10,Tiempos!$B$6:$B$10))</f>
        <v>4 a 6 min</v>
      </c>
      <c r="P451" s="54" t="s">
        <v>229</v>
      </c>
      <c r="Q451" s="54" t="s">
        <v>214</v>
      </c>
      <c r="R451" s="54" t="s">
        <v>127</v>
      </c>
      <c r="S451" s="54" t="s">
        <v>220</v>
      </c>
      <c r="T451" s="58" t="n">
        <v>105.2</v>
      </c>
      <c r="U451" s="54" t="s">
        <v>214</v>
      </c>
      <c r="V451" s="58" t="n">
        <v>4.44</v>
      </c>
      <c r="W451" s="57" t="s">
        <v>267</v>
      </c>
      <c r="X451" s="55" t="n">
        <v>2</v>
      </c>
      <c r="Y451" s="54" t="s">
        <v>212</v>
      </c>
      <c r="Z451" s="56"/>
      <c r="AA451" s="58" t="str">
        <f aca="false">IF(AND(ISNUMBER(M451),ISNUMBER(Z451)),IF(Z451&gt;=M451,(Z451-M451)*1440,""),"")</f>
        <v/>
      </c>
      <c r="AB451" s="57"/>
      <c r="AC451" s="56"/>
      <c r="AD451" s="58" t="str">
        <f aca="false">IF(AND(ISNUMBER(Z451),ISNUMBER(AC451)),IF(AC451&gt;=Z451,(AC451-Z451)*1440,""),"")</f>
        <v/>
      </c>
      <c r="AE451" s="54"/>
      <c r="AF451" s="54" t="s">
        <v>214</v>
      </c>
      <c r="AG451" s="54"/>
      <c r="AH451" s="58"/>
      <c r="AI451" s="55" t="n">
        <v>1</v>
      </c>
      <c r="AJ451" s="54" t="s">
        <v>347</v>
      </c>
      <c r="AK451" s="54" t="s">
        <v>212</v>
      </c>
    </row>
    <row r="452" customFormat="false" ht="15" hidden="false" customHeight="false" outlineLevel="0" collapsed="false">
      <c r="A452" s="54" t="s">
        <v>27</v>
      </c>
      <c r="B452" s="55" t="n">
        <v>1819</v>
      </c>
      <c r="C452" s="54" t="s">
        <v>127</v>
      </c>
      <c r="D452" s="54" t="s">
        <v>214</v>
      </c>
      <c r="E452" s="54" t="s">
        <v>233</v>
      </c>
      <c r="F452" s="56" t="n">
        <v>46309.4278896991</v>
      </c>
      <c r="G452" s="54" t="s">
        <v>212</v>
      </c>
      <c r="H452" s="54" t="s">
        <v>212</v>
      </c>
      <c r="I452" s="57" t="s">
        <v>694</v>
      </c>
      <c r="J452" s="56" t="n">
        <v>46309.4287497801</v>
      </c>
      <c r="K452" s="56" t="n">
        <v>46309.429459757</v>
      </c>
      <c r="L452" s="58" t="n">
        <f aca="false">IF(AND(ISNUMBER(J452),ISNUMBER(K452)),IF(K452&gt;=J452,(K452-J452)*1440,""),"")</f>
        <v>1.0223666823</v>
      </c>
      <c r="M452" s="56" t="n">
        <v>46309.4321818403</v>
      </c>
      <c r="N452" s="58" t="n">
        <f aca="false">IF(AND(ISNUMBER(J452),ISNUMBER(M452)),IF(M452&gt;=J452,(M452-J452)*1440,""),"")</f>
        <v>4.94216667603333</v>
      </c>
      <c r="O452" s="54" t="str">
        <f aca="false">IF(N452="","",LOOKUP(N452,Tiempos!$A$6:$A$10,Tiempos!$B$6:$B$10))</f>
        <v>4 a 6 min</v>
      </c>
      <c r="P452" s="54" t="s">
        <v>229</v>
      </c>
      <c r="Q452" s="54" t="s">
        <v>214</v>
      </c>
      <c r="R452" s="54" t="s">
        <v>130</v>
      </c>
      <c r="S452" s="54" t="s">
        <v>215</v>
      </c>
      <c r="T452" s="58" t="n">
        <v>106.4</v>
      </c>
      <c r="U452" s="54" t="s">
        <v>212</v>
      </c>
      <c r="V452" s="58" t="n">
        <v>3.92</v>
      </c>
      <c r="W452" s="57" t="s">
        <v>235</v>
      </c>
      <c r="X452" s="55" t="n">
        <v>2</v>
      </c>
      <c r="Y452" s="54" t="s">
        <v>214</v>
      </c>
      <c r="Z452" s="56" t="n">
        <v>46309.4366243403</v>
      </c>
      <c r="AA452" s="58" t="n">
        <f aca="false">IF(AND(ISNUMBER(M452),ISNUMBER(Z452)),IF(Z452&gt;=M452,(Z452-M452)*1440,""),"")</f>
        <v>6.39719999161667</v>
      </c>
      <c r="AB452" s="57" t="s">
        <v>695</v>
      </c>
      <c r="AC452" s="56" t="n">
        <v>46309.4369747107</v>
      </c>
      <c r="AD452" s="58" t="n">
        <f aca="false">IF(AND(ISNUMBER(Z452),ISNUMBER(AC452)),IF(AC452&gt;=Z452,(AC452-Z452)*1440,""),"")</f>
        <v>0.504533333</v>
      </c>
      <c r="AE452" s="54" t="s">
        <v>696</v>
      </c>
      <c r="AF452" s="54" t="s">
        <v>212</v>
      </c>
      <c r="AG452" s="54" t="s">
        <v>212</v>
      </c>
      <c r="AH452" s="58"/>
      <c r="AI452" s="55" t="n">
        <v>2</v>
      </c>
      <c r="AJ452" s="54" t="s">
        <v>688</v>
      </c>
      <c r="AK452" s="54" t="s">
        <v>212</v>
      </c>
    </row>
    <row r="453" customFormat="false" ht="15" hidden="false" customHeight="false" outlineLevel="0" collapsed="false">
      <c r="A453" s="54" t="s">
        <v>27</v>
      </c>
      <c r="B453" s="55" t="n">
        <v>1826</v>
      </c>
      <c r="C453" s="54" t="s">
        <v>127</v>
      </c>
      <c r="D453" s="54" t="s">
        <v>211</v>
      </c>
      <c r="E453" s="54"/>
      <c r="F453" s="56" t="n">
        <v>46309.4597677431</v>
      </c>
      <c r="G453" s="54" t="s">
        <v>212</v>
      </c>
      <c r="H453" s="54" t="s">
        <v>214</v>
      </c>
      <c r="I453" s="57" t="s">
        <v>697</v>
      </c>
      <c r="J453" s="56" t="n">
        <v>46309.5439201042</v>
      </c>
      <c r="K453" s="56" t="n">
        <v>46309.5441051736</v>
      </c>
      <c r="L453" s="58" t="n">
        <f aca="false">IF(AND(ISNUMBER(J453),ISNUMBER(K453)),IF(K453&gt;=J453,(K453-J453)*1440,""),"")</f>
        <v>0.266499991983333</v>
      </c>
      <c r="M453" s="56" t="n">
        <v>46309.5441051736</v>
      </c>
      <c r="N453" s="58" t="n">
        <f aca="false">IF(AND(ISNUMBER(J453),ISNUMBER(M453)),IF(M453&gt;=J453,(M453-J453)*1440,""),"")</f>
        <v>0.266499991983333</v>
      </c>
      <c r="O453" s="54" t="str">
        <f aca="false">IF(N453="","",LOOKUP(N453,Tiempos!$A$6:$A$10,Tiempos!$B$6:$B$10))</f>
        <v>Menos de 4 min</v>
      </c>
      <c r="P453" s="54" t="s">
        <v>226</v>
      </c>
      <c r="Q453" s="54" t="s">
        <v>212</v>
      </c>
      <c r="R453" s="54" t="s">
        <v>127</v>
      </c>
      <c r="S453" s="54" t="s">
        <v>220</v>
      </c>
      <c r="T453" s="58"/>
      <c r="U453" s="54"/>
      <c r="V453" s="58"/>
      <c r="W453" s="57"/>
      <c r="X453" s="55" t="n">
        <v>0</v>
      </c>
      <c r="Y453" s="54" t="s">
        <v>212</v>
      </c>
      <c r="Z453" s="56"/>
      <c r="AA453" s="58" t="str">
        <f aca="false">IF(AND(ISNUMBER(M453),ISNUMBER(Z453)),IF(Z453&gt;=M453,(Z453-M453)*1440,""),"")</f>
        <v/>
      </c>
      <c r="AB453" s="57"/>
      <c r="AC453" s="56"/>
      <c r="AD453" s="58" t="str">
        <f aca="false">IF(AND(ISNUMBER(Z453),ISNUMBER(AC453)),IF(AC453&gt;=Z453,(AC453-Z453)*1440,""),"")</f>
        <v/>
      </c>
      <c r="AE453" s="54"/>
      <c r="AF453" s="54" t="s">
        <v>212</v>
      </c>
      <c r="AG453" s="54"/>
      <c r="AH453" s="58"/>
      <c r="AI453" s="55" t="n">
        <v>2</v>
      </c>
      <c r="AJ453" s="54" t="s">
        <v>347</v>
      </c>
      <c r="AK453" s="54" t="s">
        <v>212</v>
      </c>
    </row>
    <row r="454" customFormat="false" ht="15" hidden="false" customHeight="false" outlineLevel="0" collapsed="false">
      <c r="A454" s="54" t="s">
        <v>27</v>
      </c>
      <c r="B454" s="55" t="n">
        <v>1828</v>
      </c>
      <c r="C454" s="54" t="s">
        <v>127</v>
      </c>
      <c r="D454" s="54" t="s">
        <v>212</v>
      </c>
      <c r="E454" s="54"/>
      <c r="F454" s="56" t="n">
        <v>46309.4794824421</v>
      </c>
      <c r="G454" s="54" t="s">
        <v>212</v>
      </c>
      <c r="H454" s="54" t="s">
        <v>214</v>
      </c>
      <c r="I454" s="57"/>
      <c r="J454" s="56"/>
      <c r="K454" s="56"/>
      <c r="L454" s="58" t="str">
        <f aca="false">IF(AND(ISNUMBER(J454),ISNUMBER(K454)),IF(K454&gt;=J454,(K454-J454)*1440,""),"")</f>
        <v/>
      </c>
      <c r="M454" s="56"/>
      <c r="N454" s="58" t="str">
        <f aca="false">IF(AND(ISNUMBER(J454),ISNUMBER(M454)),IF(M454&gt;=J454,(M454-J454)*1440,""),"")</f>
        <v/>
      </c>
      <c r="O454" s="54" t="str">
        <f aca="false">IF(N454="","",LOOKUP(N454,Tiempos!$A$6:$A$10,Tiempos!$B$6:$B$10))</f>
        <v/>
      </c>
      <c r="P454" s="54"/>
      <c r="Q454" s="54"/>
      <c r="R454" s="54"/>
      <c r="S454" s="54"/>
      <c r="T454" s="58"/>
      <c r="U454" s="54"/>
      <c r="V454" s="58"/>
      <c r="W454" s="57"/>
      <c r="X454" s="55"/>
      <c r="Y454" s="54"/>
      <c r="Z454" s="56"/>
      <c r="AA454" s="58" t="str">
        <f aca="false">IF(AND(ISNUMBER(M454),ISNUMBER(Z454)),IF(Z454&gt;=M454,(Z454-M454)*1440,""),"")</f>
        <v/>
      </c>
      <c r="AB454" s="57"/>
      <c r="AC454" s="56"/>
      <c r="AD454" s="58" t="str">
        <f aca="false">IF(AND(ISNUMBER(Z454),ISNUMBER(AC454)),IF(AC454&gt;=Z454,(AC454-Z454)*1440,""),"")</f>
        <v/>
      </c>
      <c r="AE454" s="54"/>
      <c r="AF454" s="54"/>
      <c r="AG454" s="54"/>
      <c r="AH454" s="58"/>
      <c r="AI454" s="55" t="n">
        <v>1</v>
      </c>
      <c r="AJ454" s="54" t="s">
        <v>347</v>
      </c>
      <c r="AK454" s="54" t="s">
        <v>212</v>
      </c>
    </row>
    <row r="455" customFormat="false" ht="15" hidden="false" customHeight="false" outlineLevel="0" collapsed="false">
      <c r="A455" s="54" t="s">
        <v>27</v>
      </c>
      <c r="B455" s="55" t="n">
        <v>1832</v>
      </c>
      <c r="C455" s="54" t="s">
        <v>127</v>
      </c>
      <c r="D455" s="54" t="s">
        <v>214</v>
      </c>
      <c r="E455" s="54" t="s">
        <v>412</v>
      </c>
      <c r="F455" s="56" t="n">
        <v>46309.4922222569</v>
      </c>
      <c r="G455" s="54" t="s">
        <v>212</v>
      </c>
      <c r="H455" s="54" t="s">
        <v>212</v>
      </c>
      <c r="I455" s="57" t="s">
        <v>698</v>
      </c>
      <c r="J455" s="56" t="n">
        <v>46309.5012428704</v>
      </c>
      <c r="K455" s="56" t="n">
        <v>46309.5023408681</v>
      </c>
      <c r="L455" s="58" t="n">
        <f aca="false">IF(AND(ISNUMBER(J455),ISNUMBER(K455)),IF(K455&gt;=J455,(K455-J455)*1440,""),"")</f>
        <v>1.5811166691</v>
      </c>
      <c r="M455" s="56" t="n">
        <v>46309.506924456</v>
      </c>
      <c r="N455" s="58" t="n">
        <f aca="false">IF(AND(ISNUMBER(J455),ISNUMBER(M455)),IF(M455&gt;=J455,(M455-J455)*1440,""),"")</f>
        <v>8.18148333811667</v>
      </c>
      <c r="O455" s="54" t="str">
        <f aca="false">IF(N455="","",LOOKUP(N455,Tiempos!$A$6:$A$10,Tiempos!$B$6:$B$10))</f>
        <v>6 a 10 min</v>
      </c>
      <c r="P455" s="54" t="s">
        <v>229</v>
      </c>
      <c r="Q455" s="54" t="s">
        <v>214</v>
      </c>
      <c r="R455" s="54" t="s">
        <v>130</v>
      </c>
      <c r="S455" s="54" t="s">
        <v>215</v>
      </c>
      <c r="T455" s="58" t="n">
        <v>103.1</v>
      </c>
      <c r="U455" s="54" t="s">
        <v>212</v>
      </c>
      <c r="V455" s="58" t="n">
        <v>6.6</v>
      </c>
      <c r="W455" s="57" t="s">
        <v>699</v>
      </c>
      <c r="X455" s="55" t="n">
        <v>2</v>
      </c>
      <c r="Y455" s="54" t="s">
        <v>214</v>
      </c>
      <c r="Z455" s="56" t="n">
        <v>46309.5594662037</v>
      </c>
      <c r="AA455" s="58" t="n">
        <f aca="false">IF(AND(ISNUMBER(M455),ISNUMBER(Z455)),IF(Z455&gt;=M455,(Z455-M455)*1440,""),"")</f>
        <v>75.66011665155</v>
      </c>
      <c r="AB455" s="57" t="s">
        <v>700</v>
      </c>
      <c r="AC455" s="56" t="n">
        <v>46309.5601843403</v>
      </c>
      <c r="AD455" s="58" t="n">
        <f aca="false">IF(AND(ISNUMBER(Z455),ISNUMBER(AC455)),IF(AC455&gt;=Z455,(AC455-Z455)*1440,""),"")</f>
        <v>1.03411667513333</v>
      </c>
      <c r="AE455" s="54" t="s">
        <v>302</v>
      </c>
      <c r="AF455" s="54" t="s">
        <v>212</v>
      </c>
      <c r="AG455" s="54" t="s">
        <v>212</v>
      </c>
      <c r="AH455" s="58"/>
      <c r="AI455" s="55" t="n">
        <v>1</v>
      </c>
      <c r="AJ455" s="54" t="s">
        <v>477</v>
      </c>
      <c r="AK455" s="54" t="s">
        <v>212</v>
      </c>
    </row>
    <row r="456" customFormat="false" ht="15" hidden="false" customHeight="false" outlineLevel="0" collapsed="false">
      <c r="A456" s="54" t="s">
        <v>27</v>
      </c>
      <c r="B456" s="55" t="n">
        <v>1857</v>
      </c>
      <c r="C456" s="54" t="s">
        <v>129</v>
      </c>
      <c r="D456" s="54" t="s">
        <v>212</v>
      </c>
      <c r="E456" s="54"/>
      <c r="F456" s="56" t="n">
        <v>46309.5537627662</v>
      </c>
      <c r="G456" s="54" t="s">
        <v>212</v>
      </c>
      <c r="H456" s="54" t="s">
        <v>214</v>
      </c>
      <c r="I456" s="57"/>
      <c r="J456" s="56"/>
      <c r="K456" s="56"/>
      <c r="L456" s="58" t="str">
        <f aca="false">IF(AND(ISNUMBER(J456),ISNUMBER(K456)),IF(K456&gt;=J456,(K456-J456)*1440,""),"")</f>
        <v/>
      </c>
      <c r="M456" s="56"/>
      <c r="N456" s="58" t="str">
        <f aca="false">IF(AND(ISNUMBER(J456),ISNUMBER(M456)),IF(M456&gt;=J456,(M456-J456)*1440,""),"")</f>
        <v/>
      </c>
      <c r="O456" s="54" t="str">
        <f aca="false">IF(N456="","",LOOKUP(N456,Tiempos!$A$6:$A$10,Tiempos!$B$6:$B$10))</f>
        <v/>
      </c>
      <c r="P456" s="54"/>
      <c r="Q456" s="54"/>
      <c r="R456" s="54"/>
      <c r="S456" s="54"/>
      <c r="T456" s="58"/>
      <c r="U456" s="54"/>
      <c r="V456" s="58"/>
      <c r="W456" s="57"/>
      <c r="X456" s="55"/>
      <c r="Y456" s="54"/>
      <c r="Z456" s="56"/>
      <c r="AA456" s="58" t="str">
        <f aca="false">IF(AND(ISNUMBER(M456),ISNUMBER(Z456)),IF(Z456&gt;=M456,(Z456-M456)*1440,""),"")</f>
        <v/>
      </c>
      <c r="AB456" s="57"/>
      <c r="AC456" s="56"/>
      <c r="AD456" s="58" t="str">
        <f aca="false">IF(AND(ISNUMBER(Z456),ISNUMBER(AC456)),IF(AC456&gt;=Z456,(AC456-Z456)*1440,""),"")</f>
        <v/>
      </c>
      <c r="AE456" s="54"/>
      <c r="AF456" s="54"/>
      <c r="AG456" s="54"/>
      <c r="AH456" s="58"/>
      <c r="AI456" s="55" t="n">
        <v>2</v>
      </c>
      <c r="AJ456" s="54" t="s">
        <v>347</v>
      </c>
      <c r="AK456" s="54" t="s">
        <v>212</v>
      </c>
    </row>
    <row r="457" customFormat="false" ht="15" hidden="false" customHeight="false" outlineLevel="0" collapsed="false">
      <c r="A457" s="54" t="s">
        <v>27</v>
      </c>
      <c r="B457" s="55" t="n">
        <v>1858</v>
      </c>
      <c r="C457" s="54" t="s">
        <v>129</v>
      </c>
      <c r="D457" s="54" t="s">
        <v>214</v>
      </c>
      <c r="E457" s="54" t="s">
        <v>412</v>
      </c>
      <c r="F457" s="56" t="n">
        <v>46309.5551667014</v>
      </c>
      <c r="G457" s="54" t="s">
        <v>212</v>
      </c>
      <c r="H457" s="54" t="s">
        <v>214</v>
      </c>
      <c r="I457" s="57" t="s">
        <v>701</v>
      </c>
      <c r="J457" s="56" t="n">
        <v>46309.5555474769</v>
      </c>
      <c r="K457" s="56" t="n">
        <v>46309.5556669444</v>
      </c>
      <c r="L457" s="58" t="n">
        <f aca="false">IF(AND(ISNUMBER(J457),ISNUMBER(K457)),IF(K457&gt;=J457,(K457-J457)*1440,""),"")</f>
        <v>0.172033313416667</v>
      </c>
      <c r="M457" s="56" t="n">
        <v>46309.5573449306</v>
      </c>
      <c r="N457" s="58" t="n">
        <f aca="false">IF(AND(ISNUMBER(J457),ISNUMBER(M457)),IF(M457&gt;=J457,(M457-J457)*1440,""),"")</f>
        <v>2.58833331288333</v>
      </c>
      <c r="O457" s="54" t="str">
        <f aca="false">IF(N457="","",LOOKUP(N457,Tiempos!$A$6:$A$10,Tiempos!$B$6:$B$10))</f>
        <v>Menos de 4 min</v>
      </c>
      <c r="P457" s="54" t="s">
        <v>702</v>
      </c>
      <c r="Q457" s="54" t="s">
        <v>214</v>
      </c>
      <c r="R457" s="54" t="s">
        <v>129</v>
      </c>
      <c r="S457" s="54" t="s">
        <v>220</v>
      </c>
      <c r="T457" s="58" t="n">
        <v>116.9</v>
      </c>
      <c r="U457" s="54" t="s">
        <v>214</v>
      </c>
      <c r="V457" s="58" t="n">
        <v>2.42</v>
      </c>
      <c r="W457" s="57" t="s">
        <v>703</v>
      </c>
      <c r="X457" s="55" t="n">
        <v>7</v>
      </c>
      <c r="Y457" s="54" t="s">
        <v>214</v>
      </c>
      <c r="Z457" s="56" t="n">
        <v>46309.5693769097</v>
      </c>
      <c r="AA457" s="58" t="n">
        <f aca="false">IF(AND(ISNUMBER(M457),ISNUMBER(Z457)),IF(Z457&gt;=M457,(Z457-M457)*1440,""),"")</f>
        <v>17.3260500014167</v>
      </c>
      <c r="AB457" s="57" t="s">
        <v>704</v>
      </c>
      <c r="AC457" s="56" t="n">
        <v>46309.5699293519</v>
      </c>
      <c r="AD457" s="58" t="n">
        <f aca="false">IF(AND(ISNUMBER(Z457),ISNUMBER(AC457)),IF(AC457&gt;=Z457,(AC457-Z457)*1440,""),"")</f>
        <v>0.795516665083333</v>
      </c>
      <c r="AE457" s="54" t="s">
        <v>223</v>
      </c>
      <c r="AF457" s="54" t="s">
        <v>212</v>
      </c>
      <c r="AG457" s="54" t="s">
        <v>212</v>
      </c>
      <c r="AH457" s="58"/>
      <c r="AI457" s="55" t="n">
        <v>2</v>
      </c>
      <c r="AJ457" s="54" t="s">
        <v>688</v>
      </c>
      <c r="AK457" s="54" t="s">
        <v>212</v>
      </c>
    </row>
    <row r="458" customFormat="false" ht="15" hidden="false" customHeight="false" outlineLevel="0" collapsed="false">
      <c r="A458" s="54" t="s">
        <v>27</v>
      </c>
      <c r="B458" s="55" t="n">
        <v>1852</v>
      </c>
      <c r="C458" s="54" t="s">
        <v>127</v>
      </c>
      <c r="D458" s="54" t="s">
        <v>212</v>
      </c>
      <c r="E458" s="54"/>
      <c r="F458" s="56" t="n">
        <v>46309.5557023148</v>
      </c>
      <c r="G458" s="54" t="s">
        <v>212</v>
      </c>
      <c r="H458" s="54" t="s">
        <v>214</v>
      </c>
      <c r="I458" s="57"/>
      <c r="J458" s="56"/>
      <c r="K458" s="56"/>
      <c r="L458" s="58" t="str">
        <f aca="false">IF(AND(ISNUMBER(J458),ISNUMBER(K458)),IF(K458&gt;=J458,(K458-J458)*1440,""),"")</f>
        <v/>
      </c>
      <c r="M458" s="56"/>
      <c r="N458" s="58" t="str">
        <f aca="false">IF(AND(ISNUMBER(J458),ISNUMBER(M458)),IF(M458&gt;=J458,(M458-J458)*1440,""),"")</f>
        <v/>
      </c>
      <c r="O458" s="54" t="str">
        <f aca="false">IF(N458="","",LOOKUP(N458,Tiempos!$A$6:$A$10,Tiempos!$B$6:$B$10))</f>
        <v/>
      </c>
      <c r="P458" s="54"/>
      <c r="Q458" s="54"/>
      <c r="R458" s="54"/>
      <c r="S458" s="54"/>
      <c r="T458" s="58"/>
      <c r="U458" s="54"/>
      <c r="V458" s="58"/>
      <c r="W458" s="57"/>
      <c r="X458" s="55"/>
      <c r="Y458" s="54"/>
      <c r="Z458" s="56"/>
      <c r="AA458" s="58" t="str">
        <f aca="false">IF(AND(ISNUMBER(M458),ISNUMBER(Z458)),IF(Z458&gt;=M458,(Z458-M458)*1440,""),"")</f>
        <v/>
      </c>
      <c r="AB458" s="57"/>
      <c r="AC458" s="56"/>
      <c r="AD458" s="58" t="str">
        <f aca="false">IF(AND(ISNUMBER(Z458),ISNUMBER(AC458)),IF(AC458&gt;=Z458,(AC458-Z458)*1440,""),"")</f>
        <v/>
      </c>
      <c r="AE458" s="54"/>
      <c r="AF458" s="54"/>
      <c r="AG458" s="54"/>
      <c r="AH458" s="58"/>
      <c r="AI458" s="55" t="n">
        <v>1</v>
      </c>
      <c r="AJ458" s="54" t="s">
        <v>347</v>
      </c>
      <c r="AK458" s="54" t="s">
        <v>212</v>
      </c>
    </row>
    <row r="459" customFormat="false" ht="15" hidden="false" customHeight="false" outlineLevel="0" collapsed="false">
      <c r="A459" s="54" t="s">
        <v>27</v>
      </c>
      <c r="B459" s="55" t="n">
        <v>1865</v>
      </c>
      <c r="C459" s="54" t="s">
        <v>127</v>
      </c>
      <c r="D459" s="54" t="s">
        <v>212</v>
      </c>
      <c r="E459" s="54"/>
      <c r="F459" s="56" t="n">
        <v>46309.5772895486</v>
      </c>
      <c r="G459" s="54" t="s">
        <v>212</v>
      </c>
      <c r="H459" s="54" t="s">
        <v>212</v>
      </c>
      <c r="I459" s="57"/>
      <c r="J459" s="56"/>
      <c r="K459" s="56"/>
      <c r="L459" s="58" t="str">
        <f aca="false">IF(AND(ISNUMBER(J459),ISNUMBER(K459)),IF(K459&gt;=J459,(K459-J459)*1440,""),"")</f>
        <v/>
      </c>
      <c r="M459" s="56"/>
      <c r="N459" s="58" t="str">
        <f aca="false">IF(AND(ISNUMBER(J459),ISNUMBER(M459)),IF(M459&gt;=J459,(M459-J459)*1440,""),"")</f>
        <v/>
      </c>
      <c r="O459" s="54" t="str">
        <f aca="false">IF(N459="","",LOOKUP(N459,Tiempos!$A$6:$A$10,Tiempos!$B$6:$B$10))</f>
        <v/>
      </c>
      <c r="P459" s="54"/>
      <c r="Q459" s="54"/>
      <c r="R459" s="54"/>
      <c r="S459" s="54"/>
      <c r="T459" s="58"/>
      <c r="U459" s="54"/>
      <c r="V459" s="58"/>
      <c r="W459" s="57"/>
      <c r="X459" s="55"/>
      <c r="Y459" s="54"/>
      <c r="Z459" s="56"/>
      <c r="AA459" s="58" t="str">
        <f aca="false">IF(AND(ISNUMBER(M459),ISNUMBER(Z459)),IF(Z459&gt;=M459,(Z459-M459)*1440,""),"")</f>
        <v/>
      </c>
      <c r="AB459" s="57"/>
      <c r="AC459" s="56"/>
      <c r="AD459" s="58" t="str">
        <f aca="false">IF(AND(ISNUMBER(Z459),ISNUMBER(AC459)),IF(AC459&gt;=Z459,(AC459-Z459)*1440,""),"")</f>
        <v/>
      </c>
      <c r="AE459" s="54"/>
      <c r="AF459" s="54"/>
      <c r="AG459" s="54"/>
      <c r="AH459" s="58"/>
      <c r="AI459" s="55" t="n">
        <v>2</v>
      </c>
      <c r="AJ459" s="54" t="s">
        <v>347</v>
      </c>
      <c r="AK459" s="54" t="s">
        <v>212</v>
      </c>
    </row>
    <row r="460" customFormat="false" ht="15" hidden="false" customHeight="false" outlineLevel="0" collapsed="false">
      <c r="A460" s="54" t="s">
        <v>27</v>
      </c>
      <c r="B460" s="55" t="n">
        <v>1859</v>
      </c>
      <c r="C460" s="54" t="s">
        <v>127</v>
      </c>
      <c r="D460" s="54" t="s">
        <v>212</v>
      </c>
      <c r="E460" s="54"/>
      <c r="F460" s="56" t="n">
        <v>46309.577826794</v>
      </c>
      <c r="G460" s="54" t="s">
        <v>212</v>
      </c>
      <c r="H460" s="54" t="s">
        <v>214</v>
      </c>
      <c r="I460" s="57"/>
      <c r="J460" s="56"/>
      <c r="K460" s="56"/>
      <c r="L460" s="58" t="str">
        <f aca="false">IF(AND(ISNUMBER(J460),ISNUMBER(K460)),IF(K460&gt;=J460,(K460-J460)*1440,""),"")</f>
        <v/>
      </c>
      <c r="M460" s="56"/>
      <c r="N460" s="58" t="str">
        <f aca="false">IF(AND(ISNUMBER(J460),ISNUMBER(M460)),IF(M460&gt;=J460,(M460-J460)*1440,""),"")</f>
        <v/>
      </c>
      <c r="O460" s="54" t="str">
        <f aca="false">IF(N460="","",LOOKUP(N460,Tiempos!$A$6:$A$10,Tiempos!$B$6:$B$10))</f>
        <v/>
      </c>
      <c r="P460" s="54"/>
      <c r="Q460" s="54"/>
      <c r="R460" s="54"/>
      <c r="S460" s="54"/>
      <c r="T460" s="58"/>
      <c r="U460" s="54"/>
      <c r="V460" s="58"/>
      <c r="W460" s="57"/>
      <c r="X460" s="55"/>
      <c r="Y460" s="54"/>
      <c r="Z460" s="56"/>
      <c r="AA460" s="58" t="str">
        <f aca="false">IF(AND(ISNUMBER(M460),ISNUMBER(Z460)),IF(Z460&gt;=M460,(Z460-M460)*1440,""),"")</f>
        <v/>
      </c>
      <c r="AB460" s="57"/>
      <c r="AC460" s="56"/>
      <c r="AD460" s="58" t="str">
        <f aca="false">IF(AND(ISNUMBER(Z460),ISNUMBER(AC460)),IF(AC460&gt;=Z460,(AC460-Z460)*1440,""),"")</f>
        <v/>
      </c>
      <c r="AE460" s="54"/>
      <c r="AF460" s="54"/>
      <c r="AG460" s="54"/>
      <c r="AH460" s="58"/>
      <c r="AI460" s="55" t="n">
        <v>1</v>
      </c>
      <c r="AJ460" s="54" t="s">
        <v>347</v>
      </c>
      <c r="AK460" s="54" t="s">
        <v>212</v>
      </c>
    </row>
    <row r="461" customFormat="false" ht="15" hidden="false" customHeight="false" outlineLevel="0" collapsed="false">
      <c r="A461" s="54" t="s">
        <v>27</v>
      </c>
      <c r="B461" s="55" t="n">
        <v>1871</v>
      </c>
      <c r="C461" s="54" t="s">
        <v>127</v>
      </c>
      <c r="D461" s="54" t="s">
        <v>214</v>
      </c>
      <c r="E461" s="54" t="s">
        <v>233</v>
      </c>
      <c r="F461" s="56" t="n">
        <v>46309.6026029167</v>
      </c>
      <c r="G461" s="54" t="s">
        <v>212</v>
      </c>
      <c r="H461" s="54" t="s">
        <v>214</v>
      </c>
      <c r="I461" s="57" t="s">
        <v>705</v>
      </c>
      <c r="J461" s="56" t="n">
        <v>46309.6056736111</v>
      </c>
      <c r="K461" s="56" t="n">
        <v>46309.6058535532</v>
      </c>
      <c r="L461" s="58" t="n">
        <f aca="false">IF(AND(ISNUMBER(J461),ISNUMBER(K461)),IF(K461&gt;=J461,(K461-J461)*1440,""),"")</f>
        <v>0.25911666685</v>
      </c>
      <c r="M461" s="56" t="n">
        <v>46309.6097258912</v>
      </c>
      <c r="N461" s="58" t="n">
        <f aca="false">IF(AND(ISNUMBER(J461),ISNUMBER(M461)),IF(M461&gt;=J461,(M461-J461)*1440,""),"")</f>
        <v>5.83528334273333</v>
      </c>
      <c r="O461" s="54" t="str">
        <f aca="false">IF(N461="","",LOOKUP(N461,Tiempos!$A$6:$A$10,Tiempos!$B$6:$B$10))</f>
        <v>4 a 6 min</v>
      </c>
      <c r="P461" s="54" t="s">
        <v>229</v>
      </c>
      <c r="Q461" s="54" t="s">
        <v>214</v>
      </c>
      <c r="R461" s="54" t="s">
        <v>127</v>
      </c>
      <c r="S461" s="54" t="s">
        <v>220</v>
      </c>
      <c r="T461" s="58" t="n">
        <v>126.5</v>
      </c>
      <c r="U461" s="54" t="s">
        <v>214</v>
      </c>
      <c r="V461" s="58" t="n">
        <v>5.58</v>
      </c>
      <c r="W461" s="57" t="s">
        <v>706</v>
      </c>
      <c r="X461" s="55" t="n">
        <v>2</v>
      </c>
      <c r="Y461" s="54" t="s">
        <v>212</v>
      </c>
      <c r="Z461" s="56"/>
      <c r="AA461" s="58" t="str">
        <f aca="false">IF(AND(ISNUMBER(M461),ISNUMBER(Z461)),IF(Z461&gt;=M461,(Z461-M461)*1440,""),"")</f>
        <v/>
      </c>
      <c r="AB461" s="57"/>
      <c r="AC461" s="56"/>
      <c r="AD461" s="58" t="str">
        <f aca="false">IF(AND(ISNUMBER(Z461),ISNUMBER(AC461)),IF(AC461&gt;=Z461,(AC461-Z461)*1440,""),"")</f>
        <v/>
      </c>
      <c r="AE461" s="54"/>
      <c r="AF461" s="54" t="s">
        <v>214</v>
      </c>
      <c r="AG461" s="54"/>
      <c r="AH461" s="58"/>
      <c r="AI461" s="55" t="n">
        <v>2</v>
      </c>
      <c r="AJ461" s="54" t="s">
        <v>347</v>
      </c>
      <c r="AK461" s="54" t="s">
        <v>212</v>
      </c>
    </row>
    <row r="462" customFormat="false" ht="15" hidden="false" customHeight="false" outlineLevel="0" collapsed="false">
      <c r="A462" s="54" t="s">
        <v>27</v>
      </c>
      <c r="B462" s="55" t="n">
        <v>1868</v>
      </c>
      <c r="C462" s="54" t="s">
        <v>127</v>
      </c>
      <c r="D462" s="54" t="s">
        <v>212</v>
      </c>
      <c r="E462" s="54"/>
      <c r="F462" s="56" t="n">
        <v>46309.6061735995</v>
      </c>
      <c r="G462" s="54" t="s">
        <v>212</v>
      </c>
      <c r="H462" s="54" t="s">
        <v>212</v>
      </c>
      <c r="I462" s="57"/>
      <c r="J462" s="56"/>
      <c r="K462" s="56"/>
      <c r="L462" s="58" t="str">
        <f aca="false">IF(AND(ISNUMBER(J462),ISNUMBER(K462)),IF(K462&gt;=J462,(K462-J462)*1440,""),"")</f>
        <v/>
      </c>
      <c r="M462" s="56"/>
      <c r="N462" s="58" t="str">
        <f aca="false">IF(AND(ISNUMBER(J462),ISNUMBER(M462)),IF(M462&gt;=J462,(M462-J462)*1440,""),"")</f>
        <v/>
      </c>
      <c r="O462" s="54" t="str">
        <f aca="false">IF(N462="","",LOOKUP(N462,Tiempos!$A$6:$A$10,Tiempos!$B$6:$B$10))</f>
        <v/>
      </c>
      <c r="P462" s="54"/>
      <c r="Q462" s="54"/>
      <c r="R462" s="54"/>
      <c r="S462" s="54"/>
      <c r="T462" s="58"/>
      <c r="U462" s="54"/>
      <c r="V462" s="58"/>
      <c r="W462" s="57"/>
      <c r="X462" s="55"/>
      <c r="Y462" s="54"/>
      <c r="Z462" s="56"/>
      <c r="AA462" s="58" t="str">
        <f aca="false">IF(AND(ISNUMBER(M462),ISNUMBER(Z462)),IF(Z462&gt;=M462,(Z462-M462)*1440,""),"")</f>
        <v/>
      </c>
      <c r="AB462" s="57"/>
      <c r="AC462" s="56"/>
      <c r="AD462" s="58" t="str">
        <f aca="false">IF(AND(ISNUMBER(Z462),ISNUMBER(AC462)),IF(AC462&gt;=Z462,(AC462-Z462)*1440,""),"")</f>
        <v/>
      </c>
      <c r="AE462" s="54"/>
      <c r="AF462" s="54"/>
      <c r="AG462" s="54"/>
      <c r="AH462" s="58"/>
      <c r="AI462" s="55" t="n">
        <v>1</v>
      </c>
      <c r="AJ462" s="54" t="s">
        <v>347</v>
      </c>
      <c r="AK462" s="54" t="s">
        <v>212</v>
      </c>
    </row>
    <row r="463" customFormat="false" ht="15" hidden="false" customHeight="false" outlineLevel="0" collapsed="false">
      <c r="A463" s="54" t="s">
        <v>27</v>
      </c>
      <c r="B463" s="55" t="n">
        <v>1876</v>
      </c>
      <c r="C463" s="54" t="s">
        <v>128</v>
      </c>
      <c r="D463" s="54" t="s">
        <v>212</v>
      </c>
      <c r="E463" s="54"/>
      <c r="F463" s="56" t="n">
        <v>46309.6342574074</v>
      </c>
      <c r="G463" s="54" t="s">
        <v>212</v>
      </c>
      <c r="H463" s="54" t="s">
        <v>212</v>
      </c>
      <c r="I463" s="57"/>
      <c r="J463" s="56"/>
      <c r="K463" s="56"/>
      <c r="L463" s="58" t="str">
        <f aca="false">IF(AND(ISNUMBER(J463),ISNUMBER(K463)),IF(K463&gt;=J463,(K463-J463)*1440,""),"")</f>
        <v/>
      </c>
      <c r="M463" s="56"/>
      <c r="N463" s="58" t="str">
        <f aca="false">IF(AND(ISNUMBER(J463),ISNUMBER(M463)),IF(M463&gt;=J463,(M463-J463)*1440,""),"")</f>
        <v/>
      </c>
      <c r="O463" s="54" t="str">
        <f aca="false">IF(N463="","",LOOKUP(N463,Tiempos!$A$6:$A$10,Tiempos!$B$6:$B$10))</f>
        <v/>
      </c>
      <c r="P463" s="54"/>
      <c r="Q463" s="54"/>
      <c r="R463" s="54"/>
      <c r="S463" s="54"/>
      <c r="T463" s="58"/>
      <c r="U463" s="54"/>
      <c r="V463" s="58"/>
      <c r="W463" s="57"/>
      <c r="X463" s="55"/>
      <c r="Y463" s="54"/>
      <c r="Z463" s="56"/>
      <c r="AA463" s="58" t="str">
        <f aca="false">IF(AND(ISNUMBER(M463),ISNUMBER(Z463)),IF(Z463&gt;=M463,(Z463-M463)*1440,""),"")</f>
        <v/>
      </c>
      <c r="AB463" s="57"/>
      <c r="AC463" s="56"/>
      <c r="AD463" s="58" t="str">
        <f aca="false">IF(AND(ISNUMBER(Z463),ISNUMBER(AC463)),IF(AC463&gt;=Z463,(AC463-Z463)*1440,""),"")</f>
        <v/>
      </c>
      <c r="AE463" s="54"/>
      <c r="AF463" s="54"/>
      <c r="AG463" s="54"/>
      <c r="AH463" s="58"/>
      <c r="AI463" s="55" t="n">
        <v>2</v>
      </c>
      <c r="AJ463" s="54" t="s">
        <v>347</v>
      </c>
      <c r="AK463" s="54" t="s">
        <v>212</v>
      </c>
    </row>
    <row r="464" customFormat="false" ht="15" hidden="false" customHeight="false" outlineLevel="0" collapsed="false">
      <c r="A464" s="54" t="s">
        <v>27</v>
      </c>
      <c r="B464" s="55" t="n">
        <v>1880</v>
      </c>
      <c r="C464" s="54" t="s">
        <v>127</v>
      </c>
      <c r="D464" s="54" t="s">
        <v>212</v>
      </c>
      <c r="E464" s="54"/>
      <c r="F464" s="56" t="n">
        <v>46309.640696875</v>
      </c>
      <c r="G464" s="54" t="s">
        <v>212</v>
      </c>
      <c r="H464" s="54" t="s">
        <v>212</v>
      </c>
      <c r="I464" s="57"/>
      <c r="J464" s="56"/>
      <c r="K464" s="56"/>
      <c r="L464" s="58" t="str">
        <f aca="false">IF(AND(ISNUMBER(J464),ISNUMBER(K464)),IF(K464&gt;=J464,(K464-J464)*1440,""),"")</f>
        <v/>
      </c>
      <c r="M464" s="56"/>
      <c r="N464" s="58" t="str">
        <f aca="false">IF(AND(ISNUMBER(J464),ISNUMBER(M464)),IF(M464&gt;=J464,(M464-J464)*1440,""),"")</f>
        <v/>
      </c>
      <c r="O464" s="54" t="str">
        <f aca="false">IF(N464="","",LOOKUP(N464,Tiempos!$A$6:$A$10,Tiempos!$B$6:$B$10))</f>
        <v/>
      </c>
      <c r="P464" s="54"/>
      <c r="Q464" s="54"/>
      <c r="R464" s="54"/>
      <c r="S464" s="54"/>
      <c r="T464" s="58"/>
      <c r="U464" s="54"/>
      <c r="V464" s="58"/>
      <c r="W464" s="57"/>
      <c r="X464" s="55"/>
      <c r="Y464" s="54"/>
      <c r="Z464" s="56"/>
      <c r="AA464" s="58" t="str">
        <f aca="false">IF(AND(ISNUMBER(M464),ISNUMBER(Z464)),IF(Z464&gt;=M464,(Z464-M464)*1440,""),"")</f>
        <v/>
      </c>
      <c r="AB464" s="57"/>
      <c r="AC464" s="56"/>
      <c r="AD464" s="58" t="str">
        <f aca="false">IF(AND(ISNUMBER(Z464),ISNUMBER(AC464)),IF(AC464&gt;=Z464,(AC464-Z464)*1440,""),"")</f>
        <v/>
      </c>
      <c r="AE464" s="54"/>
      <c r="AF464" s="54"/>
      <c r="AG464" s="54"/>
      <c r="AH464" s="58"/>
      <c r="AI464" s="55" t="n">
        <v>2</v>
      </c>
      <c r="AJ464" s="54" t="s">
        <v>347</v>
      </c>
      <c r="AK464" s="54" t="s">
        <v>212</v>
      </c>
    </row>
    <row r="465" customFormat="false" ht="15" hidden="false" customHeight="false" outlineLevel="0" collapsed="false">
      <c r="A465" s="54" t="s">
        <v>27</v>
      </c>
      <c r="B465" s="55" t="n">
        <v>1883</v>
      </c>
      <c r="C465" s="54" t="s">
        <v>127</v>
      </c>
      <c r="D465" s="54" t="s">
        <v>214</v>
      </c>
      <c r="E465" s="54" t="s">
        <v>412</v>
      </c>
      <c r="F465" s="56" t="n">
        <v>46309.6630181829</v>
      </c>
      <c r="G465" s="54" t="s">
        <v>212</v>
      </c>
      <c r="H465" s="54" t="s">
        <v>212</v>
      </c>
      <c r="I465" s="57" t="s">
        <v>707</v>
      </c>
      <c r="J465" s="56" t="n">
        <v>46309.6647090394</v>
      </c>
      <c r="K465" s="56" t="n">
        <v>46309.6648165972</v>
      </c>
      <c r="L465" s="58" t="n">
        <f aca="false">IF(AND(ISNUMBER(J465),ISNUMBER(K465)),IF(K465&gt;=J465,(K465-J465)*1440,""),"")</f>
        <v>0.15488333185</v>
      </c>
      <c r="M465" s="56" t="n">
        <v>46309.6700504398</v>
      </c>
      <c r="N465" s="58" t="n">
        <f aca="false">IF(AND(ISNUMBER(J465),ISNUMBER(M465)),IF(M465&gt;=J465,(M465-J465)*1440,""),"")</f>
        <v>7.69161666975</v>
      </c>
      <c r="O465" s="54" t="str">
        <f aca="false">IF(N465="","",LOOKUP(N465,Tiempos!$A$6:$A$10,Tiempos!$B$6:$B$10))</f>
        <v>6 a 10 min</v>
      </c>
      <c r="P465" s="54" t="s">
        <v>229</v>
      </c>
      <c r="Q465" s="54" t="s">
        <v>214</v>
      </c>
      <c r="R465" s="54" t="s">
        <v>127</v>
      </c>
      <c r="S465" s="54" t="s">
        <v>220</v>
      </c>
      <c r="T465" s="58" t="n">
        <v>111.1</v>
      </c>
      <c r="U465" s="54" t="s">
        <v>212</v>
      </c>
      <c r="V465" s="58" t="n">
        <v>7.54</v>
      </c>
      <c r="W465" s="57" t="s">
        <v>708</v>
      </c>
      <c r="X465" s="55" t="n">
        <v>2</v>
      </c>
      <c r="Y465" s="54" t="s">
        <v>214</v>
      </c>
      <c r="Z465" s="56" t="n">
        <v>46309.6742046991</v>
      </c>
      <c r="AA465" s="58" t="n">
        <f aca="false">IF(AND(ISNUMBER(M465),ISNUMBER(Z465)),IF(Z465&gt;=M465,(Z465-M465)*1440,""),"")</f>
        <v>5.98213333286667</v>
      </c>
      <c r="AB465" s="57" t="s">
        <v>709</v>
      </c>
      <c r="AC465" s="56" t="n">
        <v>46309.6748084838</v>
      </c>
      <c r="AD465" s="58" t="n">
        <f aca="false">IF(AND(ISNUMBER(Z465),ISNUMBER(AC465)),IF(AC465&gt;=Z465,(AC465-Z465)*1440,""),"")</f>
        <v>0.869449996383333</v>
      </c>
      <c r="AE465" s="54" t="s">
        <v>346</v>
      </c>
      <c r="AF465" s="54" t="s">
        <v>214</v>
      </c>
      <c r="AG465" s="54" t="s">
        <v>214</v>
      </c>
      <c r="AH465" s="58" t="n">
        <v>4.1</v>
      </c>
      <c r="AI465" s="55" t="n">
        <v>3</v>
      </c>
      <c r="AJ465" s="54" t="s">
        <v>347</v>
      </c>
      <c r="AK465" s="54" t="s">
        <v>212</v>
      </c>
    </row>
    <row r="466" customFormat="false" ht="15" hidden="false" customHeight="false" outlineLevel="0" collapsed="false">
      <c r="A466" s="54" t="s">
        <v>27</v>
      </c>
      <c r="B466" s="55" t="n">
        <v>1897</v>
      </c>
      <c r="C466" s="54" t="s">
        <v>128</v>
      </c>
      <c r="D466" s="54" t="s">
        <v>214</v>
      </c>
      <c r="E466" s="54" t="s">
        <v>289</v>
      </c>
      <c r="F466" s="56" t="n">
        <v>46309.7591728125</v>
      </c>
      <c r="G466" s="54" t="s">
        <v>212</v>
      </c>
      <c r="H466" s="54" t="s">
        <v>212</v>
      </c>
      <c r="I466" s="57" t="s">
        <v>710</v>
      </c>
      <c r="J466" s="56" t="n">
        <v>46309.7602830787</v>
      </c>
      <c r="K466" s="56" t="n">
        <v>46309.7622074421</v>
      </c>
      <c r="L466" s="58" t="n">
        <f aca="false">IF(AND(ISNUMBER(J466),ISNUMBER(K466)),IF(K466&gt;=J466,(K466-J466)*1440,""),"")</f>
        <v>2.77108332956667</v>
      </c>
      <c r="M466" s="56" t="n">
        <v>46309.7660997685</v>
      </c>
      <c r="N466" s="58" t="n">
        <f aca="false">IF(AND(ISNUMBER(J466),ISNUMBER(M466)),IF(M466&gt;=J466,(M466-J466)*1440,""),"")</f>
        <v>8.37603333521667</v>
      </c>
      <c r="O466" s="54" t="str">
        <f aca="false">IF(N466="","",LOOKUP(N466,Tiempos!$A$6:$A$10,Tiempos!$B$6:$B$10))</f>
        <v>6 a 10 min</v>
      </c>
      <c r="P466" s="54" t="s">
        <v>244</v>
      </c>
      <c r="Q466" s="54" t="s">
        <v>214</v>
      </c>
      <c r="R466" s="54" t="s">
        <v>128</v>
      </c>
      <c r="S466" s="54" t="s">
        <v>220</v>
      </c>
      <c r="T466" s="58" t="n">
        <v>76.8</v>
      </c>
      <c r="U466" s="54" t="s">
        <v>212</v>
      </c>
      <c r="V466" s="58" t="n">
        <v>5.6</v>
      </c>
      <c r="W466" s="57" t="s">
        <v>711</v>
      </c>
      <c r="X466" s="55" t="n">
        <v>3</v>
      </c>
      <c r="Y466" s="54" t="s">
        <v>214</v>
      </c>
      <c r="Z466" s="56" t="n">
        <v>46309.7711799769</v>
      </c>
      <c r="AA466" s="58" t="n">
        <f aca="false">IF(AND(ISNUMBER(M466),ISNUMBER(Z466)),IF(Z466&gt;=M466,(Z466-M466)*1440,""),"")</f>
        <v>7.3154999921</v>
      </c>
      <c r="AB466" s="57" t="s">
        <v>712</v>
      </c>
      <c r="AC466" s="56" t="n">
        <v>46309.7744125116</v>
      </c>
      <c r="AD466" s="58" t="n">
        <f aca="false">IF(AND(ISNUMBER(Z466),ISNUMBER(AC466)),IF(AC466&gt;=Z466,(AC466-Z466)*1440,""),"")</f>
        <v>4.65484999701667</v>
      </c>
      <c r="AE466" s="54" t="s">
        <v>302</v>
      </c>
      <c r="AF466" s="54" t="s">
        <v>212</v>
      </c>
      <c r="AG466" s="54" t="s">
        <v>212</v>
      </c>
      <c r="AH466" s="58"/>
      <c r="AI466" s="55" t="n">
        <v>2</v>
      </c>
      <c r="AJ466" s="54" t="s">
        <v>473</v>
      </c>
      <c r="AK466" s="54" t="s">
        <v>212</v>
      </c>
    </row>
    <row r="467" customFormat="false" ht="15" hidden="false" customHeight="false" outlineLevel="0" collapsed="false">
      <c r="A467" s="54" t="s">
        <v>27</v>
      </c>
      <c r="B467" s="55" t="n">
        <v>1900</v>
      </c>
      <c r="C467" s="54" t="s">
        <v>128</v>
      </c>
      <c r="D467" s="54" t="s">
        <v>214</v>
      </c>
      <c r="E467" s="54" t="s">
        <v>233</v>
      </c>
      <c r="F467" s="56" t="n">
        <v>46309.7929159722</v>
      </c>
      <c r="G467" s="54" t="s">
        <v>212</v>
      </c>
      <c r="H467" s="54" t="s">
        <v>214</v>
      </c>
      <c r="I467" s="57" t="s">
        <v>713</v>
      </c>
      <c r="J467" s="56" t="n">
        <v>46309.7955787269</v>
      </c>
      <c r="K467" s="56" t="n">
        <v>46309.7973484375</v>
      </c>
      <c r="L467" s="58" t="n">
        <f aca="false">IF(AND(ISNUMBER(J467),ISNUMBER(K467)),IF(K467&gt;=J467,(K467-J467)*1440,""),"")</f>
        <v>2.5483833393</v>
      </c>
      <c r="M467" s="56" t="n">
        <v>46309.8005106713</v>
      </c>
      <c r="N467" s="58" t="n">
        <f aca="false">IF(AND(ISNUMBER(J467),ISNUMBER(M467)),IF(M467&gt;=J467,(M467-J467)*1440,""),"")</f>
        <v>7.10200001018333</v>
      </c>
      <c r="O467" s="54" t="str">
        <f aca="false">IF(N467="","",LOOKUP(N467,Tiempos!$A$6:$A$10,Tiempos!$B$6:$B$10))</f>
        <v>6 a 10 min</v>
      </c>
      <c r="P467" s="54" t="s">
        <v>244</v>
      </c>
      <c r="Q467" s="54" t="s">
        <v>214</v>
      </c>
      <c r="R467" s="54" t="s">
        <v>128</v>
      </c>
      <c r="S467" s="54" t="s">
        <v>220</v>
      </c>
      <c r="T467" s="58" t="n">
        <v>77.7</v>
      </c>
      <c r="U467" s="54" t="s">
        <v>212</v>
      </c>
      <c r="V467" s="58" t="n">
        <v>4.55</v>
      </c>
      <c r="W467" s="57" t="s">
        <v>714</v>
      </c>
      <c r="X467" s="55" t="n">
        <v>3</v>
      </c>
      <c r="Y467" s="54" t="s">
        <v>212</v>
      </c>
      <c r="Z467" s="56"/>
      <c r="AA467" s="58" t="str">
        <f aca="false">IF(AND(ISNUMBER(M467),ISNUMBER(Z467)),IF(Z467&gt;=M467,(Z467-M467)*1440,""),"")</f>
        <v/>
      </c>
      <c r="AB467" s="57"/>
      <c r="AC467" s="56"/>
      <c r="AD467" s="58" t="str">
        <f aca="false">IF(AND(ISNUMBER(Z467),ISNUMBER(AC467)),IF(AC467&gt;=Z467,(AC467-Z467)*1440,""),"")</f>
        <v/>
      </c>
      <c r="AE467" s="54"/>
      <c r="AF467" s="54" t="s">
        <v>214</v>
      </c>
      <c r="AG467" s="54"/>
      <c r="AH467" s="58"/>
      <c r="AI467" s="55" t="n">
        <v>1</v>
      </c>
      <c r="AJ467" s="54" t="s">
        <v>347</v>
      </c>
      <c r="AK467" s="54" t="s">
        <v>212</v>
      </c>
    </row>
    <row r="468" customFormat="false" ht="15" hidden="false" customHeight="false" outlineLevel="0" collapsed="false">
      <c r="A468" s="54" t="s">
        <v>27</v>
      </c>
      <c r="B468" s="55" t="n">
        <v>1902</v>
      </c>
      <c r="C468" s="54" t="s">
        <v>128</v>
      </c>
      <c r="D468" s="54" t="s">
        <v>212</v>
      </c>
      <c r="E468" s="54"/>
      <c r="F468" s="56" t="n">
        <v>46309.8029994907</v>
      </c>
      <c r="G468" s="54" t="s">
        <v>212</v>
      </c>
      <c r="H468" s="54" t="s">
        <v>214</v>
      </c>
      <c r="I468" s="57"/>
      <c r="J468" s="56"/>
      <c r="K468" s="56"/>
      <c r="L468" s="58" t="str">
        <f aca="false">IF(AND(ISNUMBER(J468),ISNUMBER(K468)),IF(K468&gt;=J468,(K468-J468)*1440,""),"")</f>
        <v/>
      </c>
      <c r="M468" s="56"/>
      <c r="N468" s="58" t="str">
        <f aca="false">IF(AND(ISNUMBER(J468),ISNUMBER(M468)),IF(M468&gt;=J468,(M468-J468)*1440,""),"")</f>
        <v/>
      </c>
      <c r="O468" s="54" t="str">
        <f aca="false">IF(N468="","",LOOKUP(N468,Tiempos!$A$6:$A$10,Tiempos!$B$6:$B$10))</f>
        <v/>
      </c>
      <c r="P468" s="54"/>
      <c r="Q468" s="54"/>
      <c r="R468" s="54"/>
      <c r="S468" s="54"/>
      <c r="T468" s="58"/>
      <c r="U468" s="54"/>
      <c r="V468" s="58"/>
      <c r="W468" s="57"/>
      <c r="X468" s="55"/>
      <c r="Y468" s="54"/>
      <c r="Z468" s="56"/>
      <c r="AA468" s="58" t="str">
        <f aca="false">IF(AND(ISNUMBER(M468),ISNUMBER(Z468)),IF(Z468&gt;=M468,(Z468-M468)*1440,""),"")</f>
        <v/>
      </c>
      <c r="AB468" s="57"/>
      <c r="AC468" s="56"/>
      <c r="AD468" s="58" t="str">
        <f aca="false">IF(AND(ISNUMBER(Z468),ISNUMBER(AC468)),IF(AC468&gt;=Z468,(AC468-Z468)*1440,""),"")</f>
        <v/>
      </c>
      <c r="AE468" s="54"/>
      <c r="AF468" s="54"/>
      <c r="AG468" s="54"/>
      <c r="AH468" s="58"/>
      <c r="AI468" s="55" t="n">
        <v>2</v>
      </c>
      <c r="AJ468" s="54" t="s">
        <v>347</v>
      </c>
      <c r="AK468" s="54" t="s">
        <v>212</v>
      </c>
    </row>
    <row r="469" customFormat="false" ht="15" hidden="false" customHeight="false" outlineLevel="0" collapsed="false">
      <c r="A469" s="54" t="s">
        <v>27</v>
      </c>
      <c r="B469" s="55" t="n">
        <v>1905</v>
      </c>
      <c r="C469" s="54" t="s">
        <v>128</v>
      </c>
      <c r="D469" s="54" t="s">
        <v>212</v>
      </c>
      <c r="E469" s="54"/>
      <c r="F469" s="56" t="n">
        <v>46309.8118443982</v>
      </c>
      <c r="G469" s="54" t="s">
        <v>212</v>
      </c>
      <c r="H469" s="54" t="s">
        <v>214</v>
      </c>
      <c r="I469" s="57"/>
      <c r="J469" s="56"/>
      <c r="K469" s="56"/>
      <c r="L469" s="58" t="str">
        <f aca="false">IF(AND(ISNUMBER(J469),ISNUMBER(K469)),IF(K469&gt;=J469,(K469-J469)*1440,""),"")</f>
        <v/>
      </c>
      <c r="M469" s="56"/>
      <c r="N469" s="58" t="str">
        <f aca="false">IF(AND(ISNUMBER(J469),ISNUMBER(M469)),IF(M469&gt;=J469,(M469-J469)*1440,""),"")</f>
        <v/>
      </c>
      <c r="O469" s="54" t="str">
        <f aca="false">IF(N469="","",LOOKUP(N469,Tiempos!$A$6:$A$10,Tiempos!$B$6:$B$10))</f>
        <v/>
      </c>
      <c r="P469" s="54"/>
      <c r="Q469" s="54"/>
      <c r="R469" s="54"/>
      <c r="S469" s="54"/>
      <c r="T469" s="58"/>
      <c r="U469" s="54"/>
      <c r="V469" s="58"/>
      <c r="W469" s="57"/>
      <c r="X469" s="55"/>
      <c r="Y469" s="54"/>
      <c r="Z469" s="56"/>
      <c r="AA469" s="58" t="str">
        <f aca="false">IF(AND(ISNUMBER(M469),ISNUMBER(Z469)),IF(Z469&gt;=M469,(Z469-M469)*1440,""),"")</f>
        <v/>
      </c>
      <c r="AB469" s="57"/>
      <c r="AC469" s="56"/>
      <c r="AD469" s="58" t="str">
        <f aca="false">IF(AND(ISNUMBER(Z469),ISNUMBER(AC469)),IF(AC469&gt;=Z469,(AC469-Z469)*1440,""),"")</f>
        <v/>
      </c>
      <c r="AE469" s="54"/>
      <c r="AF469" s="54"/>
      <c r="AG469" s="54"/>
      <c r="AH469" s="58"/>
      <c r="AI469" s="55" t="n">
        <v>2</v>
      </c>
      <c r="AJ469" s="54" t="s">
        <v>347</v>
      </c>
      <c r="AK469" s="54" t="s">
        <v>212</v>
      </c>
    </row>
    <row r="470" customFormat="false" ht="15" hidden="false" customHeight="false" outlineLevel="0" collapsed="false">
      <c r="A470" s="54" t="s">
        <v>27</v>
      </c>
      <c r="B470" s="55" t="n">
        <v>1910</v>
      </c>
      <c r="C470" s="54" t="s">
        <v>128</v>
      </c>
      <c r="D470" s="54" t="s">
        <v>212</v>
      </c>
      <c r="E470" s="54"/>
      <c r="F470" s="56" t="n">
        <v>46309.824685</v>
      </c>
      <c r="G470" s="54" t="s">
        <v>212</v>
      </c>
      <c r="H470" s="54" t="s">
        <v>212</v>
      </c>
      <c r="I470" s="57"/>
      <c r="J470" s="56"/>
      <c r="K470" s="56"/>
      <c r="L470" s="58" t="str">
        <f aca="false">IF(AND(ISNUMBER(J470),ISNUMBER(K470)),IF(K470&gt;=J470,(K470-J470)*1440,""),"")</f>
        <v/>
      </c>
      <c r="M470" s="56"/>
      <c r="N470" s="58" t="str">
        <f aca="false">IF(AND(ISNUMBER(J470),ISNUMBER(M470)),IF(M470&gt;=J470,(M470-J470)*1440,""),"")</f>
        <v/>
      </c>
      <c r="O470" s="54" t="str">
        <f aca="false">IF(N470="","",LOOKUP(N470,Tiempos!$A$6:$A$10,Tiempos!$B$6:$B$10))</f>
        <v/>
      </c>
      <c r="P470" s="54"/>
      <c r="Q470" s="54"/>
      <c r="R470" s="54"/>
      <c r="S470" s="54"/>
      <c r="T470" s="58"/>
      <c r="U470" s="54"/>
      <c r="V470" s="58"/>
      <c r="W470" s="57"/>
      <c r="X470" s="55"/>
      <c r="Y470" s="54"/>
      <c r="Z470" s="56"/>
      <c r="AA470" s="58" t="str">
        <f aca="false">IF(AND(ISNUMBER(M470),ISNUMBER(Z470)),IF(Z470&gt;=M470,(Z470-M470)*1440,""),"")</f>
        <v/>
      </c>
      <c r="AB470" s="57"/>
      <c r="AC470" s="56"/>
      <c r="AD470" s="58" t="str">
        <f aca="false">IF(AND(ISNUMBER(Z470),ISNUMBER(AC470)),IF(AC470&gt;=Z470,(AC470-Z470)*1440,""),"")</f>
        <v/>
      </c>
      <c r="AE470" s="54"/>
      <c r="AF470" s="54"/>
      <c r="AG470" s="54"/>
      <c r="AH470" s="58"/>
      <c r="AI470" s="55" t="n">
        <v>2</v>
      </c>
      <c r="AJ470" s="54" t="s">
        <v>347</v>
      </c>
      <c r="AK470" s="54" t="s">
        <v>212</v>
      </c>
    </row>
    <row r="471" customFormat="false" ht="15" hidden="false" customHeight="false" outlineLevel="0" collapsed="false">
      <c r="A471" s="54" t="s">
        <v>27</v>
      </c>
      <c r="B471" s="55" t="n">
        <v>1904</v>
      </c>
      <c r="C471" s="54" t="s">
        <v>127</v>
      </c>
      <c r="D471" s="54" t="s">
        <v>212</v>
      </c>
      <c r="E471" s="54"/>
      <c r="F471" s="56" t="n">
        <v>46309.8249012384</v>
      </c>
      <c r="G471" s="54" t="s">
        <v>212</v>
      </c>
      <c r="H471" s="54" t="s">
        <v>214</v>
      </c>
      <c r="I471" s="57"/>
      <c r="J471" s="56"/>
      <c r="K471" s="56"/>
      <c r="L471" s="58" t="str">
        <f aca="false">IF(AND(ISNUMBER(J471),ISNUMBER(K471)),IF(K471&gt;=J471,(K471-J471)*1440,""),"")</f>
        <v/>
      </c>
      <c r="M471" s="56"/>
      <c r="N471" s="58" t="str">
        <f aca="false">IF(AND(ISNUMBER(J471),ISNUMBER(M471)),IF(M471&gt;=J471,(M471-J471)*1440,""),"")</f>
        <v/>
      </c>
      <c r="O471" s="54" t="str">
        <f aca="false">IF(N471="","",LOOKUP(N471,Tiempos!$A$6:$A$10,Tiempos!$B$6:$B$10))</f>
        <v/>
      </c>
      <c r="P471" s="54"/>
      <c r="Q471" s="54"/>
      <c r="R471" s="54"/>
      <c r="S471" s="54"/>
      <c r="T471" s="58"/>
      <c r="U471" s="54"/>
      <c r="V471" s="58"/>
      <c r="W471" s="57"/>
      <c r="X471" s="55"/>
      <c r="Y471" s="54"/>
      <c r="Z471" s="56"/>
      <c r="AA471" s="58" t="str">
        <f aca="false">IF(AND(ISNUMBER(M471),ISNUMBER(Z471)),IF(Z471&gt;=M471,(Z471-M471)*1440,""),"")</f>
        <v/>
      </c>
      <c r="AB471" s="57"/>
      <c r="AC471" s="56"/>
      <c r="AD471" s="58" t="str">
        <f aca="false">IF(AND(ISNUMBER(Z471),ISNUMBER(AC471)),IF(AC471&gt;=Z471,(AC471-Z471)*1440,""),"")</f>
        <v/>
      </c>
      <c r="AE471" s="54"/>
      <c r="AF471" s="54"/>
      <c r="AG471" s="54"/>
      <c r="AH471" s="58"/>
      <c r="AI471" s="55" t="n">
        <v>1</v>
      </c>
      <c r="AJ471" s="54" t="s">
        <v>347</v>
      </c>
      <c r="AK471" s="54" t="s">
        <v>212</v>
      </c>
    </row>
    <row r="472" customFormat="false" ht="15" hidden="false" customHeight="false" outlineLevel="0" collapsed="false">
      <c r="A472" s="54" t="s">
        <v>27</v>
      </c>
      <c r="B472" s="55" t="n">
        <v>1907</v>
      </c>
      <c r="C472" s="54" t="s">
        <v>127</v>
      </c>
      <c r="D472" s="54" t="s">
        <v>212</v>
      </c>
      <c r="E472" s="54"/>
      <c r="F472" s="56" t="n">
        <v>46309.8386381482</v>
      </c>
      <c r="G472" s="54" t="s">
        <v>212</v>
      </c>
      <c r="H472" s="54" t="s">
        <v>214</v>
      </c>
      <c r="I472" s="57"/>
      <c r="J472" s="56"/>
      <c r="K472" s="56"/>
      <c r="L472" s="58" t="str">
        <f aca="false">IF(AND(ISNUMBER(J472),ISNUMBER(K472)),IF(K472&gt;=J472,(K472-J472)*1440,""),"")</f>
        <v/>
      </c>
      <c r="M472" s="56"/>
      <c r="N472" s="58" t="str">
        <f aca="false">IF(AND(ISNUMBER(J472),ISNUMBER(M472)),IF(M472&gt;=J472,(M472-J472)*1440,""),"")</f>
        <v/>
      </c>
      <c r="O472" s="54" t="str">
        <f aca="false">IF(N472="","",LOOKUP(N472,Tiempos!$A$6:$A$10,Tiempos!$B$6:$B$10))</f>
        <v/>
      </c>
      <c r="P472" s="54"/>
      <c r="Q472" s="54"/>
      <c r="R472" s="54"/>
      <c r="S472" s="54"/>
      <c r="T472" s="58"/>
      <c r="U472" s="54"/>
      <c r="V472" s="58"/>
      <c r="W472" s="57"/>
      <c r="X472" s="55"/>
      <c r="Y472" s="54"/>
      <c r="Z472" s="56"/>
      <c r="AA472" s="58" t="str">
        <f aca="false">IF(AND(ISNUMBER(M472),ISNUMBER(Z472)),IF(Z472&gt;=M472,(Z472-M472)*1440,""),"")</f>
        <v/>
      </c>
      <c r="AB472" s="57"/>
      <c r="AC472" s="56"/>
      <c r="AD472" s="58" t="str">
        <f aca="false">IF(AND(ISNUMBER(Z472),ISNUMBER(AC472)),IF(AC472&gt;=Z472,(AC472-Z472)*1440,""),"")</f>
        <v/>
      </c>
      <c r="AE472" s="54"/>
      <c r="AF472" s="54"/>
      <c r="AG472" s="54"/>
      <c r="AH472" s="58"/>
      <c r="AI472" s="55" t="n">
        <v>2</v>
      </c>
      <c r="AJ472" s="54" t="s">
        <v>347</v>
      </c>
      <c r="AK472" s="54" t="s">
        <v>212</v>
      </c>
    </row>
    <row r="473" customFormat="false" ht="15" hidden="false" customHeight="false" outlineLevel="0" collapsed="false">
      <c r="A473" s="54" t="s">
        <v>27</v>
      </c>
      <c r="B473" s="55" t="n">
        <v>1931</v>
      </c>
      <c r="C473" s="54" t="s">
        <v>127</v>
      </c>
      <c r="D473" s="54" t="s">
        <v>212</v>
      </c>
      <c r="E473" s="54"/>
      <c r="F473" s="56" t="n">
        <v>46309.9791631482</v>
      </c>
      <c r="G473" s="54" t="s">
        <v>214</v>
      </c>
      <c r="H473" s="54" t="s">
        <v>212</v>
      </c>
      <c r="I473" s="57"/>
      <c r="J473" s="56"/>
      <c r="K473" s="56"/>
      <c r="L473" s="58" t="str">
        <f aca="false">IF(AND(ISNUMBER(J473),ISNUMBER(K473)),IF(K473&gt;=J473,(K473-J473)*1440,""),"")</f>
        <v/>
      </c>
      <c r="M473" s="56"/>
      <c r="N473" s="58" t="str">
        <f aca="false">IF(AND(ISNUMBER(J473),ISNUMBER(M473)),IF(M473&gt;=J473,(M473-J473)*1440,""),"")</f>
        <v/>
      </c>
      <c r="O473" s="54" t="str">
        <f aca="false">IF(N473="","",LOOKUP(N473,Tiempos!$A$6:$A$10,Tiempos!$B$6:$B$10))</f>
        <v/>
      </c>
      <c r="P473" s="54"/>
      <c r="Q473" s="54"/>
      <c r="R473" s="54"/>
      <c r="S473" s="54"/>
      <c r="T473" s="58"/>
      <c r="U473" s="54"/>
      <c r="V473" s="58"/>
      <c r="W473" s="57"/>
      <c r="X473" s="55"/>
      <c r="Y473" s="54"/>
      <c r="Z473" s="56"/>
      <c r="AA473" s="58" t="str">
        <f aca="false">IF(AND(ISNUMBER(M473),ISNUMBER(Z473)),IF(Z473&gt;=M473,(Z473-M473)*1440,""),"")</f>
        <v/>
      </c>
      <c r="AB473" s="57"/>
      <c r="AC473" s="56"/>
      <c r="AD473" s="58" t="str">
        <f aca="false">IF(AND(ISNUMBER(Z473),ISNUMBER(AC473)),IF(AC473&gt;=Z473,(AC473-Z473)*1440,""),"")</f>
        <v/>
      </c>
      <c r="AE473" s="54"/>
      <c r="AF473" s="54"/>
      <c r="AG473" s="54"/>
      <c r="AH473" s="58"/>
      <c r="AI473" s="55" t="n">
        <v>1</v>
      </c>
      <c r="AJ473" s="54" t="s">
        <v>347</v>
      </c>
      <c r="AK473" s="54" t="s">
        <v>212</v>
      </c>
    </row>
    <row r="474" customFormat="false" ht="15" hidden="false" customHeight="false" outlineLevel="0" collapsed="false">
      <c r="A474" s="54" t="s">
        <v>27</v>
      </c>
      <c r="B474" s="55" t="n">
        <v>1939</v>
      </c>
      <c r="C474" s="54" t="s">
        <v>127</v>
      </c>
      <c r="D474" s="54" t="s">
        <v>212</v>
      </c>
      <c r="E474" s="54"/>
      <c r="F474" s="56" t="n">
        <v>46310.0782361574</v>
      </c>
      <c r="G474" s="54" t="s">
        <v>214</v>
      </c>
      <c r="H474" s="54" t="s">
        <v>212</v>
      </c>
      <c r="I474" s="57"/>
      <c r="J474" s="56"/>
      <c r="K474" s="56"/>
      <c r="L474" s="58" t="str">
        <f aca="false">IF(AND(ISNUMBER(J474),ISNUMBER(K474)),IF(K474&gt;=J474,(K474-J474)*1440,""),"")</f>
        <v/>
      </c>
      <c r="M474" s="56"/>
      <c r="N474" s="58" t="str">
        <f aca="false">IF(AND(ISNUMBER(J474),ISNUMBER(M474)),IF(M474&gt;=J474,(M474-J474)*1440,""),"")</f>
        <v/>
      </c>
      <c r="O474" s="54" t="str">
        <f aca="false">IF(N474="","",LOOKUP(N474,Tiempos!$A$6:$A$10,Tiempos!$B$6:$B$10))</f>
        <v/>
      </c>
      <c r="P474" s="54"/>
      <c r="Q474" s="54"/>
      <c r="R474" s="54"/>
      <c r="S474" s="54"/>
      <c r="T474" s="58"/>
      <c r="U474" s="54"/>
      <c r="V474" s="58"/>
      <c r="W474" s="57"/>
      <c r="X474" s="55"/>
      <c r="Y474" s="54"/>
      <c r="Z474" s="56"/>
      <c r="AA474" s="58" t="str">
        <f aca="false">IF(AND(ISNUMBER(M474),ISNUMBER(Z474)),IF(Z474&gt;=M474,(Z474-M474)*1440,""),"")</f>
        <v/>
      </c>
      <c r="AB474" s="57"/>
      <c r="AC474" s="56"/>
      <c r="AD474" s="58" t="str">
        <f aca="false">IF(AND(ISNUMBER(Z474),ISNUMBER(AC474)),IF(AC474&gt;=Z474,(AC474-Z474)*1440,""),"")</f>
        <v/>
      </c>
      <c r="AE474" s="54"/>
      <c r="AF474" s="54"/>
      <c r="AG474" s="54"/>
      <c r="AH474" s="58"/>
      <c r="AI474" s="55" t="n">
        <v>1</v>
      </c>
      <c r="AJ474" s="54" t="s">
        <v>347</v>
      </c>
      <c r="AK474" s="54" t="s">
        <v>212</v>
      </c>
    </row>
    <row r="475" customFormat="false" ht="15" hidden="false" customHeight="false" outlineLevel="0" collapsed="false">
      <c r="A475" s="54" t="s">
        <v>27</v>
      </c>
      <c r="B475" s="55" t="n">
        <v>1945</v>
      </c>
      <c r="C475" s="54" t="s">
        <v>127</v>
      </c>
      <c r="D475" s="54" t="s">
        <v>212</v>
      </c>
      <c r="E475" s="54"/>
      <c r="F475" s="56" t="n">
        <v>46310.2954590394</v>
      </c>
      <c r="G475" s="54" t="s">
        <v>214</v>
      </c>
      <c r="H475" s="54" t="s">
        <v>214</v>
      </c>
      <c r="I475" s="57"/>
      <c r="J475" s="56"/>
      <c r="K475" s="56"/>
      <c r="L475" s="58" t="str">
        <f aca="false">IF(AND(ISNUMBER(J475),ISNUMBER(K475)),IF(K475&gt;=J475,(K475-J475)*1440,""),"")</f>
        <v/>
      </c>
      <c r="M475" s="56"/>
      <c r="N475" s="58" t="str">
        <f aca="false">IF(AND(ISNUMBER(J475),ISNUMBER(M475)),IF(M475&gt;=J475,(M475-J475)*1440,""),"")</f>
        <v/>
      </c>
      <c r="O475" s="54" t="str">
        <f aca="false">IF(N475="","",LOOKUP(N475,Tiempos!$A$6:$A$10,Tiempos!$B$6:$B$10))</f>
        <v/>
      </c>
      <c r="P475" s="54"/>
      <c r="Q475" s="54"/>
      <c r="R475" s="54"/>
      <c r="S475" s="54"/>
      <c r="T475" s="58"/>
      <c r="U475" s="54"/>
      <c r="V475" s="58"/>
      <c r="W475" s="57"/>
      <c r="X475" s="55"/>
      <c r="Y475" s="54"/>
      <c r="Z475" s="56"/>
      <c r="AA475" s="58" t="str">
        <f aca="false">IF(AND(ISNUMBER(M475),ISNUMBER(Z475)),IF(Z475&gt;=M475,(Z475-M475)*1440,""),"")</f>
        <v/>
      </c>
      <c r="AB475" s="57"/>
      <c r="AC475" s="56"/>
      <c r="AD475" s="58" t="str">
        <f aca="false">IF(AND(ISNUMBER(Z475),ISNUMBER(AC475)),IF(AC475&gt;=Z475,(AC475-Z475)*1440,""),"")</f>
        <v/>
      </c>
      <c r="AE475" s="54"/>
      <c r="AF475" s="54"/>
      <c r="AG475" s="54"/>
      <c r="AH475" s="58"/>
      <c r="AI475" s="55" t="n">
        <v>1</v>
      </c>
      <c r="AJ475" s="54" t="s">
        <v>347</v>
      </c>
      <c r="AK475" s="54" t="s">
        <v>212</v>
      </c>
    </row>
    <row r="476" customFormat="false" ht="15" hidden="false" customHeight="false" outlineLevel="0" collapsed="false">
      <c r="A476" s="54" t="s">
        <v>27</v>
      </c>
      <c r="B476" s="55" t="n">
        <v>1929</v>
      </c>
      <c r="C476" s="54" t="s">
        <v>127</v>
      </c>
      <c r="D476" s="54" t="s">
        <v>212</v>
      </c>
      <c r="E476" s="54"/>
      <c r="F476" s="56" t="n">
        <v>46310.2959741898</v>
      </c>
      <c r="G476" s="54" t="s">
        <v>214</v>
      </c>
      <c r="H476" s="54" t="s">
        <v>214</v>
      </c>
      <c r="I476" s="57"/>
      <c r="J476" s="56"/>
      <c r="K476" s="56"/>
      <c r="L476" s="58" t="str">
        <f aca="false">IF(AND(ISNUMBER(J476),ISNUMBER(K476)),IF(K476&gt;=J476,(K476-J476)*1440,""),"")</f>
        <v/>
      </c>
      <c r="M476" s="56"/>
      <c r="N476" s="58" t="str">
        <f aca="false">IF(AND(ISNUMBER(J476),ISNUMBER(M476)),IF(M476&gt;=J476,(M476-J476)*1440,""),"")</f>
        <v/>
      </c>
      <c r="O476" s="54" t="str">
        <f aca="false">IF(N476="","",LOOKUP(N476,Tiempos!$A$6:$A$10,Tiempos!$B$6:$B$10))</f>
        <v/>
      </c>
      <c r="P476" s="54"/>
      <c r="Q476" s="54"/>
      <c r="R476" s="54"/>
      <c r="S476" s="54"/>
      <c r="T476" s="58"/>
      <c r="U476" s="54"/>
      <c r="V476" s="58"/>
      <c r="W476" s="57"/>
      <c r="X476" s="55"/>
      <c r="Y476" s="54"/>
      <c r="Z476" s="56"/>
      <c r="AA476" s="58" t="str">
        <f aca="false">IF(AND(ISNUMBER(M476),ISNUMBER(Z476)),IF(Z476&gt;=M476,(Z476-M476)*1440,""),"")</f>
        <v/>
      </c>
      <c r="AB476" s="57"/>
      <c r="AC476" s="56"/>
      <c r="AD476" s="58" t="str">
        <f aca="false">IF(AND(ISNUMBER(Z476),ISNUMBER(AC476)),IF(AC476&gt;=Z476,(AC476-Z476)*1440,""),"")</f>
        <v/>
      </c>
      <c r="AE476" s="54"/>
      <c r="AF476" s="54"/>
      <c r="AG476" s="54"/>
      <c r="AH476" s="58"/>
      <c r="AI476" s="55" t="n">
        <v>2</v>
      </c>
      <c r="AJ476" s="54" t="s">
        <v>347</v>
      </c>
      <c r="AK476" s="54" t="s">
        <v>212</v>
      </c>
    </row>
    <row r="477" customFormat="false" ht="15" hidden="false" customHeight="false" outlineLevel="0" collapsed="false">
      <c r="A477" s="54" t="s">
        <v>27</v>
      </c>
      <c r="B477" s="55" t="n">
        <v>1930</v>
      </c>
      <c r="C477" s="54" t="s">
        <v>127</v>
      </c>
      <c r="D477" s="54" t="s">
        <v>212</v>
      </c>
      <c r="E477" s="54"/>
      <c r="F477" s="56" t="n">
        <v>46310.2961931134</v>
      </c>
      <c r="G477" s="54" t="s">
        <v>214</v>
      </c>
      <c r="H477" s="54" t="s">
        <v>214</v>
      </c>
      <c r="I477" s="57"/>
      <c r="J477" s="56"/>
      <c r="K477" s="56"/>
      <c r="L477" s="58" t="str">
        <f aca="false">IF(AND(ISNUMBER(J477),ISNUMBER(K477)),IF(K477&gt;=J477,(K477-J477)*1440,""),"")</f>
        <v/>
      </c>
      <c r="M477" s="56"/>
      <c r="N477" s="58" t="str">
        <f aca="false">IF(AND(ISNUMBER(J477),ISNUMBER(M477)),IF(M477&gt;=J477,(M477-J477)*1440,""),"")</f>
        <v/>
      </c>
      <c r="O477" s="54" t="str">
        <f aca="false">IF(N477="","",LOOKUP(N477,Tiempos!$A$6:$A$10,Tiempos!$B$6:$B$10))</f>
        <v/>
      </c>
      <c r="P477" s="54"/>
      <c r="Q477" s="54"/>
      <c r="R477" s="54"/>
      <c r="S477" s="54"/>
      <c r="T477" s="58"/>
      <c r="U477" s="54"/>
      <c r="V477" s="58"/>
      <c r="W477" s="57"/>
      <c r="X477" s="55"/>
      <c r="Y477" s="54"/>
      <c r="Z477" s="56"/>
      <c r="AA477" s="58" t="str">
        <f aca="false">IF(AND(ISNUMBER(M477),ISNUMBER(Z477)),IF(Z477&gt;=M477,(Z477-M477)*1440,""),"")</f>
        <v/>
      </c>
      <c r="AB477" s="57"/>
      <c r="AC477" s="56"/>
      <c r="AD477" s="58" t="str">
        <f aca="false">IF(AND(ISNUMBER(Z477),ISNUMBER(AC477)),IF(AC477&gt;=Z477,(AC477-Z477)*1440,""),"")</f>
        <v/>
      </c>
      <c r="AE477" s="54"/>
      <c r="AF477" s="54"/>
      <c r="AG477" s="54"/>
      <c r="AH477" s="58"/>
      <c r="AI477" s="55" t="n">
        <v>2</v>
      </c>
      <c r="AJ477" s="54" t="s">
        <v>347</v>
      </c>
      <c r="AK477" s="54" t="s">
        <v>212</v>
      </c>
    </row>
    <row r="478" customFormat="false" ht="15" hidden="false" customHeight="false" outlineLevel="0" collapsed="false">
      <c r="A478" s="54" t="s">
        <v>27</v>
      </c>
      <c r="B478" s="55" t="n">
        <v>1934</v>
      </c>
      <c r="C478" s="54" t="s">
        <v>127</v>
      </c>
      <c r="D478" s="54" t="s">
        <v>214</v>
      </c>
      <c r="E478" s="54" t="s">
        <v>412</v>
      </c>
      <c r="F478" s="56" t="n">
        <v>46310.2968198611</v>
      </c>
      <c r="G478" s="54" t="s">
        <v>214</v>
      </c>
      <c r="H478" s="54" t="s">
        <v>214</v>
      </c>
      <c r="I478" s="57" t="s">
        <v>715</v>
      </c>
      <c r="J478" s="56" t="n">
        <v>46310.3177957176</v>
      </c>
      <c r="K478" s="56" t="n">
        <v>46310.3192663542</v>
      </c>
      <c r="L478" s="58" t="n">
        <f aca="false">IF(AND(ISNUMBER(J478),ISNUMBER(K478)),IF(K478&gt;=J478,(K478-J478)*1440,""),"")</f>
        <v>2.11771667003333</v>
      </c>
      <c r="M478" s="56" t="n">
        <v>46310.3228240162</v>
      </c>
      <c r="N478" s="58" t="n">
        <f aca="false">IF(AND(ISNUMBER(J478),ISNUMBER(M478)),IF(M478&gt;=J478,(M478-J478)*1440,""),"")</f>
        <v>7.24075002245</v>
      </c>
      <c r="O478" s="54" t="str">
        <f aca="false">IF(N478="","",LOOKUP(N478,Tiempos!$A$6:$A$10,Tiempos!$B$6:$B$10))</f>
        <v>6 a 10 min</v>
      </c>
      <c r="P478" s="54" t="s">
        <v>229</v>
      </c>
      <c r="Q478" s="54" t="s">
        <v>214</v>
      </c>
      <c r="R478" s="54" t="s">
        <v>127</v>
      </c>
      <c r="S478" s="54" t="s">
        <v>220</v>
      </c>
      <c r="T478" s="58" t="n">
        <v>114.7</v>
      </c>
      <c r="U478" s="54" t="s">
        <v>214</v>
      </c>
      <c r="V478" s="58" t="n">
        <v>5.12</v>
      </c>
      <c r="W478" s="57" t="s">
        <v>716</v>
      </c>
      <c r="X478" s="55" t="n">
        <v>2</v>
      </c>
      <c r="Y478" s="54" t="s">
        <v>214</v>
      </c>
      <c r="Z478" s="56" t="n">
        <v>46310.3250344329</v>
      </c>
      <c r="AA478" s="58" t="n">
        <f aca="false">IF(AND(ISNUMBER(M478),ISNUMBER(Z478)),IF(Z478&gt;=M478,(Z478-M478)*1440,""),"")</f>
        <v>3.18299998528333</v>
      </c>
      <c r="AB478" s="57" t="s">
        <v>717</v>
      </c>
      <c r="AC478" s="56" t="n">
        <v>46310.3252938889</v>
      </c>
      <c r="AD478" s="58" t="n">
        <f aca="false">IF(AND(ISNUMBER(Z478),ISNUMBER(AC478)),IF(AC478&gt;=Z478,(AC478-Z478)*1440,""),"")</f>
        <v>0.37361667025</v>
      </c>
      <c r="AE478" s="54" t="s">
        <v>687</v>
      </c>
      <c r="AF478" s="54" t="s">
        <v>212</v>
      </c>
      <c r="AG478" s="54" t="s">
        <v>212</v>
      </c>
      <c r="AH478" s="58"/>
      <c r="AI478" s="55" t="n">
        <v>2</v>
      </c>
      <c r="AJ478" s="54" t="s">
        <v>688</v>
      </c>
      <c r="AK478" s="54" t="s">
        <v>212</v>
      </c>
    </row>
    <row r="479" customFormat="false" ht="15" hidden="false" customHeight="false" outlineLevel="0" collapsed="false">
      <c r="A479" s="54" t="s">
        <v>27</v>
      </c>
      <c r="B479" s="55" t="n">
        <v>1944</v>
      </c>
      <c r="C479" s="54" t="s">
        <v>127</v>
      </c>
      <c r="D479" s="54" t="s">
        <v>214</v>
      </c>
      <c r="E479" s="54" t="s">
        <v>233</v>
      </c>
      <c r="F479" s="56" t="n">
        <v>46310.3026825579</v>
      </c>
      <c r="G479" s="54" t="s">
        <v>214</v>
      </c>
      <c r="H479" s="54" t="s">
        <v>214</v>
      </c>
      <c r="I479" s="57" t="s">
        <v>718</v>
      </c>
      <c r="J479" s="56" t="n">
        <v>46310.3448203357</v>
      </c>
      <c r="K479" s="56" t="n">
        <v>46310.34491875</v>
      </c>
      <c r="L479" s="58" t="n">
        <f aca="false">IF(AND(ISNUMBER(J479),ISNUMBER(K479)),IF(K479&gt;=J479,(K479-J479)*1440,""),"")</f>
        <v>0.14171666115</v>
      </c>
      <c r="M479" s="56" t="n">
        <v>46310.3468745023</v>
      </c>
      <c r="N479" s="58" t="n">
        <f aca="false">IF(AND(ISNUMBER(J479),ISNUMBER(M479)),IF(M479&gt;=J479,(M479-J479)*1440,""),"")</f>
        <v>2.95799999031667</v>
      </c>
      <c r="O479" s="54" t="str">
        <f aca="false">IF(N479="","",LOOKUP(N479,Tiempos!$A$6:$A$10,Tiempos!$B$6:$B$10))</f>
        <v>Menos de 4 min</v>
      </c>
      <c r="P479" s="54" t="s">
        <v>229</v>
      </c>
      <c r="Q479" s="54" t="s">
        <v>214</v>
      </c>
      <c r="R479" s="54" t="s">
        <v>127</v>
      </c>
      <c r="S479" s="54" t="s">
        <v>220</v>
      </c>
      <c r="T479" s="58" t="n">
        <v>112.3</v>
      </c>
      <c r="U479" s="54" t="s">
        <v>214</v>
      </c>
      <c r="V479" s="58" t="n">
        <v>2.82</v>
      </c>
      <c r="W479" s="57" t="s">
        <v>249</v>
      </c>
      <c r="X479" s="55" t="n">
        <v>2</v>
      </c>
      <c r="Y479" s="54" t="s">
        <v>212</v>
      </c>
      <c r="Z479" s="56"/>
      <c r="AA479" s="58" t="str">
        <f aca="false">IF(AND(ISNUMBER(M479),ISNUMBER(Z479)),IF(Z479&gt;=M479,(Z479-M479)*1440,""),"")</f>
        <v/>
      </c>
      <c r="AB479" s="57"/>
      <c r="AC479" s="56"/>
      <c r="AD479" s="58" t="str">
        <f aca="false">IF(AND(ISNUMBER(Z479),ISNUMBER(AC479)),IF(AC479&gt;=Z479,(AC479-Z479)*1440,""),"")</f>
        <v/>
      </c>
      <c r="AE479" s="54"/>
      <c r="AF479" s="54" t="s">
        <v>214</v>
      </c>
      <c r="AG479" s="54"/>
      <c r="AH479" s="58"/>
      <c r="AI479" s="55" t="n">
        <v>2</v>
      </c>
      <c r="AJ479" s="54" t="s">
        <v>347</v>
      </c>
      <c r="AK479" s="54" t="s">
        <v>212</v>
      </c>
    </row>
    <row r="480" customFormat="false" ht="15" hidden="false" customHeight="false" outlineLevel="0" collapsed="false">
      <c r="A480" s="54" t="s">
        <v>27</v>
      </c>
      <c r="B480" s="55" t="n">
        <v>1956</v>
      </c>
      <c r="C480" s="54" t="s">
        <v>127</v>
      </c>
      <c r="D480" s="54" t="s">
        <v>214</v>
      </c>
      <c r="E480" s="54" t="s">
        <v>224</v>
      </c>
      <c r="F480" s="56" t="n">
        <v>46310.352849919</v>
      </c>
      <c r="G480" s="54" t="s">
        <v>212</v>
      </c>
      <c r="H480" s="54" t="s">
        <v>214</v>
      </c>
      <c r="I480" s="57" t="s">
        <v>719</v>
      </c>
      <c r="J480" s="56" t="n">
        <v>46310.3547143519</v>
      </c>
      <c r="K480" s="56" t="n">
        <v>46310.3548260417</v>
      </c>
      <c r="L480" s="58" t="n">
        <f aca="false">IF(AND(ISNUMBER(J480),ISNUMBER(K480)),IF(K480&gt;=J480,(K480-J480)*1440,""),"")</f>
        <v>0.1608333201</v>
      </c>
      <c r="M480" s="56" t="n">
        <v>46310.3583235417</v>
      </c>
      <c r="N480" s="58" t="n">
        <f aca="false">IF(AND(ISNUMBER(J480),ISNUMBER(M480)),IF(M480&gt;=J480,(M480-J480)*1440,""),"")</f>
        <v>5.19723334348333</v>
      </c>
      <c r="O480" s="54" t="str">
        <f aca="false">IF(N480="","",LOOKUP(N480,Tiempos!$A$6:$A$10,Tiempos!$B$6:$B$10))</f>
        <v>4 a 6 min</v>
      </c>
      <c r="P480" s="54" t="s">
        <v>229</v>
      </c>
      <c r="Q480" s="54" t="s">
        <v>214</v>
      </c>
      <c r="R480" s="54" t="s">
        <v>127</v>
      </c>
      <c r="S480" s="54" t="s">
        <v>220</v>
      </c>
      <c r="T480" s="58" t="n">
        <v>110.7</v>
      </c>
      <c r="U480" s="54" t="s">
        <v>214</v>
      </c>
      <c r="V480" s="58" t="n">
        <v>5.04</v>
      </c>
      <c r="W480" s="57" t="s">
        <v>720</v>
      </c>
      <c r="X480" s="55" t="n">
        <v>2</v>
      </c>
      <c r="Y480" s="54" t="s">
        <v>214</v>
      </c>
      <c r="Z480" s="56" t="n">
        <v>46310.3806114352</v>
      </c>
      <c r="AA480" s="58" t="n">
        <f aca="false">IF(AND(ISNUMBER(M480),ISNUMBER(Z480)),IF(Z480&gt;=M480,(Z480-M480)*1440,""),"")</f>
        <v>32.0945666532333</v>
      </c>
      <c r="AB480" s="57" t="s">
        <v>721</v>
      </c>
      <c r="AC480" s="56" t="n">
        <v>46310.3812016551</v>
      </c>
      <c r="AD480" s="58" t="n">
        <f aca="false">IF(AND(ISNUMBER(Z480),ISNUMBER(AC480)),IF(AC480&gt;=Z480,(AC480-Z480)*1440,""),"")</f>
        <v>0.84991666255</v>
      </c>
      <c r="AE480" s="54" t="s">
        <v>346</v>
      </c>
      <c r="AF480" s="54" t="s">
        <v>214</v>
      </c>
      <c r="AG480" s="54" t="s">
        <v>214</v>
      </c>
      <c r="AH480" s="58" t="n">
        <v>3.7</v>
      </c>
      <c r="AI480" s="55" t="n">
        <v>2</v>
      </c>
      <c r="AJ480" s="54" t="s">
        <v>347</v>
      </c>
      <c r="AK480" s="54" t="s">
        <v>212</v>
      </c>
    </row>
    <row r="481" customFormat="false" ht="15" hidden="false" customHeight="false" outlineLevel="0" collapsed="false">
      <c r="A481" s="54" t="s">
        <v>27</v>
      </c>
      <c r="B481" s="55" t="n">
        <v>1965</v>
      </c>
      <c r="C481" s="54" t="s">
        <v>127</v>
      </c>
      <c r="D481" s="54" t="s">
        <v>212</v>
      </c>
      <c r="E481" s="54"/>
      <c r="F481" s="56" t="n">
        <v>46310.411133206</v>
      </c>
      <c r="G481" s="54" t="s">
        <v>212</v>
      </c>
      <c r="H481" s="54" t="s">
        <v>214</v>
      </c>
      <c r="I481" s="57"/>
      <c r="J481" s="56"/>
      <c r="K481" s="56"/>
      <c r="L481" s="58" t="str">
        <f aca="false">IF(AND(ISNUMBER(J481),ISNUMBER(K481)),IF(K481&gt;=J481,(K481-J481)*1440,""),"")</f>
        <v/>
      </c>
      <c r="M481" s="56"/>
      <c r="N481" s="58" t="str">
        <f aca="false">IF(AND(ISNUMBER(J481),ISNUMBER(M481)),IF(M481&gt;=J481,(M481-J481)*1440,""),"")</f>
        <v/>
      </c>
      <c r="O481" s="54" t="str">
        <f aca="false">IF(N481="","",LOOKUP(N481,Tiempos!$A$6:$A$10,Tiempos!$B$6:$B$10))</f>
        <v/>
      </c>
      <c r="P481" s="54"/>
      <c r="Q481" s="54"/>
      <c r="R481" s="54"/>
      <c r="S481" s="54"/>
      <c r="T481" s="58"/>
      <c r="U481" s="54"/>
      <c r="V481" s="58"/>
      <c r="W481" s="57"/>
      <c r="X481" s="55"/>
      <c r="Y481" s="54"/>
      <c r="Z481" s="56"/>
      <c r="AA481" s="58" t="str">
        <f aca="false">IF(AND(ISNUMBER(M481),ISNUMBER(Z481)),IF(Z481&gt;=M481,(Z481-M481)*1440,""),"")</f>
        <v/>
      </c>
      <c r="AB481" s="57"/>
      <c r="AC481" s="56"/>
      <c r="AD481" s="58" t="str">
        <f aca="false">IF(AND(ISNUMBER(Z481),ISNUMBER(AC481)),IF(AC481&gt;=Z481,(AC481-Z481)*1440,""),"")</f>
        <v/>
      </c>
      <c r="AE481" s="54"/>
      <c r="AF481" s="54"/>
      <c r="AG481" s="54"/>
      <c r="AH481" s="58"/>
      <c r="AI481" s="55" t="n">
        <v>1</v>
      </c>
      <c r="AJ481" s="54" t="s">
        <v>347</v>
      </c>
      <c r="AK481" s="54" t="s">
        <v>212</v>
      </c>
    </row>
    <row r="482" customFormat="false" ht="15" hidden="false" customHeight="false" outlineLevel="0" collapsed="false">
      <c r="A482" s="54" t="s">
        <v>27</v>
      </c>
      <c r="B482" s="55" t="n">
        <v>1979</v>
      </c>
      <c r="C482" s="54" t="s">
        <v>127</v>
      </c>
      <c r="D482" s="54" t="s">
        <v>214</v>
      </c>
      <c r="E482" s="54" t="s">
        <v>278</v>
      </c>
      <c r="F482" s="56" t="n">
        <v>46310.4746227199</v>
      </c>
      <c r="G482" s="54" t="s">
        <v>212</v>
      </c>
      <c r="H482" s="54" t="s">
        <v>214</v>
      </c>
      <c r="I482" s="57" t="s">
        <v>722</v>
      </c>
      <c r="J482" s="56" t="n">
        <v>46310.4841937732</v>
      </c>
      <c r="K482" s="56" t="n">
        <v>46310.4843812153</v>
      </c>
      <c r="L482" s="58" t="n">
        <f aca="false">IF(AND(ISNUMBER(J482),ISNUMBER(K482)),IF(K482&gt;=J482,(K482-J482)*1440,""),"")</f>
        <v>0.26991667575</v>
      </c>
      <c r="M482" s="56" t="n">
        <v>46310.4876572338</v>
      </c>
      <c r="N482" s="58" t="n">
        <f aca="false">IF(AND(ISNUMBER(J482),ISNUMBER(M482)),IF(M482&gt;=J482,(M482-J482)*1440,""),"")</f>
        <v>4.98738334513333</v>
      </c>
      <c r="O482" s="54" t="str">
        <f aca="false">IF(N482="","",LOOKUP(N482,Tiempos!$A$6:$A$10,Tiempos!$B$6:$B$10))</f>
        <v>4 a 6 min</v>
      </c>
      <c r="P482" s="54" t="s">
        <v>229</v>
      </c>
      <c r="Q482" s="54" t="s">
        <v>214</v>
      </c>
      <c r="R482" s="54" t="s">
        <v>127</v>
      </c>
      <c r="S482" s="54" t="s">
        <v>220</v>
      </c>
      <c r="T482" s="58" t="n">
        <v>118.5</v>
      </c>
      <c r="U482" s="54" t="s">
        <v>212</v>
      </c>
      <c r="V482" s="58" t="n">
        <v>2.73</v>
      </c>
      <c r="W482" s="57" t="s">
        <v>475</v>
      </c>
      <c r="X482" s="55" t="n">
        <v>2</v>
      </c>
      <c r="Y482" s="54" t="s">
        <v>212</v>
      </c>
      <c r="Z482" s="56"/>
      <c r="AA482" s="58" t="str">
        <f aca="false">IF(AND(ISNUMBER(M482),ISNUMBER(Z482)),IF(Z482&gt;=M482,(Z482-M482)*1440,""),"")</f>
        <v/>
      </c>
      <c r="AB482" s="57"/>
      <c r="AC482" s="56"/>
      <c r="AD482" s="58" t="str">
        <f aca="false">IF(AND(ISNUMBER(Z482),ISNUMBER(AC482)),IF(AC482&gt;=Z482,(AC482-Z482)*1440,""),"")</f>
        <v/>
      </c>
      <c r="AE482" s="54"/>
      <c r="AF482" s="54" t="s">
        <v>214</v>
      </c>
      <c r="AG482" s="54"/>
      <c r="AH482" s="58"/>
      <c r="AI482" s="55" t="n">
        <v>2</v>
      </c>
      <c r="AJ482" s="54" t="s">
        <v>347</v>
      </c>
      <c r="AK482" s="54" t="s">
        <v>212</v>
      </c>
    </row>
    <row r="483" customFormat="false" ht="15" hidden="false" customHeight="false" outlineLevel="0" collapsed="false">
      <c r="A483" s="54" t="s">
        <v>27</v>
      </c>
      <c r="B483" s="55" t="n">
        <v>1981</v>
      </c>
      <c r="C483" s="54" t="s">
        <v>127</v>
      </c>
      <c r="D483" s="54" t="s">
        <v>212</v>
      </c>
      <c r="E483" s="54"/>
      <c r="F483" s="56" t="n">
        <v>46310.4827170023</v>
      </c>
      <c r="G483" s="54" t="s">
        <v>212</v>
      </c>
      <c r="H483" s="54" t="s">
        <v>214</v>
      </c>
      <c r="I483" s="57"/>
      <c r="J483" s="56"/>
      <c r="K483" s="56"/>
      <c r="L483" s="58" t="str">
        <f aca="false">IF(AND(ISNUMBER(J483),ISNUMBER(K483)),IF(K483&gt;=J483,(K483-J483)*1440,""),"")</f>
        <v/>
      </c>
      <c r="M483" s="56"/>
      <c r="N483" s="58" t="str">
        <f aca="false">IF(AND(ISNUMBER(J483),ISNUMBER(M483)),IF(M483&gt;=J483,(M483-J483)*1440,""),"")</f>
        <v/>
      </c>
      <c r="O483" s="54" t="str">
        <f aca="false">IF(N483="","",LOOKUP(N483,Tiempos!$A$6:$A$10,Tiempos!$B$6:$B$10))</f>
        <v/>
      </c>
      <c r="P483" s="54"/>
      <c r="Q483" s="54"/>
      <c r="R483" s="54"/>
      <c r="S483" s="54"/>
      <c r="T483" s="58"/>
      <c r="U483" s="54"/>
      <c r="V483" s="58"/>
      <c r="W483" s="57"/>
      <c r="X483" s="55"/>
      <c r="Y483" s="54"/>
      <c r="Z483" s="56"/>
      <c r="AA483" s="58" t="str">
        <f aca="false">IF(AND(ISNUMBER(M483),ISNUMBER(Z483)),IF(Z483&gt;=M483,(Z483-M483)*1440,""),"")</f>
        <v/>
      </c>
      <c r="AB483" s="57"/>
      <c r="AC483" s="56"/>
      <c r="AD483" s="58" t="str">
        <f aca="false">IF(AND(ISNUMBER(Z483),ISNUMBER(AC483)),IF(AC483&gt;=Z483,(AC483-Z483)*1440,""),"")</f>
        <v/>
      </c>
      <c r="AE483" s="54"/>
      <c r="AF483" s="54"/>
      <c r="AG483" s="54"/>
      <c r="AH483" s="58"/>
      <c r="AI483" s="55" t="n">
        <v>2</v>
      </c>
      <c r="AJ483" s="54" t="s">
        <v>347</v>
      </c>
      <c r="AK483" s="54" t="s">
        <v>212</v>
      </c>
    </row>
    <row r="484" customFormat="false" ht="15" hidden="false" customHeight="false" outlineLevel="0" collapsed="false">
      <c r="A484" s="54" t="s">
        <v>27</v>
      </c>
      <c r="B484" s="55" t="n">
        <v>1980</v>
      </c>
      <c r="C484" s="54" t="s">
        <v>127</v>
      </c>
      <c r="D484" s="54" t="s">
        <v>212</v>
      </c>
      <c r="E484" s="54"/>
      <c r="F484" s="56" t="n">
        <v>46310.5014230208</v>
      </c>
      <c r="G484" s="54" t="s">
        <v>212</v>
      </c>
      <c r="H484" s="54" t="s">
        <v>214</v>
      </c>
      <c r="I484" s="57"/>
      <c r="J484" s="56"/>
      <c r="K484" s="56"/>
      <c r="L484" s="58" t="str">
        <f aca="false">IF(AND(ISNUMBER(J484),ISNUMBER(K484)),IF(K484&gt;=J484,(K484-J484)*1440,""),"")</f>
        <v/>
      </c>
      <c r="M484" s="56"/>
      <c r="N484" s="58" t="str">
        <f aca="false">IF(AND(ISNUMBER(J484),ISNUMBER(M484)),IF(M484&gt;=J484,(M484-J484)*1440,""),"")</f>
        <v/>
      </c>
      <c r="O484" s="54" t="str">
        <f aca="false">IF(N484="","",LOOKUP(N484,Tiempos!$A$6:$A$10,Tiempos!$B$6:$B$10))</f>
        <v/>
      </c>
      <c r="P484" s="54"/>
      <c r="Q484" s="54"/>
      <c r="R484" s="54"/>
      <c r="S484" s="54"/>
      <c r="T484" s="58"/>
      <c r="U484" s="54"/>
      <c r="V484" s="58"/>
      <c r="W484" s="57"/>
      <c r="X484" s="55"/>
      <c r="Y484" s="54"/>
      <c r="Z484" s="56"/>
      <c r="AA484" s="58" t="str">
        <f aca="false">IF(AND(ISNUMBER(M484),ISNUMBER(Z484)),IF(Z484&gt;=M484,(Z484-M484)*1440,""),"")</f>
        <v/>
      </c>
      <c r="AB484" s="57"/>
      <c r="AC484" s="56"/>
      <c r="AD484" s="58" t="str">
        <f aca="false">IF(AND(ISNUMBER(Z484),ISNUMBER(AC484)),IF(AC484&gt;=Z484,(AC484-Z484)*1440,""),"")</f>
        <v/>
      </c>
      <c r="AE484" s="54"/>
      <c r="AF484" s="54"/>
      <c r="AG484" s="54"/>
      <c r="AH484" s="58"/>
      <c r="AI484" s="55" t="n">
        <v>1</v>
      </c>
      <c r="AJ484" s="54" t="s">
        <v>347</v>
      </c>
      <c r="AK484" s="54" t="s">
        <v>212</v>
      </c>
    </row>
    <row r="485" customFormat="false" ht="15" hidden="false" customHeight="false" outlineLevel="0" collapsed="false">
      <c r="A485" s="54" t="s">
        <v>27</v>
      </c>
      <c r="B485" s="55" t="n">
        <v>1990</v>
      </c>
      <c r="C485" s="54" t="s">
        <v>127</v>
      </c>
      <c r="D485" s="54" t="s">
        <v>214</v>
      </c>
      <c r="E485" s="54" t="s">
        <v>242</v>
      </c>
      <c r="F485" s="56" t="n">
        <v>46310.5047186343</v>
      </c>
      <c r="G485" s="54" t="s">
        <v>212</v>
      </c>
      <c r="H485" s="54" t="s">
        <v>212</v>
      </c>
      <c r="I485" s="57" t="s">
        <v>723</v>
      </c>
      <c r="J485" s="56" t="n">
        <v>46310.5072558218</v>
      </c>
      <c r="K485" s="56" t="n">
        <v>46310.5076044097</v>
      </c>
      <c r="L485" s="58" t="n">
        <f aca="false">IF(AND(ISNUMBER(J485),ISNUMBER(K485)),IF(K485&gt;=J485,(K485-J485)*1440,""),"")</f>
        <v>0.501966668516667</v>
      </c>
      <c r="M485" s="56" t="n">
        <v>46310.5127673032</v>
      </c>
      <c r="N485" s="58" t="n">
        <f aca="false">IF(AND(ISNUMBER(J485),ISNUMBER(M485)),IF(M485&gt;=J485,(M485-J485)*1440,""),"")</f>
        <v>7.93653333441667</v>
      </c>
      <c r="O485" s="54" t="str">
        <f aca="false">IF(N485="","",LOOKUP(N485,Tiempos!$A$6:$A$10,Tiempos!$B$6:$B$10))</f>
        <v>6 a 10 min</v>
      </c>
      <c r="P485" s="54" t="s">
        <v>229</v>
      </c>
      <c r="Q485" s="54" t="s">
        <v>214</v>
      </c>
      <c r="R485" s="54" t="s">
        <v>130</v>
      </c>
      <c r="S485" s="54" t="s">
        <v>215</v>
      </c>
      <c r="T485" s="58" t="n">
        <v>118.1</v>
      </c>
      <c r="U485" s="54" t="s">
        <v>212</v>
      </c>
      <c r="V485" s="58" t="n">
        <v>3.41</v>
      </c>
      <c r="W485" s="57" t="s">
        <v>316</v>
      </c>
      <c r="X485" s="55" t="n">
        <v>2</v>
      </c>
      <c r="Y485" s="54" t="s">
        <v>212</v>
      </c>
      <c r="Z485" s="56"/>
      <c r="AA485" s="58" t="str">
        <f aca="false">IF(AND(ISNUMBER(M485),ISNUMBER(Z485)),IF(Z485&gt;=M485,(Z485-M485)*1440,""),"")</f>
        <v/>
      </c>
      <c r="AB485" s="57"/>
      <c r="AC485" s="56"/>
      <c r="AD485" s="58" t="str">
        <f aca="false">IF(AND(ISNUMBER(Z485),ISNUMBER(AC485)),IF(AC485&gt;=Z485,(AC485-Z485)*1440,""),"")</f>
        <v/>
      </c>
      <c r="AE485" s="54"/>
      <c r="AF485" s="54" t="s">
        <v>214</v>
      </c>
      <c r="AG485" s="54"/>
      <c r="AH485" s="58"/>
      <c r="AI485" s="55" t="n">
        <v>2</v>
      </c>
      <c r="AJ485" s="54" t="s">
        <v>347</v>
      </c>
      <c r="AK485" s="54" t="s">
        <v>212</v>
      </c>
    </row>
    <row r="486" customFormat="false" ht="15" hidden="false" customHeight="false" outlineLevel="0" collapsed="false">
      <c r="A486" s="54" t="s">
        <v>27</v>
      </c>
      <c r="B486" s="55" t="n">
        <v>1995</v>
      </c>
      <c r="C486" s="54" t="s">
        <v>127</v>
      </c>
      <c r="D486" s="54" t="s">
        <v>212</v>
      </c>
      <c r="E486" s="54"/>
      <c r="F486" s="56" t="n">
        <v>46310.5121892014</v>
      </c>
      <c r="G486" s="54" t="s">
        <v>212</v>
      </c>
      <c r="H486" s="54" t="s">
        <v>212</v>
      </c>
      <c r="I486" s="57"/>
      <c r="J486" s="56"/>
      <c r="K486" s="56"/>
      <c r="L486" s="58" t="str">
        <f aca="false">IF(AND(ISNUMBER(J486),ISNUMBER(K486)),IF(K486&gt;=J486,(K486-J486)*1440,""),"")</f>
        <v/>
      </c>
      <c r="M486" s="56"/>
      <c r="N486" s="58" t="str">
        <f aca="false">IF(AND(ISNUMBER(J486),ISNUMBER(M486)),IF(M486&gt;=J486,(M486-J486)*1440,""),"")</f>
        <v/>
      </c>
      <c r="O486" s="54" t="str">
        <f aca="false">IF(N486="","",LOOKUP(N486,Tiempos!$A$6:$A$10,Tiempos!$B$6:$B$10))</f>
        <v/>
      </c>
      <c r="P486" s="54"/>
      <c r="Q486" s="54"/>
      <c r="R486" s="54"/>
      <c r="S486" s="54"/>
      <c r="T486" s="58"/>
      <c r="U486" s="54"/>
      <c r="V486" s="58"/>
      <c r="W486" s="57"/>
      <c r="X486" s="55"/>
      <c r="Y486" s="54"/>
      <c r="Z486" s="56"/>
      <c r="AA486" s="58" t="str">
        <f aca="false">IF(AND(ISNUMBER(M486),ISNUMBER(Z486)),IF(Z486&gt;=M486,(Z486-M486)*1440,""),"")</f>
        <v/>
      </c>
      <c r="AB486" s="57"/>
      <c r="AC486" s="56"/>
      <c r="AD486" s="58" t="str">
        <f aca="false">IF(AND(ISNUMBER(Z486),ISNUMBER(AC486)),IF(AC486&gt;=Z486,(AC486-Z486)*1440,""),"")</f>
        <v/>
      </c>
      <c r="AE486" s="54"/>
      <c r="AF486" s="54"/>
      <c r="AG486" s="54"/>
      <c r="AH486" s="58"/>
      <c r="AI486" s="55" t="n">
        <v>2</v>
      </c>
      <c r="AJ486" s="54" t="s">
        <v>347</v>
      </c>
      <c r="AK486" s="54" t="s">
        <v>212</v>
      </c>
    </row>
    <row r="487" customFormat="false" ht="15" hidden="false" customHeight="false" outlineLevel="0" collapsed="false">
      <c r="A487" s="54" t="s">
        <v>27</v>
      </c>
      <c r="B487" s="55" t="n">
        <v>1987</v>
      </c>
      <c r="C487" s="54" t="s">
        <v>127</v>
      </c>
      <c r="D487" s="54" t="s">
        <v>212</v>
      </c>
      <c r="E487" s="54"/>
      <c r="F487" s="56" t="n">
        <v>46310.5199887153</v>
      </c>
      <c r="G487" s="54" t="s">
        <v>212</v>
      </c>
      <c r="H487" s="54" t="s">
        <v>212</v>
      </c>
      <c r="I487" s="57"/>
      <c r="J487" s="56"/>
      <c r="K487" s="56"/>
      <c r="L487" s="58" t="str">
        <f aca="false">IF(AND(ISNUMBER(J487),ISNUMBER(K487)),IF(K487&gt;=J487,(K487-J487)*1440,""),"")</f>
        <v/>
      </c>
      <c r="M487" s="56"/>
      <c r="N487" s="58" t="str">
        <f aca="false">IF(AND(ISNUMBER(J487),ISNUMBER(M487)),IF(M487&gt;=J487,(M487-J487)*1440,""),"")</f>
        <v/>
      </c>
      <c r="O487" s="54" t="str">
        <f aca="false">IF(N487="","",LOOKUP(N487,Tiempos!$A$6:$A$10,Tiempos!$B$6:$B$10))</f>
        <v/>
      </c>
      <c r="P487" s="54"/>
      <c r="Q487" s="54"/>
      <c r="R487" s="54"/>
      <c r="S487" s="54"/>
      <c r="T487" s="58"/>
      <c r="U487" s="54"/>
      <c r="V487" s="58"/>
      <c r="W487" s="57"/>
      <c r="X487" s="55"/>
      <c r="Y487" s="54"/>
      <c r="Z487" s="56"/>
      <c r="AA487" s="58" t="str">
        <f aca="false">IF(AND(ISNUMBER(M487),ISNUMBER(Z487)),IF(Z487&gt;=M487,(Z487-M487)*1440,""),"")</f>
        <v/>
      </c>
      <c r="AB487" s="57"/>
      <c r="AC487" s="56"/>
      <c r="AD487" s="58" t="str">
        <f aca="false">IF(AND(ISNUMBER(Z487),ISNUMBER(AC487)),IF(AC487&gt;=Z487,(AC487-Z487)*1440,""),"")</f>
        <v/>
      </c>
      <c r="AE487" s="54"/>
      <c r="AF487" s="54"/>
      <c r="AG487" s="54"/>
      <c r="AH487" s="58"/>
      <c r="AI487" s="55" t="n">
        <v>1</v>
      </c>
      <c r="AJ487" s="54" t="s">
        <v>347</v>
      </c>
      <c r="AK487" s="54" t="s">
        <v>212</v>
      </c>
    </row>
    <row r="488" customFormat="false" ht="15" hidden="false" customHeight="false" outlineLevel="0" collapsed="false">
      <c r="A488" s="54" t="s">
        <v>27</v>
      </c>
      <c r="B488" s="55" t="n">
        <v>1996</v>
      </c>
      <c r="C488" s="54" t="s">
        <v>127</v>
      </c>
      <c r="D488" s="54" t="s">
        <v>212</v>
      </c>
      <c r="E488" s="54"/>
      <c r="F488" s="56" t="n">
        <v>46310.5271520949</v>
      </c>
      <c r="G488" s="54" t="s">
        <v>212</v>
      </c>
      <c r="H488" s="54" t="s">
        <v>212</v>
      </c>
      <c r="I488" s="57"/>
      <c r="J488" s="56"/>
      <c r="K488" s="56"/>
      <c r="L488" s="58" t="str">
        <f aca="false">IF(AND(ISNUMBER(J488),ISNUMBER(K488)),IF(K488&gt;=J488,(K488-J488)*1440,""),"")</f>
        <v/>
      </c>
      <c r="M488" s="56"/>
      <c r="N488" s="58" t="str">
        <f aca="false">IF(AND(ISNUMBER(J488),ISNUMBER(M488)),IF(M488&gt;=J488,(M488-J488)*1440,""),"")</f>
        <v/>
      </c>
      <c r="O488" s="54" t="str">
        <f aca="false">IF(N488="","",LOOKUP(N488,Tiempos!$A$6:$A$10,Tiempos!$B$6:$B$10))</f>
        <v/>
      </c>
      <c r="P488" s="54"/>
      <c r="Q488" s="54"/>
      <c r="R488" s="54"/>
      <c r="S488" s="54"/>
      <c r="T488" s="58"/>
      <c r="U488" s="54"/>
      <c r="V488" s="58"/>
      <c r="W488" s="57"/>
      <c r="X488" s="55"/>
      <c r="Y488" s="54"/>
      <c r="Z488" s="56"/>
      <c r="AA488" s="58" t="str">
        <f aca="false">IF(AND(ISNUMBER(M488),ISNUMBER(Z488)),IF(Z488&gt;=M488,(Z488-M488)*1440,""),"")</f>
        <v/>
      </c>
      <c r="AB488" s="57"/>
      <c r="AC488" s="56"/>
      <c r="AD488" s="58" t="str">
        <f aca="false">IF(AND(ISNUMBER(Z488),ISNUMBER(AC488)),IF(AC488&gt;=Z488,(AC488-Z488)*1440,""),"")</f>
        <v/>
      </c>
      <c r="AE488" s="54"/>
      <c r="AF488" s="54"/>
      <c r="AG488" s="54"/>
      <c r="AH488" s="58"/>
      <c r="AI488" s="55" t="n">
        <v>2</v>
      </c>
      <c r="AJ488" s="54" t="s">
        <v>347</v>
      </c>
      <c r="AK488" s="54" t="s">
        <v>212</v>
      </c>
    </row>
    <row r="489" customFormat="false" ht="15" hidden="false" customHeight="false" outlineLevel="0" collapsed="false">
      <c r="A489" s="54" t="s">
        <v>27</v>
      </c>
      <c r="B489" s="55" t="n">
        <v>1997</v>
      </c>
      <c r="C489" s="54" t="s">
        <v>127</v>
      </c>
      <c r="D489" s="54" t="s">
        <v>214</v>
      </c>
      <c r="E489" s="54" t="s">
        <v>224</v>
      </c>
      <c r="F489" s="56" t="n">
        <v>46310.5303397107</v>
      </c>
      <c r="G489" s="54" t="s">
        <v>212</v>
      </c>
      <c r="H489" s="54" t="s">
        <v>214</v>
      </c>
      <c r="I489" s="57" t="s">
        <v>724</v>
      </c>
      <c r="J489" s="56" t="n">
        <v>46310.5321899653</v>
      </c>
      <c r="K489" s="56" t="n">
        <v>46310.5322573264</v>
      </c>
      <c r="L489" s="58" t="n">
        <f aca="false">IF(AND(ISNUMBER(J489),ISNUMBER(K489)),IF(K489&gt;=J489,(K489-J489)*1440,""),"")</f>
        <v>0.0970000040166667</v>
      </c>
      <c r="M489" s="56" t="n">
        <v>46310.5366930324</v>
      </c>
      <c r="N489" s="58" t="n">
        <f aca="false">IF(AND(ISNUMBER(J489),ISNUMBER(M489)),IF(M489&gt;=J489,(M489-J489)*1440,""),"")</f>
        <v>6.4844166697</v>
      </c>
      <c r="O489" s="54" t="str">
        <f aca="false">IF(N489="","",LOOKUP(N489,Tiempos!$A$6:$A$10,Tiempos!$B$6:$B$10))</f>
        <v>6 a 10 min</v>
      </c>
      <c r="P489" s="54" t="s">
        <v>229</v>
      </c>
      <c r="Q489" s="54" t="s">
        <v>214</v>
      </c>
      <c r="R489" s="54" t="s">
        <v>127</v>
      </c>
      <c r="S489" s="54" t="s">
        <v>220</v>
      </c>
      <c r="T489" s="58" t="n">
        <v>106.1</v>
      </c>
      <c r="U489" s="54" t="s">
        <v>214</v>
      </c>
      <c r="V489" s="58" t="n">
        <v>6.39</v>
      </c>
      <c r="W489" s="57" t="s">
        <v>423</v>
      </c>
      <c r="X489" s="55" t="n">
        <v>2</v>
      </c>
      <c r="Y489" s="54" t="s">
        <v>214</v>
      </c>
      <c r="Z489" s="56" t="n">
        <v>46310.5391278819</v>
      </c>
      <c r="AA489" s="58" t="n">
        <f aca="false">IF(AND(ISNUMBER(M489),ISNUMBER(Z489)),IF(Z489&gt;=M489,(Z489-M489)*1440,""),"")</f>
        <v>3.50618332041667</v>
      </c>
      <c r="AB489" s="57" t="s">
        <v>725</v>
      </c>
      <c r="AC489" s="56" t="n">
        <v>46310.5411907755</v>
      </c>
      <c r="AD489" s="58" t="n">
        <f aca="false">IF(AND(ISNUMBER(Z489),ISNUMBER(AC489)),IF(AC489&gt;=Z489,(AC489-Z489)*1440,""),"")</f>
        <v>2.9705666739</v>
      </c>
      <c r="AE489" s="54" t="s">
        <v>277</v>
      </c>
      <c r="AF489" s="54" t="s">
        <v>212</v>
      </c>
      <c r="AG489" s="54" t="s">
        <v>212</v>
      </c>
      <c r="AH489" s="58"/>
      <c r="AI489" s="55" t="n">
        <v>2</v>
      </c>
      <c r="AJ489" s="54" t="s">
        <v>688</v>
      </c>
      <c r="AK489" s="54" t="s">
        <v>212</v>
      </c>
    </row>
    <row r="490" customFormat="false" ht="15" hidden="false" customHeight="false" outlineLevel="0" collapsed="false">
      <c r="A490" s="54" t="s">
        <v>27</v>
      </c>
      <c r="B490" s="55" t="n">
        <v>1993</v>
      </c>
      <c r="C490" s="54" t="s">
        <v>127</v>
      </c>
      <c r="D490" s="54" t="s">
        <v>212</v>
      </c>
      <c r="E490" s="54"/>
      <c r="F490" s="56" t="n">
        <v>46310.5313618982</v>
      </c>
      <c r="G490" s="54" t="s">
        <v>212</v>
      </c>
      <c r="H490" s="54" t="s">
        <v>212</v>
      </c>
      <c r="I490" s="57"/>
      <c r="J490" s="56"/>
      <c r="K490" s="56"/>
      <c r="L490" s="58" t="str">
        <f aca="false">IF(AND(ISNUMBER(J490),ISNUMBER(K490)),IF(K490&gt;=J490,(K490-J490)*1440,""),"")</f>
        <v/>
      </c>
      <c r="M490" s="56"/>
      <c r="N490" s="58" t="str">
        <f aca="false">IF(AND(ISNUMBER(J490),ISNUMBER(M490)),IF(M490&gt;=J490,(M490-J490)*1440,""),"")</f>
        <v/>
      </c>
      <c r="O490" s="54" t="str">
        <f aca="false">IF(N490="","",LOOKUP(N490,Tiempos!$A$6:$A$10,Tiempos!$B$6:$B$10))</f>
        <v/>
      </c>
      <c r="P490" s="54"/>
      <c r="Q490" s="54"/>
      <c r="R490" s="54"/>
      <c r="S490" s="54"/>
      <c r="T490" s="58"/>
      <c r="U490" s="54"/>
      <c r="V490" s="58"/>
      <c r="W490" s="57"/>
      <c r="X490" s="55"/>
      <c r="Y490" s="54"/>
      <c r="Z490" s="56"/>
      <c r="AA490" s="58" t="str">
        <f aca="false">IF(AND(ISNUMBER(M490),ISNUMBER(Z490)),IF(Z490&gt;=M490,(Z490-M490)*1440,""),"")</f>
        <v/>
      </c>
      <c r="AB490" s="57"/>
      <c r="AC490" s="56"/>
      <c r="AD490" s="58" t="str">
        <f aca="false">IF(AND(ISNUMBER(Z490),ISNUMBER(AC490)),IF(AC490&gt;=Z490,(AC490-Z490)*1440,""),"")</f>
        <v/>
      </c>
      <c r="AE490" s="54"/>
      <c r="AF490" s="54"/>
      <c r="AG490" s="54"/>
      <c r="AH490" s="58"/>
      <c r="AI490" s="55" t="n">
        <v>1</v>
      </c>
      <c r="AJ490" s="54" t="s">
        <v>347</v>
      </c>
      <c r="AK490" s="54" t="s">
        <v>212</v>
      </c>
    </row>
    <row r="491" customFormat="false" ht="15" hidden="false" customHeight="false" outlineLevel="0" collapsed="false">
      <c r="A491" s="54" t="s">
        <v>27</v>
      </c>
      <c r="B491" s="55" t="n">
        <v>1998</v>
      </c>
      <c r="C491" s="54" t="s">
        <v>127</v>
      </c>
      <c r="D491" s="54" t="s">
        <v>212</v>
      </c>
      <c r="E491" s="54"/>
      <c r="F491" s="56" t="n">
        <v>46310.5567521296</v>
      </c>
      <c r="G491" s="54" t="s">
        <v>212</v>
      </c>
      <c r="H491" s="54" t="s">
        <v>212</v>
      </c>
      <c r="I491" s="57"/>
      <c r="J491" s="56"/>
      <c r="K491" s="56"/>
      <c r="L491" s="58" t="str">
        <f aca="false">IF(AND(ISNUMBER(J491),ISNUMBER(K491)),IF(K491&gt;=J491,(K491-J491)*1440,""),"")</f>
        <v/>
      </c>
      <c r="M491" s="56"/>
      <c r="N491" s="58" t="str">
        <f aca="false">IF(AND(ISNUMBER(J491),ISNUMBER(M491)),IF(M491&gt;=J491,(M491-J491)*1440,""),"")</f>
        <v/>
      </c>
      <c r="O491" s="54" t="str">
        <f aca="false">IF(N491="","",LOOKUP(N491,Tiempos!$A$6:$A$10,Tiempos!$B$6:$B$10))</f>
        <v/>
      </c>
      <c r="P491" s="54"/>
      <c r="Q491" s="54"/>
      <c r="R491" s="54"/>
      <c r="S491" s="54"/>
      <c r="T491" s="58"/>
      <c r="U491" s="54"/>
      <c r="V491" s="58"/>
      <c r="W491" s="57"/>
      <c r="X491" s="55"/>
      <c r="Y491" s="54"/>
      <c r="Z491" s="56"/>
      <c r="AA491" s="58" t="str">
        <f aca="false">IF(AND(ISNUMBER(M491),ISNUMBER(Z491)),IF(Z491&gt;=M491,(Z491-M491)*1440,""),"")</f>
        <v/>
      </c>
      <c r="AB491" s="57"/>
      <c r="AC491" s="56"/>
      <c r="AD491" s="58" t="str">
        <f aca="false">IF(AND(ISNUMBER(Z491),ISNUMBER(AC491)),IF(AC491&gt;=Z491,(AC491-Z491)*1440,""),"")</f>
        <v/>
      </c>
      <c r="AE491" s="54"/>
      <c r="AF491" s="54"/>
      <c r="AG491" s="54"/>
      <c r="AH491" s="58"/>
      <c r="AI491" s="55" t="n">
        <v>1</v>
      </c>
      <c r="AJ491" s="54" t="s">
        <v>347</v>
      </c>
      <c r="AK491" s="54" t="s">
        <v>212</v>
      </c>
    </row>
    <row r="492" customFormat="false" ht="15" hidden="false" customHeight="false" outlineLevel="0" collapsed="false">
      <c r="A492" s="54" t="s">
        <v>27</v>
      </c>
      <c r="B492" s="55" t="n">
        <v>2021</v>
      </c>
      <c r="C492" s="54" t="s">
        <v>127</v>
      </c>
      <c r="D492" s="54" t="s">
        <v>214</v>
      </c>
      <c r="E492" s="54" t="s">
        <v>278</v>
      </c>
      <c r="F492" s="56" t="n">
        <v>46310.6499800347</v>
      </c>
      <c r="G492" s="54" t="s">
        <v>212</v>
      </c>
      <c r="H492" s="54" t="s">
        <v>214</v>
      </c>
      <c r="I492" s="57" t="s">
        <v>726</v>
      </c>
      <c r="J492" s="56" t="n">
        <v>46310.6511417477</v>
      </c>
      <c r="K492" s="56" t="n">
        <v>46310.6519415278</v>
      </c>
      <c r="L492" s="58" t="n">
        <f aca="false">IF(AND(ISNUMBER(J492),ISNUMBER(K492)),IF(K492&gt;=J492,(K492-J492)*1440,""),"")</f>
        <v>1.15168333401667</v>
      </c>
      <c r="M492" s="56" t="n">
        <v>46310.6541081945</v>
      </c>
      <c r="N492" s="58" t="n">
        <f aca="false">IF(AND(ISNUMBER(J492),ISNUMBER(M492)),IF(M492&gt;=J492,(M492-J492)*1440,""),"")</f>
        <v>4.27168334251667</v>
      </c>
      <c r="O492" s="54" t="str">
        <f aca="false">IF(N492="","",LOOKUP(N492,Tiempos!$A$6:$A$10,Tiempos!$B$6:$B$10))</f>
        <v>4 a 6 min</v>
      </c>
      <c r="P492" s="54" t="s">
        <v>229</v>
      </c>
      <c r="Q492" s="54" t="s">
        <v>214</v>
      </c>
      <c r="R492" s="54" t="s">
        <v>127</v>
      </c>
      <c r="S492" s="54" t="s">
        <v>220</v>
      </c>
      <c r="T492" s="58" t="n">
        <v>129.1</v>
      </c>
      <c r="U492" s="54" t="s">
        <v>214</v>
      </c>
      <c r="V492" s="58" t="n">
        <v>3.12</v>
      </c>
      <c r="W492" s="57" t="s">
        <v>727</v>
      </c>
      <c r="X492" s="55" t="n">
        <v>2</v>
      </c>
      <c r="Y492" s="54" t="s">
        <v>214</v>
      </c>
      <c r="Z492" s="56" t="n">
        <v>46310.6546209259</v>
      </c>
      <c r="AA492" s="58" t="n">
        <f aca="false">IF(AND(ISNUMBER(M492),ISNUMBER(Z492)),IF(Z492&gt;=M492,(Z492-M492)*1440,""),"")</f>
        <v>0.73833331</v>
      </c>
      <c r="AB492" s="57" t="s">
        <v>438</v>
      </c>
      <c r="AC492" s="56" t="n">
        <v>46310.6552960301</v>
      </c>
      <c r="AD492" s="58" t="n">
        <f aca="false">IF(AND(ISNUMBER(Z492),ISNUMBER(AC492)),IF(AC492&gt;=Z492,(AC492-Z492)*1440,""),"")</f>
        <v>0.972150008883333</v>
      </c>
      <c r="AE492" s="54" t="s">
        <v>346</v>
      </c>
      <c r="AF492" s="54" t="s">
        <v>214</v>
      </c>
      <c r="AG492" s="54" t="s">
        <v>214</v>
      </c>
      <c r="AH492" s="58" t="n">
        <v>3.9</v>
      </c>
      <c r="AI492" s="55" t="n">
        <v>2</v>
      </c>
      <c r="AJ492" s="54" t="s">
        <v>347</v>
      </c>
      <c r="AK492" s="54" t="s">
        <v>212</v>
      </c>
    </row>
    <row r="493" customFormat="false" ht="15" hidden="false" customHeight="false" outlineLevel="0" collapsed="false">
      <c r="A493" s="54" t="s">
        <v>27</v>
      </c>
      <c r="B493" s="55" t="n">
        <v>2020</v>
      </c>
      <c r="C493" s="54" t="s">
        <v>127</v>
      </c>
      <c r="D493" s="54" t="s">
        <v>212</v>
      </c>
      <c r="E493" s="54"/>
      <c r="F493" s="56" t="n">
        <v>46310.6620708333</v>
      </c>
      <c r="G493" s="54" t="s">
        <v>212</v>
      </c>
      <c r="H493" s="54" t="s">
        <v>212</v>
      </c>
      <c r="I493" s="57"/>
      <c r="J493" s="56"/>
      <c r="K493" s="56"/>
      <c r="L493" s="58" t="str">
        <f aca="false">IF(AND(ISNUMBER(J493),ISNUMBER(K493)),IF(K493&gt;=J493,(K493-J493)*1440,""),"")</f>
        <v/>
      </c>
      <c r="M493" s="56"/>
      <c r="N493" s="58" t="str">
        <f aca="false">IF(AND(ISNUMBER(J493),ISNUMBER(M493)),IF(M493&gt;=J493,(M493-J493)*1440,""),"")</f>
        <v/>
      </c>
      <c r="O493" s="54" t="str">
        <f aca="false">IF(N493="","",LOOKUP(N493,Tiempos!$A$6:$A$10,Tiempos!$B$6:$B$10))</f>
        <v/>
      </c>
      <c r="P493" s="54"/>
      <c r="Q493" s="54"/>
      <c r="R493" s="54"/>
      <c r="S493" s="54"/>
      <c r="T493" s="58"/>
      <c r="U493" s="54"/>
      <c r="V493" s="58"/>
      <c r="W493" s="57"/>
      <c r="X493" s="55"/>
      <c r="Y493" s="54"/>
      <c r="Z493" s="56"/>
      <c r="AA493" s="58" t="str">
        <f aca="false">IF(AND(ISNUMBER(M493),ISNUMBER(Z493)),IF(Z493&gt;=M493,(Z493-M493)*1440,""),"")</f>
        <v/>
      </c>
      <c r="AB493" s="57"/>
      <c r="AC493" s="56"/>
      <c r="AD493" s="58" t="str">
        <f aca="false">IF(AND(ISNUMBER(Z493),ISNUMBER(AC493)),IF(AC493&gt;=Z493,(AC493-Z493)*1440,""),"")</f>
        <v/>
      </c>
      <c r="AE493" s="54"/>
      <c r="AF493" s="54"/>
      <c r="AG493" s="54"/>
      <c r="AH493" s="58"/>
      <c r="AI493" s="55" t="n">
        <v>1</v>
      </c>
      <c r="AJ493" s="54" t="s">
        <v>347</v>
      </c>
      <c r="AK493" s="54" t="s">
        <v>212</v>
      </c>
    </row>
    <row r="494" customFormat="false" ht="15" hidden="false" customHeight="false" outlineLevel="0" collapsed="false">
      <c r="A494" s="54" t="s">
        <v>27</v>
      </c>
      <c r="B494" s="55" t="n">
        <v>2026</v>
      </c>
      <c r="C494" s="54" t="s">
        <v>127</v>
      </c>
      <c r="D494" s="54" t="s">
        <v>212</v>
      </c>
      <c r="E494" s="54"/>
      <c r="F494" s="56" t="n">
        <v>46310.6921802662</v>
      </c>
      <c r="G494" s="54" t="s">
        <v>212</v>
      </c>
      <c r="H494" s="54" t="s">
        <v>212</v>
      </c>
      <c r="I494" s="57"/>
      <c r="J494" s="56"/>
      <c r="K494" s="56"/>
      <c r="L494" s="58" t="str">
        <f aca="false">IF(AND(ISNUMBER(J494),ISNUMBER(K494)),IF(K494&gt;=J494,(K494-J494)*1440,""),"")</f>
        <v/>
      </c>
      <c r="M494" s="56"/>
      <c r="N494" s="58" t="str">
        <f aca="false">IF(AND(ISNUMBER(J494),ISNUMBER(M494)),IF(M494&gt;=J494,(M494-J494)*1440,""),"")</f>
        <v/>
      </c>
      <c r="O494" s="54" t="str">
        <f aca="false">IF(N494="","",LOOKUP(N494,Tiempos!$A$6:$A$10,Tiempos!$B$6:$B$10))</f>
        <v/>
      </c>
      <c r="P494" s="54"/>
      <c r="Q494" s="54"/>
      <c r="R494" s="54"/>
      <c r="S494" s="54"/>
      <c r="T494" s="58"/>
      <c r="U494" s="54"/>
      <c r="V494" s="58"/>
      <c r="W494" s="57"/>
      <c r="X494" s="55"/>
      <c r="Y494" s="54"/>
      <c r="Z494" s="56"/>
      <c r="AA494" s="58" t="str">
        <f aca="false">IF(AND(ISNUMBER(M494),ISNUMBER(Z494)),IF(Z494&gt;=M494,(Z494-M494)*1440,""),"")</f>
        <v/>
      </c>
      <c r="AB494" s="57"/>
      <c r="AC494" s="56"/>
      <c r="AD494" s="58" t="str">
        <f aca="false">IF(AND(ISNUMBER(Z494),ISNUMBER(AC494)),IF(AC494&gt;=Z494,(AC494-Z494)*1440,""),"")</f>
        <v/>
      </c>
      <c r="AE494" s="54"/>
      <c r="AF494" s="54"/>
      <c r="AG494" s="54"/>
      <c r="AH494" s="58"/>
      <c r="AI494" s="55" t="n">
        <v>1</v>
      </c>
      <c r="AJ494" s="54" t="s">
        <v>347</v>
      </c>
      <c r="AK494" s="54" t="s">
        <v>212</v>
      </c>
    </row>
    <row r="495" customFormat="false" ht="15" hidden="false" customHeight="false" outlineLevel="0" collapsed="false">
      <c r="A495" s="54" t="s">
        <v>27</v>
      </c>
      <c r="B495" s="55" t="n">
        <v>2028</v>
      </c>
      <c r="C495" s="54" t="s">
        <v>127</v>
      </c>
      <c r="D495" s="54" t="s">
        <v>212</v>
      </c>
      <c r="E495" s="54"/>
      <c r="F495" s="56" t="n">
        <v>46310.7075133449</v>
      </c>
      <c r="G495" s="54" t="s">
        <v>212</v>
      </c>
      <c r="H495" s="54" t="s">
        <v>214</v>
      </c>
      <c r="I495" s="57"/>
      <c r="J495" s="56"/>
      <c r="K495" s="56"/>
      <c r="L495" s="58" t="str">
        <f aca="false">IF(AND(ISNUMBER(J495),ISNUMBER(K495)),IF(K495&gt;=J495,(K495-J495)*1440,""),"")</f>
        <v/>
      </c>
      <c r="M495" s="56"/>
      <c r="N495" s="58" t="str">
        <f aca="false">IF(AND(ISNUMBER(J495),ISNUMBER(M495)),IF(M495&gt;=J495,(M495-J495)*1440,""),"")</f>
        <v/>
      </c>
      <c r="O495" s="54" t="str">
        <f aca="false">IF(N495="","",LOOKUP(N495,Tiempos!$A$6:$A$10,Tiempos!$B$6:$B$10))</f>
        <v/>
      </c>
      <c r="P495" s="54"/>
      <c r="Q495" s="54"/>
      <c r="R495" s="54"/>
      <c r="S495" s="54"/>
      <c r="T495" s="58"/>
      <c r="U495" s="54"/>
      <c r="V495" s="58"/>
      <c r="W495" s="57"/>
      <c r="X495" s="55"/>
      <c r="Y495" s="54"/>
      <c r="Z495" s="56"/>
      <c r="AA495" s="58" t="str">
        <f aca="false">IF(AND(ISNUMBER(M495),ISNUMBER(Z495)),IF(Z495&gt;=M495,(Z495-M495)*1440,""),"")</f>
        <v/>
      </c>
      <c r="AB495" s="57"/>
      <c r="AC495" s="56"/>
      <c r="AD495" s="58" t="str">
        <f aca="false">IF(AND(ISNUMBER(Z495),ISNUMBER(AC495)),IF(AC495&gt;=Z495,(AC495-Z495)*1440,""),"")</f>
        <v/>
      </c>
      <c r="AE495" s="54"/>
      <c r="AF495" s="54"/>
      <c r="AG495" s="54"/>
      <c r="AH495" s="58"/>
      <c r="AI495" s="55" t="n">
        <v>1</v>
      </c>
      <c r="AJ495" s="54" t="s">
        <v>347</v>
      </c>
      <c r="AK495" s="54" t="s">
        <v>212</v>
      </c>
    </row>
    <row r="496" customFormat="false" ht="15" hidden="false" customHeight="false" outlineLevel="0" collapsed="false">
      <c r="A496" s="54" t="s">
        <v>27</v>
      </c>
      <c r="B496" s="55" t="n">
        <v>2033</v>
      </c>
      <c r="C496" s="54" t="s">
        <v>128</v>
      </c>
      <c r="D496" s="54" t="s">
        <v>212</v>
      </c>
      <c r="E496" s="54"/>
      <c r="F496" s="56" t="n">
        <v>46310.7157947222</v>
      </c>
      <c r="G496" s="54" t="s">
        <v>212</v>
      </c>
      <c r="H496" s="54" t="s">
        <v>212</v>
      </c>
      <c r="I496" s="57"/>
      <c r="J496" s="56"/>
      <c r="K496" s="56"/>
      <c r="L496" s="58" t="str">
        <f aca="false">IF(AND(ISNUMBER(J496),ISNUMBER(K496)),IF(K496&gt;=J496,(K496-J496)*1440,""),"")</f>
        <v/>
      </c>
      <c r="M496" s="56"/>
      <c r="N496" s="58" t="str">
        <f aca="false">IF(AND(ISNUMBER(J496),ISNUMBER(M496)),IF(M496&gt;=J496,(M496-J496)*1440,""),"")</f>
        <v/>
      </c>
      <c r="O496" s="54" t="str">
        <f aca="false">IF(N496="","",LOOKUP(N496,Tiempos!$A$6:$A$10,Tiempos!$B$6:$B$10))</f>
        <v/>
      </c>
      <c r="P496" s="54"/>
      <c r="Q496" s="54"/>
      <c r="R496" s="54"/>
      <c r="S496" s="54"/>
      <c r="T496" s="58"/>
      <c r="U496" s="54"/>
      <c r="V496" s="58"/>
      <c r="W496" s="57"/>
      <c r="X496" s="55"/>
      <c r="Y496" s="54"/>
      <c r="Z496" s="56"/>
      <c r="AA496" s="58" t="str">
        <f aca="false">IF(AND(ISNUMBER(M496),ISNUMBER(Z496)),IF(Z496&gt;=M496,(Z496-M496)*1440,""),"")</f>
        <v/>
      </c>
      <c r="AB496" s="57"/>
      <c r="AC496" s="56"/>
      <c r="AD496" s="58" t="str">
        <f aca="false">IF(AND(ISNUMBER(Z496),ISNUMBER(AC496)),IF(AC496&gt;=Z496,(AC496-Z496)*1440,""),"")</f>
        <v/>
      </c>
      <c r="AE496" s="54"/>
      <c r="AF496" s="54"/>
      <c r="AG496" s="54"/>
      <c r="AH496" s="58"/>
      <c r="AI496" s="55" t="n">
        <v>2</v>
      </c>
      <c r="AJ496" s="54" t="s">
        <v>347</v>
      </c>
      <c r="AK496" s="54" t="s">
        <v>212</v>
      </c>
    </row>
    <row r="497" customFormat="false" ht="15" hidden="false" customHeight="false" outlineLevel="0" collapsed="false">
      <c r="A497" s="54" t="s">
        <v>27</v>
      </c>
      <c r="B497" s="55" t="n">
        <v>2035</v>
      </c>
      <c r="C497" s="54" t="s">
        <v>128</v>
      </c>
      <c r="D497" s="54" t="s">
        <v>214</v>
      </c>
      <c r="E497" s="54" t="s">
        <v>242</v>
      </c>
      <c r="F497" s="56" t="n">
        <v>46310.7250944329</v>
      </c>
      <c r="G497" s="54" t="s">
        <v>212</v>
      </c>
      <c r="H497" s="54" t="s">
        <v>212</v>
      </c>
      <c r="I497" s="57" t="s">
        <v>728</v>
      </c>
      <c r="J497" s="56" t="n">
        <v>46310.7253179745</v>
      </c>
      <c r="K497" s="56" t="n">
        <v>46310.7260768866</v>
      </c>
      <c r="L497" s="58" t="n">
        <f aca="false">IF(AND(ISNUMBER(J497),ISNUMBER(K497)),IF(K497&gt;=J497,(K497-J497)*1440,""),"")</f>
        <v>1.0928333213</v>
      </c>
      <c r="M497" s="56" t="n">
        <v>46310.7313921528</v>
      </c>
      <c r="N497" s="58" t="n">
        <f aca="false">IF(AND(ISNUMBER(J497),ISNUMBER(M497)),IF(M497&gt;=J497,(M497-J497)*1440,""),"")</f>
        <v>8.7468166498</v>
      </c>
      <c r="O497" s="54" t="str">
        <f aca="false">IF(N497="","",LOOKUP(N497,Tiempos!$A$6:$A$10,Tiempos!$B$6:$B$10))</f>
        <v>6 a 10 min</v>
      </c>
      <c r="P497" s="54" t="s">
        <v>244</v>
      </c>
      <c r="Q497" s="54" t="s">
        <v>214</v>
      </c>
      <c r="R497" s="54" t="s">
        <v>128</v>
      </c>
      <c r="S497" s="54" t="s">
        <v>220</v>
      </c>
      <c r="T497" s="58" t="n">
        <v>88.5</v>
      </c>
      <c r="U497" s="54" t="s">
        <v>212</v>
      </c>
      <c r="V497" s="58" t="n">
        <v>7.04</v>
      </c>
      <c r="W497" s="57" t="s">
        <v>729</v>
      </c>
      <c r="X497" s="55" t="n">
        <v>3</v>
      </c>
      <c r="Y497" s="54" t="s">
        <v>214</v>
      </c>
      <c r="Z497" s="56" t="n">
        <v>46310.7536203125</v>
      </c>
      <c r="AA497" s="58" t="n">
        <f aca="false">IF(AND(ISNUMBER(M497),ISNUMBER(Z497)),IF(Z497&gt;=M497,(Z497-M497)*1440,""),"")</f>
        <v>32.00855001225</v>
      </c>
      <c r="AB497" s="57" t="s">
        <v>375</v>
      </c>
      <c r="AC497" s="56" t="n">
        <v>46310.7541464352</v>
      </c>
      <c r="AD497" s="58" t="n">
        <f aca="false">IF(AND(ISNUMBER(Z497),ISNUMBER(AC497)),IF(AC497&gt;=Z497,(AC497-Z497)*1440,""),"")</f>
        <v>0.75761666405</v>
      </c>
      <c r="AE497" s="54" t="s">
        <v>277</v>
      </c>
      <c r="AF497" s="54" t="s">
        <v>212</v>
      </c>
      <c r="AG497" s="54" t="s">
        <v>212</v>
      </c>
      <c r="AH497" s="58"/>
      <c r="AI497" s="55" t="n">
        <v>2</v>
      </c>
      <c r="AJ497" s="54" t="s">
        <v>675</v>
      </c>
      <c r="AK497" s="54" t="s">
        <v>212</v>
      </c>
    </row>
    <row r="498" customFormat="false" ht="15" hidden="false" customHeight="false" outlineLevel="0" collapsed="false">
      <c r="A498" s="54" t="s">
        <v>27</v>
      </c>
      <c r="B498" s="55" t="n">
        <v>2047</v>
      </c>
      <c r="C498" s="54" t="s">
        <v>128</v>
      </c>
      <c r="D498" s="54" t="s">
        <v>214</v>
      </c>
      <c r="E498" s="54" t="s">
        <v>233</v>
      </c>
      <c r="F498" s="56" t="n">
        <v>46310.7533073843</v>
      </c>
      <c r="G498" s="54" t="s">
        <v>212</v>
      </c>
      <c r="H498" s="54" t="s">
        <v>214</v>
      </c>
      <c r="I498" s="57" t="s">
        <v>730</v>
      </c>
      <c r="J498" s="56" t="n">
        <v>46310.7536356829</v>
      </c>
      <c r="K498" s="56" t="n">
        <v>46310.7631726505</v>
      </c>
      <c r="L498" s="58" t="n">
        <f aca="false">IF(AND(ISNUMBER(J498),ISNUMBER(K498)),IF(K498&gt;=J498,(K498-J498)*1440,""),"")</f>
        <v>13.733233331</v>
      </c>
      <c r="M498" s="56" t="n">
        <v>46310.7655409722</v>
      </c>
      <c r="N498" s="58" t="n">
        <f aca="false">IF(AND(ISNUMBER(J498),ISNUMBER(M498)),IF(M498&gt;=J498,(M498-J498)*1440,""),"")</f>
        <v>17.1436166635167</v>
      </c>
      <c r="O498" s="54" t="str">
        <f aca="false">IF(N498="","",LOOKUP(N498,Tiempos!$A$6:$A$10,Tiempos!$B$6:$B$10))</f>
        <v>10 a 30 min</v>
      </c>
      <c r="P498" s="54" t="s">
        <v>244</v>
      </c>
      <c r="Q498" s="54" t="s">
        <v>214</v>
      </c>
      <c r="R498" s="54" t="s">
        <v>128</v>
      </c>
      <c r="S498" s="54" t="s">
        <v>220</v>
      </c>
      <c r="T498" s="58" t="n">
        <v>79.6</v>
      </c>
      <c r="U498" s="54" t="s">
        <v>214</v>
      </c>
      <c r="V498" s="58" t="n">
        <v>3.41</v>
      </c>
      <c r="W498" s="57" t="s">
        <v>645</v>
      </c>
      <c r="X498" s="55" t="n">
        <v>3</v>
      </c>
      <c r="Y498" s="54" t="s">
        <v>212</v>
      </c>
      <c r="Z498" s="56"/>
      <c r="AA498" s="58" t="str">
        <f aca="false">IF(AND(ISNUMBER(M498),ISNUMBER(Z498)),IF(Z498&gt;=M498,(Z498-M498)*1440,""),"")</f>
        <v/>
      </c>
      <c r="AB498" s="57"/>
      <c r="AC498" s="56"/>
      <c r="AD498" s="58" t="str">
        <f aca="false">IF(AND(ISNUMBER(Z498),ISNUMBER(AC498)),IF(AC498&gt;=Z498,(AC498-Z498)*1440,""),"")</f>
        <v/>
      </c>
      <c r="AE498" s="54"/>
      <c r="AF498" s="54" t="s">
        <v>214</v>
      </c>
      <c r="AG498" s="54"/>
      <c r="AH498" s="58"/>
      <c r="AI498" s="55" t="n">
        <v>2</v>
      </c>
      <c r="AJ498" s="54" t="s">
        <v>347</v>
      </c>
      <c r="AK498" s="54" t="s">
        <v>212</v>
      </c>
    </row>
    <row r="499" customFormat="false" ht="15" hidden="false" customHeight="false" outlineLevel="0" collapsed="false">
      <c r="A499" s="54" t="s">
        <v>27</v>
      </c>
      <c r="B499" s="55" t="n">
        <v>2048</v>
      </c>
      <c r="C499" s="54" t="s">
        <v>128</v>
      </c>
      <c r="D499" s="54" t="s">
        <v>214</v>
      </c>
      <c r="E499" s="54" t="s">
        <v>242</v>
      </c>
      <c r="F499" s="56" t="n">
        <v>46310.761754456</v>
      </c>
      <c r="G499" s="54" t="s">
        <v>212</v>
      </c>
      <c r="H499" s="54" t="s">
        <v>214</v>
      </c>
      <c r="I499" s="57" t="s">
        <v>731</v>
      </c>
      <c r="J499" s="56" t="n">
        <v>46310.7708842014</v>
      </c>
      <c r="K499" s="56" t="n">
        <v>46310.7734071644</v>
      </c>
      <c r="L499" s="58" t="n">
        <f aca="false">IF(AND(ISNUMBER(J499),ISNUMBER(K499)),IF(K499&gt;=J499,(K499-J499)*1440,""),"")</f>
        <v>3.63306666375</v>
      </c>
      <c r="M499" s="56" t="n">
        <v>46310.7769358681</v>
      </c>
      <c r="N499" s="58" t="n">
        <f aca="false">IF(AND(ISNUMBER(J499),ISNUMBER(M499)),IF(M499&gt;=J499,(M499-J499)*1440,""),"")</f>
        <v>8.7143999955</v>
      </c>
      <c r="O499" s="54" t="str">
        <f aca="false">IF(N499="","",LOOKUP(N499,Tiempos!$A$6:$A$10,Tiempos!$B$6:$B$10))</f>
        <v>6 a 10 min</v>
      </c>
      <c r="P499" s="54" t="s">
        <v>244</v>
      </c>
      <c r="Q499" s="54" t="s">
        <v>214</v>
      </c>
      <c r="R499" s="54" t="s">
        <v>128</v>
      </c>
      <c r="S499" s="54" t="s">
        <v>220</v>
      </c>
      <c r="T499" s="58" t="n">
        <v>79</v>
      </c>
      <c r="U499" s="54" t="s">
        <v>214</v>
      </c>
      <c r="V499" s="58" t="n">
        <v>4.96</v>
      </c>
      <c r="W499" s="57" t="s">
        <v>729</v>
      </c>
      <c r="X499" s="55" t="n">
        <v>3</v>
      </c>
      <c r="Y499" s="54" t="s">
        <v>214</v>
      </c>
      <c r="Z499" s="56" t="n">
        <v>46310.7843472917</v>
      </c>
      <c r="AA499" s="58" t="n">
        <f aca="false">IF(AND(ISNUMBER(M499),ISNUMBER(Z499)),IF(Z499&gt;=M499,(Z499-M499)*1440,""),"")</f>
        <v>10.6724499911</v>
      </c>
      <c r="AB499" s="57" t="s">
        <v>732</v>
      </c>
      <c r="AC499" s="56" t="n">
        <v>46310.7925171991</v>
      </c>
      <c r="AD499" s="58" t="n">
        <f aca="false">IF(AND(ISNUMBER(Z499),ISNUMBER(AC499)),IF(AC499&gt;=Z499,(AC499-Z499)*1440,""),"")</f>
        <v>11.76466667675</v>
      </c>
      <c r="AE499" s="54" t="s">
        <v>277</v>
      </c>
      <c r="AF499" s="54" t="s">
        <v>212</v>
      </c>
      <c r="AG499" s="54" t="s">
        <v>212</v>
      </c>
      <c r="AH499" s="58"/>
      <c r="AI499" s="55" t="n">
        <v>2</v>
      </c>
      <c r="AJ499" s="54" t="s">
        <v>332</v>
      </c>
      <c r="AK499" s="54" t="s">
        <v>212</v>
      </c>
    </row>
    <row r="500" customFormat="false" ht="15" hidden="false" customHeight="false" outlineLevel="0" collapsed="false">
      <c r="A500" s="54" t="s">
        <v>27</v>
      </c>
      <c r="B500" s="55" t="n">
        <v>2049</v>
      </c>
      <c r="C500" s="54" t="s">
        <v>128</v>
      </c>
      <c r="D500" s="54" t="s">
        <v>214</v>
      </c>
      <c r="E500" s="54" t="s">
        <v>233</v>
      </c>
      <c r="F500" s="56" t="n">
        <v>46310.7683723958</v>
      </c>
      <c r="G500" s="54" t="s">
        <v>212</v>
      </c>
      <c r="H500" s="54" t="s">
        <v>212</v>
      </c>
      <c r="I500" s="57" t="s">
        <v>733</v>
      </c>
      <c r="J500" s="56" t="n">
        <v>46310.7724880208</v>
      </c>
      <c r="K500" s="56" t="n">
        <v>46310.7806063773</v>
      </c>
      <c r="L500" s="58" t="n">
        <f aca="false">IF(AND(ISNUMBER(J500),ISNUMBER(K500)),IF(K500&gt;=J500,(K500-J500)*1440,""),"")</f>
        <v>11.6904333361833</v>
      </c>
      <c r="M500" s="56" t="n">
        <v>46310.7833361458</v>
      </c>
      <c r="N500" s="58" t="n">
        <f aca="false">IF(AND(ISNUMBER(J500),ISNUMBER(M500)),IF(M500&gt;=J500,(M500-J500)*1440,""),"")</f>
        <v>15.6212999986</v>
      </c>
      <c r="O500" s="54" t="str">
        <f aca="false">IF(N500="","",LOOKUP(N500,Tiempos!$A$6:$A$10,Tiempos!$B$6:$B$10))</f>
        <v>10 a 30 min</v>
      </c>
      <c r="P500" s="54" t="s">
        <v>244</v>
      </c>
      <c r="Q500" s="54" t="s">
        <v>214</v>
      </c>
      <c r="R500" s="54" t="s">
        <v>128</v>
      </c>
      <c r="S500" s="54" t="s">
        <v>220</v>
      </c>
      <c r="T500" s="58" t="n">
        <v>76.5</v>
      </c>
      <c r="U500" s="54" t="s">
        <v>212</v>
      </c>
      <c r="V500" s="58" t="n">
        <v>3.93</v>
      </c>
      <c r="W500" s="57" t="s">
        <v>645</v>
      </c>
      <c r="X500" s="55" t="n">
        <v>3</v>
      </c>
      <c r="Y500" s="54" t="s">
        <v>214</v>
      </c>
      <c r="Z500" s="56" t="n">
        <v>46310.7941303588</v>
      </c>
      <c r="AA500" s="58" t="n">
        <f aca="false">IF(AND(ISNUMBER(M500),ISNUMBER(Z500)),IF(Z500&gt;=M500,(Z500-M500)*1440,""),"")</f>
        <v>15.54366665425</v>
      </c>
      <c r="AB500" s="57" t="s">
        <v>375</v>
      </c>
      <c r="AC500" s="56" t="n">
        <v>46310.8646206019</v>
      </c>
      <c r="AD500" s="58" t="n">
        <f aca="false">IF(AND(ISNUMBER(Z500),ISNUMBER(AC500)),IF(AC500&gt;=Z500,(AC500-Z500)*1440,""),"")</f>
        <v>101.505950015267</v>
      </c>
      <c r="AE500" s="54" t="s">
        <v>277</v>
      </c>
      <c r="AF500" s="54" t="s">
        <v>212</v>
      </c>
      <c r="AG500" s="54" t="s">
        <v>212</v>
      </c>
      <c r="AH500" s="58"/>
      <c r="AI500" s="55" t="n">
        <v>2</v>
      </c>
      <c r="AJ500" s="54" t="s">
        <v>688</v>
      </c>
      <c r="AK500" s="54" t="s">
        <v>212</v>
      </c>
    </row>
    <row r="501" customFormat="false" ht="15" hidden="false" customHeight="false" outlineLevel="0" collapsed="false">
      <c r="A501" s="54" t="s">
        <v>27</v>
      </c>
      <c r="B501" s="55" t="n">
        <v>2052</v>
      </c>
      <c r="C501" s="54" t="s">
        <v>127</v>
      </c>
      <c r="D501" s="54" t="s">
        <v>214</v>
      </c>
      <c r="E501" s="54" t="s">
        <v>233</v>
      </c>
      <c r="F501" s="56" t="n">
        <v>46310.7885479167</v>
      </c>
      <c r="G501" s="54" t="s">
        <v>212</v>
      </c>
      <c r="H501" s="54" t="s">
        <v>214</v>
      </c>
      <c r="I501" s="57" t="s">
        <v>734</v>
      </c>
      <c r="J501" s="56" t="n">
        <v>46310.7925616204</v>
      </c>
      <c r="K501" s="56" t="n">
        <v>46310.8052243866</v>
      </c>
      <c r="L501" s="58" t="n">
        <f aca="false">IF(AND(ISNUMBER(J501),ISNUMBER(K501)),IF(K501&gt;=J501,(K501-J501)*1440,""),"")</f>
        <v>18.2343833218167</v>
      </c>
      <c r="M501" s="56" t="n">
        <v>46310.8068608565</v>
      </c>
      <c r="N501" s="58" t="n">
        <f aca="false">IF(AND(ISNUMBER(J501),ISNUMBER(M501)),IF(M501&gt;=J501,(M501-J501)*1440,""),"")</f>
        <v>20.5908999941167</v>
      </c>
      <c r="O501" s="54" t="str">
        <f aca="false">IF(N501="","",LOOKUP(N501,Tiempos!$A$6:$A$10,Tiempos!$B$6:$B$10))</f>
        <v>10 a 30 min</v>
      </c>
      <c r="P501" s="54" t="s">
        <v>229</v>
      </c>
      <c r="Q501" s="54" t="s">
        <v>214</v>
      </c>
      <c r="R501" s="54" t="s">
        <v>127</v>
      </c>
      <c r="S501" s="54" t="s">
        <v>220</v>
      </c>
      <c r="T501" s="58" t="n">
        <v>105.2</v>
      </c>
      <c r="U501" s="54" t="s">
        <v>214</v>
      </c>
      <c r="V501" s="58" t="n">
        <v>2.36</v>
      </c>
      <c r="W501" s="57" t="s">
        <v>286</v>
      </c>
      <c r="X501" s="55" t="n">
        <v>2</v>
      </c>
      <c r="Y501" s="54" t="s">
        <v>212</v>
      </c>
      <c r="Z501" s="56"/>
      <c r="AA501" s="58" t="str">
        <f aca="false">IF(AND(ISNUMBER(M501),ISNUMBER(Z501)),IF(Z501&gt;=M501,(Z501-M501)*1440,""),"")</f>
        <v/>
      </c>
      <c r="AB501" s="57"/>
      <c r="AC501" s="56"/>
      <c r="AD501" s="58" t="str">
        <f aca="false">IF(AND(ISNUMBER(Z501),ISNUMBER(AC501)),IF(AC501&gt;=Z501,(AC501-Z501)*1440,""),"")</f>
        <v/>
      </c>
      <c r="AE501" s="54"/>
      <c r="AF501" s="54" t="s">
        <v>214</v>
      </c>
      <c r="AG501" s="54"/>
      <c r="AH501" s="58"/>
      <c r="AI501" s="55" t="n">
        <v>2</v>
      </c>
      <c r="AJ501" s="54" t="s">
        <v>347</v>
      </c>
      <c r="AK501" s="54" t="s">
        <v>212</v>
      </c>
    </row>
    <row r="502" customFormat="false" ht="15" hidden="false" customHeight="false" outlineLevel="0" collapsed="false">
      <c r="A502" s="54" t="s">
        <v>27</v>
      </c>
      <c r="B502" s="55" t="n">
        <v>2056</v>
      </c>
      <c r="C502" s="54" t="s">
        <v>127</v>
      </c>
      <c r="D502" s="54" t="s">
        <v>212</v>
      </c>
      <c r="E502" s="54"/>
      <c r="F502" s="56" t="n">
        <v>46310.8179184144</v>
      </c>
      <c r="G502" s="54" t="s">
        <v>212</v>
      </c>
      <c r="H502" s="54" t="s">
        <v>212</v>
      </c>
      <c r="I502" s="57"/>
      <c r="J502" s="56"/>
      <c r="K502" s="56"/>
      <c r="L502" s="58" t="str">
        <f aca="false">IF(AND(ISNUMBER(J502),ISNUMBER(K502)),IF(K502&gt;=J502,(K502-J502)*1440,""),"")</f>
        <v/>
      </c>
      <c r="M502" s="56"/>
      <c r="N502" s="58" t="str">
        <f aca="false">IF(AND(ISNUMBER(J502),ISNUMBER(M502)),IF(M502&gt;=J502,(M502-J502)*1440,""),"")</f>
        <v/>
      </c>
      <c r="O502" s="54" t="str">
        <f aca="false">IF(N502="","",LOOKUP(N502,Tiempos!$A$6:$A$10,Tiempos!$B$6:$B$10))</f>
        <v/>
      </c>
      <c r="P502" s="54"/>
      <c r="Q502" s="54"/>
      <c r="R502" s="54"/>
      <c r="S502" s="54"/>
      <c r="T502" s="58"/>
      <c r="U502" s="54"/>
      <c r="V502" s="58"/>
      <c r="W502" s="57"/>
      <c r="X502" s="55"/>
      <c r="Y502" s="54"/>
      <c r="Z502" s="56"/>
      <c r="AA502" s="58" t="str">
        <f aca="false">IF(AND(ISNUMBER(M502),ISNUMBER(Z502)),IF(Z502&gt;=M502,(Z502-M502)*1440,""),"")</f>
        <v/>
      </c>
      <c r="AB502" s="57"/>
      <c r="AC502" s="56"/>
      <c r="AD502" s="58" t="str">
        <f aca="false">IF(AND(ISNUMBER(Z502),ISNUMBER(AC502)),IF(AC502&gt;=Z502,(AC502-Z502)*1440,""),"")</f>
        <v/>
      </c>
      <c r="AE502" s="54"/>
      <c r="AF502" s="54"/>
      <c r="AG502" s="54"/>
      <c r="AH502" s="58"/>
      <c r="AI502" s="55" t="n">
        <v>1</v>
      </c>
      <c r="AJ502" s="54" t="s">
        <v>347</v>
      </c>
      <c r="AK502" s="54" t="s">
        <v>212</v>
      </c>
    </row>
    <row r="503" customFormat="false" ht="15" hidden="false" customHeight="false" outlineLevel="0" collapsed="false">
      <c r="A503" s="54" t="s">
        <v>27</v>
      </c>
      <c r="B503" s="55" t="n">
        <v>2070</v>
      </c>
      <c r="C503" s="54" t="s">
        <v>127</v>
      </c>
      <c r="D503" s="54" t="s">
        <v>212</v>
      </c>
      <c r="E503" s="54"/>
      <c r="F503" s="56" t="n">
        <v>46310.8301233333</v>
      </c>
      <c r="G503" s="54" t="s">
        <v>212</v>
      </c>
      <c r="H503" s="54" t="s">
        <v>212</v>
      </c>
      <c r="I503" s="57"/>
      <c r="J503" s="56"/>
      <c r="K503" s="56"/>
      <c r="L503" s="58" t="str">
        <f aca="false">IF(AND(ISNUMBER(J503),ISNUMBER(K503)),IF(K503&gt;=J503,(K503-J503)*1440,""),"")</f>
        <v/>
      </c>
      <c r="M503" s="56"/>
      <c r="N503" s="58" t="str">
        <f aca="false">IF(AND(ISNUMBER(J503),ISNUMBER(M503)),IF(M503&gt;=J503,(M503-J503)*1440,""),"")</f>
        <v/>
      </c>
      <c r="O503" s="54" t="str">
        <f aca="false">IF(N503="","",LOOKUP(N503,Tiempos!$A$6:$A$10,Tiempos!$B$6:$B$10))</f>
        <v/>
      </c>
      <c r="P503" s="54"/>
      <c r="Q503" s="54"/>
      <c r="R503" s="54"/>
      <c r="S503" s="54"/>
      <c r="T503" s="58"/>
      <c r="U503" s="54"/>
      <c r="V503" s="58"/>
      <c r="W503" s="57"/>
      <c r="X503" s="55"/>
      <c r="Y503" s="54"/>
      <c r="Z503" s="56"/>
      <c r="AA503" s="58" t="str">
        <f aca="false">IF(AND(ISNUMBER(M503),ISNUMBER(Z503)),IF(Z503&gt;=M503,(Z503-M503)*1440,""),"")</f>
        <v/>
      </c>
      <c r="AB503" s="57"/>
      <c r="AC503" s="56"/>
      <c r="AD503" s="58" t="str">
        <f aca="false">IF(AND(ISNUMBER(Z503),ISNUMBER(AC503)),IF(AC503&gt;=Z503,(AC503-Z503)*1440,""),"")</f>
        <v/>
      </c>
      <c r="AE503" s="54"/>
      <c r="AF503" s="54"/>
      <c r="AG503" s="54"/>
      <c r="AH503" s="58"/>
      <c r="AI503" s="55" t="n">
        <v>2</v>
      </c>
      <c r="AJ503" s="54" t="s">
        <v>347</v>
      </c>
      <c r="AK503" s="54" t="s">
        <v>212</v>
      </c>
    </row>
    <row r="504" customFormat="false" ht="15" hidden="false" customHeight="false" outlineLevel="0" collapsed="false">
      <c r="A504" s="54" t="s">
        <v>27</v>
      </c>
      <c r="B504" s="55" t="n">
        <v>2077</v>
      </c>
      <c r="C504" s="54" t="s">
        <v>127</v>
      </c>
      <c r="D504" s="54" t="s">
        <v>212</v>
      </c>
      <c r="E504" s="54"/>
      <c r="F504" s="56" t="n">
        <v>46310.8688926157</v>
      </c>
      <c r="G504" s="54" t="s">
        <v>212</v>
      </c>
      <c r="H504" s="54" t="s">
        <v>212</v>
      </c>
      <c r="I504" s="57"/>
      <c r="J504" s="56"/>
      <c r="K504" s="56"/>
      <c r="L504" s="58" t="str">
        <f aca="false">IF(AND(ISNUMBER(J504),ISNUMBER(K504)),IF(K504&gt;=J504,(K504-J504)*1440,""),"")</f>
        <v/>
      </c>
      <c r="M504" s="56"/>
      <c r="N504" s="58" t="str">
        <f aca="false">IF(AND(ISNUMBER(J504),ISNUMBER(M504)),IF(M504&gt;=J504,(M504-J504)*1440,""),"")</f>
        <v/>
      </c>
      <c r="O504" s="54" t="str">
        <f aca="false">IF(N504="","",LOOKUP(N504,Tiempos!$A$6:$A$10,Tiempos!$B$6:$B$10))</f>
        <v/>
      </c>
      <c r="P504" s="54"/>
      <c r="Q504" s="54"/>
      <c r="R504" s="54"/>
      <c r="S504" s="54"/>
      <c r="T504" s="58"/>
      <c r="U504" s="54"/>
      <c r="V504" s="58"/>
      <c r="W504" s="57"/>
      <c r="X504" s="55"/>
      <c r="Y504" s="54"/>
      <c r="Z504" s="56"/>
      <c r="AA504" s="58" t="str">
        <f aca="false">IF(AND(ISNUMBER(M504),ISNUMBER(Z504)),IF(Z504&gt;=M504,(Z504-M504)*1440,""),"")</f>
        <v/>
      </c>
      <c r="AB504" s="57"/>
      <c r="AC504" s="56"/>
      <c r="AD504" s="58" t="str">
        <f aca="false">IF(AND(ISNUMBER(Z504),ISNUMBER(AC504)),IF(AC504&gt;=Z504,(AC504-Z504)*1440,""),"")</f>
        <v/>
      </c>
      <c r="AE504" s="54"/>
      <c r="AF504" s="54"/>
      <c r="AG504" s="54"/>
      <c r="AH504" s="58"/>
      <c r="AI504" s="55" t="n">
        <v>1</v>
      </c>
      <c r="AJ504" s="54" t="s">
        <v>347</v>
      </c>
      <c r="AK504" s="54" t="s">
        <v>212</v>
      </c>
    </row>
    <row r="505" customFormat="false" ht="15" hidden="false" customHeight="false" outlineLevel="0" collapsed="false">
      <c r="A505" s="54" t="s">
        <v>27</v>
      </c>
      <c r="B505" s="55" t="n">
        <v>2086</v>
      </c>
      <c r="C505" s="54" t="s">
        <v>127</v>
      </c>
      <c r="D505" s="54" t="s">
        <v>212</v>
      </c>
      <c r="E505" s="54"/>
      <c r="F505" s="56" t="n">
        <v>46310.917730081</v>
      </c>
      <c r="G505" s="54" t="s">
        <v>214</v>
      </c>
      <c r="H505" s="54" t="s">
        <v>212</v>
      </c>
      <c r="I505" s="57"/>
      <c r="J505" s="56"/>
      <c r="K505" s="56"/>
      <c r="L505" s="58" t="str">
        <f aca="false">IF(AND(ISNUMBER(J505),ISNUMBER(K505)),IF(K505&gt;=J505,(K505-J505)*1440,""),"")</f>
        <v/>
      </c>
      <c r="M505" s="56"/>
      <c r="N505" s="58" t="str">
        <f aca="false">IF(AND(ISNUMBER(J505),ISNUMBER(M505)),IF(M505&gt;=J505,(M505-J505)*1440,""),"")</f>
        <v/>
      </c>
      <c r="O505" s="54" t="str">
        <f aca="false">IF(N505="","",LOOKUP(N505,Tiempos!$A$6:$A$10,Tiempos!$B$6:$B$10))</f>
        <v/>
      </c>
      <c r="P505" s="54"/>
      <c r="Q505" s="54"/>
      <c r="R505" s="54"/>
      <c r="S505" s="54"/>
      <c r="T505" s="58"/>
      <c r="U505" s="54"/>
      <c r="V505" s="58"/>
      <c r="W505" s="57"/>
      <c r="X505" s="55"/>
      <c r="Y505" s="54"/>
      <c r="Z505" s="56"/>
      <c r="AA505" s="58" t="str">
        <f aca="false">IF(AND(ISNUMBER(M505),ISNUMBER(Z505)),IF(Z505&gt;=M505,(Z505-M505)*1440,""),"")</f>
        <v/>
      </c>
      <c r="AB505" s="57"/>
      <c r="AC505" s="56"/>
      <c r="AD505" s="58" t="str">
        <f aca="false">IF(AND(ISNUMBER(Z505),ISNUMBER(AC505)),IF(AC505&gt;=Z505,(AC505-Z505)*1440,""),"")</f>
        <v/>
      </c>
      <c r="AE505" s="54"/>
      <c r="AF505" s="54"/>
      <c r="AG505" s="54"/>
      <c r="AH505" s="58"/>
      <c r="AI505" s="55" t="n">
        <v>2</v>
      </c>
      <c r="AJ505" s="54" t="s">
        <v>477</v>
      </c>
      <c r="AK505" s="54" t="s">
        <v>212</v>
      </c>
    </row>
    <row r="506" customFormat="false" ht="15" hidden="false" customHeight="false" outlineLevel="0" collapsed="false">
      <c r="A506" s="54" t="s">
        <v>27</v>
      </c>
      <c r="B506" s="55" t="n">
        <v>2085</v>
      </c>
      <c r="C506" s="54" t="s">
        <v>127</v>
      </c>
      <c r="D506" s="54" t="s">
        <v>212</v>
      </c>
      <c r="E506" s="54"/>
      <c r="F506" s="56" t="n">
        <v>46310.9245207523</v>
      </c>
      <c r="G506" s="54" t="s">
        <v>214</v>
      </c>
      <c r="H506" s="54" t="s">
        <v>214</v>
      </c>
      <c r="I506" s="57"/>
      <c r="J506" s="56"/>
      <c r="K506" s="56"/>
      <c r="L506" s="58" t="str">
        <f aca="false">IF(AND(ISNUMBER(J506),ISNUMBER(K506)),IF(K506&gt;=J506,(K506-J506)*1440,""),"")</f>
        <v/>
      </c>
      <c r="M506" s="56"/>
      <c r="N506" s="58" t="str">
        <f aca="false">IF(AND(ISNUMBER(J506),ISNUMBER(M506)),IF(M506&gt;=J506,(M506-J506)*1440,""),"")</f>
        <v/>
      </c>
      <c r="O506" s="54" t="str">
        <f aca="false">IF(N506="","",LOOKUP(N506,Tiempos!$A$6:$A$10,Tiempos!$B$6:$B$10))</f>
        <v/>
      </c>
      <c r="P506" s="54"/>
      <c r="Q506" s="54"/>
      <c r="R506" s="54"/>
      <c r="S506" s="54"/>
      <c r="T506" s="58"/>
      <c r="U506" s="54"/>
      <c r="V506" s="58"/>
      <c r="W506" s="57"/>
      <c r="X506" s="55"/>
      <c r="Y506" s="54"/>
      <c r="Z506" s="56"/>
      <c r="AA506" s="58" t="str">
        <f aca="false">IF(AND(ISNUMBER(M506),ISNUMBER(Z506)),IF(Z506&gt;=M506,(Z506-M506)*1440,""),"")</f>
        <v/>
      </c>
      <c r="AB506" s="57"/>
      <c r="AC506" s="56"/>
      <c r="AD506" s="58" t="str">
        <f aca="false">IF(AND(ISNUMBER(Z506),ISNUMBER(AC506)),IF(AC506&gt;=Z506,(AC506-Z506)*1440,""),"")</f>
        <v/>
      </c>
      <c r="AE506" s="54"/>
      <c r="AF506" s="54"/>
      <c r="AG506" s="54"/>
      <c r="AH506" s="58"/>
      <c r="AI506" s="55" t="n">
        <v>1</v>
      </c>
      <c r="AJ506" s="54" t="s">
        <v>477</v>
      </c>
      <c r="AK506" s="54" t="s">
        <v>212</v>
      </c>
    </row>
    <row r="507" customFormat="false" ht="15" hidden="false" customHeight="false" outlineLevel="0" collapsed="false">
      <c r="A507" s="54" t="s">
        <v>28</v>
      </c>
      <c r="B507" s="55" t="n">
        <v>267</v>
      </c>
      <c r="C507" s="54" t="s">
        <v>127</v>
      </c>
      <c r="D507" s="54" t="s">
        <v>214</v>
      </c>
      <c r="E507" s="54" t="s">
        <v>217</v>
      </c>
      <c r="F507" s="56" t="n">
        <v>46300.4763323611</v>
      </c>
      <c r="G507" s="54" t="s">
        <v>212</v>
      </c>
      <c r="H507" s="54" t="s">
        <v>214</v>
      </c>
      <c r="I507" s="57" t="s">
        <v>735</v>
      </c>
      <c r="J507" s="56" t="n">
        <v>46300.4782945023</v>
      </c>
      <c r="K507" s="56" t="n">
        <v>46300.4786454282</v>
      </c>
      <c r="L507" s="58" t="n">
        <f aca="false">IF(AND(ISNUMBER(J507),ISNUMBER(K507)),IF(K507&gt;=J507,(K507-J507)*1440,""),"")</f>
        <v>0.505333322783333</v>
      </c>
      <c r="M507" s="56" t="n">
        <v>46300.4810358681</v>
      </c>
      <c r="N507" s="58" t="n">
        <f aca="false">IF(AND(ISNUMBER(J507),ISNUMBER(M507)),IF(M507&gt;=J507,(M507-J507)*1440,""),"")</f>
        <v>3.94756667198333</v>
      </c>
      <c r="O507" s="54" t="str">
        <f aca="false">IF(N507="","",LOOKUP(N507,Tiempos!$A$6:$A$10,Tiempos!$B$6:$B$10))</f>
        <v>Menos de 4 min</v>
      </c>
      <c r="P507" s="54" t="s">
        <v>229</v>
      </c>
      <c r="Q507" s="54" t="s">
        <v>214</v>
      </c>
      <c r="R507" s="54" t="s">
        <v>127</v>
      </c>
      <c r="S507" s="54" t="s">
        <v>220</v>
      </c>
      <c r="T507" s="58" t="n">
        <v>113.7</v>
      </c>
      <c r="U507" s="54" t="s">
        <v>214</v>
      </c>
      <c r="V507" s="58" t="n">
        <v>3.44</v>
      </c>
      <c r="W507" s="57" t="s">
        <v>607</v>
      </c>
      <c r="X507" s="55" t="n">
        <v>2</v>
      </c>
      <c r="Y507" s="54" t="s">
        <v>214</v>
      </c>
      <c r="Z507" s="56" t="n">
        <v>46300.4918837847</v>
      </c>
      <c r="AA507" s="58" t="n">
        <f aca="false">IF(AND(ISNUMBER(M507),ISNUMBER(Z507)),IF(Z507&gt;=M507,(Z507-M507)*1440,""),"")</f>
        <v>15.6209999893167</v>
      </c>
      <c r="AB507" s="57" t="s">
        <v>339</v>
      </c>
      <c r="AC507" s="56" t="n">
        <v>46300.4926159722</v>
      </c>
      <c r="AD507" s="58" t="n">
        <f aca="false">IF(AND(ISNUMBER(Z507),ISNUMBER(AC507)),IF(AC507&gt;=Z507,(AC507-Z507)*1440,""),"")</f>
        <v>1.05435000266667</v>
      </c>
      <c r="AE507" s="54" t="s">
        <v>736</v>
      </c>
      <c r="AF507" s="54" t="s">
        <v>214</v>
      </c>
      <c r="AG507" s="54" t="s">
        <v>214</v>
      </c>
      <c r="AH507" s="58" t="n">
        <v>3.9</v>
      </c>
      <c r="AI507" s="55" t="n">
        <v>4</v>
      </c>
      <c r="AJ507" s="54" t="s">
        <v>216</v>
      </c>
      <c r="AK507" s="54" t="s">
        <v>212</v>
      </c>
    </row>
    <row r="508" customFormat="false" ht="15" hidden="false" customHeight="false" outlineLevel="0" collapsed="false">
      <c r="A508" s="54" t="s">
        <v>28</v>
      </c>
      <c r="B508" s="55" t="n">
        <v>289</v>
      </c>
      <c r="C508" s="54" t="s">
        <v>128</v>
      </c>
      <c r="D508" s="54" t="s">
        <v>211</v>
      </c>
      <c r="E508" s="54"/>
      <c r="F508" s="56" t="n">
        <v>46300.5868381713</v>
      </c>
      <c r="G508" s="54" t="s">
        <v>212</v>
      </c>
      <c r="H508" s="54" t="s">
        <v>214</v>
      </c>
      <c r="I508" s="57" t="s">
        <v>737</v>
      </c>
      <c r="J508" s="56" t="n">
        <v>46300.6373738657</v>
      </c>
      <c r="K508" s="56" t="n">
        <v>46300.6382621644</v>
      </c>
      <c r="L508" s="58" t="n">
        <f aca="false">IF(AND(ISNUMBER(J508),ISNUMBER(K508)),IF(K508&gt;=J508,(K508-J508)*1440,""),"")</f>
        <v>1.27914999495</v>
      </c>
      <c r="M508" s="56" t="n">
        <v>46300.6382621644</v>
      </c>
      <c r="N508" s="58" t="n">
        <f aca="false">IF(AND(ISNUMBER(J508),ISNUMBER(M508)),IF(M508&gt;=J508,(M508-J508)*1440,""),"")</f>
        <v>1.27914999495</v>
      </c>
      <c r="O508" s="54" t="str">
        <f aca="false">IF(N508="","",LOOKUP(N508,Tiempos!$A$6:$A$10,Tiempos!$B$6:$B$10))</f>
        <v>Menos de 4 min</v>
      </c>
      <c r="P508" s="54" t="s">
        <v>226</v>
      </c>
      <c r="Q508" s="54" t="s">
        <v>212</v>
      </c>
      <c r="R508" s="54" t="s">
        <v>128</v>
      </c>
      <c r="S508" s="54" t="s">
        <v>220</v>
      </c>
      <c r="T508" s="58"/>
      <c r="U508" s="54"/>
      <c r="V508" s="58"/>
      <c r="W508" s="57"/>
      <c r="X508" s="55" t="n">
        <v>0</v>
      </c>
      <c r="Y508" s="54" t="s">
        <v>212</v>
      </c>
      <c r="Z508" s="56"/>
      <c r="AA508" s="58" t="str">
        <f aca="false">IF(AND(ISNUMBER(M508),ISNUMBER(Z508)),IF(Z508&gt;=M508,(Z508-M508)*1440,""),"")</f>
        <v/>
      </c>
      <c r="AB508" s="57"/>
      <c r="AC508" s="56"/>
      <c r="AD508" s="58" t="str">
        <f aca="false">IF(AND(ISNUMBER(Z508),ISNUMBER(AC508)),IF(AC508&gt;=Z508,(AC508-Z508)*1440,""),"")</f>
        <v/>
      </c>
      <c r="AE508" s="54"/>
      <c r="AF508" s="54" t="s">
        <v>214</v>
      </c>
      <c r="AG508" s="54"/>
      <c r="AH508" s="58"/>
      <c r="AI508" s="55" t="n">
        <v>1</v>
      </c>
      <c r="AJ508" s="54" t="s">
        <v>216</v>
      </c>
      <c r="AK508" s="54" t="s">
        <v>212</v>
      </c>
    </row>
    <row r="509" customFormat="false" ht="15" hidden="false" customHeight="false" outlineLevel="0" collapsed="false">
      <c r="A509" s="54" t="s">
        <v>28</v>
      </c>
      <c r="B509" s="55" t="n">
        <v>309</v>
      </c>
      <c r="C509" s="54" t="s">
        <v>129</v>
      </c>
      <c r="D509" s="54" t="s">
        <v>214</v>
      </c>
      <c r="E509" s="54" t="s">
        <v>233</v>
      </c>
      <c r="F509" s="56" t="n">
        <v>46300.6775575694</v>
      </c>
      <c r="G509" s="54" t="s">
        <v>212</v>
      </c>
      <c r="H509" s="54" t="s">
        <v>214</v>
      </c>
      <c r="I509" s="57" t="s">
        <v>738</v>
      </c>
      <c r="J509" s="56" t="n">
        <v>46300.6785549074</v>
      </c>
      <c r="K509" s="56" t="n">
        <v>46300.6800581482</v>
      </c>
      <c r="L509" s="58" t="n">
        <f aca="false">IF(AND(ISNUMBER(J509),ISNUMBER(K509)),IF(K509&gt;=J509,(K509-J509)*1440,""),"")</f>
        <v>2.16466668526667</v>
      </c>
      <c r="M509" s="56" t="n">
        <v>46300.6800581482</v>
      </c>
      <c r="N509" s="58" t="n">
        <f aca="false">IF(AND(ISNUMBER(J509),ISNUMBER(M509)),IF(M509&gt;=J509,(M509-J509)*1440,""),"")</f>
        <v>2.16466668526667</v>
      </c>
      <c r="O509" s="54" t="str">
        <f aca="false">IF(N509="","",LOOKUP(N509,Tiempos!$A$6:$A$10,Tiempos!$B$6:$B$10))</f>
        <v>Menos de 4 min</v>
      </c>
      <c r="P509" s="54" t="s">
        <v>226</v>
      </c>
      <c r="Q509" s="54" t="s">
        <v>212</v>
      </c>
      <c r="R509" s="54" t="s">
        <v>129</v>
      </c>
      <c r="S509" s="54" t="s">
        <v>220</v>
      </c>
      <c r="T509" s="58"/>
      <c r="U509" s="54"/>
      <c r="V509" s="58"/>
      <c r="W509" s="57"/>
      <c r="X509" s="55" t="n">
        <v>0</v>
      </c>
      <c r="Y509" s="54" t="s">
        <v>214</v>
      </c>
      <c r="Z509" s="56" t="n">
        <v>46300.6844669907</v>
      </c>
      <c r="AA509" s="58" t="n">
        <f aca="false">IF(AND(ISNUMBER(M509),ISNUMBER(Z509)),IF(Z509&gt;=M509,(Z509-M509)*1440,""),"")</f>
        <v>6.34873332338333</v>
      </c>
      <c r="AB509" s="57" t="s">
        <v>739</v>
      </c>
      <c r="AC509" s="56" t="n">
        <v>46300.6852206019</v>
      </c>
      <c r="AD509" s="58" t="n">
        <f aca="false">IF(AND(ISNUMBER(Z509),ISNUMBER(AC509)),IF(AC509&gt;=Z509,(AC509-Z509)*1440,""),"")</f>
        <v>1.0852000059</v>
      </c>
      <c r="AE509" s="54" t="s">
        <v>740</v>
      </c>
      <c r="AF509" s="54" t="s">
        <v>214</v>
      </c>
      <c r="AG509" s="54" t="s">
        <v>214</v>
      </c>
      <c r="AH509" s="58" t="n">
        <v>4.2</v>
      </c>
      <c r="AI509" s="55" t="n">
        <v>2</v>
      </c>
      <c r="AJ509" s="54" t="s">
        <v>216</v>
      </c>
      <c r="AK509" s="54" t="s">
        <v>212</v>
      </c>
    </row>
    <row r="510" customFormat="false" ht="15" hidden="false" customHeight="false" outlineLevel="0" collapsed="false">
      <c r="A510" s="54" t="s">
        <v>28</v>
      </c>
      <c r="B510" s="55" t="n">
        <v>326</v>
      </c>
      <c r="C510" s="54" t="s">
        <v>128</v>
      </c>
      <c r="D510" s="54" t="s">
        <v>212</v>
      </c>
      <c r="E510" s="54"/>
      <c r="F510" s="56" t="n">
        <v>46300.8346427778</v>
      </c>
      <c r="G510" s="54" t="s">
        <v>212</v>
      </c>
      <c r="H510" s="54" t="s">
        <v>214</v>
      </c>
      <c r="I510" s="57"/>
      <c r="J510" s="56"/>
      <c r="K510" s="56"/>
      <c r="L510" s="58" t="str">
        <f aca="false">IF(AND(ISNUMBER(J510),ISNUMBER(K510)),IF(K510&gt;=J510,(K510-J510)*1440,""),"")</f>
        <v/>
      </c>
      <c r="M510" s="56"/>
      <c r="N510" s="58" t="str">
        <f aca="false">IF(AND(ISNUMBER(J510),ISNUMBER(M510)),IF(M510&gt;=J510,(M510-J510)*1440,""),"")</f>
        <v/>
      </c>
      <c r="O510" s="54" t="str">
        <f aca="false">IF(N510="","",LOOKUP(N510,Tiempos!$A$6:$A$10,Tiempos!$B$6:$B$10))</f>
        <v/>
      </c>
      <c r="P510" s="54"/>
      <c r="Q510" s="54"/>
      <c r="R510" s="54"/>
      <c r="S510" s="54"/>
      <c r="T510" s="58"/>
      <c r="U510" s="54"/>
      <c r="V510" s="58"/>
      <c r="W510" s="57"/>
      <c r="X510" s="55"/>
      <c r="Y510" s="54"/>
      <c r="Z510" s="56"/>
      <c r="AA510" s="58" t="str">
        <f aca="false">IF(AND(ISNUMBER(M510),ISNUMBER(Z510)),IF(Z510&gt;=M510,(Z510-M510)*1440,""),"")</f>
        <v/>
      </c>
      <c r="AB510" s="57"/>
      <c r="AC510" s="56"/>
      <c r="AD510" s="58" t="str">
        <f aca="false">IF(AND(ISNUMBER(Z510),ISNUMBER(AC510)),IF(AC510&gt;=Z510,(AC510-Z510)*1440,""),"")</f>
        <v/>
      </c>
      <c r="AE510" s="54"/>
      <c r="AF510" s="54"/>
      <c r="AG510" s="54"/>
      <c r="AH510" s="58"/>
      <c r="AI510" s="55" t="n">
        <v>3</v>
      </c>
      <c r="AJ510" s="54" t="s">
        <v>216</v>
      </c>
      <c r="AK510" s="54" t="s">
        <v>212</v>
      </c>
    </row>
    <row r="511" customFormat="false" ht="15" hidden="false" customHeight="false" outlineLevel="0" collapsed="false">
      <c r="A511" s="54" t="s">
        <v>28</v>
      </c>
      <c r="B511" s="55" t="n">
        <v>329</v>
      </c>
      <c r="C511" s="54" t="s">
        <v>127</v>
      </c>
      <c r="D511" s="54" t="s">
        <v>212</v>
      </c>
      <c r="E511" s="54"/>
      <c r="F511" s="56" t="n">
        <v>46300.9005760185</v>
      </c>
      <c r="G511" s="54" t="s">
        <v>212</v>
      </c>
      <c r="H511" s="54" t="s">
        <v>214</v>
      </c>
      <c r="I511" s="57"/>
      <c r="J511" s="56"/>
      <c r="K511" s="56"/>
      <c r="L511" s="58" t="str">
        <f aca="false">IF(AND(ISNUMBER(J511),ISNUMBER(K511)),IF(K511&gt;=J511,(K511-J511)*1440,""),"")</f>
        <v/>
      </c>
      <c r="M511" s="56"/>
      <c r="N511" s="58" t="str">
        <f aca="false">IF(AND(ISNUMBER(J511),ISNUMBER(M511)),IF(M511&gt;=J511,(M511-J511)*1440,""),"")</f>
        <v/>
      </c>
      <c r="O511" s="54" t="str">
        <f aca="false">IF(N511="","",LOOKUP(N511,Tiempos!$A$6:$A$10,Tiempos!$B$6:$B$10))</f>
        <v/>
      </c>
      <c r="P511" s="54"/>
      <c r="Q511" s="54"/>
      <c r="R511" s="54"/>
      <c r="S511" s="54"/>
      <c r="T511" s="58"/>
      <c r="U511" s="54"/>
      <c r="V511" s="58"/>
      <c r="W511" s="57"/>
      <c r="X511" s="55"/>
      <c r="Y511" s="54"/>
      <c r="Z511" s="56"/>
      <c r="AA511" s="58" t="str">
        <f aca="false">IF(AND(ISNUMBER(M511),ISNUMBER(Z511)),IF(Z511&gt;=M511,(Z511-M511)*1440,""),"")</f>
        <v/>
      </c>
      <c r="AB511" s="57"/>
      <c r="AC511" s="56"/>
      <c r="AD511" s="58" t="str">
        <f aca="false">IF(AND(ISNUMBER(Z511),ISNUMBER(AC511)),IF(AC511&gt;=Z511,(AC511-Z511)*1440,""),"")</f>
        <v/>
      </c>
      <c r="AE511" s="54"/>
      <c r="AF511" s="54"/>
      <c r="AG511" s="54"/>
      <c r="AH511" s="58"/>
      <c r="AI511" s="55" t="n">
        <v>1</v>
      </c>
      <c r="AJ511" s="54" t="s">
        <v>216</v>
      </c>
      <c r="AK511" s="54" t="s">
        <v>212</v>
      </c>
    </row>
    <row r="512" customFormat="false" ht="15" hidden="false" customHeight="false" outlineLevel="0" collapsed="false">
      <c r="A512" s="54" t="s">
        <v>28</v>
      </c>
      <c r="B512" s="55" t="n">
        <v>347</v>
      </c>
      <c r="C512" s="54" t="s">
        <v>127</v>
      </c>
      <c r="D512" s="54" t="s">
        <v>212</v>
      </c>
      <c r="E512" s="54"/>
      <c r="F512" s="56" t="n">
        <v>46301.3257521181</v>
      </c>
      <c r="G512" s="54" t="s">
        <v>214</v>
      </c>
      <c r="H512" s="54" t="s">
        <v>214</v>
      </c>
      <c r="I512" s="57"/>
      <c r="J512" s="56"/>
      <c r="K512" s="56"/>
      <c r="L512" s="58" t="str">
        <f aca="false">IF(AND(ISNUMBER(J512),ISNUMBER(K512)),IF(K512&gt;=J512,(K512-J512)*1440,""),"")</f>
        <v/>
      </c>
      <c r="M512" s="56"/>
      <c r="N512" s="58" t="str">
        <f aca="false">IF(AND(ISNUMBER(J512),ISNUMBER(M512)),IF(M512&gt;=J512,(M512-J512)*1440,""),"")</f>
        <v/>
      </c>
      <c r="O512" s="54" t="str">
        <f aca="false">IF(N512="","",LOOKUP(N512,Tiempos!$A$6:$A$10,Tiempos!$B$6:$B$10))</f>
        <v/>
      </c>
      <c r="P512" s="54"/>
      <c r="Q512" s="54"/>
      <c r="R512" s="54"/>
      <c r="S512" s="54"/>
      <c r="T512" s="58"/>
      <c r="U512" s="54"/>
      <c r="V512" s="58"/>
      <c r="W512" s="57"/>
      <c r="X512" s="55"/>
      <c r="Y512" s="54"/>
      <c r="Z512" s="56"/>
      <c r="AA512" s="58" t="str">
        <f aca="false">IF(AND(ISNUMBER(M512),ISNUMBER(Z512)),IF(Z512&gt;=M512,(Z512-M512)*1440,""),"")</f>
        <v/>
      </c>
      <c r="AB512" s="57"/>
      <c r="AC512" s="56"/>
      <c r="AD512" s="58" t="str">
        <f aca="false">IF(AND(ISNUMBER(Z512),ISNUMBER(AC512)),IF(AC512&gt;=Z512,(AC512-Z512)*1440,""),"")</f>
        <v/>
      </c>
      <c r="AE512" s="54"/>
      <c r="AF512" s="54"/>
      <c r="AG512" s="54"/>
      <c r="AH512" s="58"/>
      <c r="AI512" s="55" t="n">
        <v>1</v>
      </c>
      <c r="AJ512" s="54" t="s">
        <v>216</v>
      </c>
      <c r="AK512" s="54" t="s">
        <v>212</v>
      </c>
    </row>
    <row r="513" customFormat="false" ht="15" hidden="false" customHeight="false" outlineLevel="0" collapsed="false">
      <c r="A513" s="54" t="s">
        <v>28</v>
      </c>
      <c r="B513" s="55" t="n">
        <v>363</v>
      </c>
      <c r="C513" s="54" t="s">
        <v>127</v>
      </c>
      <c r="D513" s="54" t="s">
        <v>214</v>
      </c>
      <c r="E513" s="54" t="s">
        <v>242</v>
      </c>
      <c r="F513" s="56" t="n">
        <v>46301.4119353241</v>
      </c>
      <c r="G513" s="54" t="s">
        <v>212</v>
      </c>
      <c r="H513" s="54" t="s">
        <v>212</v>
      </c>
      <c r="I513" s="57" t="s">
        <v>741</v>
      </c>
      <c r="J513" s="56" t="n">
        <v>46301.4123575695</v>
      </c>
      <c r="K513" s="56" t="n">
        <v>46301.4129435764</v>
      </c>
      <c r="L513" s="58" t="n">
        <f aca="false">IF(AND(ISNUMBER(J513),ISNUMBER(K513)),IF(K513&gt;=J513,(K513-J513)*1440,""),"")</f>
        <v>0.8438499982</v>
      </c>
      <c r="M513" s="56" t="n">
        <v>46301.4158328357</v>
      </c>
      <c r="N513" s="58" t="n">
        <f aca="false">IF(AND(ISNUMBER(J513),ISNUMBER(M513)),IF(M513&gt;=J513,(M513-J513)*1440,""),"")</f>
        <v>5.00438333255</v>
      </c>
      <c r="O513" s="54" t="str">
        <f aca="false">IF(N513="","",LOOKUP(N513,Tiempos!$A$6:$A$10,Tiempos!$B$6:$B$10))</f>
        <v>4 a 6 min</v>
      </c>
      <c r="P513" s="54" t="s">
        <v>229</v>
      </c>
      <c r="Q513" s="54" t="s">
        <v>214</v>
      </c>
      <c r="R513" s="54" t="s">
        <v>130</v>
      </c>
      <c r="S513" s="54" t="s">
        <v>215</v>
      </c>
      <c r="T513" s="58" t="n">
        <v>142.2</v>
      </c>
      <c r="U513" s="54" t="s">
        <v>212</v>
      </c>
      <c r="V513" s="58" t="n">
        <v>4.16</v>
      </c>
      <c r="W513" s="57" t="s">
        <v>316</v>
      </c>
      <c r="X513" s="55" t="n">
        <v>2</v>
      </c>
      <c r="Y513" s="54" t="s">
        <v>214</v>
      </c>
      <c r="Z513" s="56" t="n">
        <v>46301.4179561921</v>
      </c>
      <c r="AA513" s="58" t="n">
        <f aca="false">IF(AND(ISNUMBER(M513),ISNUMBER(Z513)),IF(Z513&gt;=M513,(Z513-M513)*1440,""),"")</f>
        <v>3.05763332638333</v>
      </c>
      <c r="AB513" s="57" t="s">
        <v>742</v>
      </c>
      <c r="AC513" s="56" t="n">
        <v>46301.4198240046</v>
      </c>
      <c r="AD513" s="58" t="n">
        <f aca="false">IF(AND(ISNUMBER(Z513),ISNUMBER(AC513)),IF(AC513&gt;=Z513,(AC513-Z513)*1440,""),"")</f>
        <v>2.68965000751667</v>
      </c>
      <c r="AE513" s="54" t="s">
        <v>575</v>
      </c>
      <c r="AF513" s="54" t="s">
        <v>212</v>
      </c>
      <c r="AG513" s="54" t="s">
        <v>212</v>
      </c>
      <c r="AH513" s="58"/>
      <c r="AI513" s="55" t="n">
        <v>2</v>
      </c>
      <c r="AJ513" s="54" t="s">
        <v>210</v>
      </c>
      <c r="AK513" s="54" t="s">
        <v>214</v>
      </c>
    </row>
    <row r="514" customFormat="false" ht="15" hidden="false" customHeight="false" outlineLevel="0" collapsed="false">
      <c r="A514" s="54" t="s">
        <v>28</v>
      </c>
      <c r="B514" s="55" t="n">
        <v>361</v>
      </c>
      <c r="C514" s="54" t="s">
        <v>127</v>
      </c>
      <c r="D514" s="54" t="s">
        <v>212</v>
      </c>
      <c r="E514" s="54"/>
      <c r="F514" s="56" t="n">
        <v>46301.4137295139</v>
      </c>
      <c r="G514" s="54" t="s">
        <v>212</v>
      </c>
      <c r="H514" s="54" t="s">
        <v>214</v>
      </c>
      <c r="I514" s="57"/>
      <c r="J514" s="56"/>
      <c r="K514" s="56"/>
      <c r="L514" s="58" t="str">
        <f aca="false">IF(AND(ISNUMBER(J514),ISNUMBER(K514)),IF(K514&gt;=J514,(K514-J514)*1440,""),"")</f>
        <v/>
      </c>
      <c r="M514" s="56"/>
      <c r="N514" s="58" t="str">
        <f aca="false">IF(AND(ISNUMBER(J514),ISNUMBER(M514)),IF(M514&gt;=J514,(M514-J514)*1440,""),"")</f>
        <v/>
      </c>
      <c r="O514" s="54" t="str">
        <f aca="false">IF(N514="","",LOOKUP(N514,Tiempos!$A$6:$A$10,Tiempos!$B$6:$B$10))</f>
        <v/>
      </c>
      <c r="P514" s="54"/>
      <c r="Q514" s="54"/>
      <c r="R514" s="54"/>
      <c r="S514" s="54"/>
      <c r="T514" s="58"/>
      <c r="U514" s="54"/>
      <c r="V514" s="58"/>
      <c r="W514" s="57"/>
      <c r="X514" s="55"/>
      <c r="Y514" s="54"/>
      <c r="Z514" s="56"/>
      <c r="AA514" s="58" t="str">
        <f aca="false">IF(AND(ISNUMBER(M514),ISNUMBER(Z514)),IF(Z514&gt;=M514,(Z514-M514)*1440,""),"")</f>
        <v/>
      </c>
      <c r="AB514" s="57"/>
      <c r="AC514" s="56"/>
      <c r="AD514" s="58" t="str">
        <f aca="false">IF(AND(ISNUMBER(Z514),ISNUMBER(AC514)),IF(AC514&gt;=Z514,(AC514-Z514)*1440,""),"")</f>
        <v/>
      </c>
      <c r="AE514" s="54"/>
      <c r="AF514" s="54"/>
      <c r="AG514" s="54"/>
      <c r="AH514" s="58"/>
      <c r="AI514" s="55" t="n">
        <v>1</v>
      </c>
      <c r="AJ514" s="54" t="s">
        <v>210</v>
      </c>
      <c r="AK514" s="54" t="s">
        <v>214</v>
      </c>
    </row>
    <row r="515" customFormat="false" ht="15" hidden="false" customHeight="false" outlineLevel="0" collapsed="false">
      <c r="A515" s="54" t="s">
        <v>28</v>
      </c>
      <c r="B515" s="55" t="n">
        <v>375</v>
      </c>
      <c r="C515" s="54" t="s">
        <v>127</v>
      </c>
      <c r="D515" s="54" t="s">
        <v>211</v>
      </c>
      <c r="E515" s="54"/>
      <c r="F515" s="56" t="n">
        <v>46301.4863915741</v>
      </c>
      <c r="G515" s="54" t="s">
        <v>212</v>
      </c>
      <c r="H515" s="54" t="s">
        <v>214</v>
      </c>
      <c r="I515" s="57" t="s">
        <v>743</v>
      </c>
      <c r="J515" s="56" t="n">
        <v>46301.4931628588</v>
      </c>
      <c r="K515" s="56" t="n">
        <v>46301.4968232176</v>
      </c>
      <c r="L515" s="58" t="n">
        <f aca="false">IF(AND(ISNUMBER(J515),ISNUMBER(K515)),IF(K515&gt;=J515,(K515-J515)*1440,""),"")</f>
        <v>5.270916695</v>
      </c>
      <c r="M515" s="56" t="n">
        <v>46301.4968232176</v>
      </c>
      <c r="N515" s="58" t="n">
        <f aca="false">IF(AND(ISNUMBER(J515),ISNUMBER(M515)),IF(M515&gt;=J515,(M515-J515)*1440,""),"")</f>
        <v>5.270916695</v>
      </c>
      <c r="O515" s="54" t="str">
        <f aca="false">IF(N515="","",LOOKUP(N515,Tiempos!$A$6:$A$10,Tiempos!$B$6:$B$10))</f>
        <v>4 a 6 min</v>
      </c>
      <c r="P515" s="54" t="s">
        <v>226</v>
      </c>
      <c r="Q515" s="54" t="s">
        <v>212</v>
      </c>
      <c r="R515" s="54" t="s">
        <v>127</v>
      </c>
      <c r="S515" s="54" t="s">
        <v>220</v>
      </c>
      <c r="T515" s="58"/>
      <c r="U515" s="54"/>
      <c r="V515" s="58"/>
      <c r="W515" s="57"/>
      <c r="X515" s="55" t="n">
        <v>0</v>
      </c>
      <c r="Y515" s="54" t="s">
        <v>214</v>
      </c>
      <c r="Z515" s="56" t="n">
        <v>46301.5067574884</v>
      </c>
      <c r="AA515" s="58" t="n">
        <f aca="false">IF(AND(ISNUMBER(M515),ISNUMBER(Z515)),IF(Z515&gt;=M515,(Z515-M515)*1440,""),"")</f>
        <v>14.3053499807</v>
      </c>
      <c r="AB515" s="57" t="s">
        <v>744</v>
      </c>
      <c r="AC515" s="56" t="n">
        <v>46301.5087315972</v>
      </c>
      <c r="AD515" s="58" t="n">
        <f aca="false">IF(AND(ISNUMBER(Z515),ISNUMBER(AC515)),IF(AC515&gt;=Z515,(AC515-Z515)*1440,""),"")</f>
        <v>2.84271666663333</v>
      </c>
      <c r="AE515" s="54" t="s">
        <v>687</v>
      </c>
      <c r="AF515" s="54" t="s">
        <v>212</v>
      </c>
      <c r="AG515" s="54" t="s">
        <v>212</v>
      </c>
      <c r="AH515" s="58"/>
      <c r="AI515" s="55" t="n">
        <v>2</v>
      </c>
      <c r="AJ515" s="54" t="s">
        <v>210</v>
      </c>
      <c r="AK515" s="54" t="s">
        <v>214</v>
      </c>
    </row>
    <row r="516" customFormat="false" ht="15" hidden="false" customHeight="false" outlineLevel="0" collapsed="false">
      <c r="A516" s="54" t="s">
        <v>28</v>
      </c>
      <c r="B516" s="55" t="n">
        <v>377</v>
      </c>
      <c r="C516" s="54" t="s">
        <v>127</v>
      </c>
      <c r="D516" s="54" t="s">
        <v>212</v>
      </c>
      <c r="E516" s="54"/>
      <c r="F516" s="56" t="n">
        <v>46301.4925932407</v>
      </c>
      <c r="G516" s="54" t="s">
        <v>212</v>
      </c>
      <c r="H516" s="54" t="s">
        <v>214</v>
      </c>
      <c r="I516" s="57"/>
      <c r="J516" s="56"/>
      <c r="K516" s="56"/>
      <c r="L516" s="58" t="str">
        <f aca="false">IF(AND(ISNUMBER(J516),ISNUMBER(K516)),IF(K516&gt;=J516,(K516-J516)*1440,""),"")</f>
        <v/>
      </c>
      <c r="M516" s="56"/>
      <c r="N516" s="58" t="str">
        <f aca="false">IF(AND(ISNUMBER(J516),ISNUMBER(M516)),IF(M516&gt;=J516,(M516-J516)*1440,""),"")</f>
        <v/>
      </c>
      <c r="O516" s="54" t="str">
        <f aca="false">IF(N516="","",LOOKUP(N516,Tiempos!$A$6:$A$10,Tiempos!$B$6:$B$10))</f>
        <v/>
      </c>
      <c r="P516" s="54"/>
      <c r="Q516" s="54"/>
      <c r="R516" s="54"/>
      <c r="S516" s="54"/>
      <c r="T516" s="58"/>
      <c r="U516" s="54"/>
      <c r="V516" s="58"/>
      <c r="W516" s="57"/>
      <c r="X516" s="55"/>
      <c r="Y516" s="54"/>
      <c r="Z516" s="56"/>
      <c r="AA516" s="58" t="str">
        <f aca="false">IF(AND(ISNUMBER(M516),ISNUMBER(Z516)),IF(Z516&gt;=M516,(Z516-M516)*1440,""),"")</f>
        <v/>
      </c>
      <c r="AB516" s="57"/>
      <c r="AC516" s="56"/>
      <c r="AD516" s="58" t="str">
        <f aca="false">IF(AND(ISNUMBER(Z516),ISNUMBER(AC516)),IF(AC516&gt;=Z516,(AC516-Z516)*1440,""),"")</f>
        <v/>
      </c>
      <c r="AE516" s="54"/>
      <c r="AF516" s="54"/>
      <c r="AG516" s="54"/>
      <c r="AH516" s="58"/>
      <c r="AI516" s="55" t="n">
        <v>2</v>
      </c>
      <c r="AJ516" s="54" t="s">
        <v>216</v>
      </c>
      <c r="AK516" s="54" t="s">
        <v>212</v>
      </c>
    </row>
    <row r="517" customFormat="false" ht="15" hidden="false" customHeight="false" outlineLevel="0" collapsed="false">
      <c r="A517" s="54" t="s">
        <v>28</v>
      </c>
      <c r="B517" s="55" t="n">
        <v>382</v>
      </c>
      <c r="C517" s="54" t="s">
        <v>127</v>
      </c>
      <c r="D517" s="54" t="s">
        <v>211</v>
      </c>
      <c r="E517" s="54"/>
      <c r="F517" s="56" t="n">
        <v>46301.5112200347</v>
      </c>
      <c r="G517" s="54" t="s">
        <v>212</v>
      </c>
      <c r="H517" s="54" t="s">
        <v>212</v>
      </c>
      <c r="I517" s="57" t="s">
        <v>745</v>
      </c>
      <c r="J517" s="56" t="n">
        <v>46301.6869084375</v>
      </c>
      <c r="K517" s="56" t="n">
        <v>46301.7128651736</v>
      </c>
      <c r="L517" s="58" t="n">
        <f aca="false">IF(AND(ISNUMBER(J517),ISNUMBER(K517)),IF(K517&gt;=J517,(K517-J517)*1440,""),"")</f>
        <v>37.37770000355</v>
      </c>
      <c r="M517" s="56" t="n">
        <v>46301.7128651736</v>
      </c>
      <c r="N517" s="58" t="n">
        <f aca="false">IF(AND(ISNUMBER(J517),ISNUMBER(M517)),IF(M517&gt;=J517,(M517-J517)*1440,""),"")</f>
        <v>37.37770000355</v>
      </c>
      <c r="O517" s="54" t="str">
        <f aca="false">IF(N517="","",LOOKUP(N517,Tiempos!$A$6:$A$10,Tiempos!$B$6:$B$10))</f>
        <v>30 min o más</v>
      </c>
      <c r="P517" s="54" t="s">
        <v>226</v>
      </c>
      <c r="Q517" s="54" t="s">
        <v>212</v>
      </c>
      <c r="R517" s="54" t="s">
        <v>128</v>
      </c>
      <c r="S517" s="54" t="s">
        <v>220</v>
      </c>
      <c r="T517" s="58"/>
      <c r="U517" s="54"/>
      <c r="V517" s="58"/>
      <c r="W517" s="57"/>
      <c r="X517" s="55" t="n">
        <v>0</v>
      </c>
      <c r="Y517" s="54" t="s">
        <v>214</v>
      </c>
      <c r="Z517" s="56" t="n">
        <v>46302.431097662</v>
      </c>
      <c r="AA517" s="58" t="n">
        <f aca="false">IF(AND(ISNUMBER(M517),ISNUMBER(Z517)),IF(Z517&gt;=M517,(Z517-M517)*1440,""),"")</f>
        <v>1034.2547833349</v>
      </c>
      <c r="AB517" s="57" t="s">
        <v>746</v>
      </c>
      <c r="AC517" s="56" t="n">
        <v>46302.4374870718</v>
      </c>
      <c r="AD517" s="58" t="n">
        <f aca="false">IF(AND(ISNUMBER(Z517),ISNUMBER(AC517)),IF(AC517&gt;=Z517,(AC517-Z517)*1440,""),"")</f>
        <v>9.20074999448333</v>
      </c>
      <c r="AE517" s="54" t="s">
        <v>247</v>
      </c>
      <c r="AF517" s="54" t="s">
        <v>212</v>
      </c>
      <c r="AG517" s="54" t="s">
        <v>212</v>
      </c>
      <c r="AH517" s="58"/>
      <c r="AI517" s="55" t="n">
        <v>3</v>
      </c>
      <c r="AJ517" s="54" t="s">
        <v>747</v>
      </c>
      <c r="AK517" s="54" t="s">
        <v>212</v>
      </c>
    </row>
    <row r="518" customFormat="false" ht="15" hidden="false" customHeight="false" outlineLevel="0" collapsed="false">
      <c r="A518" s="54" t="s">
        <v>28</v>
      </c>
      <c r="B518" s="55" t="n">
        <v>397</v>
      </c>
      <c r="C518" s="54" t="s">
        <v>127</v>
      </c>
      <c r="D518" s="54" t="s">
        <v>212</v>
      </c>
      <c r="E518" s="54"/>
      <c r="F518" s="56" t="n">
        <v>46301.5306865972</v>
      </c>
      <c r="G518" s="54" t="s">
        <v>212</v>
      </c>
      <c r="H518" s="54" t="s">
        <v>212</v>
      </c>
      <c r="I518" s="57"/>
      <c r="J518" s="56"/>
      <c r="K518" s="56"/>
      <c r="L518" s="58" t="str">
        <f aca="false">IF(AND(ISNUMBER(J518),ISNUMBER(K518)),IF(K518&gt;=J518,(K518-J518)*1440,""),"")</f>
        <v/>
      </c>
      <c r="M518" s="56"/>
      <c r="N518" s="58" t="str">
        <f aca="false">IF(AND(ISNUMBER(J518),ISNUMBER(M518)),IF(M518&gt;=J518,(M518-J518)*1440,""),"")</f>
        <v/>
      </c>
      <c r="O518" s="54" t="str">
        <f aca="false">IF(N518="","",LOOKUP(N518,Tiempos!$A$6:$A$10,Tiempos!$B$6:$B$10))</f>
        <v/>
      </c>
      <c r="P518" s="54"/>
      <c r="Q518" s="54"/>
      <c r="R518" s="54"/>
      <c r="S518" s="54"/>
      <c r="T518" s="58"/>
      <c r="U518" s="54"/>
      <c r="V518" s="58"/>
      <c r="W518" s="57"/>
      <c r="X518" s="55"/>
      <c r="Y518" s="54"/>
      <c r="Z518" s="56"/>
      <c r="AA518" s="58" t="str">
        <f aca="false">IF(AND(ISNUMBER(M518),ISNUMBER(Z518)),IF(Z518&gt;=M518,(Z518-M518)*1440,""),"")</f>
        <v/>
      </c>
      <c r="AB518" s="57"/>
      <c r="AC518" s="56"/>
      <c r="AD518" s="58" t="str">
        <f aca="false">IF(AND(ISNUMBER(Z518),ISNUMBER(AC518)),IF(AC518&gt;=Z518,(AC518-Z518)*1440,""),"")</f>
        <v/>
      </c>
      <c r="AE518" s="54"/>
      <c r="AF518" s="54"/>
      <c r="AG518" s="54"/>
      <c r="AH518" s="58"/>
      <c r="AI518" s="55" t="n">
        <v>2</v>
      </c>
      <c r="AJ518" s="54" t="s">
        <v>216</v>
      </c>
      <c r="AK518" s="54" t="s">
        <v>212</v>
      </c>
    </row>
    <row r="519" customFormat="false" ht="15" hidden="false" customHeight="false" outlineLevel="0" collapsed="false">
      <c r="A519" s="54" t="s">
        <v>28</v>
      </c>
      <c r="B519" s="55" t="n">
        <v>420</v>
      </c>
      <c r="C519" s="54" t="s">
        <v>129</v>
      </c>
      <c r="D519" s="54" t="s">
        <v>211</v>
      </c>
      <c r="E519" s="54"/>
      <c r="F519" s="56" t="n">
        <v>46301.6322378125</v>
      </c>
      <c r="G519" s="54" t="s">
        <v>212</v>
      </c>
      <c r="H519" s="54" t="s">
        <v>214</v>
      </c>
      <c r="I519" s="57" t="s">
        <v>479</v>
      </c>
      <c r="J519" s="56" t="n">
        <v>46301.6736059144</v>
      </c>
      <c r="K519" s="56" t="n">
        <v>46301.7102085069</v>
      </c>
      <c r="L519" s="58" t="n">
        <f aca="false">IF(AND(ISNUMBER(J519),ISNUMBER(K519)),IF(K519&gt;=J519,(K519-J519)*1440,""),"")</f>
        <v>52.7077333303167</v>
      </c>
      <c r="M519" s="56" t="n">
        <v>46301.7102085069</v>
      </c>
      <c r="N519" s="58" t="n">
        <f aca="false">IF(AND(ISNUMBER(J519),ISNUMBER(M519)),IF(M519&gt;=J519,(M519-J519)*1440,""),"")</f>
        <v>52.7077333303167</v>
      </c>
      <c r="O519" s="54" t="str">
        <f aca="false">IF(N519="","",LOOKUP(N519,Tiempos!$A$6:$A$10,Tiempos!$B$6:$B$10))</f>
        <v>30 min o más</v>
      </c>
      <c r="P519" s="54" t="s">
        <v>226</v>
      </c>
      <c r="Q519" s="54" t="s">
        <v>212</v>
      </c>
      <c r="R519" s="54" t="s">
        <v>129</v>
      </c>
      <c r="S519" s="54" t="s">
        <v>220</v>
      </c>
      <c r="T519" s="58"/>
      <c r="U519" s="54"/>
      <c r="V519" s="58"/>
      <c r="W519" s="57"/>
      <c r="X519" s="55" t="n">
        <v>0</v>
      </c>
      <c r="Y519" s="54" t="s">
        <v>214</v>
      </c>
      <c r="Z519" s="56" t="n">
        <v>46306.5341572222</v>
      </c>
      <c r="AA519" s="58" t="n">
        <f aca="false">IF(AND(ISNUMBER(M519),ISNUMBER(Z519)),IF(Z519&gt;=M519,(Z519-M519)*1440,""),"")</f>
        <v>6946.48614999605</v>
      </c>
      <c r="AB519" s="57" t="s">
        <v>748</v>
      </c>
      <c r="AC519" s="56"/>
      <c r="AD519" s="58" t="str">
        <f aca="false">IF(AND(ISNUMBER(Z519),ISNUMBER(AC519)),IF(AC519&gt;=Z519,(AC519-Z519)*1440,""),"")</f>
        <v/>
      </c>
      <c r="AE519" s="54" t="s">
        <v>302</v>
      </c>
      <c r="AF519" s="54" t="s">
        <v>214</v>
      </c>
      <c r="AG519" s="54" t="s">
        <v>212</v>
      </c>
      <c r="AH519" s="58"/>
      <c r="AI519" s="55" t="n">
        <v>1</v>
      </c>
      <c r="AJ519" s="54" t="s">
        <v>216</v>
      </c>
      <c r="AK519" s="54" t="s">
        <v>212</v>
      </c>
    </row>
    <row r="520" customFormat="false" ht="15" hidden="false" customHeight="false" outlineLevel="0" collapsed="false">
      <c r="A520" s="54" t="s">
        <v>28</v>
      </c>
      <c r="B520" s="55" t="n">
        <v>465</v>
      </c>
      <c r="C520" s="54" t="s">
        <v>128</v>
      </c>
      <c r="D520" s="54" t="s">
        <v>212</v>
      </c>
      <c r="E520" s="54"/>
      <c r="F520" s="56" t="n">
        <v>46301.8324476852</v>
      </c>
      <c r="G520" s="54" t="s">
        <v>212</v>
      </c>
      <c r="H520" s="54" t="s">
        <v>212</v>
      </c>
      <c r="I520" s="57"/>
      <c r="J520" s="56"/>
      <c r="K520" s="56"/>
      <c r="L520" s="58" t="str">
        <f aca="false">IF(AND(ISNUMBER(J520),ISNUMBER(K520)),IF(K520&gt;=J520,(K520-J520)*1440,""),"")</f>
        <v/>
      </c>
      <c r="M520" s="56"/>
      <c r="N520" s="58" t="str">
        <f aca="false">IF(AND(ISNUMBER(J520),ISNUMBER(M520)),IF(M520&gt;=J520,(M520-J520)*1440,""),"")</f>
        <v/>
      </c>
      <c r="O520" s="54" t="str">
        <f aca="false">IF(N520="","",LOOKUP(N520,Tiempos!$A$6:$A$10,Tiempos!$B$6:$B$10))</f>
        <v/>
      </c>
      <c r="P520" s="54"/>
      <c r="Q520" s="54"/>
      <c r="R520" s="54"/>
      <c r="S520" s="54"/>
      <c r="T520" s="58"/>
      <c r="U520" s="54"/>
      <c r="V520" s="58"/>
      <c r="W520" s="57"/>
      <c r="X520" s="55"/>
      <c r="Y520" s="54"/>
      <c r="Z520" s="56"/>
      <c r="AA520" s="58" t="str">
        <f aca="false">IF(AND(ISNUMBER(M520),ISNUMBER(Z520)),IF(Z520&gt;=M520,(Z520-M520)*1440,""),"")</f>
        <v/>
      </c>
      <c r="AB520" s="57"/>
      <c r="AC520" s="56"/>
      <c r="AD520" s="58" t="str">
        <f aca="false">IF(AND(ISNUMBER(Z520),ISNUMBER(AC520)),IF(AC520&gt;=Z520,(AC520-Z520)*1440,""),"")</f>
        <v/>
      </c>
      <c r="AE520" s="54"/>
      <c r="AF520" s="54"/>
      <c r="AG520" s="54"/>
      <c r="AH520" s="58"/>
      <c r="AI520" s="55" t="n">
        <v>2</v>
      </c>
      <c r="AJ520" s="54" t="s">
        <v>216</v>
      </c>
      <c r="AK520" s="54" t="s">
        <v>212</v>
      </c>
    </row>
    <row r="521" customFormat="false" ht="15" hidden="false" customHeight="false" outlineLevel="0" collapsed="false">
      <c r="A521" s="54" t="s">
        <v>28</v>
      </c>
      <c r="B521" s="55" t="n">
        <v>476</v>
      </c>
      <c r="C521" s="54" t="s">
        <v>127</v>
      </c>
      <c r="D521" s="54" t="s">
        <v>212</v>
      </c>
      <c r="E521" s="54"/>
      <c r="F521" s="56" t="n">
        <v>46301.8769891551</v>
      </c>
      <c r="G521" s="54" t="s">
        <v>212</v>
      </c>
      <c r="H521" s="54" t="s">
        <v>214</v>
      </c>
      <c r="I521" s="57"/>
      <c r="J521" s="56"/>
      <c r="K521" s="56"/>
      <c r="L521" s="58" t="str">
        <f aca="false">IF(AND(ISNUMBER(J521),ISNUMBER(K521)),IF(K521&gt;=J521,(K521-J521)*1440,""),"")</f>
        <v/>
      </c>
      <c r="M521" s="56"/>
      <c r="N521" s="58" t="str">
        <f aca="false">IF(AND(ISNUMBER(J521),ISNUMBER(M521)),IF(M521&gt;=J521,(M521-J521)*1440,""),"")</f>
        <v/>
      </c>
      <c r="O521" s="54" t="str">
        <f aca="false">IF(N521="","",LOOKUP(N521,Tiempos!$A$6:$A$10,Tiempos!$B$6:$B$10))</f>
        <v/>
      </c>
      <c r="P521" s="54"/>
      <c r="Q521" s="54"/>
      <c r="R521" s="54"/>
      <c r="S521" s="54"/>
      <c r="T521" s="58"/>
      <c r="U521" s="54"/>
      <c r="V521" s="58"/>
      <c r="W521" s="57"/>
      <c r="X521" s="55"/>
      <c r="Y521" s="54"/>
      <c r="Z521" s="56"/>
      <c r="AA521" s="58" t="str">
        <f aca="false">IF(AND(ISNUMBER(M521),ISNUMBER(Z521)),IF(Z521&gt;=M521,(Z521-M521)*1440,""),"")</f>
        <v/>
      </c>
      <c r="AB521" s="57"/>
      <c r="AC521" s="56"/>
      <c r="AD521" s="58" t="str">
        <f aca="false">IF(AND(ISNUMBER(Z521),ISNUMBER(AC521)),IF(AC521&gt;=Z521,(AC521-Z521)*1440,""),"")</f>
        <v/>
      </c>
      <c r="AE521" s="54"/>
      <c r="AF521" s="54"/>
      <c r="AG521" s="54"/>
      <c r="AH521" s="58"/>
      <c r="AI521" s="55" t="n">
        <v>1</v>
      </c>
      <c r="AJ521" s="54" t="s">
        <v>216</v>
      </c>
      <c r="AK521" s="54" t="s">
        <v>212</v>
      </c>
    </row>
    <row r="522" customFormat="false" ht="15" hidden="false" customHeight="false" outlineLevel="0" collapsed="false">
      <c r="A522" s="54" t="s">
        <v>28</v>
      </c>
      <c r="B522" s="55" t="n">
        <v>491</v>
      </c>
      <c r="C522" s="54" t="s">
        <v>127</v>
      </c>
      <c r="D522" s="54" t="s">
        <v>212</v>
      </c>
      <c r="E522" s="54"/>
      <c r="F522" s="56" t="n">
        <v>46301.9363883565</v>
      </c>
      <c r="G522" s="54" t="s">
        <v>214</v>
      </c>
      <c r="H522" s="54" t="s">
        <v>214</v>
      </c>
      <c r="I522" s="57"/>
      <c r="J522" s="56"/>
      <c r="K522" s="56"/>
      <c r="L522" s="58" t="str">
        <f aca="false">IF(AND(ISNUMBER(J522),ISNUMBER(K522)),IF(K522&gt;=J522,(K522-J522)*1440,""),"")</f>
        <v/>
      </c>
      <c r="M522" s="56"/>
      <c r="N522" s="58" t="str">
        <f aca="false">IF(AND(ISNUMBER(J522),ISNUMBER(M522)),IF(M522&gt;=J522,(M522-J522)*1440,""),"")</f>
        <v/>
      </c>
      <c r="O522" s="54" t="str">
        <f aca="false">IF(N522="","",LOOKUP(N522,Tiempos!$A$6:$A$10,Tiempos!$B$6:$B$10))</f>
        <v/>
      </c>
      <c r="P522" s="54"/>
      <c r="Q522" s="54"/>
      <c r="R522" s="54"/>
      <c r="S522" s="54"/>
      <c r="T522" s="58"/>
      <c r="U522" s="54"/>
      <c r="V522" s="58"/>
      <c r="W522" s="57"/>
      <c r="X522" s="55"/>
      <c r="Y522" s="54"/>
      <c r="Z522" s="56"/>
      <c r="AA522" s="58" t="str">
        <f aca="false">IF(AND(ISNUMBER(M522),ISNUMBER(Z522)),IF(Z522&gt;=M522,(Z522-M522)*1440,""),"")</f>
        <v/>
      </c>
      <c r="AB522" s="57"/>
      <c r="AC522" s="56"/>
      <c r="AD522" s="58" t="str">
        <f aca="false">IF(AND(ISNUMBER(Z522),ISNUMBER(AC522)),IF(AC522&gt;=Z522,(AC522-Z522)*1440,""),"")</f>
        <v/>
      </c>
      <c r="AE522" s="54"/>
      <c r="AF522" s="54"/>
      <c r="AG522" s="54"/>
      <c r="AH522" s="58"/>
      <c r="AI522" s="55" t="n">
        <v>2</v>
      </c>
      <c r="AJ522" s="54" t="s">
        <v>216</v>
      </c>
      <c r="AK522" s="54" t="s">
        <v>212</v>
      </c>
    </row>
    <row r="523" customFormat="false" ht="15" hidden="false" customHeight="false" outlineLevel="0" collapsed="false">
      <c r="A523" s="54" t="s">
        <v>28</v>
      </c>
      <c r="B523" s="55" t="n">
        <v>501</v>
      </c>
      <c r="C523" s="54" t="s">
        <v>127</v>
      </c>
      <c r="D523" s="54" t="s">
        <v>212</v>
      </c>
      <c r="E523" s="54"/>
      <c r="F523" s="56" t="n">
        <v>46302.2948718403</v>
      </c>
      <c r="G523" s="54" t="s">
        <v>214</v>
      </c>
      <c r="H523" s="54" t="s">
        <v>212</v>
      </c>
      <c r="I523" s="57"/>
      <c r="J523" s="56"/>
      <c r="K523" s="56"/>
      <c r="L523" s="58" t="str">
        <f aca="false">IF(AND(ISNUMBER(J523),ISNUMBER(K523)),IF(K523&gt;=J523,(K523-J523)*1440,""),"")</f>
        <v/>
      </c>
      <c r="M523" s="56"/>
      <c r="N523" s="58" t="str">
        <f aca="false">IF(AND(ISNUMBER(J523),ISNUMBER(M523)),IF(M523&gt;=J523,(M523-J523)*1440,""),"")</f>
        <v/>
      </c>
      <c r="O523" s="54" t="str">
        <f aca="false">IF(N523="","",LOOKUP(N523,Tiempos!$A$6:$A$10,Tiempos!$B$6:$B$10))</f>
        <v/>
      </c>
      <c r="P523" s="54"/>
      <c r="Q523" s="54"/>
      <c r="R523" s="54"/>
      <c r="S523" s="54"/>
      <c r="T523" s="58"/>
      <c r="U523" s="54"/>
      <c r="V523" s="58"/>
      <c r="W523" s="57"/>
      <c r="X523" s="55"/>
      <c r="Y523" s="54"/>
      <c r="Z523" s="56"/>
      <c r="AA523" s="58" t="str">
        <f aca="false">IF(AND(ISNUMBER(M523),ISNUMBER(Z523)),IF(Z523&gt;=M523,(Z523-M523)*1440,""),"")</f>
        <v/>
      </c>
      <c r="AB523" s="57"/>
      <c r="AC523" s="56"/>
      <c r="AD523" s="58" t="str">
        <f aca="false">IF(AND(ISNUMBER(Z523),ISNUMBER(AC523)),IF(AC523&gt;=Z523,(AC523-Z523)*1440,""),"")</f>
        <v/>
      </c>
      <c r="AE523" s="54"/>
      <c r="AF523" s="54"/>
      <c r="AG523" s="54"/>
      <c r="AH523" s="58"/>
      <c r="AI523" s="55" t="n">
        <v>2</v>
      </c>
      <c r="AJ523" s="54" t="s">
        <v>216</v>
      </c>
      <c r="AK523" s="54" t="s">
        <v>212</v>
      </c>
    </row>
    <row r="524" customFormat="false" ht="15" hidden="false" customHeight="false" outlineLevel="0" collapsed="false">
      <c r="A524" s="54" t="s">
        <v>28</v>
      </c>
      <c r="B524" s="55" t="n">
        <v>543</v>
      </c>
      <c r="C524" s="54" t="s">
        <v>127</v>
      </c>
      <c r="D524" s="54" t="s">
        <v>214</v>
      </c>
      <c r="E524" s="54" t="s">
        <v>242</v>
      </c>
      <c r="F524" s="56" t="n">
        <v>46302.3656476389</v>
      </c>
      <c r="G524" s="54" t="s">
        <v>212</v>
      </c>
      <c r="H524" s="54" t="s">
        <v>214</v>
      </c>
      <c r="I524" s="57" t="s">
        <v>749</v>
      </c>
      <c r="J524" s="56" t="n">
        <v>46302.3703094907</v>
      </c>
      <c r="K524" s="56" t="n">
        <v>46302.3714082639</v>
      </c>
      <c r="L524" s="58" t="n">
        <f aca="false">IF(AND(ISNUMBER(J524),ISNUMBER(K524)),IF(K524&gt;=J524,(K524-J524)*1440,""),"")</f>
        <v>1.58223333768333</v>
      </c>
      <c r="M524" s="56" t="n">
        <v>46302.3739875463</v>
      </c>
      <c r="N524" s="58" t="n">
        <f aca="false">IF(AND(ISNUMBER(J524),ISNUMBER(M524)),IF(M524&gt;=J524,(M524-J524)*1440,""),"")</f>
        <v>5.29640000661667</v>
      </c>
      <c r="O524" s="54" t="str">
        <f aca="false">IF(N524="","",LOOKUP(N524,Tiempos!$A$6:$A$10,Tiempos!$B$6:$B$10))</f>
        <v>4 a 6 min</v>
      </c>
      <c r="P524" s="54" t="s">
        <v>229</v>
      </c>
      <c r="Q524" s="54" t="s">
        <v>214</v>
      </c>
      <c r="R524" s="54" t="s">
        <v>127</v>
      </c>
      <c r="S524" s="54" t="s">
        <v>220</v>
      </c>
      <c r="T524" s="58" t="n">
        <v>108.5</v>
      </c>
      <c r="U524" s="54" t="s">
        <v>214</v>
      </c>
      <c r="V524" s="58" t="n">
        <v>3.71</v>
      </c>
      <c r="W524" s="57" t="s">
        <v>352</v>
      </c>
      <c r="X524" s="55" t="n">
        <v>2</v>
      </c>
      <c r="Y524" s="54" t="s">
        <v>214</v>
      </c>
      <c r="Z524" s="56" t="n">
        <v>46302.8159851042</v>
      </c>
      <c r="AA524" s="58" t="n">
        <f aca="false">IF(AND(ISNUMBER(M524),ISNUMBER(Z524)),IF(Z524&gt;=M524,(Z524-M524)*1440,""),"")</f>
        <v>636.476483313583</v>
      </c>
      <c r="AB524" s="57" t="s">
        <v>750</v>
      </c>
      <c r="AC524" s="56" t="n">
        <v>46302.817130625</v>
      </c>
      <c r="AD524" s="58" t="n">
        <f aca="false">IF(AND(ISNUMBER(Z524),ISNUMBER(AC524)),IF(AC524&gt;=Z524,(AC524-Z524)*1440,""),"")</f>
        <v>1.64955001556667</v>
      </c>
      <c r="AE524" s="54" t="s">
        <v>247</v>
      </c>
      <c r="AF524" s="54" t="s">
        <v>214</v>
      </c>
      <c r="AG524" s="54" t="s">
        <v>212</v>
      </c>
      <c r="AH524" s="58"/>
      <c r="AI524" s="55" t="n">
        <v>2</v>
      </c>
      <c r="AJ524" s="54" t="s">
        <v>216</v>
      </c>
      <c r="AK524" s="54" t="s">
        <v>212</v>
      </c>
    </row>
    <row r="525" customFormat="false" ht="15" hidden="false" customHeight="false" outlineLevel="0" collapsed="false">
      <c r="A525" s="54" t="s">
        <v>28</v>
      </c>
      <c r="B525" s="55" t="n">
        <v>546</v>
      </c>
      <c r="C525" s="54" t="s">
        <v>127</v>
      </c>
      <c r="D525" s="54" t="s">
        <v>212</v>
      </c>
      <c r="E525" s="54"/>
      <c r="F525" s="56" t="n">
        <v>46302.3771408449</v>
      </c>
      <c r="G525" s="54" t="s">
        <v>212</v>
      </c>
      <c r="H525" s="54" t="s">
        <v>212</v>
      </c>
      <c r="I525" s="57"/>
      <c r="J525" s="56"/>
      <c r="K525" s="56"/>
      <c r="L525" s="58" t="str">
        <f aca="false">IF(AND(ISNUMBER(J525),ISNUMBER(K525)),IF(K525&gt;=J525,(K525-J525)*1440,""),"")</f>
        <v/>
      </c>
      <c r="M525" s="56"/>
      <c r="N525" s="58" t="str">
        <f aca="false">IF(AND(ISNUMBER(J525),ISNUMBER(M525)),IF(M525&gt;=J525,(M525-J525)*1440,""),"")</f>
        <v/>
      </c>
      <c r="O525" s="54" t="str">
        <f aca="false">IF(N525="","",LOOKUP(N525,Tiempos!$A$6:$A$10,Tiempos!$B$6:$B$10))</f>
        <v/>
      </c>
      <c r="P525" s="54"/>
      <c r="Q525" s="54"/>
      <c r="R525" s="54"/>
      <c r="S525" s="54"/>
      <c r="T525" s="58"/>
      <c r="U525" s="54"/>
      <c r="V525" s="58"/>
      <c r="W525" s="57"/>
      <c r="X525" s="55"/>
      <c r="Y525" s="54"/>
      <c r="Z525" s="56"/>
      <c r="AA525" s="58" t="str">
        <f aca="false">IF(AND(ISNUMBER(M525),ISNUMBER(Z525)),IF(Z525&gt;=M525,(Z525-M525)*1440,""),"")</f>
        <v/>
      </c>
      <c r="AB525" s="57"/>
      <c r="AC525" s="56"/>
      <c r="AD525" s="58" t="str">
        <f aca="false">IF(AND(ISNUMBER(Z525),ISNUMBER(AC525)),IF(AC525&gt;=Z525,(AC525-Z525)*1440,""),"")</f>
        <v/>
      </c>
      <c r="AE525" s="54"/>
      <c r="AF525" s="54"/>
      <c r="AG525" s="54"/>
      <c r="AH525" s="58"/>
      <c r="AI525" s="55" t="n">
        <v>2</v>
      </c>
      <c r="AJ525" s="54" t="s">
        <v>216</v>
      </c>
      <c r="AK525" s="54" t="s">
        <v>212</v>
      </c>
    </row>
    <row r="526" customFormat="false" ht="15" hidden="false" customHeight="false" outlineLevel="0" collapsed="false">
      <c r="A526" s="54" t="s">
        <v>28</v>
      </c>
      <c r="B526" s="55" t="n">
        <v>555</v>
      </c>
      <c r="C526" s="54" t="s">
        <v>127</v>
      </c>
      <c r="D526" s="54" t="s">
        <v>214</v>
      </c>
      <c r="E526" s="54" t="s">
        <v>242</v>
      </c>
      <c r="F526" s="56" t="n">
        <v>46302.4002048148</v>
      </c>
      <c r="G526" s="54" t="s">
        <v>212</v>
      </c>
      <c r="H526" s="54" t="s">
        <v>214</v>
      </c>
      <c r="I526" s="57" t="s">
        <v>751</v>
      </c>
      <c r="J526" s="56" t="n">
        <v>46302.4005762732</v>
      </c>
      <c r="K526" s="56" t="n">
        <v>46302.4020674653</v>
      </c>
      <c r="L526" s="58" t="n">
        <f aca="false">IF(AND(ISNUMBER(J526),ISNUMBER(K526)),IF(K526&gt;=J526,(K526-J526)*1440,""),"")</f>
        <v>2.14731666956667</v>
      </c>
      <c r="M526" s="56" t="n">
        <v>46302.405420787</v>
      </c>
      <c r="N526" s="58" t="n">
        <f aca="false">IF(AND(ISNUMBER(J526),ISNUMBER(M526)),IF(M526&gt;=J526,(M526-J526)*1440,""),"")</f>
        <v>6.97610001078333</v>
      </c>
      <c r="O526" s="54" t="str">
        <f aca="false">IF(N526="","",LOOKUP(N526,Tiempos!$A$6:$A$10,Tiempos!$B$6:$B$10))</f>
        <v>6 a 10 min</v>
      </c>
      <c r="P526" s="54" t="s">
        <v>229</v>
      </c>
      <c r="Q526" s="54" t="s">
        <v>214</v>
      </c>
      <c r="R526" s="54" t="s">
        <v>127</v>
      </c>
      <c r="S526" s="54" t="s">
        <v>220</v>
      </c>
      <c r="T526" s="58" t="n">
        <v>118.1</v>
      </c>
      <c r="U526" s="54" t="s">
        <v>214</v>
      </c>
      <c r="V526" s="58" t="n">
        <v>4.83</v>
      </c>
      <c r="W526" s="57" t="s">
        <v>475</v>
      </c>
      <c r="X526" s="55" t="n">
        <v>2</v>
      </c>
      <c r="Y526" s="54" t="s">
        <v>212</v>
      </c>
      <c r="Z526" s="56"/>
      <c r="AA526" s="58" t="str">
        <f aca="false">IF(AND(ISNUMBER(M526),ISNUMBER(Z526)),IF(Z526&gt;=M526,(Z526-M526)*1440,""),"")</f>
        <v/>
      </c>
      <c r="AB526" s="57"/>
      <c r="AC526" s="56"/>
      <c r="AD526" s="58" t="str">
        <f aca="false">IF(AND(ISNUMBER(Z526),ISNUMBER(AC526)),IF(AC526&gt;=Z526,(AC526-Z526)*1440,""),"")</f>
        <v/>
      </c>
      <c r="AE526" s="54"/>
      <c r="AF526" s="54" t="s">
        <v>214</v>
      </c>
      <c r="AG526" s="54"/>
      <c r="AH526" s="58"/>
      <c r="AI526" s="55" t="n">
        <v>3</v>
      </c>
      <c r="AJ526" s="54" t="s">
        <v>216</v>
      </c>
      <c r="AK526" s="54" t="s">
        <v>212</v>
      </c>
    </row>
    <row r="527" customFormat="false" ht="15" hidden="false" customHeight="false" outlineLevel="0" collapsed="false">
      <c r="A527" s="54" t="s">
        <v>28</v>
      </c>
      <c r="B527" s="55" t="n">
        <v>582</v>
      </c>
      <c r="C527" s="54" t="s">
        <v>127</v>
      </c>
      <c r="D527" s="54" t="s">
        <v>214</v>
      </c>
      <c r="E527" s="54" t="s">
        <v>217</v>
      </c>
      <c r="F527" s="56" t="n">
        <v>46302.4669329282</v>
      </c>
      <c r="G527" s="54" t="s">
        <v>212</v>
      </c>
      <c r="H527" s="54" t="s">
        <v>214</v>
      </c>
      <c r="I527" s="57" t="s">
        <v>752</v>
      </c>
      <c r="J527" s="56" t="n">
        <v>46302.4676756019</v>
      </c>
      <c r="K527" s="56" t="n">
        <v>46302.4732012153</v>
      </c>
      <c r="L527" s="58" t="n">
        <f aca="false">IF(AND(ISNUMBER(J527),ISNUMBER(K527)),IF(K527&gt;=J527,(K527-J527)*1440,""),"")</f>
        <v>7.95688331708333</v>
      </c>
      <c r="M527" s="56" t="n">
        <v>46302.4747219097</v>
      </c>
      <c r="N527" s="58" t="n">
        <f aca="false">IF(AND(ISNUMBER(J527),ISNUMBER(M527)),IF(M527&gt;=J527,(M527-J527)*1440,""),"")</f>
        <v>10.1466833276167</v>
      </c>
      <c r="O527" s="54" t="str">
        <f aca="false">IF(N527="","",LOOKUP(N527,Tiempos!$A$6:$A$10,Tiempos!$B$6:$B$10))</f>
        <v>10 a 30 min</v>
      </c>
      <c r="P527" s="54" t="s">
        <v>229</v>
      </c>
      <c r="Q527" s="54" t="s">
        <v>214</v>
      </c>
      <c r="R527" s="54" t="s">
        <v>127</v>
      </c>
      <c r="S527" s="54" t="s">
        <v>220</v>
      </c>
      <c r="T527" s="58" t="n">
        <v>103.4</v>
      </c>
      <c r="U527" s="54" t="s">
        <v>214</v>
      </c>
      <c r="V527" s="58" t="n">
        <v>2.19</v>
      </c>
      <c r="W527" s="57" t="s">
        <v>753</v>
      </c>
      <c r="X527" s="55" t="n">
        <v>2</v>
      </c>
      <c r="Y527" s="54" t="s">
        <v>214</v>
      </c>
      <c r="Z527" s="56" t="n">
        <v>46302.4770110648</v>
      </c>
      <c r="AA527" s="58" t="n">
        <f aca="false">IF(AND(ISNUMBER(M527),ISNUMBER(Z527)),IF(Z527&gt;=M527,(Z527-M527)*1440,""),"")</f>
        <v>3.29638334106667</v>
      </c>
      <c r="AB527" s="57" t="s">
        <v>284</v>
      </c>
      <c r="AC527" s="56" t="n">
        <v>46302.4776570486</v>
      </c>
      <c r="AD527" s="58" t="n">
        <f aca="false">IF(AND(ISNUMBER(Z527),ISNUMBER(AC527)),IF(AC527&gt;=Z527,(AC527-Z527)*1440,""),"")</f>
        <v>0.930216656983333</v>
      </c>
      <c r="AE527" s="54" t="s">
        <v>754</v>
      </c>
      <c r="AF527" s="54" t="s">
        <v>212</v>
      </c>
      <c r="AG527" s="54" t="s">
        <v>212</v>
      </c>
      <c r="AH527" s="58"/>
      <c r="AI527" s="55" t="n">
        <v>2</v>
      </c>
      <c r="AJ527" s="54" t="s">
        <v>216</v>
      </c>
      <c r="AK527" s="54" t="s">
        <v>212</v>
      </c>
    </row>
    <row r="528" customFormat="false" ht="15" hidden="false" customHeight="false" outlineLevel="0" collapsed="false">
      <c r="A528" s="54" t="s">
        <v>28</v>
      </c>
      <c r="B528" s="55" t="n">
        <v>587</v>
      </c>
      <c r="C528" s="54" t="s">
        <v>127</v>
      </c>
      <c r="D528" s="54" t="s">
        <v>212</v>
      </c>
      <c r="E528" s="54"/>
      <c r="F528" s="56" t="n">
        <v>46302.5100818519</v>
      </c>
      <c r="G528" s="54" t="s">
        <v>212</v>
      </c>
      <c r="H528" s="54" t="s">
        <v>214</v>
      </c>
      <c r="I528" s="57"/>
      <c r="J528" s="56"/>
      <c r="K528" s="56"/>
      <c r="L528" s="58" t="str">
        <f aca="false">IF(AND(ISNUMBER(J528),ISNUMBER(K528)),IF(K528&gt;=J528,(K528-J528)*1440,""),"")</f>
        <v/>
      </c>
      <c r="M528" s="56"/>
      <c r="N528" s="58" t="str">
        <f aca="false">IF(AND(ISNUMBER(J528),ISNUMBER(M528)),IF(M528&gt;=J528,(M528-J528)*1440,""),"")</f>
        <v/>
      </c>
      <c r="O528" s="54" t="str">
        <f aca="false">IF(N528="","",LOOKUP(N528,Tiempos!$A$6:$A$10,Tiempos!$B$6:$B$10))</f>
        <v/>
      </c>
      <c r="P528" s="54"/>
      <c r="Q528" s="54"/>
      <c r="R528" s="54"/>
      <c r="S528" s="54"/>
      <c r="T528" s="58"/>
      <c r="U528" s="54"/>
      <c r="V528" s="58"/>
      <c r="W528" s="57"/>
      <c r="X528" s="55"/>
      <c r="Y528" s="54"/>
      <c r="Z528" s="56"/>
      <c r="AA528" s="58" t="str">
        <f aca="false">IF(AND(ISNUMBER(M528),ISNUMBER(Z528)),IF(Z528&gt;=M528,(Z528-M528)*1440,""),"")</f>
        <v/>
      </c>
      <c r="AB528" s="57"/>
      <c r="AC528" s="56"/>
      <c r="AD528" s="58" t="str">
        <f aca="false">IF(AND(ISNUMBER(Z528),ISNUMBER(AC528)),IF(AC528&gt;=Z528,(AC528-Z528)*1440,""),"")</f>
        <v/>
      </c>
      <c r="AE528" s="54"/>
      <c r="AF528" s="54"/>
      <c r="AG528" s="54"/>
      <c r="AH528" s="58"/>
      <c r="AI528" s="55" t="n">
        <v>1</v>
      </c>
      <c r="AJ528" s="54" t="s">
        <v>216</v>
      </c>
      <c r="AK528" s="54" t="s">
        <v>212</v>
      </c>
    </row>
    <row r="529" customFormat="false" ht="15" hidden="false" customHeight="false" outlineLevel="0" collapsed="false">
      <c r="A529" s="54" t="s">
        <v>28</v>
      </c>
      <c r="B529" s="55" t="n">
        <v>588</v>
      </c>
      <c r="C529" s="54" t="s">
        <v>127</v>
      </c>
      <c r="D529" s="54" t="s">
        <v>212</v>
      </c>
      <c r="E529" s="54"/>
      <c r="F529" s="56" t="n">
        <v>46302.5104289699</v>
      </c>
      <c r="G529" s="54" t="s">
        <v>212</v>
      </c>
      <c r="H529" s="54" t="s">
        <v>214</v>
      </c>
      <c r="I529" s="57"/>
      <c r="J529" s="56"/>
      <c r="K529" s="56"/>
      <c r="L529" s="58" t="str">
        <f aca="false">IF(AND(ISNUMBER(J529),ISNUMBER(K529)),IF(K529&gt;=J529,(K529-J529)*1440,""),"")</f>
        <v/>
      </c>
      <c r="M529" s="56"/>
      <c r="N529" s="58" t="str">
        <f aca="false">IF(AND(ISNUMBER(J529),ISNUMBER(M529)),IF(M529&gt;=J529,(M529-J529)*1440,""),"")</f>
        <v/>
      </c>
      <c r="O529" s="54" t="str">
        <f aca="false">IF(N529="","",LOOKUP(N529,Tiempos!$A$6:$A$10,Tiempos!$B$6:$B$10))</f>
        <v/>
      </c>
      <c r="P529" s="54"/>
      <c r="Q529" s="54"/>
      <c r="R529" s="54"/>
      <c r="S529" s="54"/>
      <c r="T529" s="58"/>
      <c r="U529" s="54"/>
      <c r="V529" s="58"/>
      <c r="W529" s="57"/>
      <c r="X529" s="55"/>
      <c r="Y529" s="54"/>
      <c r="Z529" s="56"/>
      <c r="AA529" s="58" t="str">
        <f aca="false">IF(AND(ISNUMBER(M529),ISNUMBER(Z529)),IF(Z529&gt;=M529,(Z529-M529)*1440,""),"")</f>
        <v/>
      </c>
      <c r="AB529" s="57"/>
      <c r="AC529" s="56"/>
      <c r="AD529" s="58" t="str">
        <f aca="false">IF(AND(ISNUMBER(Z529),ISNUMBER(AC529)),IF(AC529&gt;=Z529,(AC529-Z529)*1440,""),"")</f>
        <v/>
      </c>
      <c r="AE529" s="54"/>
      <c r="AF529" s="54"/>
      <c r="AG529" s="54"/>
      <c r="AH529" s="58"/>
      <c r="AI529" s="55" t="n">
        <v>1</v>
      </c>
      <c r="AJ529" s="54" t="s">
        <v>216</v>
      </c>
      <c r="AK529" s="54" t="s">
        <v>212</v>
      </c>
    </row>
    <row r="530" customFormat="false" ht="15" hidden="false" customHeight="false" outlineLevel="0" collapsed="false">
      <c r="A530" s="54" t="s">
        <v>28</v>
      </c>
      <c r="B530" s="55" t="n">
        <v>596</v>
      </c>
      <c r="C530" s="54" t="s">
        <v>129</v>
      </c>
      <c r="D530" s="54" t="s">
        <v>214</v>
      </c>
      <c r="E530" s="54" t="s">
        <v>242</v>
      </c>
      <c r="F530" s="56" t="n">
        <v>46302.5242161921</v>
      </c>
      <c r="G530" s="54" t="s">
        <v>212</v>
      </c>
      <c r="H530" s="54" t="s">
        <v>212</v>
      </c>
      <c r="I530" s="57" t="s">
        <v>755</v>
      </c>
      <c r="J530" s="56" t="n">
        <v>46302.5283845486</v>
      </c>
      <c r="K530" s="56" t="n">
        <v>46302.5304250695</v>
      </c>
      <c r="L530" s="58" t="n">
        <f aca="false">IF(AND(ISNUMBER(J530),ISNUMBER(K530)),IF(K530&gt;=J530,(K530-J530)*1440,""),"")</f>
        <v>2.93835001181667</v>
      </c>
      <c r="M530" s="56" t="n">
        <v>46302.5320083565</v>
      </c>
      <c r="N530" s="58" t="n">
        <f aca="false">IF(AND(ISNUMBER(J530),ISNUMBER(M530)),IF(M530&gt;=J530,(M530-J530)*1440,""),"")</f>
        <v>5.21828333031667</v>
      </c>
      <c r="O530" s="54" t="str">
        <f aca="false">IF(N530="","",LOOKUP(N530,Tiempos!$A$6:$A$10,Tiempos!$B$6:$B$10))</f>
        <v>4 a 6 min</v>
      </c>
      <c r="P530" s="54" t="s">
        <v>244</v>
      </c>
      <c r="Q530" s="54" t="s">
        <v>214</v>
      </c>
      <c r="R530" s="54" t="s">
        <v>129</v>
      </c>
      <c r="S530" s="54" t="s">
        <v>220</v>
      </c>
      <c r="T530" s="58" t="n">
        <v>111</v>
      </c>
      <c r="U530" s="54" t="s">
        <v>212</v>
      </c>
      <c r="V530" s="58" t="n">
        <v>2.28</v>
      </c>
      <c r="W530" s="57" t="s">
        <v>756</v>
      </c>
      <c r="X530" s="55" t="n">
        <v>3</v>
      </c>
      <c r="Y530" s="54" t="s">
        <v>212</v>
      </c>
      <c r="Z530" s="56"/>
      <c r="AA530" s="58" t="str">
        <f aca="false">IF(AND(ISNUMBER(M530),ISNUMBER(Z530)),IF(Z530&gt;=M530,(Z530-M530)*1440,""),"")</f>
        <v/>
      </c>
      <c r="AB530" s="57"/>
      <c r="AC530" s="56"/>
      <c r="AD530" s="58" t="str">
        <f aca="false">IF(AND(ISNUMBER(Z530),ISNUMBER(AC530)),IF(AC530&gt;=Z530,(AC530-Z530)*1440,""),"")</f>
        <v/>
      </c>
      <c r="AE530" s="54"/>
      <c r="AF530" s="54" t="s">
        <v>214</v>
      </c>
      <c r="AG530" s="54"/>
      <c r="AH530" s="58"/>
      <c r="AI530" s="55" t="n">
        <v>2</v>
      </c>
      <c r="AJ530" s="54" t="s">
        <v>216</v>
      </c>
      <c r="AK530" s="54" t="s">
        <v>212</v>
      </c>
    </row>
    <row r="531" customFormat="false" ht="15" hidden="false" customHeight="false" outlineLevel="0" collapsed="false">
      <c r="A531" s="54" t="s">
        <v>28</v>
      </c>
      <c r="B531" s="55" t="n">
        <v>594</v>
      </c>
      <c r="C531" s="54" t="s">
        <v>127</v>
      </c>
      <c r="D531" s="54" t="s">
        <v>212</v>
      </c>
      <c r="E531" s="54"/>
      <c r="F531" s="56" t="n">
        <v>46302.5382047801</v>
      </c>
      <c r="G531" s="54" t="s">
        <v>212</v>
      </c>
      <c r="H531" s="54" t="s">
        <v>214</v>
      </c>
      <c r="I531" s="57"/>
      <c r="J531" s="56"/>
      <c r="K531" s="56"/>
      <c r="L531" s="58" t="str">
        <f aca="false">IF(AND(ISNUMBER(J531),ISNUMBER(K531)),IF(K531&gt;=J531,(K531-J531)*1440,""),"")</f>
        <v/>
      </c>
      <c r="M531" s="56"/>
      <c r="N531" s="58" t="str">
        <f aca="false">IF(AND(ISNUMBER(J531),ISNUMBER(M531)),IF(M531&gt;=J531,(M531-J531)*1440,""),"")</f>
        <v/>
      </c>
      <c r="O531" s="54" t="str">
        <f aca="false">IF(N531="","",LOOKUP(N531,Tiempos!$A$6:$A$10,Tiempos!$B$6:$B$10))</f>
        <v/>
      </c>
      <c r="P531" s="54"/>
      <c r="Q531" s="54"/>
      <c r="R531" s="54"/>
      <c r="S531" s="54"/>
      <c r="T531" s="58"/>
      <c r="U531" s="54"/>
      <c r="V531" s="58"/>
      <c r="W531" s="57"/>
      <c r="X531" s="55"/>
      <c r="Y531" s="54"/>
      <c r="Z531" s="56"/>
      <c r="AA531" s="58" t="str">
        <f aca="false">IF(AND(ISNUMBER(M531),ISNUMBER(Z531)),IF(Z531&gt;=M531,(Z531-M531)*1440,""),"")</f>
        <v/>
      </c>
      <c r="AB531" s="57"/>
      <c r="AC531" s="56"/>
      <c r="AD531" s="58" t="str">
        <f aca="false">IF(AND(ISNUMBER(Z531),ISNUMBER(AC531)),IF(AC531&gt;=Z531,(AC531-Z531)*1440,""),"")</f>
        <v/>
      </c>
      <c r="AE531" s="54"/>
      <c r="AF531" s="54"/>
      <c r="AG531" s="54"/>
      <c r="AH531" s="58"/>
      <c r="AI531" s="55" t="n">
        <v>1</v>
      </c>
      <c r="AJ531" s="54" t="s">
        <v>216</v>
      </c>
      <c r="AK531" s="54" t="s">
        <v>212</v>
      </c>
    </row>
    <row r="532" customFormat="false" ht="15" hidden="false" customHeight="false" outlineLevel="0" collapsed="false">
      <c r="A532" s="54" t="s">
        <v>28</v>
      </c>
      <c r="B532" s="55" t="n">
        <v>603</v>
      </c>
      <c r="C532" s="54" t="s">
        <v>129</v>
      </c>
      <c r="D532" s="54" t="s">
        <v>214</v>
      </c>
      <c r="E532" s="54" t="s">
        <v>217</v>
      </c>
      <c r="F532" s="56" t="n">
        <v>46302.5388311806</v>
      </c>
      <c r="G532" s="54" t="s">
        <v>212</v>
      </c>
      <c r="H532" s="54" t="s">
        <v>214</v>
      </c>
      <c r="I532" s="57" t="s">
        <v>757</v>
      </c>
      <c r="J532" s="56" t="n">
        <v>46302.5392006482</v>
      </c>
      <c r="K532" s="56" t="n">
        <v>46302.5435457523</v>
      </c>
      <c r="L532" s="58" t="n">
        <f aca="false">IF(AND(ISNUMBER(J532),ISNUMBER(K532)),IF(K532&gt;=J532,(K532-J532)*1440,""),"")</f>
        <v>6.25694999586667</v>
      </c>
      <c r="M532" s="56" t="n">
        <v>46302.5484729977</v>
      </c>
      <c r="N532" s="58" t="n">
        <f aca="false">IF(AND(ISNUMBER(J532),ISNUMBER(M532)),IF(M532&gt;=J532,(M532-J532)*1440,""),"")</f>
        <v>13.35218333755</v>
      </c>
      <c r="O532" s="54" t="str">
        <f aca="false">IF(N532="","",LOOKUP(N532,Tiempos!$A$6:$A$10,Tiempos!$B$6:$B$10))</f>
        <v>10 a 30 min</v>
      </c>
      <c r="P532" s="54" t="s">
        <v>244</v>
      </c>
      <c r="Q532" s="54" t="s">
        <v>214</v>
      </c>
      <c r="R532" s="54" t="s">
        <v>129</v>
      </c>
      <c r="S532" s="54" t="s">
        <v>220</v>
      </c>
      <c r="T532" s="58" t="n">
        <v>94.3</v>
      </c>
      <c r="U532" s="54" t="s">
        <v>212</v>
      </c>
      <c r="V532" s="58" t="n">
        <v>7.1</v>
      </c>
      <c r="W532" s="57" t="s">
        <v>758</v>
      </c>
      <c r="X532" s="55" t="n">
        <v>3</v>
      </c>
      <c r="Y532" s="54" t="s">
        <v>212</v>
      </c>
      <c r="Z532" s="56"/>
      <c r="AA532" s="58" t="str">
        <f aca="false">IF(AND(ISNUMBER(M532),ISNUMBER(Z532)),IF(Z532&gt;=M532,(Z532-M532)*1440,""),"")</f>
        <v/>
      </c>
      <c r="AB532" s="57"/>
      <c r="AC532" s="56"/>
      <c r="AD532" s="58" t="str">
        <f aca="false">IF(AND(ISNUMBER(Z532),ISNUMBER(AC532)),IF(AC532&gt;=Z532,(AC532-Z532)*1440,""),"")</f>
        <v/>
      </c>
      <c r="AE532" s="54"/>
      <c r="AF532" s="54" t="s">
        <v>214</v>
      </c>
      <c r="AG532" s="54"/>
      <c r="AH532" s="58"/>
      <c r="AI532" s="55" t="n">
        <v>2</v>
      </c>
      <c r="AJ532" s="54" t="s">
        <v>216</v>
      </c>
      <c r="AK532" s="54" t="s">
        <v>212</v>
      </c>
    </row>
    <row r="533" customFormat="false" ht="15" hidden="false" customHeight="false" outlineLevel="0" collapsed="false">
      <c r="A533" s="54" t="s">
        <v>28</v>
      </c>
      <c r="B533" s="55" t="n">
        <v>625</v>
      </c>
      <c r="C533" s="54" t="s">
        <v>128</v>
      </c>
      <c r="D533" s="54" t="s">
        <v>214</v>
      </c>
      <c r="E533" s="54" t="s">
        <v>233</v>
      </c>
      <c r="F533" s="56" t="n">
        <v>46302.6027066088</v>
      </c>
      <c r="G533" s="54" t="s">
        <v>212</v>
      </c>
      <c r="H533" s="54" t="s">
        <v>214</v>
      </c>
      <c r="I533" s="57" t="s">
        <v>759</v>
      </c>
      <c r="J533" s="56" t="n">
        <v>46302.6039183796</v>
      </c>
      <c r="K533" s="56" t="n">
        <v>46302.6045354282</v>
      </c>
      <c r="L533" s="58" t="n">
        <f aca="false">IF(AND(ISNUMBER(J533),ISNUMBER(K533)),IF(K533&gt;=J533,(K533-J533)*1440,""),"")</f>
        <v>0.8885499963</v>
      </c>
      <c r="M533" s="56" t="n">
        <v>46302.6069501736</v>
      </c>
      <c r="N533" s="58" t="n">
        <f aca="false">IF(AND(ISNUMBER(J533),ISNUMBER(M533)),IF(M533&gt;=J533,(M533-J533)*1440,""),"")</f>
        <v>4.36578333376667</v>
      </c>
      <c r="O533" s="54" t="str">
        <f aca="false">IF(N533="","",LOOKUP(N533,Tiempos!$A$6:$A$10,Tiempos!$B$6:$B$10))</f>
        <v>4 a 6 min</v>
      </c>
      <c r="P533" s="54" t="s">
        <v>244</v>
      </c>
      <c r="Q533" s="54" t="s">
        <v>214</v>
      </c>
      <c r="R533" s="54" t="s">
        <v>128</v>
      </c>
      <c r="S533" s="54" t="s">
        <v>220</v>
      </c>
      <c r="T533" s="58" t="n">
        <v>87</v>
      </c>
      <c r="U533" s="54" t="s">
        <v>212</v>
      </c>
      <c r="V533" s="58" t="n">
        <v>3.48</v>
      </c>
      <c r="W533" s="57" t="s">
        <v>760</v>
      </c>
      <c r="X533" s="55" t="n">
        <v>3</v>
      </c>
      <c r="Y533" s="54" t="s">
        <v>212</v>
      </c>
      <c r="Z533" s="56"/>
      <c r="AA533" s="58" t="str">
        <f aca="false">IF(AND(ISNUMBER(M533),ISNUMBER(Z533)),IF(Z533&gt;=M533,(Z533-M533)*1440,""),"")</f>
        <v/>
      </c>
      <c r="AB533" s="57"/>
      <c r="AC533" s="56"/>
      <c r="AD533" s="58" t="str">
        <f aca="false">IF(AND(ISNUMBER(Z533),ISNUMBER(AC533)),IF(AC533&gt;=Z533,(AC533-Z533)*1440,""),"")</f>
        <v/>
      </c>
      <c r="AE533" s="54"/>
      <c r="AF533" s="54" t="s">
        <v>214</v>
      </c>
      <c r="AG533" s="54"/>
      <c r="AH533" s="58"/>
      <c r="AI533" s="55" t="n">
        <v>2</v>
      </c>
      <c r="AJ533" s="54" t="s">
        <v>216</v>
      </c>
      <c r="AK533" s="54" t="s">
        <v>212</v>
      </c>
    </row>
    <row r="534" customFormat="false" ht="15" hidden="false" customHeight="false" outlineLevel="0" collapsed="false">
      <c r="A534" s="54" t="s">
        <v>28</v>
      </c>
      <c r="B534" s="55" t="n">
        <v>631</v>
      </c>
      <c r="C534" s="54" t="s">
        <v>127</v>
      </c>
      <c r="D534" s="54" t="s">
        <v>212</v>
      </c>
      <c r="E534" s="54"/>
      <c r="F534" s="56" t="n">
        <v>46302.6253912732</v>
      </c>
      <c r="G534" s="54" t="s">
        <v>212</v>
      </c>
      <c r="H534" s="54" t="s">
        <v>214</v>
      </c>
      <c r="I534" s="57"/>
      <c r="J534" s="56"/>
      <c r="K534" s="56"/>
      <c r="L534" s="58" t="str">
        <f aca="false">IF(AND(ISNUMBER(J534),ISNUMBER(K534)),IF(K534&gt;=J534,(K534-J534)*1440,""),"")</f>
        <v/>
      </c>
      <c r="M534" s="56"/>
      <c r="N534" s="58" t="str">
        <f aca="false">IF(AND(ISNUMBER(J534),ISNUMBER(M534)),IF(M534&gt;=J534,(M534-J534)*1440,""),"")</f>
        <v/>
      </c>
      <c r="O534" s="54" t="str">
        <f aca="false">IF(N534="","",LOOKUP(N534,Tiempos!$A$6:$A$10,Tiempos!$B$6:$B$10))</f>
        <v/>
      </c>
      <c r="P534" s="54"/>
      <c r="Q534" s="54"/>
      <c r="R534" s="54"/>
      <c r="S534" s="54"/>
      <c r="T534" s="58"/>
      <c r="U534" s="54"/>
      <c r="V534" s="58"/>
      <c r="W534" s="57"/>
      <c r="X534" s="55"/>
      <c r="Y534" s="54"/>
      <c r="Z534" s="56"/>
      <c r="AA534" s="58" t="str">
        <f aca="false">IF(AND(ISNUMBER(M534),ISNUMBER(Z534)),IF(Z534&gt;=M534,(Z534-M534)*1440,""),"")</f>
        <v/>
      </c>
      <c r="AB534" s="57"/>
      <c r="AC534" s="56"/>
      <c r="AD534" s="58" t="str">
        <f aca="false">IF(AND(ISNUMBER(Z534),ISNUMBER(AC534)),IF(AC534&gt;=Z534,(AC534-Z534)*1440,""),"")</f>
        <v/>
      </c>
      <c r="AE534" s="54"/>
      <c r="AF534" s="54"/>
      <c r="AG534" s="54"/>
      <c r="AH534" s="58"/>
      <c r="AI534" s="55" t="n">
        <v>1</v>
      </c>
      <c r="AJ534" s="54" t="s">
        <v>216</v>
      </c>
      <c r="AK534" s="54" t="s">
        <v>212</v>
      </c>
    </row>
    <row r="535" customFormat="false" ht="15" hidden="false" customHeight="false" outlineLevel="0" collapsed="false">
      <c r="A535" s="54" t="s">
        <v>28</v>
      </c>
      <c r="B535" s="55" t="n">
        <v>641</v>
      </c>
      <c r="C535" s="54" t="s">
        <v>127</v>
      </c>
      <c r="D535" s="54" t="s">
        <v>212</v>
      </c>
      <c r="E535" s="54"/>
      <c r="F535" s="56" t="n">
        <v>46302.6545589236</v>
      </c>
      <c r="G535" s="54" t="s">
        <v>212</v>
      </c>
      <c r="H535" s="54" t="s">
        <v>212</v>
      </c>
      <c r="I535" s="57"/>
      <c r="J535" s="56"/>
      <c r="K535" s="56"/>
      <c r="L535" s="58" t="str">
        <f aca="false">IF(AND(ISNUMBER(J535),ISNUMBER(K535)),IF(K535&gt;=J535,(K535-J535)*1440,""),"")</f>
        <v/>
      </c>
      <c r="M535" s="56"/>
      <c r="N535" s="58" t="str">
        <f aca="false">IF(AND(ISNUMBER(J535),ISNUMBER(M535)),IF(M535&gt;=J535,(M535-J535)*1440,""),"")</f>
        <v/>
      </c>
      <c r="O535" s="54" t="str">
        <f aca="false">IF(N535="","",LOOKUP(N535,Tiempos!$A$6:$A$10,Tiempos!$B$6:$B$10))</f>
        <v/>
      </c>
      <c r="P535" s="54"/>
      <c r="Q535" s="54"/>
      <c r="R535" s="54"/>
      <c r="S535" s="54"/>
      <c r="T535" s="58"/>
      <c r="U535" s="54"/>
      <c r="V535" s="58"/>
      <c r="W535" s="57"/>
      <c r="X535" s="55"/>
      <c r="Y535" s="54"/>
      <c r="Z535" s="56"/>
      <c r="AA535" s="58" t="str">
        <f aca="false">IF(AND(ISNUMBER(M535),ISNUMBER(Z535)),IF(Z535&gt;=M535,(Z535-M535)*1440,""),"")</f>
        <v/>
      </c>
      <c r="AB535" s="57"/>
      <c r="AC535" s="56"/>
      <c r="AD535" s="58" t="str">
        <f aca="false">IF(AND(ISNUMBER(Z535),ISNUMBER(AC535)),IF(AC535&gt;=Z535,(AC535-Z535)*1440,""),"")</f>
        <v/>
      </c>
      <c r="AE535" s="54"/>
      <c r="AF535" s="54"/>
      <c r="AG535" s="54"/>
      <c r="AH535" s="58"/>
      <c r="AI535" s="55" t="n">
        <v>4</v>
      </c>
      <c r="AJ535" s="54" t="s">
        <v>216</v>
      </c>
      <c r="AK535" s="54" t="s">
        <v>212</v>
      </c>
    </row>
    <row r="536" customFormat="false" ht="15" hidden="false" customHeight="false" outlineLevel="0" collapsed="false">
      <c r="A536" s="54" t="s">
        <v>28</v>
      </c>
      <c r="B536" s="55" t="n">
        <v>688</v>
      </c>
      <c r="C536" s="54" t="s">
        <v>129</v>
      </c>
      <c r="D536" s="54" t="s">
        <v>214</v>
      </c>
      <c r="E536" s="54" t="s">
        <v>217</v>
      </c>
      <c r="F536" s="56" t="n">
        <v>46302.7724758912</v>
      </c>
      <c r="G536" s="54" t="s">
        <v>212</v>
      </c>
      <c r="H536" s="54" t="s">
        <v>214</v>
      </c>
      <c r="I536" s="57" t="s">
        <v>761</v>
      </c>
      <c r="J536" s="56" t="n">
        <v>46302.7730230208</v>
      </c>
      <c r="K536" s="56" t="n">
        <v>46302.7738522685</v>
      </c>
      <c r="L536" s="58" t="n">
        <f aca="false">IF(AND(ISNUMBER(J536),ISNUMBER(K536)),IF(K536&gt;=J536,(K536-J536)*1440,""),"")</f>
        <v>1.19411666643333</v>
      </c>
      <c r="M536" s="56" t="n">
        <v>46302.7771040625</v>
      </c>
      <c r="N536" s="58" t="n">
        <f aca="false">IF(AND(ISNUMBER(J536),ISNUMBER(M536)),IF(M536&gt;=J536,(M536-J536)*1440,""),"")</f>
        <v>5.8767000027</v>
      </c>
      <c r="O536" s="54" t="str">
        <f aca="false">IF(N536="","",LOOKUP(N536,Tiempos!$A$6:$A$10,Tiempos!$B$6:$B$10))</f>
        <v>4 a 6 min</v>
      </c>
      <c r="P536" s="54" t="s">
        <v>219</v>
      </c>
      <c r="Q536" s="54" t="s">
        <v>214</v>
      </c>
      <c r="R536" s="54" t="s">
        <v>129</v>
      </c>
      <c r="S536" s="54" t="s">
        <v>220</v>
      </c>
      <c r="T536" s="58" t="n">
        <v>106.4</v>
      </c>
      <c r="U536" s="54" t="s">
        <v>214</v>
      </c>
      <c r="V536" s="58" t="n">
        <v>4.68</v>
      </c>
      <c r="W536" s="57" t="s">
        <v>762</v>
      </c>
      <c r="X536" s="55" t="n">
        <v>4</v>
      </c>
      <c r="Y536" s="54" t="s">
        <v>214</v>
      </c>
      <c r="Z536" s="56" t="n">
        <v>46302.7819340278</v>
      </c>
      <c r="AA536" s="58" t="n">
        <f aca="false">IF(AND(ISNUMBER(M536),ISNUMBER(Z536)),IF(Z536&gt;=M536,(Z536-M536)*1440,""),"")</f>
        <v>6.95514999911667</v>
      </c>
      <c r="AB536" s="57" t="s">
        <v>763</v>
      </c>
      <c r="AC536" s="56" t="n">
        <v>46302.783294375</v>
      </c>
      <c r="AD536" s="58" t="n">
        <f aca="false">IF(AND(ISNUMBER(Z536),ISNUMBER(AC536)),IF(AC536&gt;=Z536,(AC536-Z536)*1440,""),"")</f>
        <v>1.95890000438333</v>
      </c>
      <c r="AE536" s="54" t="s">
        <v>764</v>
      </c>
      <c r="AF536" s="54" t="s">
        <v>214</v>
      </c>
      <c r="AG536" s="54" t="s">
        <v>214</v>
      </c>
      <c r="AH536" s="58" t="n">
        <v>4</v>
      </c>
      <c r="AI536" s="55" t="n">
        <v>2</v>
      </c>
      <c r="AJ536" s="54" t="s">
        <v>688</v>
      </c>
      <c r="AK536" s="54" t="s">
        <v>212</v>
      </c>
    </row>
    <row r="537" customFormat="false" ht="15" hidden="false" customHeight="false" outlineLevel="0" collapsed="false">
      <c r="A537" s="54" t="s">
        <v>28</v>
      </c>
      <c r="B537" s="55" t="n">
        <v>694</v>
      </c>
      <c r="C537" s="54" t="s">
        <v>127</v>
      </c>
      <c r="D537" s="54" t="s">
        <v>212</v>
      </c>
      <c r="E537" s="54"/>
      <c r="F537" s="56" t="n">
        <v>46302.8087414583</v>
      </c>
      <c r="G537" s="54" t="s">
        <v>212</v>
      </c>
      <c r="H537" s="54" t="s">
        <v>214</v>
      </c>
      <c r="I537" s="57"/>
      <c r="J537" s="56"/>
      <c r="K537" s="56"/>
      <c r="L537" s="58" t="str">
        <f aca="false">IF(AND(ISNUMBER(J537),ISNUMBER(K537)),IF(K537&gt;=J537,(K537-J537)*1440,""),"")</f>
        <v/>
      </c>
      <c r="M537" s="56"/>
      <c r="N537" s="58" t="str">
        <f aca="false">IF(AND(ISNUMBER(J537),ISNUMBER(M537)),IF(M537&gt;=J537,(M537-J537)*1440,""),"")</f>
        <v/>
      </c>
      <c r="O537" s="54" t="str">
        <f aca="false">IF(N537="","",LOOKUP(N537,Tiempos!$A$6:$A$10,Tiempos!$B$6:$B$10))</f>
        <v/>
      </c>
      <c r="P537" s="54"/>
      <c r="Q537" s="54"/>
      <c r="R537" s="54"/>
      <c r="S537" s="54"/>
      <c r="T537" s="58"/>
      <c r="U537" s="54"/>
      <c r="V537" s="58"/>
      <c r="W537" s="57"/>
      <c r="X537" s="55"/>
      <c r="Y537" s="54"/>
      <c r="Z537" s="56"/>
      <c r="AA537" s="58" t="str">
        <f aca="false">IF(AND(ISNUMBER(M537),ISNUMBER(Z537)),IF(Z537&gt;=M537,(Z537-M537)*1440,""),"")</f>
        <v/>
      </c>
      <c r="AB537" s="57"/>
      <c r="AC537" s="56"/>
      <c r="AD537" s="58" t="str">
        <f aca="false">IF(AND(ISNUMBER(Z537),ISNUMBER(AC537)),IF(AC537&gt;=Z537,(AC537-Z537)*1440,""),"")</f>
        <v/>
      </c>
      <c r="AE537" s="54"/>
      <c r="AF537" s="54"/>
      <c r="AG537" s="54"/>
      <c r="AH537" s="58"/>
      <c r="AI537" s="55" t="n">
        <v>1</v>
      </c>
      <c r="AJ537" s="54" t="s">
        <v>216</v>
      </c>
      <c r="AK537" s="54" t="s">
        <v>212</v>
      </c>
    </row>
    <row r="538" customFormat="false" ht="15" hidden="false" customHeight="false" outlineLevel="0" collapsed="false">
      <c r="A538" s="54" t="s">
        <v>28</v>
      </c>
      <c r="B538" s="55" t="n">
        <v>783</v>
      </c>
      <c r="C538" s="54" t="s">
        <v>127</v>
      </c>
      <c r="D538" s="54" t="s">
        <v>212</v>
      </c>
      <c r="E538" s="54"/>
      <c r="F538" s="56" t="n">
        <v>46303.3298238079</v>
      </c>
      <c r="G538" s="54" t="s">
        <v>214</v>
      </c>
      <c r="H538" s="54" t="s">
        <v>214</v>
      </c>
      <c r="I538" s="57"/>
      <c r="J538" s="56"/>
      <c r="K538" s="56"/>
      <c r="L538" s="58" t="str">
        <f aca="false">IF(AND(ISNUMBER(J538),ISNUMBER(K538)),IF(K538&gt;=J538,(K538-J538)*1440,""),"")</f>
        <v/>
      </c>
      <c r="M538" s="56"/>
      <c r="N538" s="58" t="str">
        <f aca="false">IF(AND(ISNUMBER(J538),ISNUMBER(M538)),IF(M538&gt;=J538,(M538-J538)*1440,""),"")</f>
        <v/>
      </c>
      <c r="O538" s="54" t="str">
        <f aca="false">IF(N538="","",LOOKUP(N538,Tiempos!$A$6:$A$10,Tiempos!$B$6:$B$10))</f>
        <v/>
      </c>
      <c r="P538" s="54"/>
      <c r="Q538" s="54"/>
      <c r="R538" s="54"/>
      <c r="S538" s="54"/>
      <c r="T538" s="58"/>
      <c r="U538" s="54"/>
      <c r="V538" s="58"/>
      <c r="W538" s="57"/>
      <c r="X538" s="55"/>
      <c r="Y538" s="54"/>
      <c r="Z538" s="56"/>
      <c r="AA538" s="58" t="str">
        <f aca="false">IF(AND(ISNUMBER(M538),ISNUMBER(Z538)),IF(Z538&gt;=M538,(Z538-M538)*1440,""),"")</f>
        <v/>
      </c>
      <c r="AB538" s="57"/>
      <c r="AC538" s="56"/>
      <c r="AD538" s="58" t="str">
        <f aca="false">IF(AND(ISNUMBER(Z538),ISNUMBER(AC538)),IF(AC538&gt;=Z538,(AC538-Z538)*1440,""),"")</f>
        <v/>
      </c>
      <c r="AE538" s="54"/>
      <c r="AF538" s="54"/>
      <c r="AG538" s="54"/>
      <c r="AH538" s="58"/>
      <c r="AI538" s="55" t="n">
        <v>2</v>
      </c>
      <c r="AJ538" s="54" t="s">
        <v>216</v>
      </c>
      <c r="AK538" s="54" t="s">
        <v>212</v>
      </c>
    </row>
    <row r="539" customFormat="false" ht="15" hidden="false" customHeight="false" outlineLevel="0" collapsed="false">
      <c r="A539" s="54" t="s">
        <v>28</v>
      </c>
      <c r="B539" s="55" t="n">
        <v>794</v>
      </c>
      <c r="C539" s="54" t="s">
        <v>127</v>
      </c>
      <c r="D539" s="54" t="s">
        <v>212</v>
      </c>
      <c r="E539" s="54"/>
      <c r="F539" s="56" t="n">
        <v>46303.3888933218</v>
      </c>
      <c r="G539" s="54" t="s">
        <v>212</v>
      </c>
      <c r="H539" s="54" t="s">
        <v>212</v>
      </c>
      <c r="I539" s="57"/>
      <c r="J539" s="56"/>
      <c r="K539" s="56"/>
      <c r="L539" s="58" t="str">
        <f aca="false">IF(AND(ISNUMBER(J539),ISNUMBER(K539)),IF(K539&gt;=J539,(K539-J539)*1440,""),"")</f>
        <v/>
      </c>
      <c r="M539" s="56"/>
      <c r="N539" s="58" t="str">
        <f aca="false">IF(AND(ISNUMBER(J539),ISNUMBER(M539)),IF(M539&gt;=J539,(M539-J539)*1440,""),"")</f>
        <v/>
      </c>
      <c r="O539" s="54" t="str">
        <f aca="false">IF(N539="","",LOOKUP(N539,Tiempos!$A$6:$A$10,Tiempos!$B$6:$B$10))</f>
        <v/>
      </c>
      <c r="P539" s="54"/>
      <c r="Q539" s="54"/>
      <c r="R539" s="54"/>
      <c r="S539" s="54"/>
      <c r="T539" s="58"/>
      <c r="U539" s="54"/>
      <c r="V539" s="58"/>
      <c r="W539" s="57"/>
      <c r="X539" s="55"/>
      <c r="Y539" s="54"/>
      <c r="Z539" s="56"/>
      <c r="AA539" s="58" t="str">
        <f aca="false">IF(AND(ISNUMBER(M539),ISNUMBER(Z539)),IF(Z539&gt;=M539,(Z539-M539)*1440,""),"")</f>
        <v/>
      </c>
      <c r="AB539" s="57"/>
      <c r="AC539" s="56"/>
      <c r="AD539" s="58" t="str">
        <f aca="false">IF(AND(ISNUMBER(Z539),ISNUMBER(AC539)),IF(AC539&gt;=Z539,(AC539-Z539)*1440,""),"")</f>
        <v/>
      </c>
      <c r="AE539" s="54"/>
      <c r="AF539" s="54"/>
      <c r="AG539" s="54"/>
      <c r="AH539" s="58"/>
      <c r="AI539" s="55" t="n">
        <v>2</v>
      </c>
      <c r="AJ539" s="54" t="s">
        <v>216</v>
      </c>
      <c r="AK539" s="54" t="s">
        <v>212</v>
      </c>
    </row>
    <row r="540" customFormat="false" ht="15" hidden="false" customHeight="false" outlineLevel="0" collapsed="false">
      <c r="A540" s="54" t="s">
        <v>28</v>
      </c>
      <c r="B540" s="55" t="n">
        <v>847</v>
      </c>
      <c r="C540" s="54" t="s">
        <v>127</v>
      </c>
      <c r="D540" s="54" t="s">
        <v>212</v>
      </c>
      <c r="E540" s="54"/>
      <c r="F540" s="56" t="n">
        <v>46303.5027969444</v>
      </c>
      <c r="G540" s="54" t="s">
        <v>212</v>
      </c>
      <c r="H540" s="54" t="s">
        <v>214</v>
      </c>
      <c r="I540" s="57"/>
      <c r="J540" s="56"/>
      <c r="K540" s="56"/>
      <c r="L540" s="58" t="str">
        <f aca="false">IF(AND(ISNUMBER(J540),ISNUMBER(K540)),IF(K540&gt;=J540,(K540-J540)*1440,""),"")</f>
        <v/>
      </c>
      <c r="M540" s="56"/>
      <c r="N540" s="58" t="str">
        <f aca="false">IF(AND(ISNUMBER(J540),ISNUMBER(M540)),IF(M540&gt;=J540,(M540-J540)*1440,""),"")</f>
        <v/>
      </c>
      <c r="O540" s="54" t="str">
        <f aca="false">IF(N540="","",LOOKUP(N540,Tiempos!$A$6:$A$10,Tiempos!$B$6:$B$10))</f>
        <v/>
      </c>
      <c r="P540" s="54"/>
      <c r="Q540" s="54"/>
      <c r="R540" s="54"/>
      <c r="S540" s="54"/>
      <c r="T540" s="58"/>
      <c r="U540" s="54"/>
      <c r="V540" s="58"/>
      <c r="W540" s="57"/>
      <c r="X540" s="55"/>
      <c r="Y540" s="54"/>
      <c r="Z540" s="56"/>
      <c r="AA540" s="58" t="str">
        <f aca="false">IF(AND(ISNUMBER(M540),ISNUMBER(Z540)),IF(Z540&gt;=M540,(Z540-M540)*1440,""),"")</f>
        <v/>
      </c>
      <c r="AB540" s="57"/>
      <c r="AC540" s="56"/>
      <c r="AD540" s="58" t="str">
        <f aca="false">IF(AND(ISNUMBER(Z540),ISNUMBER(AC540)),IF(AC540&gt;=Z540,(AC540-Z540)*1440,""),"")</f>
        <v/>
      </c>
      <c r="AE540" s="54"/>
      <c r="AF540" s="54"/>
      <c r="AG540" s="54"/>
      <c r="AH540" s="58"/>
      <c r="AI540" s="55" t="n">
        <v>2</v>
      </c>
      <c r="AJ540" s="54" t="s">
        <v>216</v>
      </c>
      <c r="AK540" s="54" t="s">
        <v>212</v>
      </c>
    </row>
    <row r="541" customFormat="false" ht="15" hidden="false" customHeight="false" outlineLevel="0" collapsed="false">
      <c r="A541" s="54" t="s">
        <v>28</v>
      </c>
      <c r="B541" s="55" t="n">
        <v>870</v>
      </c>
      <c r="C541" s="54" t="s">
        <v>128</v>
      </c>
      <c r="D541" s="54" t="s">
        <v>214</v>
      </c>
      <c r="E541" s="54" t="s">
        <v>233</v>
      </c>
      <c r="F541" s="56" t="n">
        <v>46303.5824388426</v>
      </c>
      <c r="G541" s="54" t="s">
        <v>212</v>
      </c>
      <c r="H541" s="54" t="s">
        <v>214</v>
      </c>
      <c r="I541" s="57" t="s">
        <v>233</v>
      </c>
      <c r="J541" s="56" t="n">
        <v>46303.5881686227</v>
      </c>
      <c r="K541" s="56" t="n">
        <v>46303.5904545023</v>
      </c>
      <c r="L541" s="58" t="n">
        <f aca="false">IF(AND(ISNUMBER(J541),ISNUMBER(K541)),IF(K541&gt;=J541,(K541-J541)*1440,""),"")</f>
        <v>3.29166664508333</v>
      </c>
      <c r="M541" s="56" t="n">
        <v>46303.5919435185</v>
      </c>
      <c r="N541" s="58" t="n">
        <f aca="false">IF(AND(ISNUMBER(J541),ISNUMBER(M541)),IF(M541&gt;=J541,(M541-J541)*1440,""),"")</f>
        <v>5.43584999161667</v>
      </c>
      <c r="O541" s="54" t="str">
        <f aca="false">IF(N541="","",LOOKUP(N541,Tiempos!$A$6:$A$10,Tiempos!$B$6:$B$10))</f>
        <v>4 a 6 min</v>
      </c>
      <c r="P541" s="54" t="s">
        <v>244</v>
      </c>
      <c r="Q541" s="54" t="s">
        <v>214</v>
      </c>
      <c r="R541" s="54" t="s">
        <v>128</v>
      </c>
      <c r="S541" s="54" t="s">
        <v>220</v>
      </c>
      <c r="T541" s="58" t="n">
        <v>81.6</v>
      </c>
      <c r="U541" s="54" t="s">
        <v>214</v>
      </c>
      <c r="V541" s="58" t="n">
        <v>2.14</v>
      </c>
      <c r="W541" s="57" t="s">
        <v>765</v>
      </c>
      <c r="X541" s="55" t="n">
        <v>3</v>
      </c>
      <c r="Y541" s="54" t="s">
        <v>212</v>
      </c>
      <c r="Z541" s="56"/>
      <c r="AA541" s="58" t="str">
        <f aca="false">IF(AND(ISNUMBER(M541),ISNUMBER(Z541)),IF(Z541&gt;=M541,(Z541-M541)*1440,""),"")</f>
        <v/>
      </c>
      <c r="AB541" s="57"/>
      <c r="AC541" s="56"/>
      <c r="AD541" s="58" t="str">
        <f aca="false">IF(AND(ISNUMBER(Z541),ISNUMBER(AC541)),IF(AC541&gt;=Z541,(AC541-Z541)*1440,""),"")</f>
        <v/>
      </c>
      <c r="AE541" s="54"/>
      <c r="AF541" s="54" t="s">
        <v>214</v>
      </c>
      <c r="AG541" s="54"/>
      <c r="AH541" s="58"/>
      <c r="AI541" s="55" t="n">
        <v>2</v>
      </c>
      <c r="AJ541" s="54" t="s">
        <v>216</v>
      </c>
      <c r="AK541" s="54" t="s">
        <v>212</v>
      </c>
    </row>
    <row r="542" customFormat="false" ht="15" hidden="false" customHeight="false" outlineLevel="0" collapsed="false">
      <c r="A542" s="54" t="s">
        <v>28</v>
      </c>
      <c r="B542" s="55" t="n">
        <v>898</v>
      </c>
      <c r="C542" s="54" t="s">
        <v>128</v>
      </c>
      <c r="D542" s="54" t="s">
        <v>212</v>
      </c>
      <c r="E542" s="54"/>
      <c r="F542" s="56" t="n">
        <v>46303.7046583796</v>
      </c>
      <c r="G542" s="54" t="s">
        <v>212</v>
      </c>
      <c r="H542" s="54" t="s">
        <v>212</v>
      </c>
      <c r="I542" s="57"/>
      <c r="J542" s="56"/>
      <c r="K542" s="56"/>
      <c r="L542" s="58" t="str">
        <f aca="false">IF(AND(ISNUMBER(J542),ISNUMBER(K542)),IF(K542&gt;=J542,(K542-J542)*1440,""),"")</f>
        <v/>
      </c>
      <c r="M542" s="56"/>
      <c r="N542" s="58" t="str">
        <f aca="false">IF(AND(ISNUMBER(J542),ISNUMBER(M542)),IF(M542&gt;=J542,(M542-J542)*1440,""),"")</f>
        <v/>
      </c>
      <c r="O542" s="54" t="str">
        <f aca="false">IF(N542="","",LOOKUP(N542,Tiempos!$A$6:$A$10,Tiempos!$B$6:$B$10))</f>
        <v/>
      </c>
      <c r="P542" s="54"/>
      <c r="Q542" s="54"/>
      <c r="R542" s="54"/>
      <c r="S542" s="54"/>
      <c r="T542" s="58"/>
      <c r="U542" s="54"/>
      <c r="V542" s="58"/>
      <c r="W542" s="57"/>
      <c r="X542" s="55"/>
      <c r="Y542" s="54"/>
      <c r="Z542" s="56"/>
      <c r="AA542" s="58" t="str">
        <f aca="false">IF(AND(ISNUMBER(M542),ISNUMBER(Z542)),IF(Z542&gt;=M542,(Z542-M542)*1440,""),"")</f>
        <v/>
      </c>
      <c r="AB542" s="57"/>
      <c r="AC542" s="56"/>
      <c r="AD542" s="58" t="str">
        <f aca="false">IF(AND(ISNUMBER(Z542),ISNUMBER(AC542)),IF(AC542&gt;=Z542,(AC542-Z542)*1440,""),"")</f>
        <v/>
      </c>
      <c r="AE542" s="54"/>
      <c r="AF542" s="54"/>
      <c r="AG542" s="54"/>
      <c r="AH542" s="58"/>
      <c r="AI542" s="55" t="n">
        <v>2</v>
      </c>
      <c r="AJ542" s="54" t="s">
        <v>216</v>
      </c>
      <c r="AK542" s="54" t="s">
        <v>212</v>
      </c>
    </row>
    <row r="543" customFormat="false" ht="15" hidden="false" customHeight="false" outlineLevel="0" collapsed="false">
      <c r="A543" s="54" t="s">
        <v>28</v>
      </c>
      <c r="B543" s="55" t="n">
        <v>913</v>
      </c>
      <c r="C543" s="54" t="s">
        <v>128</v>
      </c>
      <c r="D543" s="54" t="s">
        <v>212</v>
      </c>
      <c r="E543" s="54"/>
      <c r="F543" s="56" t="n">
        <v>46303.7598621065</v>
      </c>
      <c r="G543" s="54" t="s">
        <v>212</v>
      </c>
      <c r="H543" s="54" t="s">
        <v>214</v>
      </c>
      <c r="I543" s="57"/>
      <c r="J543" s="56"/>
      <c r="K543" s="56"/>
      <c r="L543" s="58" t="str">
        <f aca="false">IF(AND(ISNUMBER(J543),ISNUMBER(K543)),IF(K543&gt;=J543,(K543-J543)*1440,""),"")</f>
        <v/>
      </c>
      <c r="M543" s="56"/>
      <c r="N543" s="58" t="str">
        <f aca="false">IF(AND(ISNUMBER(J543),ISNUMBER(M543)),IF(M543&gt;=J543,(M543-J543)*1440,""),"")</f>
        <v/>
      </c>
      <c r="O543" s="54" t="str">
        <f aca="false">IF(N543="","",LOOKUP(N543,Tiempos!$A$6:$A$10,Tiempos!$B$6:$B$10))</f>
        <v/>
      </c>
      <c r="P543" s="54"/>
      <c r="Q543" s="54"/>
      <c r="R543" s="54"/>
      <c r="S543" s="54"/>
      <c r="T543" s="58"/>
      <c r="U543" s="54"/>
      <c r="V543" s="58"/>
      <c r="W543" s="57"/>
      <c r="X543" s="55"/>
      <c r="Y543" s="54"/>
      <c r="Z543" s="56"/>
      <c r="AA543" s="58" t="str">
        <f aca="false">IF(AND(ISNUMBER(M543),ISNUMBER(Z543)),IF(Z543&gt;=M543,(Z543-M543)*1440,""),"")</f>
        <v/>
      </c>
      <c r="AB543" s="57"/>
      <c r="AC543" s="56"/>
      <c r="AD543" s="58" t="str">
        <f aca="false">IF(AND(ISNUMBER(Z543),ISNUMBER(AC543)),IF(AC543&gt;=Z543,(AC543-Z543)*1440,""),"")</f>
        <v/>
      </c>
      <c r="AE543" s="54"/>
      <c r="AF543" s="54"/>
      <c r="AG543" s="54"/>
      <c r="AH543" s="58"/>
      <c r="AI543" s="55" t="n">
        <v>3</v>
      </c>
      <c r="AJ543" s="54" t="s">
        <v>216</v>
      </c>
      <c r="AK543" s="54" t="s">
        <v>212</v>
      </c>
    </row>
    <row r="544" customFormat="false" ht="15" hidden="false" customHeight="false" outlineLevel="0" collapsed="false">
      <c r="A544" s="54" t="s">
        <v>28</v>
      </c>
      <c r="B544" s="55" t="n">
        <v>918</v>
      </c>
      <c r="C544" s="54" t="s">
        <v>127</v>
      </c>
      <c r="D544" s="54" t="s">
        <v>212</v>
      </c>
      <c r="E544" s="54"/>
      <c r="F544" s="56" t="n">
        <v>46303.7732973727</v>
      </c>
      <c r="G544" s="54" t="s">
        <v>212</v>
      </c>
      <c r="H544" s="54" t="s">
        <v>214</v>
      </c>
      <c r="I544" s="57"/>
      <c r="J544" s="56"/>
      <c r="K544" s="56"/>
      <c r="L544" s="58" t="str">
        <f aca="false">IF(AND(ISNUMBER(J544),ISNUMBER(K544)),IF(K544&gt;=J544,(K544-J544)*1440,""),"")</f>
        <v/>
      </c>
      <c r="M544" s="56"/>
      <c r="N544" s="58" t="str">
        <f aca="false">IF(AND(ISNUMBER(J544),ISNUMBER(M544)),IF(M544&gt;=J544,(M544-J544)*1440,""),"")</f>
        <v/>
      </c>
      <c r="O544" s="54" t="str">
        <f aca="false">IF(N544="","",LOOKUP(N544,Tiempos!$A$6:$A$10,Tiempos!$B$6:$B$10))</f>
        <v/>
      </c>
      <c r="P544" s="54"/>
      <c r="Q544" s="54"/>
      <c r="R544" s="54"/>
      <c r="S544" s="54"/>
      <c r="T544" s="58"/>
      <c r="U544" s="54"/>
      <c r="V544" s="58"/>
      <c r="W544" s="57"/>
      <c r="X544" s="55"/>
      <c r="Y544" s="54"/>
      <c r="Z544" s="56"/>
      <c r="AA544" s="58" t="str">
        <f aca="false">IF(AND(ISNUMBER(M544),ISNUMBER(Z544)),IF(Z544&gt;=M544,(Z544-M544)*1440,""),"")</f>
        <v/>
      </c>
      <c r="AB544" s="57"/>
      <c r="AC544" s="56"/>
      <c r="AD544" s="58" t="str">
        <f aca="false">IF(AND(ISNUMBER(Z544),ISNUMBER(AC544)),IF(AC544&gt;=Z544,(AC544-Z544)*1440,""),"")</f>
        <v/>
      </c>
      <c r="AE544" s="54"/>
      <c r="AF544" s="54"/>
      <c r="AG544" s="54"/>
      <c r="AH544" s="58"/>
      <c r="AI544" s="55" t="n">
        <v>2</v>
      </c>
      <c r="AJ544" s="54" t="s">
        <v>216</v>
      </c>
      <c r="AK544" s="54" t="s">
        <v>212</v>
      </c>
    </row>
    <row r="545" customFormat="false" ht="15" hidden="false" customHeight="false" outlineLevel="0" collapsed="false">
      <c r="A545" s="54" t="s">
        <v>28</v>
      </c>
      <c r="B545" s="55" t="n">
        <v>920</v>
      </c>
      <c r="C545" s="54" t="s">
        <v>128</v>
      </c>
      <c r="D545" s="54" t="s">
        <v>214</v>
      </c>
      <c r="E545" s="54" t="s">
        <v>217</v>
      </c>
      <c r="F545" s="56" t="n">
        <v>46303.7895075579</v>
      </c>
      <c r="G545" s="54" t="s">
        <v>212</v>
      </c>
      <c r="H545" s="54" t="s">
        <v>214</v>
      </c>
      <c r="I545" s="57" t="s">
        <v>766</v>
      </c>
      <c r="J545" s="56" t="n">
        <v>46303.7922632176</v>
      </c>
      <c r="K545" s="56" t="n">
        <v>46303.7931516782</v>
      </c>
      <c r="L545" s="58" t="n">
        <f aca="false">IF(AND(ISNUMBER(J545),ISNUMBER(K545)),IF(K545&gt;=J545,(K545-J545)*1440,""),"")</f>
        <v>1.27938333665</v>
      </c>
      <c r="M545" s="56" t="n">
        <v>46303.7952621991</v>
      </c>
      <c r="N545" s="58" t="n">
        <f aca="false">IF(AND(ISNUMBER(J545),ISNUMBER(M545)),IF(M545&gt;=J545,(M545-J545)*1440,""),"")</f>
        <v>4.3185333407</v>
      </c>
      <c r="O545" s="54" t="str">
        <f aca="false">IF(N545="","",LOOKUP(N545,Tiempos!$A$6:$A$10,Tiempos!$B$6:$B$10))</f>
        <v>4 a 6 min</v>
      </c>
      <c r="P545" s="54" t="s">
        <v>244</v>
      </c>
      <c r="Q545" s="54" t="s">
        <v>214</v>
      </c>
      <c r="R545" s="54" t="s">
        <v>128</v>
      </c>
      <c r="S545" s="54" t="s">
        <v>220</v>
      </c>
      <c r="T545" s="58" t="n">
        <v>82.1</v>
      </c>
      <c r="U545" s="54" t="s">
        <v>214</v>
      </c>
      <c r="V545" s="58" t="n">
        <v>3.04</v>
      </c>
      <c r="W545" s="57" t="s">
        <v>767</v>
      </c>
      <c r="X545" s="55" t="n">
        <v>3</v>
      </c>
      <c r="Y545" s="54" t="s">
        <v>214</v>
      </c>
      <c r="Z545" s="56" t="n">
        <v>46303.8285414352</v>
      </c>
      <c r="AA545" s="58" t="n">
        <f aca="false">IF(AND(ISNUMBER(M545),ISNUMBER(Z545)),IF(Z545&gt;=M545,(Z545-M545)*1440,""),"")</f>
        <v>47.9220999847</v>
      </c>
      <c r="AB545" s="57" t="s">
        <v>768</v>
      </c>
      <c r="AC545" s="56" t="n">
        <v>46303.8366166898</v>
      </c>
      <c r="AD545" s="58" t="n">
        <f aca="false">IF(AND(ISNUMBER(Z545),ISNUMBER(AC545)),IF(AC545&gt;=Z545,(AC545-Z545)*1440,""),"")</f>
        <v>11.6283666738167</v>
      </c>
      <c r="AE545" s="54" t="s">
        <v>740</v>
      </c>
      <c r="AF545" s="54" t="s">
        <v>214</v>
      </c>
      <c r="AG545" s="54" t="s">
        <v>214</v>
      </c>
      <c r="AH545" s="58" t="n">
        <v>2.1</v>
      </c>
      <c r="AI545" s="55" t="n">
        <v>2</v>
      </c>
      <c r="AJ545" s="54" t="s">
        <v>216</v>
      </c>
      <c r="AK545" s="54" t="s">
        <v>212</v>
      </c>
    </row>
    <row r="546" customFormat="false" ht="15" hidden="false" customHeight="false" outlineLevel="0" collapsed="false">
      <c r="A546" s="54" t="s">
        <v>28</v>
      </c>
      <c r="B546" s="55" t="n">
        <v>924</v>
      </c>
      <c r="C546" s="54" t="s">
        <v>128</v>
      </c>
      <c r="D546" s="54" t="s">
        <v>214</v>
      </c>
      <c r="E546" s="54" t="s">
        <v>224</v>
      </c>
      <c r="F546" s="56" t="n">
        <v>46303.8245632176</v>
      </c>
      <c r="G546" s="54" t="s">
        <v>212</v>
      </c>
      <c r="H546" s="54" t="s">
        <v>214</v>
      </c>
      <c r="I546" s="57" t="s">
        <v>769</v>
      </c>
      <c r="J546" s="56" t="n">
        <v>46303.8262262963</v>
      </c>
      <c r="K546" s="56" t="n">
        <v>46303.8379795949</v>
      </c>
      <c r="L546" s="58" t="n">
        <f aca="false">IF(AND(ISNUMBER(J546),ISNUMBER(K546)),IF(K546&gt;=J546,(K546-J546)*1440,""),"")</f>
        <v>16.9247499899833</v>
      </c>
      <c r="M546" s="56" t="n">
        <v>46303.8416377199</v>
      </c>
      <c r="N546" s="58" t="n">
        <f aca="false">IF(AND(ISNUMBER(J546),ISNUMBER(M546)),IF(M546&gt;=J546,(M546-J546)*1440,""),"")</f>
        <v>22.19244999345</v>
      </c>
      <c r="O546" s="54" t="str">
        <f aca="false">IF(N546="","",LOOKUP(N546,Tiempos!$A$6:$A$10,Tiempos!$B$6:$B$10))</f>
        <v>10 a 30 min</v>
      </c>
      <c r="P546" s="54" t="s">
        <v>244</v>
      </c>
      <c r="Q546" s="54" t="s">
        <v>214</v>
      </c>
      <c r="R546" s="54" t="s">
        <v>128</v>
      </c>
      <c r="S546" s="54" t="s">
        <v>220</v>
      </c>
      <c r="T546" s="58" t="n">
        <v>84.1</v>
      </c>
      <c r="U546" s="54" t="s">
        <v>214</v>
      </c>
      <c r="V546" s="58" t="n">
        <v>5.27</v>
      </c>
      <c r="W546" s="57" t="s">
        <v>770</v>
      </c>
      <c r="X546" s="55" t="n">
        <v>3</v>
      </c>
      <c r="Y546" s="54" t="s">
        <v>214</v>
      </c>
      <c r="Z546" s="56" t="n">
        <v>46307.5526587847</v>
      </c>
      <c r="AA546" s="58" t="n">
        <f aca="false">IF(AND(ISNUMBER(M546),ISNUMBER(Z546)),IF(Z546&gt;=M546,(Z546-M546)*1440,""),"")</f>
        <v>5343.87033332603</v>
      </c>
      <c r="AB546" s="57" t="s">
        <v>531</v>
      </c>
      <c r="AC546" s="56" t="n">
        <v>46307.5530481366</v>
      </c>
      <c r="AD546" s="58" t="n">
        <f aca="false">IF(AND(ISNUMBER(Z546),ISNUMBER(AC546)),IF(AC546&gt;=Z546,(AC546-Z546)*1440,""),"")</f>
        <v>0.560666666116667</v>
      </c>
      <c r="AE546" s="54" t="s">
        <v>302</v>
      </c>
      <c r="AF546" s="54" t="s">
        <v>214</v>
      </c>
      <c r="AG546" s="54" t="s">
        <v>212</v>
      </c>
      <c r="AH546" s="58"/>
      <c r="AI546" s="55" t="n">
        <v>1</v>
      </c>
      <c r="AJ546" s="54" t="s">
        <v>771</v>
      </c>
      <c r="AK546" s="54" t="s">
        <v>212</v>
      </c>
    </row>
    <row r="547" customFormat="false" ht="15" hidden="false" customHeight="false" outlineLevel="0" collapsed="false">
      <c r="A547" s="54" t="s">
        <v>28</v>
      </c>
      <c r="B547" s="55" t="n">
        <v>927</v>
      </c>
      <c r="C547" s="54" t="s">
        <v>127</v>
      </c>
      <c r="D547" s="54" t="s">
        <v>212</v>
      </c>
      <c r="E547" s="54"/>
      <c r="F547" s="56" t="n">
        <v>46303.839394213</v>
      </c>
      <c r="G547" s="54" t="s">
        <v>212</v>
      </c>
      <c r="H547" s="54" t="s">
        <v>214</v>
      </c>
      <c r="I547" s="57"/>
      <c r="J547" s="56"/>
      <c r="K547" s="56"/>
      <c r="L547" s="58" t="str">
        <f aca="false">IF(AND(ISNUMBER(J547),ISNUMBER(K547)),IF(K547&gt;=J547,(K547-J547)*1440,""),"")</f>
        <v/>
      </c>
      <c r="M547" s="56"/>
      <c r="N547" s="58" t="str">
        <f aca="false">IF(AND(ISNUMBER(J547),ISNUMBER(M547)),IF(M547&gt;=J547,(M547-J547)*1440,""),"")</f>
        <v/>
      </c>
      <c r="O547" s="54" t="str">
        <f aca="false">IF(N547="","",LOOKUP(N547,Tiempos!$A$6:$A$10,Tiempos!$B$6:$B$10))</f>
        <v/>
      </c>
      <c r="P547" s="54"/>
      <c r="Q547" s="54"/>
      <c r="R547" s="54"/>
      <c r="S547" s="54"/>
      <c r="T547" s="58"/>
      <c r="U547" s="54"/>
      <c r="V547" s="58"/>
      <c r="W547" s="57"/>
      <c r="X547" s="55"/>
      <c r="Y547" s="54"/>
      <c r="Z547" s="56"/>
      <c r="AA547" s="58" t="str">
        <f aca="false">IF(AND(ISNUMBER(M547),ISNUMBER(Z547)),IF(Z547&gt;=M547,(Z547-M547)*1440,""),"")</f>
        <v/>
      </c>
      <c r="AB547" s="57"/>
      <c r="AC547" s="56"/>
      <c r="AD547" s="58" t="str">
        <f aca="false">IF(AND(ISNUMBER(Z547),ISNUMBER(AC547)),IF(AC547&gt;=Z547,(AC547-Z547)*1440,""),"")</f>
        <v/>
      </c>
      <c r="AE547" s="54"/>
      <c r="AF547" s="54"/>
      <c r="AG547" s="54"/>
      <c r="AH547" s="58"/>
      <c r="AI547" s="55" t="n">
        <v>3</v>
      </c>
      <c r="AJ547" s="54" t="s">
        <v>216</v>
      </c>
      <c r="AK547" s="54" t="s">
        <v>212</v>
      </c>
    </row>
    <row r="548" customFormat="false" ht="15" hidden="false" customHeight="false" outlineLevel="0" collapsed="false">
      <c r="A548" s="54" t="s">
        <v>28</v>
      </c>
      <c r="B548" s="55" t="n">
        <v>936</v>
      </c>
      <c r="C548" s="54" t="s">
        <v>127</v>
      </c>
      <c r="D548" s="54" t="s">
        <v>212</v>
      </c>
      <c r="E548" s="54"/>
      <c r="F548" s="56" t="n">
        <v>46303.8658998495</v>
      </c>
      <c r="G548" s="54" t="s">
        <v>212</v>
      </c>
      <c r="H548" s="54" t="s">
        <v>214</v>
      </c>
      <c r="I548" s="57"/>
      <c r="J548" s="56"/>
      <c r="K548" s="56"/>
      <c r="L548" s="58" t="str">
        <f aca="false">IF(AND(ISNUMBER(J548),ISNUMBER(K548)),IF(K548&gt;=J548,(K548-J548)*1440,""),"")</f>
        <v/>
      </c>
      <c r="M548" s="56"/>
      <c r="N548" s="58" t="str">
        <f aca="false">IF(AND(ISNUMBER(J548),ISNUMBER(M548)),IF(M548&gt;=J548,(M548-J548)*1440,""),"")</f>
        <v/>
      </c>
      <c r="O548" s="54" t="str">
        <f aca="false">IF(N548="","",LOOKUP(N548,Tiempos!$A$6:$A$10,Tiempos!$B$6:$B$10))</f>
        <v/>
      </c>
      <c r="P548" s="54"/>
      <c r="Q548" s="54"/>
      <c r="R548" s="54"/>
      <c r="S548" s="54"/>
      <c r="T548" s="58"/>
      <c r="U548" s="54"/>
      <c r="V548" s="58"/>
      <c r="W548" s="57"/>
      <c r="X548" s="55"/>
      <c r="Y548" s="54"/>
      <c r="Z548" s="56"/>
      <c r="AA548" s="58" t="str">
        <f aca="false">IF(AND(ISNUMBER(M548),ISNUMBER(Z548)),IF(Z548&gt;=M548,(Z548-M548)*1440,""),"")</f>
        <v/>
      </c>
      <c r="AB548" s="57"/>
      <c r="AC548" s="56"/>
      <c r="AD548" s="58" t="str">
        <f aca="false">IF(AND(ISNUMBER(Z548),ISNUMBER(AC548)),IF(AC548&gt;=Z548,(AC548-Z548)*1440,""),"")</f>
        <v/>
      </c>
      <c r="AE548" s="54"/>
      <c r="AF548" s="54"/>
      <c r="AG548" s="54"/>
      <c r="AH548" s="58"/>
      <c r="AI548" s="55" t="n">
        <v>2</v>
      </c>
      <c r="AJ548" s="54" t="s">
        <v>216</v>
      </c>
      <c r="AK548" s="54" t="s">
        <v>212</v>
      </c>
    </row>
    <row r="549" customFormat="false" ht="15" hidden="false" customHeight="false" outlineLevel="0" collapsed="false">
      <c r="A549" s="54" t="s">
        <v>28</v>
      </c>
      <c r="B549" s="55" t="n">
        <v>957</v>
      </c>
      <c r="C549" s="54" t="s">
        <v>127</v>
      </c>
      <c r="D549" s="54" t="s">
        <v>212</v>
      </c>
      <c r="E549" s="54"/>
      <c r="F549" s="56" t="n">
        <v>46304.3051999306</v>
      </c>
      <c r="G549" s="54" t="s">
        <v>214</v>
      </c>
      <c r="H549" s="54" t="s">
        <v>214</v>
      </c>
      <c r="I549" s="57"/>
      <c r="J549" s="56"/>
      <c r="K549" s="56"/>
      <c r="L549" s="58" t="str">
        <f aca="false">IF(AND(ISNUMBER(J549),ISNUMBER(K549)),IF(K549&gt;=J549,(K549-J549)*1440,""),"")</f>
        <v/>
      </c>
      <c r="M549" s="56"/>
      <c r="N549" s="58" t="str">
        <f aca="false">IF(AND(ISNUMBER(J549),ISNUMBER(M549)),IF(M549&gt;=J549,(M549-J549)*1440,""),"")</f>
        <v/>
      </c>
      <c r="O549" s="54" t="str">
        <f aca="false">IF(N549="","",LOOKUP(N549,Tiempos!$A$6:$A$10,Tiempos!$B$6:$B$10))</f>
        <v/>
      </c>
      <c r="P549" s="54"/>
      <c r="Q549" s="54"/>
      <c r="R549" s="54"/>
      <c r="S549" s="54"/>
      <c r="T549" s="58"/>
      <c r="U549" s="54"/>
      <c r="V549" s="58"/>
      <c r="W549" s="57"/>
      <c r="X549" s="55"/>
      <c r="Y549" s="54"/>
      <c r="Z549" s="56"/>
      <c r="AA549" s="58" t="str">
        <f aca="false">IF(AND(ISNUMBER(M549),ISNUMBER(Z549)),IF(Z549&gt;=M549,(Z549-M549)*1440,""),"")</f>
        <v/>
      </c>
      <c r="AB549" s="57"/>
      <c r="AC549" s="56"/>
      <c r="AD549" s="58" t="str">
        <f aca="false">IF(AND(ISNUMBER(Z549),ISNUMBER(AC549)),IF(AC549&gt;=Z549,(AC549-Z549)*1440,""),"")</f>
        <v/>
      </c>
      <c r="AE549" s="54"/>
      <c r="AF549" s="54"/>
      <c r="AG549" s="54"/>
      <c r="AH549" s="58"/>
      <c r="AI549" s="55" t="n">
        <v>2</v>
      </c>
      <c r="AJ549" s="54" t="s">
        <v>210</v>
      </c>
      <c r="AK549" s="54" t="s">
        <v>214</v>
      </c>
    </row>
    <row r="550" customFormat="false" ht="15" hidden="false" customHeight="false" outlineLevel="0" collapsed="false">
      <c r="A550" s="54" t="s">
        <v>28</v>
      </c>
      <c r="B550" s="55" t="n">
        <v>969</v>
      </c>
      <c r="C550" s="54" t="s">
        <v>127</v>
      </c>
      <c r="D550" s="54" t="s">
        <v>212</v>
      </c>
      <c r="E550" s="54"/>
      <c r="F550" s="56" t="n">
        <v>46304.3089058102</v>
      </c>
      <c r="G550" s="54" t="s">
        <v>214</v>
      </c>
      <c r="H550" s="54" t="s">
        <v>214</v>
      </c>
      <c r="I550" s="57"/>
      <c r="J550" s="56"/>
      <c r="K550" s="56"/>
      <c r="L550" s="58" t="str">
        <f aca="false">IF(AND(ISNUMBER(J550),ISNUMBER(K550)),IF(K550&gt;=J550,(K550-J550)*1440,""),"")</f>
        <v/>
      </c>
      <c r="M550" s="56"/>
      <c r="N550" s="58" t="str">
        <f aca="false">IF(AND(ISNUMBER(J550),ISNUMBER(M550)),IF(M550&gt;=J550,(M550-J550)*1440,""),"")</f>
        <v/>
      </c>
      <c r="O550" s="54" t="str">
        <f aca="false">IF(N550="","",LOOKUP(N550,Tiempos!$A$6:$A$10,Tiempos!$B$6:$B$10))</f>
        <v/>
      </c>
      <c r="P550" s="54"/>
      <c r="Q550" s="54"/>
      <c r="R550" s="54"/>
      <c r="S550" s="54"/>
      <c r="T550" s="58"/>
      <c r="U550" s="54"/>
      <c r="V550" s="58"/>
      <c r="W550" s="57"/>
      <c r="X550" s="55"/>
      <c r="Y550" s="54"/>
      <c r="Z550" s="56"/>
      <c r="AA550" s="58" t="str">
        <f aca="false">IF(AND(ISNUMBER(M550),ISNUMBER(Z550)),IF(Z550&gt;=M550,(Z550-M550)*1440,""),"")</f>
        <v/>
      </c>
      <c r="AB550" s="57"/>
      <c r="AC550" s="56"/>
      <c r="AD550" s="58" t="str">
        <f aca="false">IF(AND(ISNUMBER(Z550),ISNUMBER(AC550)),IF(AC550&gt;=Z550,(AC550-Z550)*1440,""),"")</f>
        <v/>
      </c>
      <c r="AE550" s="54"/>
      <c r="AF550" s="54"/>
      <c r="AG550" s="54"/>
      <c r="AH550" s="58"/>
      <c r="AI550" s="55" t="n">
        <v>2</v>
      </c>
      <c r="AJ550" s="54" t="s">
        <v>216</v>
      </c>
      <c r="AK550" s="54" t="s">
        <v>212</v>
      </c>
    </row>
    <row r="551" customFormat="false" ht="15" hidden="false" customHeight="false" outlineLevel="0" collapsed="false">
      <c r="A551" s="54" t="s">
        <v>28</v>
      </c>
      <c r="B551" s="55" t="n">
        <v>982</v>
      </c>
      <c r="C551" s="54" t="s">
        <v>127</v>
      </c>
      <c r="D551" s="54" t="s">
        <v>212</v>
      </c>
      <c r="E551" s="54"/>
      <c r="F551" s="56" t="n">
        <v>46304.3269648148</v>
      </c>
      <c r="G551" s="54" t="s">
        <v>214</v>
      </c>
      <c r="H551" s="54" t="s">
        <v>212</v>
      </c>
      <c r="I551" s="57"/>
      <c r="J551" s="56"/>
      <c r="K551" s="56"/>
      <c r="L551" s="58" t="str">
        <f aca="false">IF(AND(ISNUMBER(J551),ISNUMBER(K551)),IF(K551&gt;=J551,(K551-J551)*1440,""),"")</f>
        <v/>
      </c>
      <c r="M551" s="56"/>
      <c r="N551" s="58" t="str">
        <f aca="false">IF(AND(ISNUMBER(J551),ISNUMBER(M551)),IF(M551&gt;=J551,(M551-J551)*1440,""),"")</f>
        <v/>
      </c>
      <c r="O551" s="54" t="str">
        <f aca="false">IF(N551="","",LOOKUP(N551,Tiempos!$A$6:$A$10,Tiempos!$B$6:$B$10))</f>
        <v/>
      </c>
      <c r="P551" s="54"/>
      <c r="Q551" s="54"/>
      <c r="R551" s="54"/>
      <c r="S551" s="54"/>
      <c r="T551" s="58"/>
      <c r="U551" s="54"/>
      <c r="V551" s="58"/>
      <c r="W551" s="57"/>
      <c r="X551" s="55"/>
      <c r="Y551" s="54"/>
      <c r="Z551" s="56"/>
      <c r="AA551" s="58" t="str">
        <f aca="false">IF(AND(ISNUMBER(M551),ISNUMBER(Z551)),IF(Z551&gt;=M551,(Z551-M551)*1440,""),"")</f>
        <v/>
      </c>
      <c r="AB551" s="57"/>
      <c r="AC551" s="56"/>
      <c r="AD551" s="58" t="str">
        <f aca="false">IF(AND(ISNUMBER(Z551),ISNUMBER(AC551)),IF(AC551&gt;=Z551,(AC551-Z551)*1440,""),"")</f>
        <v/>
      </c>
      <c r="AE551" s="54"/>
      <c r="AF551" s="54"/>
      <c r="AG551" s="54"/>
      <c r="AH551" s="58"/>
      <c r="AI551" s="55" t="n">
        <v>2</v>
      </c>
      <c r="AJ551" s="54" t="s">
        <v>216</v>
      </c>
      <c r="AK551" s="54" t="s">
        <v>212</v>
      </c>
    </row>
    <row r="552" customFormat="false" ht="15" hidden="false" customHeight="false" outlineLevel="0" collapsed="false">
      <c r="A552" s="54" t="s">
        <v>28</v>
      </c>
      <c r="B552" s="55" t="n">
        <v>985</v>
      </c>
      <c r="C552" s="54" t="s">
        <v>127</v>
      </c>
      <c r="D552" s="54" t="s">
        <v>214</v>
      </c>
      <c r="E552" s="54" t="s">
        <v>278</v>
      </c>
      <c r="F552" s="56" t="n">
        <v>46304.3342204398</v>
      </c>
      <c r="G552" s="54" t="s">
        <v>212</v>
      </c>
      <c r="H552" s="54" t="s">
        <v>214</v>
      </c>
      <c r="I552" s="57" t="s">
        <v>772</v>
      </c>
      <c r="J552" s="56" t="n">
        <v>46304.3433024306</v>
      </c>
      <c r="K552" s="56" t="n">
        <v>46304.3465385185</v>
      </c>
      <c r="L552" s="58" t="n">
        <f aca="false">IF(AND(ISNUMBER(J552),ISNUMBER(K552)),IF(K552&gt;=J552,(K552-J552)*1440,""),"")</f>
        <v>4.65996665646667</v>
      </c>
      <c r="M552" s="56" t="n">
        <v>46304.3505675116</v>
      </c>
      <c r="N552" s="58" t="n">
        <f aca="false">IF(AND(ISNUMBER(J552),ISNUMBER(M552)),IF(M552&gt;=J552,(M552-J552)*1440,""),"")</f>
        <v>10.4617166449167</v>
      </c>
      <c r="O552" s="54" t="str">
        <f aca="false">IF(N552="","",LOOKUP(N552,Tiempos!$A$6:$A$10,Tiempos!$B$6:$B$10))</f>
        <v>10 a 30 min</v>
      </c>
      <c r="P552" s="54" t="s">
        <v>229</v>
      </c>
      <c r="Q552" s="54" t="s">
        <v>214</v>
      </c>
      <c r="R552" s="54" t="s">
        <v>130</v>
      </c>
      <c r="S552" s="54" t="s">
        <v>215</v>
      </c>
      <c r="T552" s="58" t="n">
        <v>113.5</v>
      </c>
      <c r="U552" s="54" t="s">
        <v>214</v>
      </c>
      <c r="V552" s="58" t="n">
        <v>5.8</v>
      </c>
      <c r="W552" s="57" t="s">
        <v>773</v>
      </c>
      <c r="X552" s="55" t="n">
        <v>2</v>
      </c>
      <c r="Y552" s="54" t="s">
        <v>212</v>
      </c>
      <c r="Z552" s="56"/>
      <c r="AA552" s="58" t="str">
        <f aca="false">IF(AND(ISNUMBER(M552),ISNUMBER(Z552)),IF(Z552&gt;=M552,(Z552-M552)*1440,""),"")</f>
        <v/>
      </c>
      <c r="AB552" s="57"/>
      <c r="AC552" s="56"/>
      <c r="AD552" s="58" t="str">
        <f aca="false">IF(AND(ISNUMBER(Z552),ISNUMBER(AC552)),IF(AC552&gt;=Z552,(AC552-Z552)*1440,""),"")</f>
        <v/>
      </c>
      <c r="AE552" s="54"/>
      <c r="AF552" s="54" t="s">
        <v>214</v>
      </c>
      <c r="AG552" s="54"/>
      <c r="AH552" s="58"/>
      <c r="AI552" s="55" t="n">
        <v>2</v>
      </c>
      <c r="AJ552" s="54" t="s">
        <v>216</v>
      </c>
      <c r="AK552" s="54" t="s">
        <v>212</v>
      </c>
    </row>
    <row r="553" customFormat="false" ht="15" hidden="false" customHeight="false" outlineLevel="0" collapsed="false">
      <c r="A553" s="54" t="s">
        <v>28</v>
      </c>
      <c r="B553" s="55" t="n">
        <v>993</v>
      </c>
      <c r="C553" s="54" t="s">
        <v>127</v>
      </c>
      <c r="D553" s="54" t="s">
        <v>214</v>
      </c>
      <c r="E553" s="54" t="s">
        <v>233</v>
      </c>
      <c r="F553" s="56" t="n">
        <v>46304.3507462037</v>
      </c>
      <c r="G553" s="54" t="s">
        <v>212</v>
      </c>
      <c r="H553" s="54" t="s">
        <v>214</v>
      </c>
      <c r="I553" s="57" t="s">
        <v>774</v>
      </c>
      <c r="J553" s="56" t="n">
        <v>46304.3550904745</v>
      </c>
      <c r="K553" s="56" t="n">
        <v>46304.3561999769</v>
      </c>
      <c r="L553" s="58" t="n">
        <f aca="false">IF(AND(ISNUMBER(J553),ISNUMBER(K553)),IF(K553&gt;=J553,(K553-J553)*1440,""),"")</f>
        <v>1.5976833226</v>
      </c>
      <c r="M553" s="56" t="n">
        <v>46304.3595772338</v>
      </c>
      <c r="N553" s="58" t="n">
        <f aca="false">IF(AND(ISNUMBER(J553),ISNUMBER(M553)),IF(M553&gt;=J553,(M553-J553)*1440,""),"")</f>
        <v>6.4609333116</v>
      </c>
      <c r="O553" s="54" t="str">
        <f aca="false">IF(N553="","",LOOKUP(N553,Tiempos!$A$6:$A$10,Tiempos!$B$6:$B$10))</f>
        <v>6 a 10 min</v>
      </c>
      <c r="P553" s="54" t="s">
        <v>485</v>
      </c>
      <c r="Q553" s="54" t="s">
        <v>214</v>
      </c>
      <c r="R553" s="54" t="s">
        <v>127</v>
      </c>
      <c r="S553" s="54" t="s">
        <v>220</v>
      </c>
      <c r="T553" s="58" t="n">
        <v>109.6</v>
      </c>
      <c r="U553" s="54" t="s">
        <v>214</v>
      </c>
      <c r="V553" s="58" t="n">
        <v>4.86</v>
      </c>
      <c r="W553" s="57" t="s">
        <v>775</v>
      </c>
      <c r="X553" s="55" t="n">
        <v>1</v>
      </c>
      <c r="Y553" s="54" t="s">
        <v>214</v>
      </c>
      <c r="Z553" s="56" t="n">
        <v>46304.3705484607</v>
      </c>
      <c r="AA553" s="58" t="n">
        <f aca="false">IF(AND(ISNUMBER(M553),ISNUMBER(Z553)),IF(Z553&gt;=M553,(Z553-M553)*1440,""),"")</f>
        <v>15.798566679</v>
      </c>
      <c r="AB553" s="57" t="s">
        <v>776</v>
      </c>
      <c r="AC553" s="56" t="n">
        <v>46304.3728646759</v>
      </c>
      <c r="AD553" s="58" t="n">
        <f aca="false">IF(AND(ISNUMBER(Z553),ISNUMBER(AC553)),IF(AC553&gt;=Z553,(AC553-Z553)*1440,""),"")</f>
        <v>3.33535000215</v>
      </c>
      <c r="AE553" s="54" t="s">
        <v>740</v>
      </c>
      <c r="AF553" s="54" t="s">
        <v>214</v>
      </c>
      <c r="AG553" s="54" t="s">
        <v>214</v>
      </c>
      <c r="AH553" s="58" t="n">
        <v>0.5</v>
      </c>
      <c r="AI553" s="55" t="n">
        <v>2</v>
      </c>
      <c r="AJ553" s="54" t="s">
        <v>216</v>
      </c>
      <c r="AK553" s="54" t="s">
        <v>212</v>
      </c>
    </row>
    <row r="554" customFormat="false" ht="15" hidden="false" customHeight="false" outlineLevel="0" collapsed="false">
      <c r="A554" s="54" t="s">
        <v>28</v>
      </c>
      <c r="B554" s="55" t="n">
        <v>1040</v>
      </c>
      <c r="C554" s="54" t="s">
        <v>129</v>
      </c>
      <c r="D554" s="54" t="s">
        <v>214</v>
      </c>
      <c r="E554" s="54" t="s">
        <v>217</v>
      </c>
      <c r="F554" s="56" t="n">
        <v>46304.5564471412</v>
      </c>
      <c r="G554" s="54" t="s">
        <v>212</v>
      </c>
      <c r="H554" s="54" t="s">
        <v>214</v>
      </c>
      <c r="I554" s="57" t="s">
        <v>777</v>
      </c>
      <c r="J554" s="56" t="n">
        <v>46304.5575157986</v>
      </c>
      <c r="K554" s="56" t="n">
        <v>46304.5579988657</v>
      </c>
      <c r="L554" s="58" t="n">
        <f aca="false">IF(AND(ISNUMBER(J554),ISNUMBER(K554)),IF(K554&gt;=J554,(K554-J554)*1440,""),"")</f>
        <v>0.69561666925</v>
      </c>
      <c r="M554" s="56" t="n">
        <v>46304.55947375</v>
      </c>
      <c r="N554" s="58" t="n">
        <f aca="false">IF(AND(ISNUMBER(J554),ISNUMBER(M554)),IF(M554&gt;=J554,(M554-J554)*1440,""),"")</f>
        <v>2.81945000168333</v>
      </c>
      <c r="O554" s="54" t="str">
        <f aca="false">IF(N554="","",LOOKUP(N554,Tiempos!$A$6:$A$10,Tiempos!$B$6:$B$10))</f>
        <v>Menos de 4 min</v>
      </c>
      <c r="P554" s="54" t="s">
        <v>219</v>
      </c>
      <c r="Q554" s="54" t="s">
        <v>214</v>
      </c>
      <c r="R554" s="54" t="s">
        <v>129</v>
      </c>
      <c r="S554" s="54" t="s">
        <v>220</v>
      </c>
      <c r="T554" s="58" t="n">
        <v>99</v>
      </c>
      <c r="U554" s="54" t="s">
        <v>214</v>
      </c>
      <c r="V554" s="58" t="n">
        <v>2.12</v>
      </c>
      <c r="W554" s="57" t="s">
        <v>778</v>
      </c>
      <c r="X554" s="55" t="n">
        <v>4</v>
      </c>
      <c r="Y554" s="54" t="s">
        <v>214</v>
      </c>
      <c r="Z554" s="56" t="n">
        <v>46304.5636728009</v>
      </c>
      <c r="AA554" s="58" t="n">
        <f aca="false">IF(AND(ISNUMBER(M554),ISNUMBER(Z554)),IF(Z554&gt;=M554,(Z554-M554)*1440,""),"")</f>
        <v>6.04663333505</v>
      </c>
      <c r="AB554" s="57" t="s">
        <v>779</v>
      </c>
      <c r="AC554" s="56" t="n">
        <v>46304.5683920023</v>
      </c>
      <c r="AD554" s="58" t="n">
        <f aca="false">IF(AND(ISNUMBER(Z554),ISNUMBER(AC554)),IF(AC554&gt;=Z554,(AC554-Z554)*1440,""),"")</f>
        <v>6.79564998833333</v>
      </c>
      <c r="AE554" s="54" t="s">
        <v>302</v>
      </c>
      <c r="AF554" s="54" t="s">
        <v>212</v>
      </c>
      <c r="AG554" s="54" t="s">
        <v>212</v>
      </c>
      <c r="AH554" s="58"/>
      <c r="AI554" s="55" t="n">
        <v>2</v>
      </c>
      <c r="AJ554" s="54" t="s">
        <v>780</v>
      </c>
      <c r="AK554" s="54" t="s">
        <v>212</v>
      </c>
    </row>
    <row r="555" customFormat="false" ht="15" hidden="false" customHeight="false" outlineLevel="0" collapsed="false">
      <c r="A555" s="54" t="s">
        <v>28</v>
      </c>
      <c r="B555" s="55" t="n">
        <v>1061</v>
      </c>
      <c r="C555" s="54" t="s">
        <v>127</v>
      </c>
      <c r="D555" s="54" t="s">
        <v>214</v>
      </c>
      <c r="E555" s="54" t="s">
        <v>233</v>
      </c>
      <c r="F555" s="56" t="n">
        <v>46304.6545874537</v>
      </c>
      <c r="G555" s="54" t="s">
        <v>212</v>
      </c>
      <c r="H555" s="54" t="s">
        <v>214</v>
      </c>
      <c r="I555" s="57" t="s">
        <v>781</v>
      </c>
      <c r="J555" s="56" t="n">
        <v>46304.6547469907</v>
      </c>
      <c r="K555" s="56" t="n">
        <v>46304.6548424653</v>
      </c>
      <c r="L555" s="58" t="n">
        <f aca="false">IF(AND(ISNUMBER(J555),ISNUMBER(K555)),IF(K555&gt;=J555,(K555-J555)*1440,""),"")</f>
        <v>0.13748333905</v>
      </c>
      <c r="M555" s="56" t="n">
        <v>46304.657342882</v>
      </c>
      <c r="N555" s="58" t="n">
        <f aca="false">IF(AND(ISNUMBER(J555),ISNUMBER(M555)),IF(M555&gt;=J555,(M555-J555)*1440,""),"")</f>
        <v>3.73808333998333</v>
      </c>
      <c r="O555" s="54" t="str">
        <f aca="false">IF(N555="","",LOOKUP(N555,Tiempos!$A$6:$A$10,Tiempos!$B$6:$B$10))</f>
        <v>Menos de 4 min</v>
      </c>
      <c r="P555" s="54" t="s">
        <v>229</v>
      </c>
      <c r="Q555" s="54" t="s">
        <v>214</v>
      </c>
      <c r="R555" s="54" t="s">
        <v>127</v>
      </c>
      <c r="S555" s="54" t="s">
        <v>220</v>
      </c>
      <c r="T555" s="58" t="n">
        <v>102.5</v>
      </c>
      <c r="U555" s="54" t="s">
        <v>214</v>
      </c>
      <c r="V555" s="58" t="n">
        <v>3.6</v>
      </c>
      <c r="W555" s="57" t="s">
        <v>782</v>
      </c>
      <c r="X555" s="55" t="n">
        <v>2</v>
      </c>
      <c r="Y555" s="54" t="s">
        <v>214</v>
      </c>
      <c r="Z555" s="56" t="n">
        <v>46304.6625153472</v>
      </c>
      <c r="AA555" s="58" t="n">
        <f aca="false">IF(AND(ISNUMBER(M555),ISNUMBER(Z555)),IF(Z555&gt;=M555,(Z555-M555)*1440,""),"")</f>
        <v>7.4483499932</v>
      </c>
      <c r="AB555" s="57" t="s">
        <v>783</v>
      </c>
      <c r="AC555" s="56" t="n">
        <v>46304.6633656829</v>
      </c>
      <c r="AD555" s="58" t="n">
        <f aca="false">IF(AND(ISNUMBER(Z555),ISNUMBER(AC555)),IF(AC555&gt;=Z555,(AC555-Z555)*1440,""),"")</f>
        <v>1.22448333771667</v>
      </c>
      <c r="AE555" s="54" t="s">
        <v>740</v>
      </c>
      <c r="AF555" s="54" t="s">
        <v>214</v>
      </c>
      <c r="AG555" s="54" t="s">
        <v>214</v>
      </c>
      <c r="AH555" s="58" t="n">
        <v>4.1</v>
      </c>
      <c r="AI555" s="55" t="n">
        <v>3</v>
      </c>
      <c r="AJ555" s="54" t="s">
        <v>216</v>
      </c>
      <c r="AK555" s="54" t="s">
        <v>212</v>
      </c>
    </row>
    <row r="556" customFormat="false" ht="15" hidden="false" customHeight="false" outlineLevel="0" collapsed="false">
      <c r="A556" s="54" t="s">
        <v>28</v>
      </c>
      <c r="B556" s="55" t="n">
        <v>1063</v>
      </c>
      <c r="C556" s="54" t="s">
        <v>127</v>
      </c>
      <c r="D556" s="54" t="s">
        <v>214</v>
      </c>
      <c r="E556" s="54" t="s">
        <v>233</v>
      </c>
      <c r="F556" s="56" t="n">
        <v>46304.6638015046</v>
      </c>
      <c r="G556" s="54" t="s">
        <v>212</v>
      </c>
      <c r="H556" s="54" t="s">
        <v>214</v>
      </c>
      <c r="I556" s="57" t="s">
        <v>784</v>
      </c>
      <c r="J556" s="56" t="n">
        <v>46304.6645652778</v>
      </c>
      <c r="K556" s="56" t="n">
        <v>46304.664735706</v>
      </c>
      <c r="L556" s="58" t="n">
        <f aca="false">IF(AND(ISNUMBER(J556),ISNUMBER(K556)),IF(K556&gt;=J556,(K556-J556)*1440,""),"")</f>
        <v>0.245416666133333</v>
      </c>
      <c r="M556" s="56" t="n">
        <v>46304.6673203935</v>
      </c>
      <c r="N556" s="58" t="n">
        <f aca="false">IF(AND(ISNUMBER(J556),ISNUMBER(M556)),IF(M556&gt;=J556,(M556-J556)*1440,""),"")</f>
        <v>3.9673666656</v>
      </c>
      <c r="O556" s="54" t="str">
        <f aca="false">IF(N556="","",LOOKUP(N556,Tiempos!$A$6:$A$10,Tiempos!$B$6:$B$10))</f>
        <v>Menos de 4 min</v>
      </c>
      <c r="P556" s="54" t="s">
        <v>229</v>
      </c>
      <c r="Q556" s="54" t="s">
        <v>214</v>
      </c>
      <c r="R556" s="54" t="s">
        <v>127</v>
      </c>
      <c r="S556" s="54" t="s">
        <v>220</v>
      </c>
      <c r="T556" s="58" t="n">
        <v>104.9</v>
      </c>
      <c r="U556" s="54" t="s">
        <v>214</v>
      </c>
      <c r="V556" s="58" t="n">
        <v>3.72</v>
      </c>
      <c r="W556" s="57" t="s">
        <v>785</v>
      </c>
      <c r="X556" s="55" t="n">
        <v>2</v>
      </c>
      <c r="Y556" s="54" t="s">
        <v>214</v>
      </c>
      <c r="Z556" s="56" t="n">
        <v>46304.6729140625</v>
      </c>
      <c r="AA556" s="58" t="n">
        <f aca="false">IF(AND(ISNUMBER(M556),ISNUMBER(Z556)),IF(Z556&gt;=M556,(Z556-M556)*1440,""),"")</f>
        <v>8.05488333455</v>
      </c>
      <c r="AB556" s="57" t="s">
        <v>786</v>
      </c>
      <c r="AC556" s="56" t="n">
        <v>46304.6734655903</v>
      </c>
      <c r="AD556" s="58" t="n">
        <f aca="false">IF(AND(ISNUMBER(Z556),ISNUMBER(AC556)),IF(AC556&gt;=Z556,(AC556-Z556)*1440,""),"")</f>
        <v>0.794199993833333</v>
      </c>
      <c r="AE556" s="54" t="s">
        <v>764</v>
      </c>
      <c r="AF556" s="54" t="s">
        <v>214</v>
      </c>
      <c r="AG556" s="54" t="s">
        <v>214</v>
      </c>
      <c r="AH556" s="58" t="n">
        <v>4.7</v>
      </c>
      <c r="AI556" s="55" t="n">
        <v>2</v>
      </c>
      <c r="AJ556" s="54" t="s">
        <v>216</v>
      </c>
      <c r="AK556" s="54" t="s">
        <v>212</v>
      </c>
    </row>
    <row r="557" customFormat="false" ht="15" hidden="false" customHeight="false" outlineLevel="0" collapsed="false">
      <c r="A557" s="54" t="s">
        <v>28</v>
      </c>
      <c r="B557" s="55" t="n">
        <v>1066</v>
      </c>
      <c r="C557" s="54" t="s">
        <v>129</v>
      </c>
      <c r="D557" s="54" t="s">
        <v>214</v>
      </c>
      <c r="E557" s="54" t="s">
        <v>278</v>
      </c>
      <c r="F557" s="56" t="n">
        <v>46304.6756765046</v>
      </c>
      <c r="G557" s="54" t="s">
        <v>212</v>
      </c>
      <c r="H557" s="54" t="s">
        <v>212</v>
      </c>
      <c r="I557" s="57" t="s">
        <v>787</v>
      </c>
      <c r="J557" s="56" t="n">
        <v>46304.6768127662</v>
      </c>
      <c r="K557" s="56" t="n">
        <v>46304.6777553819</v>
      </c>
      <c r="L557" s="58" t="n">
        <f aca="false">IF(AND(ISNUMBER(J557),ISNUMBER(K557)),IF(K557&gt;=J557,(K557-J557)*1440,""),"")</f>
        <v>1.35736665688333</v>
      </c>
      <c r="M557" s="56" t="n">
        <v>46304.6790669676</v>
      </c>
      <c r="N557" s="58" t="n">
        <f aca="false">IF(AND(ISNUMBER(J557),ISNUMBER(M557)),IF(M557&gt;=J557,(M557-J557)*1440,""),"")</f>
        <v>3.24604999156667</v>
      </c>
      <c r="O557" s="54" t="str">
        <f aca="false">IF(N557="","",LOOKUP(N557,Tiempos!$A$6:$A$10,Tiempos!$B$6:$B$10))</f>
        <v>Menos de 4 min</v>
      </c>
      <c r="P557" s="54" t="s">
        <v>219</v>
      </c>
      <c r="Q557" s="54" t="s">
        <v>214</v>
      </c>
      <c r="R557" s="54" t="s">
        <v>129</v>
      </c>
      <c r="S557" s="54" t="s">
        <v>220</v>
      </c>
      <c r="T557" s="58" t="n">
        <v>95.8</v>
      </c>
      <c r="U557" s="54" t="s">
        <v>212</v>
      </c>
      <c r="V557" s="58" t="n">
        <v>1.89</v>
      </c>
      <c r="W557" s="57" t="s">
        <v>788</v>
      </c>
      <c r="X557" s="55" t="n">
        <v>4</v>
      </c>
      <c r="Y557" s="54" t="s">
        <v>214</v>
      </c>
      <c r="Z557" s="56" t="n">
        <v>46304.7008831713</v>
      </c>
      <c r="AA557" s="58" t="n">
        <f aca="false">IF(AND(ISNUMBER(M557),ISNUMBER(Z557)),IF(Z557&gt;=M557,(Z557-M557)*1440,""),"")</f>
        <v>31.4153333462167</v>
      </c>
      <c r="AB557" s="57" t="s">
        <v>789</v>
      </c>
      <c r="AC557" s="56" t="n">
        <v>46304.7182145139</v>
      </c>
      <c r="AD557" s="58" t="n">
        <f aca="false">IF(AND(ISNUMBER(Z557),ISNUMBER(AC557)),IF(AC557&gt;=Z557,(AC557-Z557)*1440,""),"")</f>
        <v>24.95713332085</v>
      </c>
      <c r="AE557" s="54" t="s">
        <v>764</v>
      </c>
      <c r="AF557" s="54" t="s">
        <v>212</v>
      </c>
      <c r="AG557" s="54" t="s">
        <v>212</v>
      </c>
      <c r="AH557" s="58"/>
      <c r="AI557" s="55" t="n">
        <v>2</v>
      </c>
      <c r="AJ557" s="54" t="s">
        <v>216</v>
      </c>
      <c r="AK557" s="54" t="s">
        <v>212</v>
      </c>
    </row>
    <row r="558" customFormat="false" ht="15" hidden="false" customHeight="false" outlineLevel="0" collapsed="false">
      <c r="A558" s="54" t="s">
        <v>28</v>
      </c>
      <c r="B558" s="55" t="n">
        <v>1078</v>
      </c>
      <c r="C558" s="54" t="s">
        <v>127</v>
      </c>
      <c r="D558" s="54" t="s">
        <v>212</v>
      </c>
      <c r="E558" s="54"/>
      <c r="F558" s="56" t="n">
        <v>46304.7358600694</v>
      </c>
      <c r="G558" s="54" t="s">
        <v>212</v>
      </c>
      <c r="H558" s="54" t="s">
        <v>214</v>
      </c>
      <c r="I558" s="57"/>
      <c r="J558" s="56"/>
      <c r="K558" s="56"/>
      <c r="L558" s="58" t="str">
        <f aca="false">IF(AND(ISNUMBER(J558),ISNUMBER(K558)),IF(K558&gt;=J558,(K558-J558)*1440,""),"")</f>
        <v/>
      </c>
      <c r="M558" s="56"/>
      <c r="N558" s="58" t="str">
        <f aca="false">IF(AND(ISNUMBER(J558),ISNUMBER(M558)),IF(M558&gt;=J558,(M558-J558)*1440,""),"")</f>
        <v/>
      </c>
      <c r="O558" s="54" t="str">
        <f aca="false">IF(N558="","",LOOKUP(N558,Tiempos!$A$6:$A$10,Tiempos!$B$6:$B$10))</f>
        <v/>
      </c>
      <c r="P558" s="54"/>
      <c r="Q558" s="54"/>
      <c r="R558" s="54"/>
      <c r="S558" s="54"/>
      <c r="T558" s="58"/>
      <c r="U558" s="54"/>
      <c r="V558" s="58"/>
      <c r="W558" s="57"/>
      <c r="X558" s="55"/>
      <c r="Y558" s="54"/>
      <c r="Z558" s="56"/>
      <c r="AA558" s="58" t="str">
        <f aca="false">IF(AND(ISNUMBER(M558),ISNUMBER(Z558)),IF(Z558&gt;=M558,(Z558-M558)*1440,""),"")</f>
        <v/>
      </c>
      <c r="AB558" s="57"/>
      <c r="AC558" s="56"/>
      <c r="AD558" s="58" t="str">
        <f aca="false">IF(AND(ISNUMBER(Z558),ISNUMBER(AC558)),IF(AC558&gt;=Z558,(AC558-Z558)*1440,""),"")</f>
        <v/>
      </c>
      <c r="AE558" s="54"/>
      <c r="AF558" s="54"/>
      <c r="AG558" s="54"/>
      <c r="AH558" s="58"/>
      <c r="AI558" s="55" t="n">
        <v>1</v>
      </c>
      <c r="AJ558" s="54" t="s">
        <v>216</v>
      </c>
      <c r="AK558" s="54" t="s">
        <v>212</v>
      </c>
    </row>
    <row r="559" customFormat="false" ht="15" hidden="false" customHeight="false" outlineLevel="0" collapsed="false">
      <c r="A559" s="54" t="s">
        <v>28</v>
      </c>
      <c r="B559" s="55" t="n">
        <v>1133</v>
      </c>
      <c r="C559" s="54" t="s">
        <v>127</v>
      </c>
      <c r="D559" s="54" t="s">
        <v>212</v>
      </c>
      <c r="E559" s="54"/>
      <c r="F559" s="56" t="n">
        <v>46305.0320454282</v>
      </c>
      <c r="G559" s="54" t="s">
        <v>214</v>
      </c>
      <c r="H559" s="54" t="s">
        <v>214</v>
      </c>
      <c r="I559" s="57"/>
      <c r="J559" s="56"/>
      <c r="K559" s="56"/>
      <c r="L559" s="58" t="str">
        <f aca="false">IF(AND(ISNUMBER(J559),ISNUMBER(K559)),IF(K559&gt;=J559,(K559-J559)*1440,""),"")</f>
        <v/>
      </c>
      <c r="M559" s="56"/>
      <c r="N559" s="58" t="str">
        <f aca="false">IF(AND(ISNUMBER(J559),ISNUMBER(M559)),IF(M559&gt;=J559,(M559-J559)*1440,""),"")</f>
        <v/>
      </c>
      <c r="O559" s="54" t="str">
        <f aca="false">IF(N559="","",LOOKUP(N559,Tiempos!$A$6:$A$10,Tiempos!$B$6:$B$10))</f>
        <v/>
      </c>
      <c r="P559" s="54"/>
      <c r="Q559" s="54"/>
      <c r="R559" s="54"/>
      <c r="S559" s="54"/>
      <c r="T559" s="58"/>
      <c r="U559" s="54"/>
      <c r="V559" s="58"/>
      <c r="W559" s="57"/>
      <c r="X559" s="55"/>
      <c r="Y559" s="54"/>
      <c r="Z559" s="56"/>
      <c r="AA559" s="58" t="str">
        <f aca="false">IF(AND(ISNUMBER(M559),ISNUMBER(Z559)),IF(Z559&gt;=M559,(Z559-M559)*1440,""),"")</f>
        <v/>
      </c>
      <c r="AB559" s="57"/>
      <c r="AC559" s="56"/>
      <c r="AD559" s="58" t="str">
        <f aca="false">IF(AND(ISNUMBER(Z559),ISNUMBER(AC559)),IF(AC559&gt;=Z559,(AC559-Z559)*1440,""),"")</f>
        <v/>
      </c>
      <c r="AE559" s="54"/>
      <c r="AF559" s="54"/>
      <c r="AG559" s="54"/>
      <c r="AH559" s="58"/>
      <c r="AI559" s="55" t="n">
        <v>1</v>
      </c>
      <c r="AJ559" s="54" t="s">
        <v>216</v>
      </c>
      <c r="AK559" s="54" t="s">
        <v>212</v>
      </c>
    </row>
    <row r="560" customFormat="false" ht="15" hidden="false" customHeight="false" outlineLevel="0" collapsed="false">
      <c r="A560" s="54" t="s">
        <v>28</v>
      </c>
      <c r="B560" s="55" t="n">
        <v>1141</v>
      </c>
      <c r="C560" s="54" t="s">
        <v>127</v>
      </c>
      <c r="D560" s="54" t="s">
        <v>212</v>
      </c>
      <c r="E560" s="54"/>
      <c r="F560" s="56" t="n">
        <v>46305.2753858565</v>
      </c>
      <c r="G560" s="54" t="s">
        <v>214</v>
      </c>
      <c r="H560" s="54" t="s">
        <v>214</v>
      </c>
      <c r="I560" s="57"/>
      <c r="J560" s="56"/>
      <c r="K560" s="56"/>
      <c r="L560" s="58" t="str">
        <f aca="false">IF(AND(ISNUMBER(J560),ISNUMBER(K560)),IF(K560&gt;=J560,(K560-J560)*1440,""),"")</f>
        <v/>
      </c>
      <c r="M560" s="56"/>
      <c r="N560" s="58" t="str">
        <f aca="false">IF(AND(ISNUMBER(J560),ISNUMBER(M560)),IF(M560&gt;=J560,(M560-J560)*1440,""),"")</f>
        <v/>
      </c>
      <c r="O560" s="54" t="str">
        <f aca="false">IF(N560="","",LOOKUP(N560,Tiempos!$A$6:$A$10,Tiempos!$B$6:$B$10))</f>
        <v/>
      </c>
      <c r="P560" s="54"/>
      <c r="Q560" s="54"/>
      <c r="R560" s="54"/>
      <c r="S560" s="54"/>
      <c r="T560" s="58"/>
      <c r="U560" s="54"/>
      <c r="V560" s="58"/>
      <c r="W560" s="57"/>
      <c r="X560" s="55"/>
      <c r="Y560" s="54"/>
      <c r="Z560" s="56"/>
      <c r="AA560" s="58" t="str">
        <f aca="false">IF(AND(ISNUMBER(M560),ISNUMBER(Z560)),IF(Z560&gt;=M560,(Z560-M560)*1440,""),"")</f>
        <v/>
      </c>
      <c r="AB560" s="57"/>
      <c r="AC560" s="56"/>
      <c r="AD560" s="58" t="str">
        <f aca="false">IF(AND(ISNUMBER(Z560),ISNUMBER(AC560)),IF(AC560&gt;=Z560,(AC560-Z560)*1440,""),"")</f>
        <v/>
      </c>
      <c r="AE560" s="54"/>
      <c r="AF560" s="54"/>
      <c r="AG560" s="54"/>
      <c r="AH560" s="58"/>
      <c r="AI560" s="55" t="n">
        <v>1</v>
      </c>
      <c r="AJ560" s="54" t="s">
        <v>216</v>
      </c>
      <c r="AK560" s="54" t="s">
        <v>212</v>
      </c>
    </row>
    <row r="561" customFormat="false" ht="15" hidden="false" customHeight="false" outlineLevel="0" collapsed="false">
      <c r="A561" s="54" t="s">
        <v>28</v>
      </c>
      <c r="B561" s="55" t="n">
        <v>1171</v>
      </c>
      <c r="C561" s="54" t="s">
        <v>128</v>
      </c>
      <c r="D561" s="54" t="s">
        <v>214</v>
      </c>
      <c r="E561" s="54" t="s">
        <v>242</v>
      </c>
      <c r="F561" s="56" t="n">
        <v>46305.451276169</v>
      </c>
      <c r="G561" s="54" t="s">
        <v>212</v>
      </c>
      <c r="H561" s="54" t="s">
        <v>214</v>
      </c>
      <c r="I561" s="57" t="s">
        <v>790</v>
      </c>
      <c r="J561" s="56" t="n">
        <v>46305.4517328009</v>
      </c>
      <c r="K561" s="56" t="n">
        <v>46305.4529913079</v>
      </c>
      <c r="L561" s="58" t="n">
        <f aca="false">IF(AND(ISNUMBER(J561),ISNUMBER(K561)),IF(K561&gt;=J561,(K561-J561)*1440,""),"")</f>
        <v>1.81225001695</v>
      </c>
      <c r="M561" s="56" t="n">
        <v>46305.4565727894</v>
      </c>
      <c r="N561" s="58" t="n">
        <f aca="false">IF(AND(ISNUMBER(J561),ISNUMBER(M561)),IF(M561&gt;=J561,(M561-J561)*1440,""),"")</f>
        <v>6.969583343</v>
      </c>
      <c r="O561" s="54" t="str">
        <f aca="false">IF(N561="","",LOOKUP(N561,Tiempos!$A$6:$A$10,Tiempos!$B$6:$B$10))</f>
        <v>6 a 10 min</v>
      </c>
      <c r="P561" s="54" t="s">
        <v>229</v>
      </c>
      <c r="Q561" s="54" t="s">
        <v>214</v>
      </c>
      <c r="R561" s="54" t="s">
        <v>130</v>
      </c>
      <c r="S561" s="54" t="s">
        <v>215</v>
      </c>
      <c r="T561" s="58" t="n">
        <v>143.1</v>
      </c>
      <c r="U561" s="54" t="s">
        <v>214</v>
      </c>
      <c r="V561" s="58" t="n">
        <v>5.16</v>
      </c>
      <c r="W561" s="57" t="s">
        <v>316</v>
      </c>
      <c r="X561" s="55" t="n">
        <v>2</v>
      </c>
      <c r="Y561" s="54" t="s">
        <v>214</v>
      </c>
      <c r="Z561" s="56" t="n">
        <v>46305.4584332523</v>
      </c>
      <c r="AA561" s="58" t="n">
        <f aca="false">IF(AND(ISNUMBER(M561),ISNUMBER(Z561)),IF(Z561&gt;=M561,(Z561-M561)*1440,""),"")</f>
        <v>2.6790666813</v>
      </c>
      <c r="AB561" s="57" t="s">
        <v>791</v>
      </c>
      <c r="AC561" s="56" t="n">
        <v>46305.4587577199</v>
      </c>
      <c r="AD561" s="58" t="n">
        <f aca="false">IF(AND(ISNUMBER(Z561),ISNUMBER(AC561)),IF(AC561&gt;=Z561,(AC561-Z561)*1440,""),"")</f>
        <v>0.467233329533333</v>
      </c>
      <c r="AE561" s="54" t="s">
        <v>792</v>
      </c>
      <c r="AF561" s="54" t="s">
        <v>214</v>
      </c>
      <c r="AG561" s="54" t="s">
        <v>214</v>
      </c>
      <c r="AH561" s="58" t="n">
        <v>14.7</v>
      </c>
      <c r="AI561" s="55" t="n">
        <v>2</v>
      </c>
      <c r="AJ561" s="54" t="s">
        <v>216</v>
      </c>
      <c r="AK561" s="54" t="s">
        <v>212</v>
      </c>
    </row>
    <row r="562" customFormat="false" ht="15" hidden="false" customHeight="false" outlineLevel="0" collapsed="false">
      <c r="A562" s="54" t="s">
        <v>28</v>
      </c>
      <c r="B562" s="55" t="n">
        <v>1183</v>
      </c>
      <c r="C562" s="54" t="s">
        <v>129</v>
      </c>
      <c r="D562" s="54" t="s">
        <v>214</v>
      </c>
      <c r="E562" s="54" t="s">
        <v>242</v>
      </c>
      <c r="F562" s="56" t="n">
        <v>46305.5255047107</v>
      </c>
      <c r="G562" s="54" t="s">
        <v>212</v>
      </c>
      <c r="H562" s="54" t="s">
        <v>212</v>
      </c>
      <c r="I562" s="57" t="s">
        <v>793</v>
      </c>
      <c r="J562" s="56" t="n">
        <v>46305.5257911806</v>
      </c>
      <c r="K562" s="56" t="n">
        <v>46305.531975787</v>
      </c>
      <c r="L562" s="58" t="n">
        <f aca="false">IF(AND(ISNUMBER(J562),ISNUMBER(K562)),IF(K562&gt;=J562,(K562-J562)*1440,""),"")</f>
        <v>8.90583333908333</v>
      </c>
      <c r="M562" s="56" t="n">
        <v>46305.5336938657</v>
      </c>
      <c r="N562" s="58" t="n">
        <f aca="false">IF(AND(ISNUMBER(J562),ISNUMBER(M562)),IF(M562&gt;=J562,(M562-J562)*1440,""),"")</f>
        <v>11.3798666722</v>
      </c>
      <c r="O562" s="54" t="str">
        <f aca="false">IF(N562="","",LOOKUP(N562,Tiempos!$A$6:$A$10,Tiempos!$B$6:$B$10))</f>
        <v>10 a 30 min</v>
      </c>
      <c r="P562" s="54" t="s">
        <v>219</v>
      </c>
      <c r="Q562" s="54" t="s">
        <v>214</v>
      </c>
      <c r="R562" s="54" t="s">
        <v>129</v>
      </c>
      <c r="S562" s="54" t="s">
        <v>220</v>
      </c>
      <c r="T562" s="58" t="n">
        <v>93.7</v>
      </c>
      <c r="U562" s="54" t="s">
        <v>212</v>
      </c>
      <c r="V562" s="58" t="n">
        <v>2.47</v>
      </c>
      <c r="W562" s="57" t="s">
        <v>794</v>
      </c>
      <c r="X562" s="55" t="n">
        <v>4</v>
      </c>
      <c r="Y562" s="54" t="s">
        <v>214</v>
      </c>
      <c r="Z562" s="56" t="n">
        <v>46305.541407662</v>
      </c>
      <c r="AA562" s="58" t="n">
        <f aca="false">IF(AND(ISNUMBER(M562),ISNUMBER(Z562)),IF(Z562&gt;=M562,(Z562-M562)*1440,""),"")</f>
        <v>11.10786666395</v>
      </c>
      <c r="AB562" s="57" t="s">
        <v>795</v>
      </c>
      <c r="AC562" s="56" t="n">
        <v>46305.5462245486</v>
      </c>
      <c r="AD562" s="58" t="n">
        <f aca="false">IF(AND(ISNUMBER(Z562),ISNUMBER(AC562)),IF(AC562&gt;=Z562,(AC562-Z562)*1440,""),"")</f>
        <v>6.93631666945</v>
      </c>
      <c r="AE562" s="54" t="s">
        <v>764</v>
      </c>
      <c r="AF562" s="54" t="s">
        <v>212</v>
      </c>
      <c r="AG562" s="54" t="s">
        <v>212</v>
      </c>
      <c r="AH562" s="58"/>
      <c r="AI562" s="55" t="n">
        <v>2</v>
      </c>
      <c r="AJ562" s="54" t="s">
        <v>216</v>
      </c>
      <c r="AK562" s="54" t="s">
        <v>212</v>
      </c>
    </row>
    <row r="563" customFormat="false" ht="15" hidden="false" customHeight="false" outlineLevel="0" collapsed="false">
      <c r="A563" s="54" t="s">
        <v>28</v>
      </c>
      <c r="B563" s="55" t="n">
        <v>1216</v>
      </c>
      <c r="C563" s="54" t="s">
        <v>128</v>
      </c>
      <c r="D563" s="54" t="s">
        <v>214</v>
      </c>
      <c r="E563" s="54" t="s">
        <v>217</v>
      </c>
      <c r="F563" s="56" t="n">
        <v>46305.7463452199</v>
      </c>
      <c r="G563" s="54" t="s">
        <v>212</v>
      </c>
      <c r="H563" s="54" t="s">
        <v>214</v>
      </c>
      <c r="I563" s="57" t="s">
        <v>796</v>
      </c>
      <c r="J563" s="56" t="n">
        <v>46305.7475177431</v>
      </c>
      <c r="K563" s="56" t="n">
        <v>46305.747821412</v>
      </c>
      <c r="L563" s="58" t="n">
        <f aca="false">IF(AND(ISNUMBER(J563),ISNUMBER(K563)),IF(K563&gt;=J563,(K563-J563)*1440,""),"")</f>
        <v>0.437283322666667</v>
      </c>
      <c r="M563" s="56" t="n">
        <v>46305.7502698148</v>
      </c>
      <c r="N563" s="58" t="n">
        <f aca="false">IF(AND(ISNUMBER(J563),ISNUMBER(M563)),IF(M563&gt;=J563,(M563-J563)*1440,""),"")</f>
        <v>3.96298333885</v>
      </c>
      <c r="O563" s="54" t="str">
        <f aca="false">IF(N563="","",LOOKUP(N563,Tiempos!$A$6:$A$10,Tiempos!$B$6:$B$10))</f>
        <v>Menos de 4 min</v>
      </c>
      <c r="P563" s="54" t="s">
        <v>219</v>
      </c>
      <c r="Q563" s="54" t="s">
        <v>214</v>
      </c>
      <c r="R563" s="54" t="s">
        <v>128</v>
      </c>
      <c r="S563" s="54" t="s">
        <v>220</v>
      </c>
      <c r="T563" s="58" t="n">
        <v>91.9</v>
      </c>
      <c r="U563" s="54" t="s">
        <v>214</v>
      </c>
      <c r="V563" s="58" t="n">
        <v>3.53</v>
      </c>
      <c r="W563" s="57" t="s">
        <v>797</v>
      </c>
      <c r="X563" s="55" t="n">
        <v>4</v>
      </c>
      <c r="Y563" s="54" t="s">
        <v>214</v>
      </c>
      <c r="Z563" s="56" t="n">
        <v>46305.7519562616</v>
      </c>
      <c r="AA563" s="58" t="n">
        <f aca="false">IF(AND(ISNUMBER(M563),ISNUMBER(Z563)),IF(Z563&gt;=M563,(Z563-M563)*1440,""),"")</f>
        <v>2.42848332621667</v>
      </c>
      <c r="AB563" s="57" t="s">
        <v>798</v>
      </c>
      <c r="AC563" s="56" t="n">
        <v>46305.7532890046</v>
      </c>
      <c r="AD563" s="58" t="n">
        <f aca="false">IF(AND(ISNUMBER(Z563),ISNUMBER(AC563)),IF(AC563&gt;=Z563,(AC563-Z563)*1440,""),"")</f>
        <v>1.91915000206667</v>
      </c>
      <c r="AE563" s="54" t="s">
        <v>302</v>
      </c>
      <c r="AF563" s="54" t="s">
        <v>212</v>
      </c>
      <c r="AG563" s="54" t="s">
        <v>212</v>
      </c>
      <c r="AH563" s="58"/>
      <c r="AI563" s="55" t="n">
        <v>2</v>
      </c>
      <c r="AJ563" s="54" t="s">
        <v>780</v>
      </c>
      <c r="AK563" s="54" t="s">
        <v>212</v>
      </c>
    </row>
    <row r="564" customFormat="false" ht="15" hidden="false" customHeight="false" outlineLevel="0" collapsed="false">
      <c r="A564" s="54" t="s">
        <v>28</v>
      </c>
      <c r="B564" s="55" t="n">
        <v>1227</v>
      </c>
      <c r="C564" s="54" t="s">
        <v>129</v>
      </c>
      <c r="D564" s="54" t="s">
        <v>212</v>
      </c>
      <c r="E564" s="54"/>
      <c r="F564" s="56" t="n">
        <v>46305.7863939352</v>
      </c>
      <c r="G564" s="54" t="s">
        <v>212</v>
      </c>
      <c r="H564" s="54" t="s">
        <v>214</v>
      </c>
      <c r="I564" s="57"/>
      <c r="J564" s="56"/>
      <c r="K564" s="56"/>
      <c r="L564" s="58" t="str">
        <f aca="false">IF(AND(ISNUMBER(J564),ISNUMBER(K564)),IF(K564&gt;=J564,(K564-J564)*1440,""),"")</f>
        <v/>
      </c>
      <c r="M564" s="56"/>
      <c r="N564" s="58" t="str">
        <f aca="false">IF(AND(ISNUMBER(J564),ISNUMBER(M564)),IF(M564&gt;=J564,(M564-J564)*1440,""),"")</f>
        <v/>
      </c>
      <c r="O564" s="54" t="str">
        <f aca="false">IF(N564="","",LOOKUP(N564,Tiempos!$A$6:$A$10,Tiempos!$B$6:$B$10))</f>
        <v/>
      </c>
      <c r="P564" s="54"/>
      <c r="Q564" s="54"/>
      <c r="R564" s="54"/>
      <c r="S564" s="54"/>
      <c r="T564" s="58"/>
      <c r="U564" s="54"/>
      <c r="V564" s="58"/>
      <c r="W564" s="57"/>
      <c r="X564" s="55"/>
      <c r="Y564" s="54"/>
      <c r="Z564" s="56"/>
      <c r="AA564" s="58" t="str">
        <f aca="false">IF(AND(ISNUMBER(M564),ISNUMBER(Z564)),IF(Z564&gt;=M564,(Z564-M564)*1440,""),"")</f>
        <v/>
      </c>
      <c r="AB564" s="57"/>
      <c r="AC564" s="56"/>
      <c r="AD564" s="58" t="str">
        <f aca="false">IF(AND(ISNUMBER(Z564),ISNUMBER(AC564)),IF(AC564&gt;=Z564,(AC564-Z564)*1440,""),"")</f>
        <v/>
      </c>
      <c r="AE564" s="54"/>
      <c r="AF564" s="54"/>
      <c r="AG564" s="54"/>
      <c r="AH564" s="58"/>
      <c r="AI564" s="55" t="n">
        <v>2</v>
      </c>
      <c r="AJ564" s="54" t="s">
        <v>771</v>
      </c>
      <c r="AK564" s="54" t="s">
        <v>212</v>
      </c>
    </row>
    <row r="565" customFormat="false" ht="15" hidden="false" customHeight="false" outlineLevel="0" collapsed="false">
      <c r="A565" s="54" t="s">
        <v>28</v>
      </c>
      <c r="B565" s="55" t="n">
        <v>1256</v>
      </c>
      <c r="C565" s="54" t="s">
        <v>127</v>
      </c>
      <c r="D565" s="54" t="s">
        <v>212</v>
      </c>
      <c r="E565" s="54"/>
      <c r="F565" s="56" t="n">
        <v>46306.0679910417</v>
      </c>
      <c r="G565" s="54" t="s">
        <v>214</v>
      </c>
      <c r="H565" s="54" t="s">
        <v>214</v>
      </c>
      <c r="I565" s="57"/>
      <c r="J565" s="56"/>
      <c r="K565" s="56"/>
      <c r="L565" s="58" t="str">
        <f aca="false">IF(AND(ISNUMBER(J565),ISNUMBER(K565)),IF(K565&gt;=J565,(K565-J565)*1440,""),"")</f>
        <v/>
      </c>
      <c r="M565" s="56"/>
      <c r="N565" s="58" t="str">
        <f aca="false">IF(AND(ISNUMBER(J565),ISNUMBER(M565)),IF(M565&gt;=J565,(M565-J565)*1440,""),"")</f>
        <v/>
      </c>
      <c r="O565" s="54" t="str">
        <f aca="false">IF(N565="","",LOOKUP(N565,Tiempos!$A$6:$A$10,Tiempos!$B$6:$B$10))</f>
        <v/>
      </c>
      <c r="P565" s="54"/>
      <c r="Q565" s="54"/>
      <c r="R565" s="54"/>
      <c r="S565" s="54"/>
      <c r="T565" s="58"/>
      <c r="U565" s="54"/>
      <c r="V565" s="58"/>
      <c r="W565" s="57"/>
      <c r="X565" s="55"/>
      <c r="Y565" s="54"/>
      <c r="Z565" s="56"/>
      <c r="AA565" s="58" t="str">
        <f aca="false">IF(AND(ISNUMBER(M565),ISNUMBER(Z565)),IF(Z565&gt;=M565,(Z565-M565)*1440,""),"")</f>
        <v/>
      </c>
      <c r="AB565" s="57"/>
      <c r="AC565" s="56"/>
      <c r="AD565" s="58" t="str">
        <f aca="false">IF(AND(ISNUMBER(Z565),ISNUMBER(AC565)),IF(AC565&gt;=Z565,(AC565-Z565)*1440,""),"")</f>
        <v/>
      </c>
      <c r="AE565" s="54"/>
      <c r="AF565" s="54"/>
      <c r="AG565" s="54"/>
      <c r="AH565" s="58"/>
      <c r="AI565" s="55" t="n">
        <v>1</v>
      </c>
      <c r="AJ565" s="54" t="s">
        <v>216</v>
      </c>
      <c r="AK565" s="54" t="s">
        <v>212</v>
      </c>
    </row>
    <row r="566" customFormat="false" ht="15" hidden="false" customHeight="false" outlineLevel="0" collapsed="false">
      <c r="A566" s="54" t="s">
        <v>28</v>
      </c>
      <c r="B566" s="55" t="n">
        <v>1253</v>
      </c>
      <c r="C566" s="54" t="s">
        <v>127</v>
      </c>
      <c r="D566" s="54" t="s">
        <v>212</v>
      </c>
      <c r="E566" s="54"/>
      <c r="F566" s="56" t="n">
        <v>46306.2958927778</v>
      </c>
      <c r="G566" s="54" t="s">
        <v>214</v>
      </c>
      <c r="H566" s="54" t="s">
        <v>214</v>
      </c>
      <c r="I566" s="57"/>
      <c r="J566" s="56"/>
      <c r="K566" s="56"/>
      <c r="L566" s="58" t="str">
        <f aca="false">IF(AND(ISNUMBER(J566),ISNUMBER(K566)),IF(K566&gt;=J566,(K566-J566)*1440,""),"")</f>
        <v/>
      </c>
      <c r="M566" s="56"/>
      <c r="N566" s="58" t="str">
        <f aca="false">IF(AND(ISNUMBER(J566),ISNUMBER(M566)),IF(M566&gt;=J566,(M566-J566)*1440,""),"")</f>
        <v/>
      </c>
      <c r="O566" s="54" t="str">
        <f aca="false">IF(N566="","",LOOKUP(N566,Tiempos!$A$6:$A$10,Tiempos!$B$6:$B$10))</f>
        <v/>
      </c>
      <c r="P566" s="54"/>
      <c r="Q566" s="54"/>
      <c r="R566" s="54"/>
      <c r="S566" s="54"/>
      <c r="T566" s="58"/>
      <c r="U566" s="54"/>
      <c r="V566" s="58"/>
      <c r="W566" s="57"/>
      <c r="X566" s="55"/>
      <c r="Y566" s="54"/>
      <c r="Z566" s="56"/>
      <c r="AA566" s="58" t="str">
        <f aca="false">IF(AND(ISNUMBER(M566),ISNUMBER(Z566)),IF(Z566&gt;=M566,(Z566-M566)*1440,""),"")</f>
        <v/>
      </c>
      <c r="AB566" s="57"/>
      <c r="AC566" s="56"/>
      <c r="AD566" s="58" t="str">
        <f aca="false">IF(AND(ISNUMBER(Z566),ISNUMBER(AC566)),IF(AC566&gt;=Z566,(AC566-Z566)*1440,""),"")</f>
        <v/>
      </c>
      <c r="AE566" s="54"/>
      <c r="AF566" s="54"/>
      <c r="AG566" s="54"/>
      <c r="AH566" s="58"/>
      <c r="AI566" s="55" t="n">
        <v>2</v>
      </c>
      <c r="AJ566" s="54" t="s">
        <v>216</v>
      </c>
      <c r="AK566" s="54" t="s">
        <v>212</v>
      </c>
    </row>
    <row r="567" customFormat="false" ht="15" hidden="false" customHeight="false" outlineLevel="0" collapsed="false">
      <c r="A567" s="54" t="s">
        <v>28</v>
      </c>
      <c r="B567" s="55" t="n">
        <v>1356</v>
      </c>
      <c r="C567" s="54" t="s">
        <v>127</v>
      </c>
      <c r="D567" s="54" t="s">
        <v>212</v>
      </c>
      <c r="E567" s="54"/>
      <c r="F567" s="56" t="n">
        <v>46306.8740465046</v>
      </c>
      <c r="G567" s="54" t="s">
        <v>212</v>
      </c>
      <c r="H567" s="54" t="s">
        <v>214</v>
      </c>
      <c r="I567" s="57"/>
      <c r="J567" s="56"/>
      <c r="K567" s="56"/>
      <c r="L567" s="58" t="str">
        <f aca="false">IF(AND(ISNUMBER(J567),ISNUMBER(K567)),IF(K567&gt;=J567,(K567-J567)*1440,""),"")</f>
        <v/>
      </c>
      <c r="M567" s="56"/>
      <c r="N567" s="58" t="str">
        <f aca="false">IF(AND(ISNUMBER(J567),ISNUMBER(M567)),IF(M567&gt;=J567,(M567-J567)*1440,""),"")</f>
        <v/>
      </c>
      <c r="O567" s="54" t="str">
        <f aca="false">IF(N567="","",LOOKUP(N567,Tiempos!$A$6:$A$10,Tiempos!$B$6:$B$10))</f>
        <v/>
      </c>
      <c r="P567" s="54"/>
      <c r="Q567" s="54"/>
      <c r="R567" s="54"/>
      <c r="S567" s="54"/>
      <c r="T567" s="58"/>
      <c r="U567" s="54"/>
      <c r="V567" s="58"/>
      <c r="W567" s="57"/>
      <c r="X567" s="55"/>
      <c r="Y567" s="54"/>
      <c r="Z567" s="56"/>
      <c r="AA567" s="58" t="str">
        <f aca="false">IF(AND(ISNUMBER(M567),ISNUMBER(Z567)),IF(Z567&gt;=M567,(Z567-M567)*1440,""),"")</f>
        <v/>
      </c>
      <c r="AB567" s="57"/>
      <c r="AC567" s="56"/>
      <c r="AD567" s="58" t="str">
        <f aca="false">IF(AND(ISNUMBER(Z567),ISNUMBER(AC567)),IF(AC567&gt;=Z567,(AC567-Z567)*1440,""),"")</f>
        <v/>
      </c>
      <c r="AE567" s="54"/>
      <c r="AF567" s="54"/>
      <c r="AG567" s="54"/>
      <c r="AH567" s="58"/>
      <c r="AI567" s="55" t="n">
        <v>1</v>
      </c>
      <c r="AJ567" s="54" t="s">
        <v>216</v>
      </c>
      <c r="AK567" s="54" t="s">
        <v>212</v>
      </c>
    </row>
    <row r="568" customFormat="false" ht="15" hidden="false" customHeight="false" outlineLevel="0" collapsed="false">
      <c r="A568" s="54" t="s">
        <v>28</v>
      </c>
      <c r="B568" s="55" t="n">
        <v>1373</v>
      </c>
      <c r="C568" s="54" t="s">
        <v>129</v>
      </c>
      <c r="D568" s="54" t="s">
        <v>214</v>
      </c>
      <c r="E568" s="54" t="s">
        <v>217</v>
      </c>
      <c r="F568" s="56" t="n">
        <v>46306.9153728819</v>
      </c>
      <c r="G568" s="54" t="s">
        <v>212</v>
      </c>
      <c r="H568" s="54" t="s">
        <v>214</v>
      </c>
      <c r="I568" s="57" t="s">
        <v>799</v>
      </c>
      <c r="J568" s="56" t="n">
        <v>46306.9161199653</v>
      </c>
      <c r="K568" s="56" t="n">
        <v>46306.9165076273</v>
      </c>
      <c r="L568" s="58" t="n">
        <f aca="false">IF(AND(ISNUMBER(J568),ISNUMBER(K568)),IF(K568&gt;=J568,(K568-J568)*1440,""),"")</f>
        <v>0.5582333263</v>
      </c>
      <c r="M568" s="56" t="n">
        <v>46306.9177907407</v>
      </c>
      <c r="N568" s="58" t="n">
        <f aca="false">IF(AND(ISNUMBER(J568),ISNUMBER(M568)),IF(M568&gt;=J568,(M568-J568)*1440,""),"")</f>
        <v>2.40591666543333</v>
      </c>
      <c r="O568" s="54" t="str">
        <f aca="false">IF(N568="","",LOOKUP(N568,Tiempos!$A$6:$A$10,Tiempos!$B$6:$B$10))</f>
        <v>Menos de 4 min</v>
      </c>
      <c r="P568" s="54" t="s">
        <v>244</v>
      </c>
      <c r="Q568" s="54" t="s">
        <v>214</v>
      </c>
      <c r="R568" s="54" t="s">
        <v>129</v>
      </c>
      <c r="S568" s="54" t="s">
        <v>220</v>
      </c>
      <c r="T568" s="58" t="n">
        <v>104.5</v>
      </c>
      <c r="U568" s="54" t="s">
        <v>214</v>
      </c>
      <c r="V568" s="58" t="n">
        <v>1.85</v>
      </c>
      <c r="W568" s="57" t="s">
        <v>800</v>
      </c>
      <c r="X568" s="55" t="n">
        <v>3</v>
      </c>
      <c r="Y568" s="54" t="s">
        <v>214</v>
      </c>
      <c r="Z568" s="56" t="n">
        <v>46306.9221227778</v>
      </c>
      <c r="AA568" s="58" t="n">
        <f aca="false">IF(AND(ISNUMBER(M568),ISNUMBER(Z568)),IF(Z568&gt;=M568,(Z568-M568)*1440,""),"")</f>
        <v>6.23813331475</v>
      </c>
      <c r="AB568" s="57" t="s">
        <v>801</v>
      </c>
      <c r="AC568" s="56" t="n">
        <v>46307.4800498495</v>
      </c>
      <c r="AD568" s="58" t="n">
        <f aca="false">IF(AND(ISNUMBER(Z568),ISNUMBER(AC568)),IF(AC568&gt;=Z568,(AC568-Z568)*1440,""),"")</f>
        <v>803.414983351233</v>
      </c>
      <c r="AE568" s="54" t="s">
        <v>740</v>
      </c>
      <c r="AF568" s="54" t="s">
        <v>214</v>
      </c>
      <c r="AG568" s="54" t="s">
        <v>214</v>
      </c>
      <c r="AH568" s="58" t="n">
        <v>4.2</v>
      </c>
      <c r="AI568" s="55" t="n">
        <v>3</v>
      </c>
      <c r="AJ568" s="54" t="s">
        <v>216</v>
      </c>
      <c r="AK568" s="54" t="s">
        <v>212</v>
      </c>
    </row>
    <row r="569" customFormat="false" ht="15" hidden="false" customHeight="false" outlineLevel="0" collapsed="false">
      <c r="A569" s="54" t="s">
        <v>28</v>
      </c>
      <c r="B569" s="55" t="n">
        <v>1391</v>
      </c>
      <c r="C569" s="54" t="s">
        <v>127</v>
      </c>
      <c r="D569" s="54" t="s">
        <v>212</v>
      </c>
      <c r="E569" s="54"/>
      <c r="F569" s="56" t="n">
        <v>46307.0743007986</v>
      </c>
      <c r="G569" s="54" t="s">
        <v>214</v>
      </c>
      <c r="H569" s="54" t="s">
        <v>214</v>
      </c>
      <c r="I569" s="57"/>
      <c r="J569" s="56"/>
      <c r="K569" s="56"/>
      <c r="L569" s="58" t="str">
        <f aca="false">IF(AND(ISNUMBER(J569),ISNUMBER(K569)),IF(K569&gt;=J569,(K569-J569)*1440,""),"")</f>
        <v/>
      </c>
      <c r="M569" s="56"/>
      <c r="N569" s="58" t="str">
        <f aca="false">IF(AND(ISNUMBER(J569),ISNUMBER(M569)),IF(M569&gt;=J569,(M569-J569)*1440,""),"")</f>
        <v/>
      </c>
      <c r="O569" s="54" t="str">
        <f aca="false">IF(N569="","",LOOKUP(N569,Tiempos!$A$6:$A$10,Tiempos!$B$6:$B$10))</f>
        <v/>
      </c>
      <c r="P569" s="54"/>
      <c r="Q569" s="54"/>
      <c r="R569" s="54"/>
      <c r="S569" s="54"/>
      <c r="T569" s="58"/>
      <c r="U569" s="54"/>
      <c r="V569" s="58"/>
      <c r="W569" s="57"/>
      <c r="X569" s="55"/>
      <c r="Y569" s="54"/>
      <c r="Z569" s="56"/>
      <c r="AA569" s="58" t="str">
        <f aca="false">IF(AND(ISNUMBER(M569),ISNUMBER(Z569)),IF(Z569&gt;=M569,(Z569-M569)*1440,""),"")</f>
        <v/>
      </c>
      <c r="AB569" s="57"/>
      <c r="AC569" s="56"/>
      <c r="AD569" s="58" t="str">
        <f aca="false">IF(AND(ISNUMBER(Z569),ISNUMBER(AC569)),IF(AC569&gt;=Z569,(AC569-Z569)*1440,""),"")</f>
        <v/>
      </c>
      <c r="AE569" s="54"/>
      <c r="AF569" s="54"/>
      <c r="AG569" s="54"/>
      <c r="AH569" s="58"/>
      <c r="AI569" s="55" t="n">
        <v>1</v>
      </c>
      <c r="AJ569" s="54" t="s">
        <v>216</v>
      </c>
      <c r="AK569" s="54" t="s">
        <v>212</v>
      </c>
    </row>
    <row r="570" customFormat="false" ht="15" hidden="false" customHeight="false" outlineLevel="0" collapsed="false">
      <c r="A570" s="54" t="s">
        <v>28</v>
      </c>
      <c r="B570" s="55" t="n">
        <v>1406</v>
      </c>
      <c r="C570" s="54" t="s">
        <v>127</v>
      </c>
      <c r="D570" s="54" t="s">
        <v>214</v>
      </c>
      <c r="E570" s="54" t="s">
        <v>217</v>
      </c>
      <c r="F570" s="56" t="n">
        <v>46307.3336187732</v>
      </c>
      <c r="G570" s="54" t="s">
        <v>212</v>
      </c>
      <c r="H570" s="54" t="s">
        <v>212</v>
      </c>
      <c r="I570" s="57" t="s">
        <v>802</v>
      </c>
      <c r="J570" s="56" t="n">
        <v>46307.339635706</v>
      </c>
      <c r="K570" s="56" t="n">
        <v>46307.339739456</v>
      </c>
      <c r="L570" s="58" t="n">
        <f aca="false">IF(AND(ISNUMBER(J570),ISNUMBER(K570)),IF(K570&gt;=J570,(K570-J570)*1440,""),"")</f>
        <v>0.149400006033333</v>
      </c>
      <c r="M570" s="56" t="n">
        <v>46307.3479765972</v>
      </c>
      <c r="N570" s="58" t="n">
        <f aca="false">IF(AND(ISNUMBER(J570),ISNUMBER(M570)),IF(M570&gt;=J570,(M570-J570)*1440,""),"")</f>
        <v>12.0108833326833</v>
      </c>
      <c r="O570" s="54" t="str">
        <f aca="false">IF(N570="","",LOOKUP(N570,Tiempos!$A$6:$A$10,Tiempos!$B$6:$B$10))</f>
        <v>10 a 30 min</v>
      </c>
      <c r="P570" s="54" t="s">
        <v>229</v>
      </c>
      <c r="Q570" s="54" t="s">
        <v>214</v>
      </c>
      <c r="R570" s="54" t="s">
        <v>127</v>
      </c>
      <c r="S570" s="54" t="s">
        <v>220</v>
      </c>
      <c r="T570" s="58" t="n">
        <v>110.2</v>
      </c>
      <c r="U570" s="54" t="s">
        <v>212</v>
      </c>
      <c r="V570" s="58" t="n">
        <v>11.86</v>
      </c>
      <c r="W570" s="57" t="s">
        <v>803</v>
      </c>
      <c r="X570" s="55" t="n">
        <v>2</v>
      </c>
      <c r="Y570" s="54" t="s">
        <v>214</v>
      </c>
      <c r="Z570" s="56" t="n">
        <v>46307.3768191088</v>
      </c>
      <c r="AA570" s="58" t="n">
        <f aca="false">IF(AND(ISNUMBER(M570),ISNUMBER(Z570)),IF(Z570&gt;=M570,(Z570-M570)*1440,""),"")</f>
        <v>41.5332166536167</v>
      </c>
      <c r="AB570" s="57" t="s">
        <v>372</v>
      </c>
      <c r="AC570" s="56" t="n">
        <v>46307.3774555787</v>
      </c>
      <c r="AD570" s="58" t="n">
        <f aca="false">IF(AND(ISNUMBER(Z570),ISNUMBER(AC570)),IF(AC570&gt;=Z570,(AC570-Z570)*1440,""),"")</f>
        <v>0.916516677233333</v>
      </c>
      <c r="AE570" s="54" t="s">
        <v>740</v>
      </c>
      <c r="AF570" s="54" t="s">
        <v>214</v>
      </c>
      <c r="AG570" s="54" t="s">
        <v>214</v>
      </c>
      <c r="AH570" s="58" t="n">
        <v>3.6</v>
      </c>
      <c r="AI570" s="55" t="n">
        <v>2</v>
      </c>
      <c r="AJ570" s="54" t="s">
        <v>771</v>
      </c>
      <c r="AK570" s="54" t="s">
        <v>212</v>
      </c>
    </row>
    <row r="571" customFormat="false" ht="15" hidden="false" customHeight="false" outlineLevel="0" collapsed="false">
      <c r="A571" s="54" t="s">
        <v>28</v>
      </c>
      <c r="B571" s="55" t="n">
        <v>1409</v>
      </c>
      <c r="C571" s="54" t="s">
        <v>127</v>
      </c>
      <c r="D571" s="54" t="s">
        <v>214</v>
      </c>
      <c r="E571" s="54" t="s">
        <v>278</v>
      </c>
      <c r="F571" s="56" t="n">
        <v>46307.3427976736</v>
      </c>
      <c r="G571" s="54" t="s">
        <v>212</v>
      </c>
      <c r="H571" s="54" t="s">
        <v>212</v>
      </c>
      <c r="I571" s="57" t="s">
        <v>804</v>
      </c>
      <c r="J571" s="56" t="n">
        <v>46307.3436279051</v>
      </c>
      <c r="K571" s="56" t="n">
        <v>46307.3464289352</v>
      </c>
      <c r="L571" s="58" t="n">
        <f aca="false">IF(AND(ISNUMBER(J571),ISNUMBER(K571)),IF(K571&gt;=J571,(K571-J571)*1440,""),"")</f>
        <v>4.03348333783333</v>
      </c>
      <c r="M571" s="56" t="n">
        <v>46307.3512640741</v>
      </c>
      <c r="N571" s="58" t="n">
        <f aca="false">IF(AND(ISNUMBER(J571),ISNUMBER(M571)),IF(M571&gt;=J571,(M571-J571)*1440,""),"")</f>
        <v>10.99608332965</v>
      </c>
      <c r="O571" s="54" t="str">
        <f aca="false">IF(N571="","",LOOKUP(N571,Tiempos!$A$6:$A$10,Tiempos!$B$6:$B$10))</f>
        <v>10 a 30 min</v>
      </c>
      <c r="P571" s="54" t="s">
        <v>229</v>
      </c>
      <c r="Q571" s="54" t="s">
        <v>214</v>
      </c>
      <c r="R571" s="54" t="s">
        <v>130</v>
      </c>
      <c r="S571" s="54" t="s">
        <v>215</v>
      </c>
      <c r="T571" s="58" t="n">
        <v>115.5</v>
      </c>
      <c r="U571" s="54" t="s">
        <v>212</v>
      </c>
      <c r="V571" s="58" t="n">
        <v>6.96</v>
      </c>
      <c r="W571" s="57" t="s">
        <v>235</v>
      </c>
      <c r="X571" s="55" t="n">
        <v>2</v>
      </c>
      <c r="Y571" s="54" t="s">
        <v>214</v>
      </c>
      <c r="Z571" s="56" t="n">
        <v>46307.3568735532</v>
      </c>
      <c r="AA571" s="58" t="n">
        <f aca="false">IF(AND(ISNUMBER(M571),ISNUMBER(Z571)),IF(Z571&gt;=M571,(Z571-M571)*1440,""),"")</f>
        <v>8.07765000848333</v>
      </c>
      <c r="AB571" s="57" t="s">
        <v>805</v>
      </c>
      <c r="AC571" s="56" t="n">
        <v>46307.3584091088</v>
      </c>
      <c r="AD571" s="58" t="n">
        <f aca="false">IF(AND(ISNUMBER(Z571),ISNUMBER(AC571)),IF(AC571&gt;=Z571,(AC571-Z571)*1440,""),"")</f>
        <v>2.21120000466667</v>
      </c>
      <c r="AE571" s="54" t="s">
        <v>302</v>
      </c>
      <c r="AF571" s="54" t="s">
        <v>212</v>
      </c>
      <c r="AG571" s="54" t="s">
        <v>212</v>
      </c>
      <c r="AH571" s="58"/>
      <c r="AI571" s="55" t="n">
        <v>2</v>
      </c>
      <c r="AJ571" s="54" t="s">
        <v>477</v>
      </c>
      <c r="AK571" s="54" t="s">
        <v>212</v>
      </c>
    </row>
    <row r="572" customFormat="false" ht="15" hidden="false" customHeight="false" outlineLevel="0" collapsed="false">
      <c r="A572" s="54" t="s">
        <v>28</v>
      </c>
      <c r="B572" s="55" t="n">
        <v>1430</v>
      </c>
      <c r="C572" s="54" t="s">
        <v>127</v>
      </c>
      <c r="D572" s="54" t="s">
        <v>212</v>
      </c>
      <c r="E572" s="54"/>
      <c r="F572" s="56" t="n">
        <v>46307.4167160532</v>
      </c>
      <c r="G572" s="54" t="s">
        <v>212</v>
      </c>
      <c r="H572" s="54" t="s">
        <v>214</v>
      </c>
      <c r="I572" s="57"/>
      <c r="J572" s="56"/>
      <c r="K572" s="56"/>
      <c r="L572" s="58" t="str">
        <f aca="false">IF(AND(ISNUMBER(J572),ISNUMBER(K572)),IF(K572&gt;=J572,(K572-J572)*1440,""),"")</f>
        <v/>
      </c>
      <c r="M572" s="56"/>
      <c r="N572" s="58" t="str">
        <f aca="false">IF(AND(ISNUMBER(J572),ISNUMBER(M572)),IF(M572&gt;=J572,(M572-J572)*1440,""),"")</f>
        <v/>
      </c>
      <c r="O572" s="54" t="str">
        <f aca="false">IF(N572="","",LOOKUP(N572,Tiempos!$A$6:$A$10,Tiempos!$B$6:$B$10))</f>
        <v/>
      </c>
      <c r="P572" s="54"/>
      <c r="Q572" s="54"/>
      <c r="R572" s="54"/>
      <c r="S572" s="54"/>
      <c r="T572" s="58"/>
      <c r="U572" s="54"/>
      <c r="V572" s="58"/>
      <c r="W572" s="57"/>
      <c r="X572" s="55"/>
      <c r="Y572" s="54"/>
      <c r="Z572" s="56"/>
      <c r="AA572" s="58" t="str">
        <f aca="false">IF(AND(ISNUMBER(M572),ISNUMBER(Z572)),IF(Z572&gt;=M572,(Z572-M572)*1440,""),"")</f>
        <v/>
      </c>
      <c r="AB572" s="57"/>
      <c r="AC572" s="56"/>
      <c r="AD572" s="58" t="str">
        <f aca="false">IF(AND(ISNUMBER(Z572),ISNUMBER(AC572)),IF(AC572&gt;=Z572,(AC572-Z572)*1440,""),"")</f>
        <v/>
      </c>
      <c r="AE572" s="54"/>
      <c r="AF572" s="54"/>
      <c r="AG572" s="54"/>
      <c r="AH572" s="58"/>
      <c r="AI572" s="55" t="n">
        <v>2</v>
      </c>
      <c r="AJ572" s="54" t="s">
        <v>216</v>
      </c>
      <c r="AK572" s="54" t="s">
        <v>212</v>
      </c>
    </row>
    <row r="573" customFormat="false" ht="15" hidden="false" customHeight="false" outlineLevel="0" collapsed="false">
      <c r="A573" s="54" t="s">
        <v>28</v>
      </c>
      <c r="B573" s="55" t="n">
        <v>1461</v>
      </c>
      <c r="C573" s="54" t="s">
        <v>127</v>
      </c>
      <c r="D573" s="54" t="s">
        <v>214</v>
      </c>
      <c r="E573" s="54" t="s">
        <v>224</v>
      </c>
      <c r="F573" s="56" t="n">
        <v>46307.4954659838</v>
      </c>
      <c r="G573" s="54" t="s">
        <v>212</v>
      </c>
      <c r="H573" s="54" t="s">
        <v>212</v>
      </c>
      <c r="I573" s="57" t="s">
        <v>806</v>
      </c>
      <c r="J573" s="56" t="n">
        <v>46307.5195825695</v>
      </c>
      <c r="K573" s="56" t="n">
        <v>46307.5199840162</v>
      </c>
      <c r="L573" s="58" t="n">
        <f aca="false">IF(AND(ISNUMBER(J573),ISNUMBER(K573)),IF(K573&gt;=J573,(K573-J573)*1440,""),"")</f>
        <v>0.57808331795</v>
      </c>
      <c r="M573" s="56" t="n">
        <v>46307.5216463426</v>
      </c>
      <c r="N573" s="58" t="n">
        <f aca="false">IF(AND(ISNUMBER(J573),ISNUMBER(M573)),IF(M573&gt;=J573,(M573-J573)*1440,""),"")</f>
        <v>2.97183331566667</v>
      </c>
      <c r="O573" s="54" t="str">
        <f aca="false">IF(N573="","",LOOKUP(N573,Tiempos!$A$6:$A$10,Tiempos!$B$6:$B$10))</f>
        <v>Menos de 4 min</v>
      </c>
      <c r="P573" s="54" t="s">
        <v>229</v>
      </c>
      <c r="Q573" s="54" t="s">
        <v>214</v>
      </c>
      <c r="R573" s="54" t="s">
        <v>127</v>
      </c>
      <c r="S573" s="54" t="s">
        <v>220</v>
      </c>
      <c r="T573" s="58" t="n">
        <v>118</v>
      </c>
      <c r="U573" s="54" t="s">
        <v>212</v>
      </c>
      <c r="V573" s="58" t="n">
        <v>2.39</v>
      </c>
      <c r="W573" s="57" t="s">
        <v>807</v>
      </c>
      <c r="X573" s="55" t="n">
        <v>2</v>
      </c>
      <c r="Y573" s="54" t="s">
        <v>214</v>
      </c>
      <c r="Z573" s="56" t="n">
        <v>46307.5260435301</v>
      </c>
      <c r="AA573" s="58" t="n">
        <f aca="false">IF(AND(ISNUMBER(M573),ISNUMBER(Z573)),IF(Z573&gt;=M573,(Z573-M573)*1440,""),"")</f>
        <v>6.33195001863333</v>
      </c>
      <c r="AB573" s="57" t="s">
        <v>808</v>
      </c>
      <c r="AC573" s="56" t="n">
        <v>46307.5267506829</v>
      </c>
      <c r="AD573" s="58" t="n">
        <f aca="false">IF(AND(ISNUMBER(Z573),ISNUMBER(AC573)),IF(AC573&gt;=Z573,(AC573-Z573)*1440,""),"")</f>
        <v>1.01829998195</v>
      </c>
      <c r="AE573" s="54" t="s">
        <v>247</v>
      </c>
      <c r="AF573" s="54" t="s">
        <v>212</v>
      </c>
      <c r="AG573" s="54" t="s">
        <v>212</v>
      </c>
      <c r="AH573" s="58"/>
      <c r="AI573" s="55" t="n">
        <v>2</v>
      </c>
      <c r="AJ573" s="54" t="s">
        <v>216</v>
      </c>
      <c r="AK573" s="54" t="s">
        <v>212</v>
      </c>
    </row>
    <row r="574" customFormat="false" ht="15" hidden="false" customHeight="false" outlineLevel="0" collapsed="false">
      <c r="A574" s="54" t="s">
        <v>28</v>
      </c>
      <c r="B574" s="55" t="n">
        <v>1463</v>
      </c>
      <c r="C574" s="54" t="s">
        <v>127</v>
      </c>
      <c r="D574" s="54" t="s">
        <v>214</v>
      </c>
      <c r="E574" s="54" t="s">
        <v>233</v>
      </c>
      <c r="F574" s="56" t="n">
        <v>46307.5160705324</v>
      </c>
      <c r="G574" s="54" t="s">
        <v>212</v>
      </c>
      <c r="H574" s="54" t="s">
        <v>212</v>
      </c>
      <c r="I574" s="57" t="s">
        <v>809</v>
      </c>
      <c r="J574" s="56" t="n">
        <v>46307.517728206</v>
      </c>
      <c r="K574" s="56" t="n">
        <v>46307.517899294</v>
      </c>
      <c r="L574" s="58" t="n">
        <f aca="false">IF(AND(ISNUMBER(J574),ISNUMBER(K574)),IF(K574&gt;=J574,(K574-J574)*1440,""),"")</f>
        <v>0.246366660566667</v>
      </c>
      <c r="M574" s="56" t="n">
        <v>46307.5196956366</v>
      </c>
      <c r="N574" s="58" t="n">
        <f aca="false">IF(AND(ISNUMBER(J574),ISNUMBER(M574)),IF(M574&gt;=J574,(M574-J574)*1440,""),"")</f>
        <v>2.83310001481667</v>
      </c>
      <c r="O574" s="54" t="str">
        <f aca="false">IF(N574="","",LOOKUP(N574,Tiempos!$A$6:$A$10,Tiempos!$B$6:$B$10))</f>
        <v>Menos de 4 min</v>
      </c>
      <c r="P574" s="54" t="s">
        <v>229</v>
      </c>
      <c r="Q574" s="54" t="s">
        <v>214</v>
      </c>
      <c r="R574" s="54" t="s">
        <v>127</v>
      </c>
      <c r="S574" s="54" t="s">
        <v>220</v>
      </c>
      <c r="T574" s="58" t="n">
        <v>114.7</v>
      </c>
      <c r="U574" s="54" t="s">
        <v>212</v>
      </c>
      <c r="V574" s="58" t="n">
        <v>2.59</v>
      </c>
      <c r="W574" s="57" t="s">
        <v>810</v>
      </c>
      <c r="X574" s="55" t="n">
        <v>2</v>
      </c>
      <c r="Y574" s="54" t="s">
        <v>212</v>
      </c>
      <c r="Z574" s="56"/>
      <c r="AA574" s="58" t="str">
        <f aca="false">IF(AND(ISNUMBER(M574),ISNUMBER(Z574)),IF(Z574&gt;=M574,(Z574-M574)*1440,""),"")</f>
        <v/>
      </c>
      <c r="AB574" s="57"/>
      <c r="AC574" s="56"/>
      <c r="AD574" s="58" t="str">
        <f aca="false">IF(AND(ISNUMBER(Z574),ISNUMBER(AC574)),IF(AC574&gt;=Z574,(AC574-Z574)*1440,""),"")</f>
        <v/>
      </c>
      <c r="AE574" s="54"/>
      <c r="AF574" s="54" t="s">
        <v>214</v>
      </c>
      <c r="AG574" s="54"/>
      <c r="AH574" s="58"/>
      <c r="AI574" s="55" t="n">
        <v>2</v>
      </c>
      <c r="AJ574" s="54" t="s">
        <v>216</v>
      </c>
      <c r="AK574" s="54" t="s">
        <v>212</v>
      </c>
    </row>
    <row r="575" customFormat="false" ht="15" hidden="false" customHeight="false" outlineLevel="0" collapsed="false">
      <c r="A575" s="54" t="s">
        <v>28</v>
      </c>
      <c r="B575" s="55" t="n">
        <v>1500</v>
      </c>
      <c r="C575" s="54" t="s">
        <v>127</v>
      </c>
      <c r="D575" s="54" t="s">
        <v>214</v>
      </c>
      <c r="E575" s="54" t="s">
        <v>217</v>
      </c>
      <c r="F575" s="56" t="n">
        <v>46307.6315797801</v>
      </c>
      <c r="G575" s="54" t="s">
        <v>212</v>
      </c>
      <c r="H575" s="54" t="s">
        <v>214</v>
      </c>
      <c r="I575" s="57" t="s">
        <v>811</v>
      </c>
      <c r="J575" s="56" t="n">
        <v>46307.633949213</v>
      </c>
      <c r="K575" s="56" t="n">
        <v>46307.6340691782</v>
      </c>
      <c r="L575" s="58" t="n">
        <f aca="false">IF(AND(ISNUMBER(J575),ISNUMBER(K575)),IF(K575&gt;=J575,(K575-J575)*1440,""),"")</f>
        <v>0.172749997566667</v>
      </c>
      <c r="M575" s="56" t="n">
        <v>46307.6426679977</v>
      </c>
      <c r="N575" s="58" t="n">
        <f aca="false">IF(AND(ISNUMBER(J575),ISNUMBER(M575)),IF(M575&gt;=J575,(M575-J575)*1440,""),"")</f>
        <v>12.5550500024</v>
      </c>
      <c r="O575" s="54" t="str">
        <f aca="false">IF(N575="","",LOOKUP(N575,Tiempos!$A$6:$A$10,Tiempos!$B$6:$B$10))</f>
        <v>10 a 30 min</v>
      </c>
      <c r="P575" s="54" t="s">
        <v>229</v>
      </c>
      <c r="Q575" s="54" t="s">
        <v>214</v>
      </c>
      <c r="R575" s="54" t="s">
        <v>127</v>
      </c>
      <c r="S575" s="54" t="s">
        <v>220</v>
      </c>
      <c r="T575" s="58" t="n">
        <v>109.6</v>
      </c>
      <c r="U575" s="54" t="s">
        <v>214</v>
      </c>
      <c r="V575" s="58" t="n">
        <v>12.38</v>
      </c>
      <c r="W575" s="57" t="s">
        <v>812</v>
      </c>
      <c r="X575" s="55" t="n">
        <v>2</v>
      </c>
      <c r="Y575" s="54" t="s">
        <v>212</v>
      </c>
      <c r="Z575" s="56"/>
      <c r="AA575" s="58" t="str">
        <f aca="false">IF(AND(ISNUMBER(M575),ISNUMBER(Z575)),IF(Z575&gt;=M575,(Z575-M575)*1440,""),"")</f>
        <v/>
      </c>
      <c r="AB575" s="57"/>
      <c r="AC575" s="56"/>
      <c r="AD575" s="58" t="str">
        <f aca="false">IF(AND(ISNUMBER(Z575),ISNUMBER(AC575)),IF(AC575&gt;=Z575,(AC575-Z575)*1440,""),"")</f>
        <v/>
      </c>
      <c r="AE575" s="54"/>
      <c r="AF575" s="54" t="s">
        <v>214</v>
      </c>
      <c r="AG575" s="54"/>
      <c r="AH575" s="58"/>
      <c r="AI575" s="55" t="n">
        <v>2</v>
      </c>
      <c r="AJ575" s="54" t="s">
        <v>771</v>
      </c>
      <c r="AK575" s="54" t="s">
        <v>212</v>
      </c>
    </row>
    <row r="576" customFormat="false" ht="15" hidden="false" customHeight="false" outlineLevel="0" collapsed="false">
      <c r="A576" s="54" t="s">
        <v>28</v>
      </c>
      <c r="B576" s="55" t="n">
        <v>1514</v>
      </c>
      <c r="C576" s="54" t="s">
        <v>127</v>
      </c>
      <c r="D576" s="54" t="s">
        <v>212</v>
      </c>
      <c r="E576" s="54"/>
      <c r="F576" s="56" t="n">
        <v>46307.6711688889</v>
      </c>
      <c r="G576" s="54" t="s">
        <v>212</v>
      </c>
      <c r="H576" s="54" t="s">
        <v>214</v>
      </c>
      <c r="I576" s="57"/>
      <c r="J576" s="56"/>
      <c r="K576" s="56"/>
      <c r="L576" s="58" t="str">
        <f aca="false">IF(AND(ISNUMBER(J576),ISNUMBER(K576)),IF(K576&gt;=J576,(K576-J576)*1440,""),"")</f>
        <v/>
      </c>
      <c r="M576" s="56"/>
      <c r="N576" s="58" t="str">
        <f aca="false">IF(AND(ISNUMBER(J576),ISNUMBER(M576)),IF(M576&gt;=J576,(M576-J576)*1440,""),"")</f>
        <v/>
      </c>
      <c r="O576" s="54" t="str">
        <f aca="false">IF(N576="","",LOOKUP(N576,Tiempos!$A$6:$A$10,Tiempos!$B$6:$B$10))</f>
        <v/>
      </c>
      <c r="P576" s="54"/>
      <c r="Q576" s="54"/>
      <c r="R576" s="54"/>
      <c r="S576" s="54"/>
      <c r="T576" s="58"/>
      <c r="U576" s="54"/>
      <c r="V576" s="58"/>
      <c r="W576" s="57"/>
      <c r="X576" s="55"/>
      <c r="Y576" s="54"/>
      <c r="Z576" s="56"/>
      <c r="AA576" s="58" t="str">
        <f aca="false">IF(AND(ISNUMBER(M576),ISNUMBER(Z576)),IF(Z576&gt;=M576,(Z576-M576)*1440,""),"")</f>
        <v/>
      </c>
      <c r="AB576" s="57"/>
      <c r="AC576" s="56"/>
      <c r="AD576" s="58" t="str">
        <f aca="false">IF(AND(ISNUMBER(Z576),ISNUMBER(AC576)),IF(AC576&gt;=Z576,(AC576-Z576)*1440,""),"")</f>
        <v/>
      </c>
      <c r="AE576" s="54"/>
      <c r="AF576" s="54"/>
      <c r="AG576" s="54"/>
      <c r="AH576" s="58"/>
      <c r="AI576" s="55" t="n">
        <v>2</v>
      </c>
      <c r="AJ576" s="54" t="s">
        <v>216</v>
      </c>
      <c r="AK576" s="54" t="s">
        <v>212</v>
      </c>
    </row>
    <row r="577" customFormat="false" ht="15" hidden="false" customHeight="false" outlineLevel="0" collapsed="false">
      <c r="A577" s="54" t="s">
        <v>28</v>
      </c>
      <c r="B577" s="55" t="n">
        <v>1574</v>
      </c>
      <c r="C577" s="54" t="s">
        <v>127</v>
      </c>
      <c r="D577" s="54" t="s">
        <v>212</v>
      </c>
      <c r="E577" s="54"/>
      <c r="F577" s="56" t="n">
        <v>46307.9140373843</v>
      </c>
      <c r="G577" s="54" t="s">
        <v>212</v>
      </c>
      <c r="H577" s="54" t="s">
        <v>214</v>
      </c>
      <c r="I577" s="57"/>
      <c r="J577" s="56"/>
      <c r="K577" s="56"/>
      <c r="L577" s="58" t="str">
        <f aca="false">IF(AND(ISNUMBER(J577),ISNUMBER(K577)),IF(K577&gt;=J577,(K577-J577)*1440,""),"")</f>
        <v/>
      </c>
      <c r="M577" s="56"/>
      <c r="N577" s="58" t="str">
        <f aca="false">IF(AND(ISNUMBER(J577),ISNUMBER(M577)),IF(M577&gt;=J577,(M577-J577)*1440,""),"")</f>
        <v/>
      </c>
      <c r="O577" s="54" t="str">
        <f aca="false">IF(N577="","",LOOKUP(N577,Tiempos!$A$6:$A$10,Tiempos!$B$6:$B$10))</f>
        <v/>
      </c>
      <c r="P577" s="54"/>
      <c r="Q577" s="54"/>
      <c r="R577" s="54"/>
      <c r="S577" s="54"/>
      <c r="T577" s="58"/>
      <c r="U577" s="54"/>
      <c r="V577" s="58"/>
      <c r="W577" s="57"/>
      <c r="X577" s="55"/>
      <c r="Y577" s="54"/>
      <c r="Z577" s="56"/>
      <c r="AA577" s="58" t="str">
        <f aca="false">IF(AND(ISNUMBER(M577),ISNUMBER(Z577)),IF(Z577&gt;=M577,(Z577-M577)*1440,""),"")</f>
        <v/>
      </c>
      <c r="AB577" s="57"/>
      <c r="AC577" s="56"/>
      <c r="AD577" s="58" t="str">
        <f aca="false">IF(AND(ISNUMBER(Z577),ISNUMBER(AC577)),IF(AC577&gt;=Z577,(AC577-Z577)*1440,""),"")</f>
        <v/>
      </c>
      <c r="AE577" s="54"/>
      <c r="AF577" s="54"/>
      <c r="AG577" s="54"/>
      <c r="AH577" s="58"/>
      <c r="AI577" s="55" t="n">
        <v>1</v>
      </c>
      <c r="AJ577" s="54" t="s">
        <v>771</v>
      </c>
      <c r="AK577" s="54" t="s">
        <v>212</v>
      </c>
    </row>
    <row r="578" customFormat="false" ht="15" hidden="false" customHeight="false" outlineLevel="0" collapsed="false">
      <c r="A578" s="54" t="s">
        <v>28</v>
      </c>
      <c r="B578" s="55" t="n">
        <v>1583</v>
      </c>
      <c r="C578" s="54" t="s">
        <v>127</v>
      </c>
      <c r="D578" s="54" t="s">
        <v>214</v>
      </c>
      <c r="E578" s="54" t="s">
        <v>233</v>
      </c>
      <c r="F578" s="56" t="n">
        <v>46307.9171290162</v>
      </c>
      <c r="G578" s="54" t="s">
        <v>214</v>
      </c>
      <c r="H578" s="54" t="s">
        <v>212</v>
      </c>
      <c r="I578" s="57" t="s">
        <v>813</v>
      </c>
      <c r="J578" s="56" t="n">
        <v>46307.9181019097</v>
      </c>
      <c r="K578" s="56" t="n">
        <v>46308.2942564005</v>
      </c>
      <c r="L578" s="58" t="n">
        <f aca="false">IF(AND(ISNUMBER(J578),ISNUMBER(K578)),IF(K578&gt;=J578,(K578-J578)*1440,""),"")</f>
        <v>541.66246666455</v>
      </c>
      <c r="M578" s="56" t="n">
        <v>46308.2971150232</v>
      </c>
      <c r="N578" s="58" t="n">
        <f aca="false">IF(AND(ISNUMBER(J578),ISNUMBER(M578)),IF(M578&gt;=J578,(M578-J578)*1440,""),"")</f>
        <v>545.778883339367</v>
      </c>
      <c r="O578" s="54" t="str">
        <f aca="false">IF(N578="","",LOOKUP(N578,Tiempos!$A$6:$A$10,Tiempos!$B$6:$B$10))</f>
        <v>30 min o más</v>
      </c>
      <c r="P578" s="54" t="s">
        <v>229</v>
      </c>
      <c r="Q578" s="54" t="s">
        <v>214</v>
      </c>
      <c r="R578" s="54" t="s">
        <v>127</v>
      </c>
      <c r="S578" s="54" t="s">
        <v>220</v>
      </c>
      <c r="T578" s="58" t="n">
        <v>109.6</v>
      </c>
      <c r="U578" s="54" t="s">
        <v>212</v>
      </c>
      <c r="V578" s="58" t="n">
        <v>4.12</v>
      </c>
      <c r="W578" s="57" t="s">
        <v>782</v>
      </c>
      <c r="X578" s="55" t="n">
        <v>2</v>
      </c>
      <c r="Y578" s="54" t="s">
        <v>214</v>
      </c>
      <c r="Z578" s="56" t="n">
        <v>46308.4112051157</v>
      </c>
      <c r="AA578" s="58" t="n">
        <f aca="false">IF(AND(ISNUMBER(M578),ISNUMBER(Z578)),IF(Z578&gt;=M578,(Z578-M578)*1440,""),"")</f>
        <v>164.289733328617</v>
      </c>
      <c r="AB578" s="57" t="s">
        <v>814</v>
      </c>
      <c r="AC578" s="56" t="n">
        <v>46308.4116889699</v>
      </c>
      <c r="AD578" s="58" t="n">
        <f aca="false">IF(AND(ISNUMBER(Z578),ISNUMBER(AC578)),IF(AC578&gt;=Z578,(AC578-Z578)*1440,""),"")</f>
        <v>0.69674999685</v>
      </c>
      <c r="AE578" s="54" t="s">
        <v>302</v>
      </c>
      <c r="AF578" s="54" t="s">
        <v>212</v>
      </c>
      <c r="AG578" s="54" t="s">
        <v>212</v>
      </c>
      <c r="AH578" s="58"/>
      <c r="AI578" s="55" t="n">
        <v>2</v>
      </c>
      <c r="AJ578" s="54" t="s">
        <v>780</v>
      </c>
      <c r="AK578" s="54" t="s">
        <v>212</v>
      </c>
    </row>
    <row r="579" customFormat="false" ht="15" hidden="false" customHeight="false" outlineLevel="0" collapsed="false">
      <c r="A579" s="54" t="s">
        <v>28</v>
      </c>
      <c r="B579" s="55" t="n">
        <v>1585</v>
      </c>
      <c r="C579" s="54" t="s">
        <v>127</v>
      </c>
      <c r="D579" s="54" t="s">
        <v>212</v>
      </c>
      <c r="E579" s="54"/>
      <c r="F579" s="56" t="n">
        <v>46307.9433862037</v>
      </c>
      <c r="G579" s="54" t="s">
        <v>214</v>
      </c>
      <c r="H579" s="54" t="s">
        <v>214</v>
      </c>
      <c r="I579" s="57"/>
      <c r="J579" s="56"/>
      <c r="K579" s="56"/>
      <c r="L579" s="58" t="str">
        <f aca="false">IF(AND(ISNUMBER(J579),ISNUMBER(K579)),IF(K579&gt;=J579,(K579-J579)*1440,""),"")</f>
        <v/>
      </c>
      <c r="M579" s="56"/>
      <c r="N579" s="58" t="str">
        <f aca="false">IF(AND(ISNUMBER(J579),ISNUMBER(M579)),IF(M579&gt;=J579,(M579-J579)*1440,""),"")</f>
        <v/>
      </c>
      <c r="O579" s="54" t="str">
        <f aca="false">IF(N579="","",LOOKUP(N579,Tiempos!$A$6:$A$10,Tiempos!$B$6:$B$10))</f>
        <v/>
      </c>
      <c r="P579" s="54"/>
      <c r="Q579" s="54"/>
      <c r="R579" s="54"/>
      <c r="S579" s="54"/>
      <c r="T579" s="58"/>
      <c r="U579" s="54"/>
      <c r="V579" s="58"/>
      <c r="W579" s="57"/>
      <c r="X579" s="55"/>
      <c r="Y579" s="54"/>
      <c r="Z579" s="56"/>
      <c r="AA579" s="58" t="str">
        <f aca="false">IF(AND(ISNUMBER(M579),ISNUMBER(Z579)),IF(Z579&gt;=M579,(Z579-M579)*1440,""),"")</f>
        <v/>
      </c>
      <c r="AB579" s="57"/>
      <c r="AC579" s="56"/>
      <c r="AD579" s="58" t="str">
        <f aca="false">IF(AND(ISNUMBER(Z579),ISNUMBER(AC579)),IF(AC579&gt;=Z579,(AC579-Z579)*1440,""),"")</f>
        <v/>
      </c>
      <c r="AE579" s="54"/>
      <c r="AF579" s="54"/>
      <c r="AG579" s="54"/>
      <c r="AH579" s="58"/>
      <c r="AI579" s="55" t="n">
        <v>1</v>
      </c>
      <c r="AJ579" s="54" t="s">
        <v>771</v>
      </c>
      <c r="AK579" s="54" t="s">
        <v>212</v>
      </c>
    </row>
    <row r="580" customFormat="false" ht="15" hidden="false" customHeight="false" outlineLevel="0" collapsed="false">
      <c r="A580" s="54" t="s">
        <v>28</v>
      </c>
      <c r="B580" s="55" t="n">
        <v>1587</v>
      </c>
      <c r="C580" s="54" t="s">
        <v>129</v>
      </c>
      <c r="D580" s="54" t="s">
        <v>212</v>
      </c>
      <c r="E580" s="54"/>
      <c r="F580" s="56" t="n">
        <v>46307.9533049769</v>
      </c>
      <c r="G580" s="54" t="s">
        <v>214</v>
      </c>
      <c r="H580" s="54" t="s">
        <v>212</v>
      </c>
      <c r="I580" s="57"/>
      <c r="J580" s="56"/>
      <c r="K580" s="56"/>
      <c r="L580" s="58" t="str">
        <f aca="false">IF(AND(ISNUMBER(J580),ISNUMBER(K580)),IF(K580&gt;=J580,(K580-J580)*1440,""),"")</f>
        <v/>
      </c>
      <c r="M580" s="56"/>
      <c r="N580" s="58" t="str">
        <f aca="false">IF(AND(ISNUMBER(J580),ISNUMBER(M580)),IF(M580&gt;=J580,(M580-J580)*1440,""),"")</f>
        <v/>
      </c>
      <c r="O580" s="54" t="str">
        <f aca="false">IF(N580="","",LOOKUP(N580,Tiempos!$A$6:$A$10,Tiempos!$B$6:$B$10))</f>
        <v/>
      </c>
      <c r="P580" s="54"/>
      <c r="Q580" s="54"/>
      <c r="R580" s="54"/>
      <c r="S580" s="54"/>
      <c r="T580" s="58"/>
      <c r="U580" s="54"/>
      <c r="V580" s="58"/>
      <c r="W580" s="57"/>
      <c r="X580" s="55"/>
      <c r="Y580" s="54"/>
      <c r="Z580" s="56"/>
      <c r="AA580" s="58" t="str">
        <f aca="false">IF(AND(ISNUMBER(M580),ISNUMBER(Z580)),IF(Z580&gt;=M580,(Z580-M580)*1440,""),"")</f>
        <v/>
      </c>
      <c r="AB580" s="57"/>
      <c r="AC580" s="56"/>
      <c r="AD580" s="58" t="str">
        <f aca="false">IF(AND(ISNUMBER(Z580),ISNUMBER(AC580)),IF(AC580&gt;=Z580,(AC580-Z580)*1440,""),"")</f>
        <v/>
      </c>
      <c r="AE580" s="54"/>
      <c r="AF580" s="54"/>
      <c r="AG580" s="54"/>
      <c r="AH580" s="58"/>
      <c r="AI580" s="55" t="n">
        <v>6</v>
      </c>
      <c r="AJ580" s="54" t="s">
        <v>771</v>
      </c>
      <c r="AK580" s="54" t="s">
        <v>212</v>
      </c>
    </row>
    <row r="581" customFormat="false" ht="15" hidden="false" customHeight="false" outlineLevel="0" collapsed="false">
      <c r="A581" s="54" t="s">
        <v>28</v>
      </c>
      <c r="B581" s="55" t="n">
        <v>1613</v>
      </c>
      <c r="C581" s="54" t="s">
        <v>127</v>
      </c>
      <c r="D581" s="54" t="s">
        <v>214</v>
      </c>
      <c r="E581" s="54" t="s">
        <v>412</v>
      </c>
      <c r="F581" s="56" t="n">
        <v>46308.3532240625</v>
      </c>
      <c r="G581" s="54" t="s">
        <v>212</v>
      </c>
      <c r="H581" s="54" t="s">
        <v>212</v>
      </c>
      <c r="I581" s="57" t="s">
        <v>815</v>
      </c>
      <c r="J581" s="56" t="n">
        <v>46308.35445</v>
      </c>
      <c r="K581" s="56" t="n">
        <v>46308.3553168287</v>
      </c>
      <c r="L581" s="58" t="n">
        <f aca="false">IF(AND(ISNUMBER(J581),ISNUMBER(K581)),IF(K581&gt;=J581,(K581-J581)*1440,""),"")</f>
        <v>1.24823333461667</v>
      </c>
      <c r="M581" s="56" t="n">
        <v>46308.3570530208</v>
      </c>
      <c r="N581" s="58" t="n">
        <f aca="false">IF(AND(ISNUMBER(J581),ISNUMBER(M581)),IF(M581&gt;=J581,(M581-J581)*1440,""),"")</f>
        <v>3.7483499979</v>
      </c>
      <c r="O581" s="54" t="str">
        <f aca="false">IF(N581="","",LOOKUP(N581,Tiempos!$A$6:$A$10,Tiempos!$B$6:$B$10))</f>
        <v>Menos de 4 min</v>
      </c>
      <c r="P581" s="54" t="s">
        <v>229</v>
      </c>
      <c r="Q581" s="54" t="s">
        <v>214</v>
      </c>
      <c r="R581" s="54" t="s">
        <v>127</v>
      </c>
      <c r="S581" s="54" t="s">
        <v>220</v>
      </c>
      <c r="T581" s="58" t="n">
        <v>110.3</v>
      </c>
      <c r="U581" s="54" t="s">
        <v>212</v>
      </c>
      <c r="V581" s="58" t="n">
        <v>2.5</v>
      </c>
      <c r="W581" s="57" t="s">
        <v>816</v>
      </c>
      <c r="X581" s="55" t="n">
        <v>2</v>
      </c>
      <c r="Y581" s="54" t="s">
        <v>214</v>
      </c>
      <c r="Z581" s="56" t="n">
        <v>46309.5476930787</v>
      </c>
      <c r="AA581" s="58" t="n">
        <f aca="false">IF(AND(ISNUMBER(M581),ISNUMBER(Z581)),IF(Z581&gt;=M581,(Z581-M581)*1440,""),"")</f>
        <v>1714.52168332762</v>
      </c>
      <c r="AB581" s="57" t="s">
        <v>531</v>
      </c>
      <c r="AC581" s="56" t="n">
        <v>46309.6348691898</v>
      </c>
      <c r="AD581" s="58" t="n">
        <f aca="false">IF(AND(ISNUMBER(Z581),ISNUMBER(AC581)),IF(AC581&gt;=Z581,(AC581-Z581)*1440,""),"")</f>
        <v>125.533600011833</v>
      </c>
      <c r="AE581" s="54" t="s">
        <v>817</v>
      </c>
      <c r="AF581" s="54" t="s">
        <v>214</v>
      </c>
      <c r="AG581" s="54" t="s">
        <v>212</v>
      </c>
      <c r="AH581" s="58"/>
      <c r="AI581" s="55" t="n">
        <v>2</v>
      </c>
      <c r="AJ581" s="54" t="s">
        <v>818</v>
      </c>
      <c r="AK581" s="54" t="s">
        <v>212</v>
      </c>
    </row>
    <row r="582" customFormat="false" ht="15" hidden="false" customHeight="false" outlineLevel="0" collapsed="false">
      <c r="A582" s="54" t="s">
        <v>28</v>
      </c>
      <c r="B582" s="55" t="n">
        <v>1643</v>
      </c>
      <c r="C582" s="54" t="s">
        <v>127</v>
      </c>
      <c r="D582" s="54" t="s">
        <v>212</v>
      </c>
      <c r="E582" s="54"/>
      <c r="F582" s="56" t="n">
        <v>46308.4775271644</v>
      </c>
      <c r="G582" s="54" t="s">
        <v>212</v>
      </c>
      <c r="H582" s="54" t="s">
        <v>214</v>
      </c>
      <c r="I582" s="57"/>
      <c r="J582" s="56"/>
      <c r="K582" s="56"/>
      <c r="L582" s="58" t="str">
        <f aca="false">IF(AND(ISNUMBER(J582),ISNUMBER(K582)),IF(K582&gt;=J582,(K582-J582)*1440,""),"")</f>
        <v/>
      </c>
      <c r="M582" s="56"/>
      <c r="N582" s="58" t="str">
        <f aca="false">IF(AND(ISNUMBER(J582),ISNUMBER(M582)),IF(M582&gt;=J582,(M582-J582)*1440,""),"")</f>
        <v/>
      </c>
      <c r="O582" s="54" t="str">
        <f aca="false">IF(N582="","",LOOKUP(N582,Tiempos!$A$6:$A$10,Tiempos!$B$6:$B$10))</f>
        <v/>
      </c>
      <c r="P582" s="54"/>
      <c r="Q582" s="54"/>
      <c r="R582" s="54"/>
      <c r="S582" s="54"/>
      <c r="T582" s="58"/>
      <c r="U582" s="54"/>
      <c r="V582" s="58"/>
      <c r="W582" s="57"/>
      <c r="X582" s="55"/>
      <c r="Y582" s="54"/>
      <c r="Z582" s="56"/>
      <c r="AA582" s="58" t="str">
        <f aca="false">IF(AND(ISNUMBER(M582),ISNUMBER(Z582)),IF(Z582&gt;=M582,(Z582-M582)*1440,""),"")</f>
        <v/>
      </c>
      <c r="AB582" s="57"/>
      <c r="AC582" s="56"/>
      <c r="AD582" s="58" t="str">
        <f aca="false">IF(AND(ISNUMBER(Z582),ISNUMBER(AC582)),IF(AC582&gt;=Z582,(AC582-Z582)*1440,""),"")</f>
        <v/>
      </c>
      <c r="AE582" s="54"/>
      <c r="AF582" s="54"/>
      <c r="AG582" s="54"/>
      <c r="AH582" s="58"/>
      <c r="AI582" s="55" t="n">
        <v>2</v>
      </c>
      <c r="AJ582" s="54" t="s">
        <v>771</v>
      </c>
      <c r="AK582" s="54" t="s">
        <v>212</v>
      </c>
    </row>
    <row r="583" customFormat="false" ht="15" hidden="false" customHeight="false" outlineLevel="0" collapsed="false">
      <c r="A583" s="54" t="s">
        <v>28</v>
      </c>
      <c r="B583" s="55" t="n">
        <v>1642</v>
      </c>
      <c r="C583" s="54" t="s">
        <v>127</v>
      </c>
      <c r="D583" s="54" t="s">
        <v>212</v>
      </c>
      <c r="E583" s="54"/>
      <c r="F583" s="56" t="n">
        <v>46308.4979871065</v>
      </c>
      <c r="G583" s="54" t="s">
        <v>212</v>
      </c>
      <c r="H583" s="54" t="s">
        <v>212</v>
      </c>
      <c r="I583" s="57"/>
      <c r="J583" s="56"/>
      <c r="K583" s="56"/>
      <c r="L583" s="58" t="str">
        <f aca="false">IF(AND(ISNUMBER(J583),ISNUMBER(K583)),IF(K583&gt;=J583,(K583-J583)*1440,""),"")</f>
        <v/>
      </c>
      <c r="M583" s="56"/>
      <c r="N583" s="58" t="str">
        <f aca="false">IF(AND(ISNUMBER(J583),ISNUMBER(M583)),IF(M583&gt;=J583,(M583-J583)*1440,""),"")</f>
        <v/>
      </c>
      <c r="O583" s="54" t="str">
        <f aca="false">IF(N583="","",LOOKUP(N583,Tiempos!$A$6:$A$10,Tiempos!$B$6:$B$10))</f>
        <v/>
      </c>
      <c r="P583" s="54"/>
      <c r="Q583" s="54"/>
      <c r="R583" s="54"/>
      <c r="S583" s="54"/>
      <c r="T583" s="58"/>
      <c r="U583" s="54"/>
      <c r="V583" s="58"/>
      <c r="W583" s="57"/>
      <c r="X583" s="55"/>
      <c r="Y583" s="54"/>
      <c r="Z583" s="56"/>
      <c r="AA583" s="58" t="str">
        <f aca="false">IF(AND(ISNUMBER(M583),ISNUMBER(Z583)),IF(Z583&gt;=M583,(Z583-M583)*1440,""),"")</f>
        <v/>
      </c>
      <c r="AB583" s="57"/>
      <c r="AC583" s="56"/>
      <c r="AD583" s="58" t="str">
        <f aca="false">IF(AND(ISNUMBER(Z583),ISNUMBER(AC583)),IF(AC583&gt;=Z583,(AC583-Z583)*1440,""),"")</f>
        <v/>
      </c>
      <c r="AE583" s="54"/>
      <c r="AF583" s="54"/>
      <c r="AG583" s="54"/>
      <c r="AH583" s="58"/>
      <c r="AI583" s="55" t="n">
        <v>1</v>
      </c>
      <c r="AJ583" s="54" t="s">
        <v>771</v>
      </c>
      <c r="AK583" s="54" t="s">
        <v>212</v>
      </c>
    </row>
    <row r="584" customFormat="false" ht="15" hidden="false" customHeight="false" outlineLevel="0" collapsed="false">
      <c r="A584" s="54" t="s">
        <v>28</v>
      </c>
      <c r="B584" s="55" t="n">
        <v>1685</v>
      </c>
      <c r="C584" s="54" t="s">
        <v>129</v>
      </c>
      <c r="D584" s="54" t="s">
        <v>212</v>
      </c>
      <c r="E584" s="54"/>
      <c r="F584" s="56" t="n">
        <v>46308.6788806597</v>
      </c>
      <c r="G584" s="54" t="s">
        <v>212</v>
      </c>
      <c r="H584" s="54" t="s">
        <v>212</v>
      </c>
      <c r="I584" s="57"/>
      <c r="J584" s="56"/>
      <c r="K584" s="56"/>
      <c r="L584" s="58" t="str">
        <f aca="false">IF(AND(ISNUMBER(J584),ISNUMBER(K584)),IF(K584&gt;=J584,(K584-J584)*1440,""),"")</f>
        <v/>
      </c>
      <c r="M584" s="56"/>
      <c r="N584" s="58" t="str">
        <f aca="false">IF(AND(ISNUMBER(J584),ISNUMBER(M584)),IF(M584&gt;=J584,(M584-J584)*1440,""),"")</f>
        <v/>
      </c>
      <c r="O584" s="54" t="str">
        <f aca="false">IF(N584="","",LOOKUP(N584,Tiempos!$A$6:$A$10,Tiempos!$B$6:$B$10))</f>
        <v/>
      </c>
      <c r="P584" s="54"/>
      <c r="Q584" s="54"/>
      <c r="R584" s="54"/>
      <c r="S584" s="54"/>
      <c r="T584" s="58"/>
      <c r="U584" s="54"/>
      <c r="V584" s="58"/>
      <c r="W584" s="57"/>
      <c r="X584" s="55"/>
      <c r="Y584" s="54"/>
      <c r="Z584" s="56"/>
      <c r="AA584" s="58" t="str">
        <f aca="false">IF(AND(ISNUMBER(M584),ISNUMBER(Z584)),IF(Z584&gt;=M584,(Z584-M584)*1440,""),"")</f>
        <v/>
      </c>
      <c r="AB584" s="57"/>
      <c r="AC584" s="56"/>
      <c r="AD584" s="58" t="str">
        <f aca="false">IF(AND(ISNUMBER(Z584),ISNUMBER(AC584)),IF(AC584&gt;=Z584,(AC584-Z584)*1440,""),"")</f>
        <v/>
      </c>
      <c r="AE584" s="54"/>
      <c r="AF584" s="54"/>
      <c r="AG584" s="54"/>
      <c r="AH584" s="58"/>
      <c r="AI584" s="55" t="n">
        <v>2</v>
      </c>
      <c r="AJ584" s="54" t="s">
        <v>771</v>
      </c>
      <c r="AK584" s="54" t="s">
        <v>212</v>
      </c>
    </row>
    <row r="585" customFormat="false" ht="15" hidden="false" customHeight="false" outlineLevel="0" collapsed="false">
      <c r="A585" s="54" t="s">
        <v>28</v>
      </c>
      <c r="B585" s="55" t="n">
        <v>1693</v>
      </c>
      <c r="C585" s="54" t="s">
        <v>129</v>
      </c>
      <c r="D585" s="54" t="s">
        <v>214</v>
      </c>
      <c r="E585" s="54" t="s">
        <v>289</v>
      </c>
      <c r="F585" s="56" t="n">
        <v>46308.6954379977</v>
      </c>
      <c r="G585" s="54" t="s">
        <v>212</v>
      </c>
      <c r="H585" s="54" t="s">
        <v>214</v>
      </c>
      <c r="I585" s="57" t="s">
        <v>819</v>
      </c>
      <c r="J585" s="56" t="n">
        <v>46308.6961645833</v>
      </c>
      <c r="K585" s="56" t="n">
        <v>46308.6970971991</v>
      </c>
      <c r="L585" s="58" t="n">
        <f aca="false">IF(AND(ISNUMBER(J585),ISNUMBER(K585)),IF(K585&gt;=J585,(K585-J585)*1440,""),"")</f>
        <v>1.34296664151667</v>
      </c>
      <c r="M585" s="56" t="n">
        <v>46308.6970971991</v>
      </c>
      <c r="N585" s="58" t="n">
        <f aca="false">IF(AND(ISNUMBER(J585),ISNUMBER(M585)),IF(M585&gt;=J585,(M585-J585)*1440,""),"")</f>
        <v>1.34296664151667</v>
      </c>
      <c r="O585" s="54" t="str">
        <f aca="false">IF(N585="","",LOOKUP(N585,Tiempos!$A$6:$A$10,Tiempos!$B$6:$B$10))</f>
        <v>Menos de 4 min</v>
      </c>
      <c r="P585" s="54" t="s">
        <v>226</v>
      </c>
      <c r="Q585" s="54" t="s">
        <v>212</v>
      </c>
      <c r="R585" s="54" t="s">
        <v>129</v>
      </c>
      <c r="S585" s="54" t="s">
        <v>220</v>
      </c>
      <c r="T585" s="58"/>
      <c r="U585" s="54"/>
      <c r="V585" s="58"/>
      <c r="W585" s="57"/>
      <c r="X585" s="55" t="n">
        <v>0</v>
      </c>
      <c r="Y585" s="54" t="s">
        <v>214</v>
      </c>
      <c r="Z585" s="56" t="n">
        <v>46308.697482963</v>
      </c>
      <c r="AA585" s="58" t="n">
        <f aca="false">IF(AND(ISNUMBER(M585),ISNUMBER(Z585)),IF(Z585&gt;=M585,(Z585-M585)*1440,""),"")</f>
        <v>0.555500008616667</v>
      </c>
      <c r="AB585" s="57" t="s">
        <v>820</v>
      </c>
      <c r="AC585" s="56" t="n">
        <v>46308.7052254861</v>
      </c>
      <c r="AD585" s="58" t="n">
        <f aca="false">IF(AND(ISNUMBER(Z585),ISNUMBER(AC585)),IF(AC585&gt;=Z585,(AC585-Z585)*1440,""),"")</f>
        <v>11.1492333363167</v>
      </c>
      <c r="AE585" s="54" t="s">
        <v>740</v>
      </c>
      <c r="AF585" s="54" t="s">
        <v>214</v>
      </c>
      <c r="AG585" s="54" t="s">
        <v>214</v>
      </c>
      <c r="AH585" s="58" t="n">
        <v>1.9</v>
      </c>
      <c r="AI585" s="55" t="n">
        <v>2</v>
      </c>
      <c r="AJ585" s="54" t="s">
        <v>771</v>
      </c>
      <c r="AK585" s="54" t="s">
        <v>212</v>
      </c>
    </row>
    <row r="586" customFormat="false" ht="15" hidden="false" customHeight="false" outlineLevel="0" collapsed="false">
      <c r="A586" s="54" t="s">
        <v>28</v>
      </c>
      <c r="B586" s="55" t="n">
        <v>1699</v>
      </c>
      <c r="C586" s="54" t="s">
        <v>128</v>
      </c>
      <c r="D586" s="54" t="s">
        <v>214</v>
      </c>
      <c r="E586" s="54" t="s">
        <v>242</v>
      </c>
      <c r="F586" s="56" t="n">
        <v>46308.7172478588</v>
      </c>
      <c r="G586" s="54" t="s">
        <v>212</v>
      </c>
      <c r="H586" s="54" t="s">
        <v>212</v>
      </c>
      <c r="I586" s="57" t="s">
        <v>821</v>
      </c>
      <c r="J586" s="56" t="n">
        <v>46308.7189615857</v>
      </c>
      <c r="K586" s="56" t="n">
        <v>46308.7191557755</v>
      </c>
      <c r="L586" s="58" t="n">
        <f aca="false">IF(AND(ISNUMBER(J586),ISNUMBER(K586)),IF(K586&gt;=J586,(K586-J586)*1440,""),"")</f>
        <v>0.279633334133333</v>
      </c>
      <c r="M586" s="56" t="n">
        <v>46308.7211700347</v>
      </c>
      <c r="N586" s="58" t="n">
        <f aca="false">IF(AND(ISNUMBER(J586),ISNUMBER(M586)),IF(M586&gt;=J586,(M586-J586)*1440,""),"")</f>
        <v>3.18016668198333</v>
      </c>
      <c r="O586" s="54" t="str">
        <f aca="false">IF(N586="","",LOOKUP(N586,Tiempos!$A$6:$A$10,Tiempos!$B$6:$B$10))</f>
        <v>Menos de 4 min</v>
      </c>
      <c r="P586" s="54" t="s">
        <v>244</v>
      </c>
      <c r="Q586" s="54" t="s">
        <v>214</v>
      </c>
      <c r="R586" s="54" t="s">
        <v>128</v>
      </c>
      <c r="S586" s="54" t="s">
        <v>220</v>
      </c>
      <c r="T586" s="58" t="n">
        <v>81.9</v>
      </c>
      <c r="U586" s="54" t="s">
        <v>212</v>
      </c>
      <c r="V586" s="58" t="n">
        <v>2.9</v>
      </c>
      <c r="W586" s="57" t="s">
        <v>822</v>
      </c>
      <c r="X586" s="55" t="n">
        <v>3</v>
      </c>
      <c r="Y586" s="54" t="s">
        <v>214</v>
      </c>
      <c r="Z586" s="56" t="n">
        <v>46308.7256321181</v>
      </c>
      <c r="AA586" s="58" t="n">
        <f aca="false">IF(AND(ISNUMBER(M586),ISNUMBER(Z586)),IF(Z586&gt;=M586,(Z586-M586)*1440,""),"")</f>
        <v>6.42539997235</v>
      </c>
      <c r="AB586" s="57" t="s">
        <v>823</v>
      </c>
      <c r="AC586" s="56" t="n">
        <v>46308.7270631829</v>
      </c>
      <c r="AD586" s="58" t="n">
        <f aca="false">IF(AND(ISNUMBER(Z586),ISNUMBER(AC586)),IF(AC586&gt;=Z586,(AC586-Z586)*1440,""),"")</f>
        <v>2.06073334905</v>
      </c>
      <c r="AE586" s="54" t="s">
        <v>740</v>
      </c>
      <c r="AF586" s="54" t="s">
        <v>214</v>
      </c>
      <c r="AG586" s="54" t="s">
        <v>214</v>
      </c>
      <c r="AH586" s="58" t="n">
        <v>4.3</v>
      </c>
      <c r="AI586" s="55" t="n">
        <v>3</v>
      </c>
      <c r="AJ586" s="54" t="s">
        <v>216</v>
      </c>
      <c r="AK586" s="54" t="s">
        <v>212</v>
      </c>
    </row>
    <row r="587" customFormat="false" ht="15" hidden="false" customHeight="false" outlineLevel="0" collapsed="false">
      <c r="A587" s="54" t="s">
        <v>28</v>
      </c>
      <c r="B587" s="55" t="n">
        <v>1706</v>
      </c>
      <c r="C587" s="54" t="s">
        <v>129</v>
      </c>
      <c r="D587" s="54" t="s">
        <v>211</v>
      </c>
      <c r="E587" s="54"/>
      <c r="F587" s="56" t="n">
        <v>46308.7461908565</v>
      </c>
      <c r="G587" s="54" t="s">
        <v>212</v>
      </c>
      <c r="H587" s="54" t="s">
        <v>214</v>
      </c>
      <c r="I587" s="57" t="s">
        <v>824</v>
      </c>
      <c r="J587" s="56" t="n">
        <v>46308.7463471991</v>
      </c>
      <c r="K587" s="56" t="n">
        <v>46308.7601758218</v>
      </c>
      <c r="L587" s="58" t="n">
        <f aca="false">IF(AND(ISNUMBER(J587),ISNUMBER(K587)),IF(K587&gt;=J587,(K587-J587)*1440,""),"")</f>
        <v>19.9132166686333</v>
      </c>
      <c r="M587" s="56" t="n">
        <v>46308.7619453472</v>
      </c>
      <c r="N587" s="58" t="n">
        <f aca="false">IF(AND(ISNUMBER(J587),ISNUMBER(M587)),IF(M587&gt;=J587,(M587-J587)*1440,""),"")</f>
        <v>22.4613333377</v>
      </c>
      <c r="O587" s="54" t="str">
        <f aca="false">IF(N587="","",LOOKUP(N587,Tiempos!$A$6:$A$10,Tiempos!$B$6:$B$10))</f>
        <v>10 a 30 min</v>
      </c>
      <c r="P587" s="54" t="s">
        <v>219</v>
      </c>
      <c r="Q587" s="54" t="s">
        <v>214</v>
      </c>
      <c r="R587" s="54" t="s">
        <v>129</v>
      </c>
      <c r="S587" s="54" t="s">
        <v>220</v>
      </c>
      <c r="T587" s="58" t="n">
        <v>125.6</v>
      </c>
      <c r="U587" s="54" t="s">
        <v>214</v>
      </c>
      <c r="V587" s="58" t="n">
        <v>2.55</v>
      </c>
      <c r="W587" s="57" t="s">
        <v>825</v>
      </c>
      <c r="X587" s="55" t="n">
        <v>4</v>
      </c>
      <c r="Y587" s="54" t="s">
        <v>212</v>
      </c>
      <c r="Z587" s="56"/>
      <c r="AA587" s="58" t="str">
        <f aca="false">IF(AND(ISNUMBER(M587),ISNUMBER(Z587)),IF(Z587&gt;=M587,(Z587-M587)*1440,""),"")</f>
        <v/>
      </c>
      <c r="AB587" s="57"/>
      <c r="AC587" s="56"/>
      <c r="AD587" s="58" t="str">
        <f aca="false">IF(AND(ISNUMBER(Z587),ISNUMBER(AC587)),IF(AC587&gt;=Z587,(AC587-Z587)*1440,""),"")</f>
        <v/>
      </c>
      <c r="AE587" s="54"/>
      <c r="AF587" s="54" t="s">
        <v>214</v>
      </c>
      <c r="AG587" s="54"/>
      <c r="AH587" s="58"/>
      <c r="AI587" s="55" t="n">
        <v>2</v>
      </c>
      <c r="AJ587" s="54" t="s">
        <v>771</v>
      </c>
      <c r="AK587" s="54" t="s">
        <v>212</v>
      </c>
    </row>
    <row r="588" customFormat="false" ht="15" hidden="false" customHeight="false" outlineLevel="0" collapsed="false">
      <c r="A588" s="54" t="s">
        <v>28</v>
      </c>
      <c r="B588" s="55" t="n">
        <v>1707</v>
      </c>
      <c r="C588" s="54" t="s">
        <v>128</v>
      </c>
      <c r="D588" s="54" t="s">
        <v>212</v>
      </c>
      <c r="E588" s="54"/>
      <c r="F588" s="56" t="n">
        <v>46308.7474179398</v>
      </c>
      <c r="G588" s="54" t="s">
        <v>212</v>
      </c>
      <c r="H588" s="54" t="s">
        <v>214</v>
      </c>
      <c r="I588" s="57"/>
      <c r="J588" s="56"/>
      <c r="K588" s="56"/>
      <c r="L588" s="58" t="str">
        <f aca="false">IF(AND(ISNUMBER(J588),ISNUMBER(K588)),IF(K588&gt;=J588,(K588-J588)*1440,""),"")</f>
        <v/>
      </c>
      <c r="M588" s="56"/>
      <c r="N588" s="58" t="str">
        <f aca="false">IF(AND(ISNUMBER(J588),ISNUMBER(M588)),IF(M588&gt;=J588,(M588-J588)*1440,""),"")</f>
        <v/>
      </c>
      <c r="O588" s="54" t="str">
        <f aca="false">IF(N588="","",LOOKUP(N588,Tiempos!$A$6:$A$10,Tiempos!$B$6:$B$10))</f>
        <v/>
      </c>
      <c r="P588" s="54"/>
      <c r="Q588" s="54"/>
      <c r="R588" s="54"/>
      <c r="S588" s="54"/>
      <c r="T588" s="58"/>
      <c r="U588" s="54"/>
      <c r="V588" s="58"/>
      <c r="W588" s="57"/>
      <c r="X588" s="55"/>
      <c r="Y588" s="54"/>
      <c r="Z588" s="56"/>
      <c r="AA588" s="58" t="str">
        <f aca="false">IF(AND(ISNUMBER(M588),ISNUMBER(Z588)),IF(Z588&gt;=M588,(Z588-M588)*1440,""),"")</f>
        <v/>
      </c>
      <c r="AB588" s="57"/>
      <c r="AC588" s="56"/>
      <c r="AD588" s="58" t="str">
        <f aca="false">IF(AND(ISNUMBER(Z588),ISNUMBER(AC588)),IF(AC588&gt;=Z588,(AC588-Z588)*1440,""),"")</f>
        <v/>
      </c>
      <c r="AE588" s="54"/>
      <c r="AF588" s="54"/>
      <c r="AG588" s="54"/>
      <c r="AH588" s="58"/>
      <c r="AI588" s="55" t="n">
        <v>2</v>
      </c>
      <c r="AJ588" s="54" t="s">
        <v>771</v>
      </c>
      <c r="AK588" s="54" t="s">
        <v>212</v>
      </c>
    </row>
    <row r="589" customFormat="false" ht="15" hidden="false" customHeight="false" outlineLevel="0" collapsed="false">
      <c r="A589" s="54" t="s">
        <v>28</v>
      </c>
      <c r="B589" s="55" t="n">
        <v>1727</v>
      </c>
      <c r="C589" s="54" t="s">
        <v>128</v>
      </c>
      <c r="D589" s="54" t="s">
        <v>212</v>
      </c>
      <c r="E589" s="54"/>
      <c r="F589" s="56" t="n">
        <v>46308.8300333102</v>
      </c>
      <c r="G589" s="54" t="s">
        <v>212</v>
      </c>
      <c r="H589" s="54" t="s">
        <v>212</v>
      </c>
      <c r="I589" s="57"/>
      <c r="J589" s="56"/>
      <c r="K589" s="56"/>
      <c r="L589" s="58" t="str">
        <f aca="false">IF(AND(ISNUMBER(J589),ISNUMBER(K589)),IF(K589&gt;=J589,(K589-J589)*1440,""),"")</f>
        <v/>
      </c>
      <c r="M589" s="56"/>
      <c r="N589" s="58" t="str">
        <f aca="false">IF(AND(ISNUMBER(J589),ISNUMBER(M589)),IF(M589&gt;=J589,(M589-J589)*1440,""),"")</f>
        <v/>
      </c>
      <c r="O589" s="54" t="str">
        <f aca="false">IF(N589="","",LOOKUP(N589,Tiempos!$A$6:$A$10,Tiempos!$B$6:$B$10))</f>
        <v/>
      </c>
      <c r="P589" s="54"/>
      <c r="Q589" s="54"/>
      <c r="R589" s="54"/>
      <c r="S589" s="54"/>
      <c r="T589" s="58"/>
      <c r="U589" s="54"/>
      <c r="V589" s="58"/>
      <c r="W589" s="57"/>
      <c r="X589" s="55"/>
      <c r="Y589" s="54"/>
      <c r="Z589" s="56"/>
      <c r="AA589" s="58" t="str">
        <f aca="false">IF(AND(ISNUMBER(M589),ISNUMBER(Z589)),IF(Z589&gt;=M589,(Z589-M589)*1440,""),"")</f>
        <v/>
      </c>
      <c r="AB589" s="57"/>
      <c r="AC589" s="56"/>
      <c r="AD589" s="58" t="str">
        <f aca="false">IF(AND(ISNUMBER(Z589),ISNUMBER(AC589)),IF(AC589&gt;=Z589,(AC589-Z589)*1440,""),"")</f>
        <v/>
      </c>
      <c r="AE589" s="54"/>
      <c r="AF589" s="54"/>
      <c r="AG589" s="54"/>
      <c r="AH589" s="58"/>
      <c r="AI589" s="55" t="n">
        <v>2</v>
      </c>
      <c r="AJ589" s="54" t="s">
        <v>771</v>
      </c>
      <c r="AK589" s="54" t="s">
        <v>212</v>
      </c>
    </row>
    <row r="590" customFormat="false" ht="15" hidden="false" customHeight="false" outlineLevel="0" collapsed="false">
      <c r="A590" s="54" t="s">
        <v>28</v>
      </c>
      <c r="B590" s="55" t="n">
        <v>1730</v>
      </c>
      <c r="C590" s="54" t="s">
        <v>129</v>
      </c>
      <c r="D590" s="54" t="s">
        <v>214</v>
      </c>
      <c r="E590" s="54" t="s">
        <v>278</v>
      </c>
      <c r="F590" s="56" t="n">
        <v>46308.8374544792</v>
      </c>
      <c r="G590" s="54" t="s">
        <v>212</v>
      </c>
      <c r="H590" s="54" t="s">
        <v>212</v>
      </c>
      <c r="I590" s="57" t="s">
        <v>826</v>
      </c>
      <c r="J590" s="56" t="n">
        <v>46308.837864757</v>
      </c>
      <c r="K590" s="56" t="n">
        <v>46308.8416619907</v>
      </c>
      <c r="L590" s="58" t="n">
        <f aca="false">IF(AND(ISNUMBER(J590),ISNUMBER(K590)),IF(K590&gt;=J590,(K590-J590)*1440,""),"")</f>
        <v>5.46801665563333</v>
      </c>
      <c r="M590" s="56" t="n">
        <v>46309.4237909144</v>
      </c>
      <c r="N590" s="58" t="n">
        <f aca="false">IF(AND(ISNUMBER(J590),ISNUMBER(M590)),IF(M590&gt;=J590,(M590-J590)*1440,""),"")</f>
        <v>843.733666656767</v>
      </c>
      <c r="O590" s="54" t="str">
        <f aca="false">IF(N590="","",LOOKUP(N590,Tiempos!$A$6:$A$10,Tiempos!$B$6:$B$10))</f>
        <v>30 min o más</v>
      </c>
      <c r="P590" s="54" t="s">
        <v>234</v>
      </c>
      <c r="Q590" s="54" t="s">
        <v>214</v>
      </c>
      <c r="R590" s="54" t="s">
        <v>127</v>
      </c>
      <c r="S590" s="54" t="s">
        <v>220</v>
      </c>
      <c r="T590" s="58" t="n">
        <v>115.4</v>
      </c>
      <c r="U590" s="54" t="s">
        <v>212</v>
      </c>
      <c r="V590" s="58"/>
      <c r="W590" s="57" t="s">
        <v>827</v>
      </c>
      <c r="X590" s="55" t="n">
        <v>2</v>
      </c>
      <c r="Y590" s="54" t="s">
        <v>214</v>
      </c>
      <c r="Z590" s="56" t="n">
        <v>46309.4481585417</v>
      </c>
      <c r="AA590" s="58" t="n">
        <f aca="false">IF(AND(ISNUMBER(M590),ISNUMBER(Z590)),IF(Z590&gt;=M590,(Z590-M590)*1440,""),"")</f>
        <v>35.0893833464833</v>
      </c>
      <c r="AB590" s="57" t="s">
        <v>828</v>
      </c>
      <c r="AC590" s="56" t="n">
        <v>46309.4492353125</v>
      </c>
      <c r="AD590" s="58" t="n">
        <f aca="false">IF(AND(ISNUMBER(Z590),ISNUMBER(AC590)),IF(AC590&gt;=Z590,(AC590-Z590)*1440,""),"")</f>
        <v>1.55054999515</v>
      </c>
      <c r="AE590" s="54" t="s">
        <v>302</v>
      </c>
      <c r="AF590" s="54" t="s">
        <v>212</v>
      </c>
      <c r="AG590" s="54" t="s">
        <v>212</v>
      </c>
      <c r="AH590" s="58"/>
      <c r="AI590" s="55" t="n">
        <v>8</v>
      </c>
      <c r="AJ590" s="54" t="s">
        <v>771</v>
      </c>
      <c r="AK590" s="54" t="s">
        <v>212</v>
      </c>
    </row>
    <row r="591" customFormat="false" ht="15" hidden="false" customHeight="false" outlineLevel="0" collapsed="false">
      <c r="A591" s="54" t="s">
        <v>28</v>
      </c>
      <c r="B591" s="55" t="n">
        <v>1734</v>
      </c>
      <c r="C591" s="54" t="s">
        <v>127</v>
      </c>
      <c r="D591" s="54" t="s">
        <v>212</v>
      </c>
      <c r="E591" s="54"/>
      <c r="F591" s="56" t="n">
        <v>46308.8671550116</v>
      </c>
      <c r="G591" s="54" t="s">
        <v>212</v>
      </c>
      <c r="H591" s="54" t="s">
        <v>212</v>
      </c>
      <c r="I591" s="57"/>
      <c r="J591" s="56"/>
      <c r="K591" s="56"/>
      <c r="L591" s="58" t="str">
        <f aca="false">IF(AND(ISNUMBER(J591),ISNUMBER(K591)),IF(K591&gt;=J591,(K591-J591)*1440,""),"")</f>
        <v/>
      </c>
      <c r="M591" s="56"/>
      <c r="N591" s="58" t="str">
        <f aca="false">IF(AND(ISNUMBER(J591),ISNUMBER(M591)),IF(M591&gt;=J591,(M591-J591)*1440,""),"")</f>
        <v/>
      </c>
      <c r="O591" s="54" t="str">
        <f aca="false">IF(N591="","",LOOKUP(N591,Tiempos!$A$6:$A$10,Tiempos!$B$6:$B$10))</f>
        <v/>
      </c>
      <c r="P591" s="54"/>
      <c r="Q591" s="54"/>
      <c r="R591" s="54"/>
      <c r="S591" s="54"/>
      <c r="T591" s="58"/>
      <c r="U591" s="54"/>
      <c r="V591" s="58"/>
      <c r="W591" s="57"/>
      <c r="X591" s="55"/>
      <c r="Y591" s="54"/>
      <c r="Z591" s="56"/>
      <c r="AA591" s="58" t="str">
        <f aca="false">IF(AND(ISNUMBER(M591),ISNUMBER(Z591)),IF(Z591&gt;=M591,(Z591-M591)*1440,""),"")</f>
        <v/>
      </c>
      <c r="AB591" s="57"/>
      <c r="AC591" s="56"/>
      <c r="AD591" s="58" t="str">
        <f aca="false">IF(AND(ISNUMBER(Z591),ISNUMBER(AC591)),IF(AC591&gt;=Z591,(AC591-Z591)*1440,""),"")</f>
        <v/>
      </c>
      <c r="AE591" s="54"/>
      <c r="AF591" s="54"/>
      <c r="AG591" s="54"/>
      <c r="AH591" s="58"/>
      <c r="AI591" s="55" t="n">
        <v>1</v>
      </c>
      <c r="AJ591" s="54" t="s">
        <v>771</v>
      </c>
      <c r="AK591" s="54" t="s">
        <v>212</v>
      </c>
    </row>
    <row r="592" customFormat="false" ht="15" hidden="false" customHeight="false" outlineLevel="0" collapsed="false">
      <c r="A592" s="54" t="s">
        <v>28</v>
      </c>
      <c r="B592" s="55" t="n">
        <v>1746</v>
      </c>
      <c r="C592" s="54" t="s">
        <v>127</v>
      </c>
      <c r="D592" s="54" t="s">
        <v>212</v>
      </c>
      <c r="E592" s="54"/>
      <c r="F592" s="56" t="n">
        <v>46308.8824994792</v>
      </c>
      <c r="G592" s="54" t="s">
        <v>212</v>
      </c>
      <c r="H592" s="54" t="s">
        <v>212</v>
      </c>
      <c r="I592" s="57"/>
      <c r="J592" s="56"/>
      <c r="K592" s="56"/>
      <c r="L592" s="58" t="str">
        <f aca="false">IF(AND(ISNUMBER(J592),ISNUMBER(K592)),IF(K592&gt;=J592,(K592-J592)*1440,""),"")</f>
        <v/>
      </c>
      <c r="M592" s="56"/>
      <c r="N592" s="58" t="str">
        <f aca="false">IF(AND(ISNUMBER(J592),ISNUMBER(M592)),IF(M592&gt;=J592,(M592-J592)*1440,""),"")</f>
        <v/>
      </c>
      <c r="O592" s="54" t="str">
        <f aca="false">IF(N592="","",LOOKUP(N592,Tiempos!$A$6:$A$10,Tiempos!$B$6:$B$10))</f>
        <v/>
      </c>
      <c r="P592" s="54"/>
      <c r="Q592" s="54"/>
      <c r="R592" s="54"/>
      <c r="S592" s="54"/>
      <c r="T592" s="58"/>
      <c r="U592" s="54"/>
      <c r="V592" s="58"/>
      <c r="W592" s="57"/>
      <c r="X592" s="55"/>
      <c r="Y592" s="54"/>
      <c r="Z592" s="56"/>
      <c r="AA592" s="58" t="str">
        <f aca="false">IF(AND(ISNUMBER(M592),ISNUMBER(Z592)),IF(Z592&gt;=M592,(Z592-M592)*1440,""),"")</f>
        <v/>
      </c>
      <c r="AB592" s="57"/>
      <c r="AC592" s="56"/>
      <c r="AD592" s="58" t="str">
        <f aca="false">IF(AND(ISNUMBER(Z592),ISNUMBER(AC592)),IF(AC592&gt;=Z592,(AC592-Z592)*1440,""),"")</f>
        <v/>
      </c>
      <c r="AE592" s="54"/>
      <c r="AF592" s="54"/>
      <c r="AG592" s="54"/>
      <c r="AH592" s="58"/>
      <c r="AI592" s="55" t="n">
        <v>2</v>
      </c>
      <c r="AJ592" s="54" t="s">
        <v>771</v>
      </c>
      <c r="AK592" s="54" t="s">
        <v>212</v>
      </c>
    </row>
    <row r="593" customFormat="false" ht="15" hidden="false" customHeight="false" outlineLevel="0" collapsed="false">
      <c r="A593" s="54" t="s">
        <v>28</v>
      </c>
      <c r="B593" s="55" t="n">
        <v>1752</v>
      </c>
      <c r="C593" s="54" t="s">
        <v>128</v>
      </c>
      <c r="D593" s="54" t="s">
        <v>214</v>
      </c>
      <c r="E593" s="54" t="s">
        <v>233</v>
      </c>
      <c r="F593" s="56" t="n">
        <v>46308.9084027662</v>
      </c>
      <c r="G593" s="54" t="s">
        <v>212</v>
      </c>
      <c r="H593" s="54" t="s">
        <v>214</v>
      </c>
      <c r="I593" s="57" t="s">
        <v>829</v>
      </c>
      <c r="J593" s="56" t="n">
        <v>46308.9101803472</v>
      </c>
      <c r="K593" s="56" t="n">
        <v>46308.9111334144</v>
      </c>
      <c r="L593" s="58" t="n">
        <f aca="false">IF(AND(ISNUMBER(J593),ISNUMBER(K593)),IF(K593&gt;=J593,(K593-J593)*1440,""),"")</f>
        <v>1.37241666786667</v>
      </c>
      <c r="M593" s="56" t="n">
        <v>46308.913672581</v>
      </c>
      <c r="N593" s="58" t="n">
        <f aca="false">IF(AND(ISNUMBER(J593),ISNUMBER(M593)),IF(M593&gt;=J593,(M593-J593)*1440,""),"")</f>
        <v>5.02881666411667</v>
      </c>
      <c r="O593" s="54" t="str">
        <f aca="false">IF(N593="","",LOOKUP(N593,Tiempos!$A$6:$A$10,Tiempos!$B$6:$B$10))</f>
        <v>4 a 6 min</v>
      </c>
      <c r="P593" s="54" t="s">
        <v>244</v>
      </c>
      <c r="Q593" s="54" t="s">
        <v>214</v>
      </c>
      <c r="R593" s="54" t="s">
        <v>128</v>
      </c>
      <c r="S593" s="54" t="s">
        <v>220</v>
      </c>
      <c r="T593" s="58" t="n">
        <v>86</v>
      </c>
      <c r="U593" s="54" t="s">
        <v>214</v>
      </c>
      <c r="V593" s="58" t="n">
        <v>3.66</v>
      </c>
      <c r="W593" s="57" t="s">
        <v>334</v>
      </c>
      <c r="X593" s="55" t="n">
        <v>3</v>
      </c>
      <c r="Y593" s="54" t="s">
        <v>214</v>
      </c>
      <c r="Z593" s="56" t="n">
        <v>46308.9257606019</v>
      </c>
      <c r="AA593" s="58" t="n">
        <f aca="false">IF(AND(ISNUMBER(M593),ISNUMBER(Z593)),IF(Z593&gt;=M593,(Z593-M593)*1440,""),"")</f>
        <v>17.4067500012333</v>
      </c>
      <c r="AB593" s="57" t="s">
        <v>830</v>
      </c>
      <c r="AC593" s="56" t="n">
        <v>46309.294375162</v>
      </c>
      <c r="AD593" s="58" t="n">
        <f aca="false">IF(AND(ISNUMBER(Z593),ISNUMBER(AC593)),IF(AC593&gt;=Z593,(AC593-Z593)*1440,""),"")</f>
        <v>530.804966673017</v>
      </c>
      <c r="AE593" s="54" t="s">
        <v>740</v>
      </c>
      <c r="AF593" s="54" t="s">
        <v>214</v>
      </c>
      <c r="AG593" s="54" t="s">
        <v>214</v>
      </c>
      <c r="AH593" s="58" t="n">
        <v>4</v>
      </c>
      <c r="AI593" s="55" t="n">
        <v>2</v>
      </c>
      <c r="AJ593" s="54" t="s">
        <v>216</v>
      </c>
      <c r="AK593" s="54" t="s">
        <v>212</v>
      </c>
    </row>
    <row r="594" customFormat="false" ht="15" hidden="false" customHeight="false" outlineLevel="0" collapsed="false">
      <c r="A594" s="54" t="s">
        <v>28</v>
      </c>
      <c r="B594" s="55" t="n">
        <v>1780</v>
      </c>
      <c r="C594" s="54" t="s">
        <v>127</v>
      </c>
      <c r="D594" s="54" t="s">
        <v>212</v>
      </c>
      <c r="E594" s="54"/>
      <c r="F594" s="56" t="n">
        <v>46309.3084327894</v>
      </c>
      <c r="G594" s="54" t="s">
        <v>214</v>
      </c>
      <c r="H594" s="54" t="s">
        <v>212</v>
      </c>
      <c r="I594" s="57"/>
      <c r="J594" s="56"/>
      <c r="K594" s="56"/>
      <c r="L594" s="58" t="str">
        <f aca="false">IF(AND(ISNUMBER(J594),ISNUMBER(K594)),IF(K594&gt;=J594,(K594-J594)*1440,""),"")</f>
        <v/>
      </c>
      <c r="M594" s="56"/>
      <c r="N594" s="58" t="str">
        <f aca="false">IF(AND(ISNUMBER(J594),ISNUMBER(M594)),IF(M594&gt;=J594,(M594-J594)*1440,""),"")</f>
        <v/>
      </c>
      <c r="O594" s="54" t="str">
        <f aca="false">IF(N594="","",LOOKUP(N594,Tiempos!$A$6:$A$10,Tiempos!$B$6:$B$10))</f>
        <v/>
      </c>
      <c r="P594" s="54"/>
      <c r="Q594" s="54"/>
      <c r="R594" s="54"/>
      <c r="S594" s="54"/>
      <c r="T594" s="58"/>
      <c r="U594" s="54"/>
      <c r="V594" s="58"/>
      <c r="W594" s="57"/>
      <c r="X594" s="55"/>
      <c r="Y594" s="54"/>
      <c r="Z594" s="56"/>
      <c r="AA594" s="58" t="str">
        <f aca="false">IF(AND(ISNUMBER(M594),ISNUMBER(Z594)),IF(Z594&gt;=M594,(Z594-M594)*1440,""),"")</f>
        <v/>
      </c>
      <c r="AB594" s="57"/>
      <c r="AC594" s="56"/>
      <c r="AD594" s="58" t="str">
        <f aca="false">IF(AND(ISNUMBER(Z594),ISNUMBER(AC594)),IF(AC594&gt;=Z594,(AC594-Z594)*1440,""),"")</f>
        <v/>
      </c>
      <c r="AE594" s="54"/>
      <c r="AF594" s="54"/>
      <c r="AG594" s="54"/>
      <c r="AH594" s="58"/>
      <c r="AI594" s="55" t="n">
        <v>2</v>
      </c>
      <c r="AJ594" s="54" t="s">
        <v>771</v>
      </c>
      <c r="AK594" s="54" t="s">
        <v>212</v>
      </c>
    </row>
    <row r="595" customFormat="false" ht="15" hidden="false" customHeight="false" outlineLevel="0" collapsed="false">
      <c r="A595" s="54" t="s">
        <v>28</v>
      </c>
      <c r="B595" s="55" t="n">
        <v>1784</v>
      </c>
      <c r="C595" s="54" t="s">
        <v>127</v>
      </c>
      <c r="D595" s="54" t="s">
        <v>211</v>
      </c>
      <c r="E595" s="54"/>
      <c r="F595" s="56" t="n">
        <v>46309.308804757</v>
      </c>
      <c r="G595" s="54" t="s">
        <v>214</v>
      </c>
      <c r="H595" s="54" t="s">
        <v>214</v>
      </c>
      <c r="I595" s="57" t="s">
        <v>831</v>
      </c>
      <c r="J595" s="56" t="n">
        <v>46309.3303337616</v>
      </c>
      <c r="K595" s="56" t="n">
        <v>46309.3309501505</v>
      </c>
      <c r="L595" s="58" t="n">
        <f aca="false">IF(AND(ISNUMBER(J595),ISNUMBER(K595)),IF(K595&gt;=J595,(K595-J595)*1440,""),"")</f>
        <v>0.887600001866667</v>
      </c>
      <c r="M595" s="56" t="n">
        <v>46309.3309501505</v>
      </c>
      <c r="N595" s="58" t="n">
        <f aca="false">IF(AND(ISNUMBER(J595),ISNUMBER(M595)),IF(M595&gt;=J595,(M595-J595)*1440,""),"")</f>
        <v>0.887600001866667</v>
      </c>
      <c r="O595" s="54" t="str">
        <f aca="false">IF(N595="","",LOOKUP(N595,Tiempos!$A$6:$A$10,Tiempos!$B$6:$B$10))</f>
        <v>Menos de 4 min</v>
      </c>
      <c r="P595" s="54" t="s">
        <v>226</v>
      </c>
      <c r="Q595" s="54" t="s">
        <v>212</v>
      </c>
      <c r="R595" s="54" t="s">
        <v>130</v>
      </c>
      <c r="S595" s="54" t="s">
        <v>215</v>
      </c>
      <c r="T595" s="58"/>
      <c r="U595" s="54"/>
      <c r="V595" s="58"/>
      <c r="W595" s="57"/>
      <c r="X595" s="55" t="n">
        <v>0</v>
      </c>
      <c r="Y595" s="54" t="s">
        <v>212</v>
      </c>
      <c r="Z595" s="56"/>
      <c r="AA595" s="58" t="str">
        <f aca="false">IF(AND(ISNUMBER(M595),ISNUMBER(Z595)),IF(Z595&gt;=M595,(Z595-M595)*1440,""),"")</f>
        <v/>
      </c>
      <c r="AB595" s="57"/>
      <c r="AC595" s="56"/>
      <c r="AD595" s="58" t="str">
        <f aca="false">IF(AND(ISNUMBER(Z595),ISNUMBER(AC595)),IF(AC595&gt;=Z595,(AC595-Z595)*1440,""),"")</f>
        <v/>
      </c>
      <c r="AE595" s="54"/>
      <c r="AF595" s="54" t="s">
        <v>214</v>
      </c>
      <c r="AG595" s="54"/>
      <c r="AH595" s="58"/>
      <c r="AI595" s="55" t="n">
        <v>2</v>
      </c>
      <c r="AJ595" s="54" t="s">
        <v>771</v>
      </c>
      <c r="AK595" s="54" t="s">
        <v>212</v>
      </c>
    </row>
    <row r="596" customFormat="false" ht="15" hidden="false" customHeight="false" outlineLevel="0" collapsed="false">
      <c r="A596" s="54" t="s">
        <v>28</v>
      </c>
      <c r="B596" s="55" t="n">
        <v>1846</v>
      </c>
      <c r="C596" s="54" t="s">
        <v>127</v>
      </c>
      <c r="D596" s="54" t="s">
        <v>214</v>
      </c>
      <c r="E596" s="54" t="s">
        <v>233</v>
      </c>
      <c r="F596" s="56" t="n">
        <v>46309.5164512616</v>
      </c>
      <c r="G596" s="54" t="s">
        <v>212</v>
      </c>
      <c r="H596" s="54" t="s">
        <v>212</v>
      </c>
      <c r="I596" s="57" t="s">
        <v>832</v>
      </c>
      <c r="J596" s="56" t="n">
        <v>46309.5173251389</v>
      </c>
      <c r="K596" s="56" t="n">
        <v>46309.5175370833</v>
      </c>
      <c r="L596" s="58" t="n">
        <f aca="false">IF(AND(ISNUMBER(J596),ISNUMBER(K596)),IF(K596&gt;=J596,(K596-J596)*1440,""),"")</f>
        <v>0.3051999933</v>
      </c>
      <c r="M596" s="56" t="n">
        <v>46309.5207789815</v>
      </c>
      <c r="N596" s="58" t="n">
        <f aca="false">IF(AND(ISNUMBER(J596),ISNUMBER(M596)),IF(M596&gt;=J596,(M596-J596)*1440,""),"")</f>
        <v>4.97353332931667</v>
      </c>
      <c r="O596" s="54" t="str">
        <f aca="false">IF(N596="","",LOOKUP(N596,Tiempos!$A$6:$A$10,Tiempos!$B$6:$B$10))</f>
        <v>4 a 6 min</v>
      </c>
      <c r="P596" s="54" t="s">
        <v>229</v>
      </c>
      <c r="Q596" s="54" t="s">
        <v>214</v>
      </c>
      <c r="R596" s="54" t="s">
        <v>130</v>
      </c>
      <c r="S596" s="54" t="s">
        <v>215</v>
      </c>
      <c r="T596" s="58" t="n">
        <v>121.8</v>
      </c>
      <c r="U596" s="54" t="s">
        <v>212</v>
      </c>
      <c r="V596" s="58" t="n">
        <v>4.67</v>
      </c>
      <c r="W596" s="57" t="s">
        <v>421</v>
      </c>
      <c r="X596" s="55" t="n">
        <v>2</v>
      </c>
      <c r="Y596" s="54" t="s">
        <v>212</v>
      </c>
      <c r="Z596" s="56"/>
      <c r="AA596" s="58" t="str">
        <f aca="false">IF(AND(ISNUMBER(M596),ISNUMBER(Z596)),IF(Z596&gt;=M596,(Z596-M596)*1440,""),"")</f>
        <v/>
      </c>
      <c r="AB596" s="57"/>
      <c r="AC596" s="56"/>
      <c r="AD596" s="58" t="str">
        <f aca="false">IF(AND(ISNUMBER(Z596),ISNUMBER(AC596)),IF(AC596&gt;=Z596,(AC596-Z596)*1440,""),"")</f>
        <v/>
      </c>
      <c r="AE596" s="54"/>
      <c r="AF596" s="54" t="s">
        <v>214</v>
      </c>
      <c r="AG596" s="54"/>
      <c r="AH596" s="58"/>
      <c r="AI596" s="55" t="n">
        <v>2</v>
      </c>
      <c r="AJ596" s="54" t="s">
        <v>771</v>
      </c>
      <c r="AK596" s="54" t="s">
        <v>212</v>
      </c>
    </row>
    <row r="597" customFormat="false" ht="15" hidden="false" customHeight="false" outlineLevel="0" collapsed="false">
      <c r="A597" s="54" t="s">
        <v>28</v>
      </c>
      <c r="B597" s="55" t="n">
        <v>1845</v>
      </c>
      <c r="C597" s="54" t="s">
        <v>127</v>
      </c>
      <c r="D597" s="54" t="s">
        <v>214</v>
      </c>
      <c r="E597" s="54" t="s">
        <v>233</v>
      </c>
      <c r="F597" s="56" t="n">
        <v>46309.5238818403</v>
      </c>
      <c r="G597" s="54" t="s">
        <v>212</v>
      </c>
      <c r="H597" s="54" t="s">
        <v>212</v>
      </c>
      <c r="I597" s="57" t="s">
        <v>833</v>
      </c>
      <c r="J597" s="56" t="n">
        <v>46309.5275451273</v>
      </c>
      <c r="K597" s="56" t="n">
        <v>46309.5279870602</v>
      </c>
      <c r="L597" s="58" t="n">
        <f aca="false">IF(AND(ISNUMBER(J597),ISNUMBER(K597)),IF(K597&gt;=J597,(K597-J597)*1440,""),"")</f>
        <v>0.636383341616667</v>
      </c>
      <c r="M597" s="56" t="n">
        <v>46309.5301970139</v>
      </c>
      <c r="N597" s="58" t="n">
        <f aca="false">IF(AND(ISNUMBER(J597),ISNUMBER(M597)),IF(M597&gt;=J597,(M597-J597)*1440,""),"")</f>
        <v>3.81871667223333</v>
      </c>
      <c r="O597" s="54" t="str">
        <f aca="false">IF(N597="","",LOOKUP(N597,Tiempos!$A$6:$A$10,Tiempos!$B$6:$B$10))</f>
        <v>Menos de 4 min</v>
      </c>
      <c r="P597" s="54" t="s">
        <v>229</v>
      </c>
      <c r="Q597" s="54" t="s">
        <v>214</v>
      </c>
      <c r="R597" s="54" t="s">
        <v>127</v>
      </c>
      <c r="S597" s="54" t="s">
        <v>220</v>
      </c>
      <c r="T597" s="58" t="n">
        <v>108.6</v>
      </c>
      <c r="U597" s="54" t="s">
        <v>212</v>
      </c>
      <c r="V597" s="58" t="n">
        <v>3.18</v>
      </c>
      <c r="W597" s="57" t="s">
        <v>834</v>
      </c>
      <c r="X597" s="55" t="n">
        <v>2</v>
      </c>
      <c r="Y597" s="54" t="s">
        <v>214</v>
      </c>
      <c r="Z597" s="56" t="n">
        <v>46309.5591290394</v>
      </c>
      <c r="AA597" s="58" t="n">
        <f aca="false">IF(AND(ISNUMBER(M597),ISNUMBER(Z597)),IF(Z597&gt;=M597,(Z597-M597)*1440,""),"")</f>
        <v>41.6621166619</v>
      </c>
      <c r="AB597" s="57" t="s">
        <v>835</v>
      </c>
      <c r="AC597" s="56" t="n">
        <v>46309.5606774421</v>
      </c>
      <c r="AD597" s="58" t="n">
        <f aca="false">IF(AND(ISNUMBER(Z597),ISNUMBER(AC597)),IF(AC597&gt;=Z597,(AC597-Z597)*1440,""),"")</f>
        <v>2.229700007</v>
      </c>
      <c r="AE597" s="54" t="s">
        <v>302</v>
      </c>
      <c r="AF597" s="54" t="s">
        <v>212</v>
      </c>
      <c r="AG597" s="54" t="s">
        <v>212</v>
      </c>
      <c r="AH597" s="58"/>
      <c r="AI597" s="55" t="n">
        <v>2</v>
      </c>
      <c r="AJ597" s="54" t="s">
        <v>780</v>
      </c>
      <c r="AK597" s="54" t="s">
        <v>212</v>
      </c>
    </row>
    <row r="598" customFormat="false" ht="15" hidden="false" customHeight="false" outlineLevel="0" collapsed="false">
      <c r="A598" s="54" t="s">
        <v>28</v>
      </c>
      <c r="B598" s="55" t="n">
        <v>1869</v>
      </c>
      <c r="C598" s="54" t="s">
        <v>127</v>
      </c>
      <c r="D598" s="54" t="s">
        <v>212</v>
      </c>
      <c r="E598" s="54"/>
      <c r="F598" s="56" t="n">
        <v>46309.5906238889</v>
      </c>
      <c r="G598" s="54" t="s">
        <v>212</v>
      </c>
      <c r="H598" s="54" t="s">
        <v>212</v>
      </c>
      <c r="I598" s="57"/>
      <c r="J598" s="56"/>
      <c r="K598" s="56"/>
      <c r="L598" s="58" t="str">
        <f aca="false">IF(AND(ISNUMBER(J598),ISNUMBER(K598)),IF(K598&gt;=J598,(K598-J598)*1440,""),"")</f>
        <v/>
      </c>
      <c r="M598" s="56"/>
      <c r="N598" s="58" t="str">
        <f aca="false">IF(AND(ISNUMBER(J598),ISNUMBER(M598)),IF(M598&gt;=J598,(M598-J598)*1440,""),"")</f>
        <v/>
      </c>
      <c r="O598" s="54" t="str">
        <f aca="false">IF(N598="","",LOOKUP(N598,Tiempos!$A$6:$A$10,Tiempos!$B$6:$B$10))</f>
        <v/>
      </c>
      <c r="P598" s="54"/>
      <c r="Q598" s="54"/>
      <c r="R598" s="54"/>
      <c r="S598" s="54"/>
      <c r="T598" s="58"/>
      <c r="U598" s="54"/>
      <c r="V598" s="58"/>
      <c r="W598" s="57"/>
      <c r="X598" s="55"/>
      <c r="Y598" s="54"/>
      <c r="Z598" s="56"/>
      <c r="AA598" s="58" t="str">
        <f aca="false">IF(AND(ISNUMBER(M598),ISNUMBER(Z598)),IF(Z598&gt;=M598,(Z598-M598)*1440,""),"")</f>
        <v/>
      </c>
      <c r="AB598" s="57"/>
      <c r="AC598" s="56"/>
      <c r="AD598" s="58" t="str">
        <f aca="false">IF(AND(ISNUMBER(Z598),ISNUMBER(AC598)),IF(AC598&gt;=Z598,(AC598-Z598)*1440,""),"")</f>
        <v/>
      </c>
      <c r="AE598" s="54"/>
      <c r="AF598" s="54"/>
      <c r="AG598" s="54"/>
      <c r="AH598" s="58"/>
      <c r="AI598" s="55" t="n">
        <v>2</v>
      </c>
      <c r="AJ598" s="54" t="s">
        <v>771</v>
      </c>
      <c r="AK598" s="54" t="s">
        <v>212</v>
      </c>
    </row>
    <row r="599" customFormat="false" ht="15" hidden="false" customHeight="false" outlineLevel="0" collapsed="false">
      <c r="A599" s="54" t="s">
        <v>28</v>
      </c>
      <c r="B599" s="55" t="n">
        <v>1895</v>
      </c>
      <c r="C599" s="54" t="s">
        <v>129</v>
      </c>
      <c r="D599" s="54" t="s">
        <v>212</v>
      </c>
      <c r="E599" s="54"/>
      <c r="F599" s="56" t="n">
        <v>46309.754688125</v>
      </c>
      <c r="G599" s="54" t="s">
        <v>212</v>
      </c>
      <c r="H599" s="54" t="s">
        <v>214</v>
      </c>
      <c r="I599" s="57"/>
      <c r="J599" s="56"/>
      <c r="K599" s="56"/>
      <c r="L599" s="58" t="str">
        <f aca="false">IF(AND(ISNUMBER(J599),ISNUMBER(K599)),IF(K599&gt;=J599,(K599-J599)*1440,""),"")</f>
        <v/>
      </c>
      <c r="M599" s="56"/>
      <c r="N599" s="58" t="str">
        <f aca="false">IF(AND(ISNUMBER(J599),ISNUMBER(M599)),IF(M599&gt;=J599,(M599-J599)*1440,""),"")</f>
        <v/>
      </c>
      <c r="O599" s="54" t="str">
        <f aca="false">IF(N599="","",LOOKUP(N599,Tiempos!$A$6:$A$10,Tiempos!$B$6:$B$10))</f>
        <v/>
      </c>
      <c r="P599" s="54"/>
      <c r="Q599" s="54"/>
      <c r="R599" s="54"/>
      <c r="S599" s="54"/>
      <c r="T599" s="58"/>
      <c r="U599" s="54"/>
      <c r="V599" s="58"/>
      <c r="W599" s="57"/>
      <c r="X599" s="55"/>
      <c r="Y599" s="54"/>
      <c r="Z599" s="56"/>
      <c r="AA599" s="58" t="str">
        <f aca="false">IF(AND(ISNUMBER(M599),ISNUMBER(Z599)),IF(Z599&gt;=M599,(Z599-M599)*1440,""),"")</f>
        <v/>
      </c>
      <c r="AB599" s="57"/>
      <c r="AC599" s="56"/>
      <c r="AD599" s="58" t="str">
        <f aca="false">IF(AND(ISNUMBER(Z599),ISNUMBER(AC599)),IF(AC599&gt;=Z599,(AC599-Z599)*1440,""),"")</f>
        <v/>
      </c>
      <c r="AE599" s="54"/>
      <c r="AF599" s="54"/>
      <c r="AG599" s="54"/>
      <c r="AH599" s="58"/>
      <c r="AI599" s="55" t="n">
        <v>2</v>
      </c>
      <c r="AJ599" s="54" t="s">
        <v>771</v>
      </c>
      <c r="AK599" s="54" t="s">
        <v>212</v>
      </c>
    </row>
    <row r="600" customFormat="false" ht="15" hidden="false" customHeight="false" outlineLevel="0" collapsed="false">
      <c r="A600" s="54" t="s">
        <v>28</v>
      </c>
      <c r="B600" s="55" t="n">
        <v>1909</v>
      </c>
      <c r="C600" s="54" t="s">
        <v>128</v>
      </c>
      <c r="D600" s="54" t="s">
        <v>212</v>
      </c>
      <c r="E600" s="54"/>
      <c r="F600" s="56" t="n">
        <v>46309.8229811806</v>
      </c>
      <c r="G600" s="54" t="s">
        <v>212</v>
      </c>
      <c r="H600" s="54" t="s">
        <v>214</v>
      </c>
      <c r="I600" s="57"/>
      <c r="J600" s="56"/>
      <c r="K600" s="56"/>
      <c r="L600" s="58" t="str">
        <f aca="false">IF(AND(ISNUMBER(J600),ISNUMBER(K600)),IF(K600&gt;=J600,(K600-J600)*1440,""),"")</f>
        <v/>
      </c>
      <c r="M600" s="56"/>
      <c r="N600" s="58" t="str">
        <f aca="false">IF(AND(ISNUMBER(J600),ISNUMBER(M600)),IF(M600&gt;=J600,(M600-J600)*1440,""),"")</f>
        <v/>
      </c>
      <c r="O600" s="54" t="str">
        <f aca="false">IF(N600="","",LOOKUP(N600,Tiempos!$A$6:$A$10,Tiempos!$B$6:$B$10))</f>
        <v/>
      </c>
      <c r="P600" s="54"/>
      <c r="Q600" s="54"/>
      <c r="R600" s="54"/>
      <c r="S600" s="54"/>
      <c r="T600" s="58"/>
      <c r="U600" s="54"/>
      <c r="V600" s="58"/>
      <c r="W600" s="57"/>
      <c r="X600" s="55"/>
      <c r="Y600" s="54"/>
      <c r="Z600" s="56"/>
      <c r="AA600" s="58" t="str">
        <f aca="false">IF(AND(ISNUMBER(M600),ISNUMBER(Z600)),IF(Z600&gt;=M600,(Z600-M600)*1440,""),"")</f>
        <v/>
      </c>
      <c r="AB600" s="57"/>
      <c r="AC600" s="56"/>
      <c r="AD600" s="58" t="str">
        <f aca="false">IF(AND(ISNUMBER(Z600),ISNUMBER(AC600)),IF(AC600&gt;=Z600,(AC600-Z600)*1440,""),"")</f>
        <v/>
      </c>
      <c r="AE600" s="54"/>
      <c r="AF600" s="54"/>
      <c r="AG600" s="54"/>
      <c r="AH600" s="58"/>
      <c r="AI600" s="55" t="n">
        <v>2</v>
      </c>
      <c r="AJ600" s="54" t="s">
        <v>771</v>
      </c>
      <c r="AK600" s="54" t="s">
        <v>212</v>
      </c>
    </row>
    <row r="601" customFormat="false" ht="15" hidden="false" customHeight="false" outlineLevel="0" collapsed="false">
      <c r="A601" s="54" t="s">
        <v>28</v>
      </c>
      <c r="B601" s="55" t="n">
        <v>1921</v>
      </c>
      <c r="C601" s="54" t="s">
        <v>127</v>
      </c>
      <c r="D601" s="54" t="s">
        <v>212</v>
      </c>
      <c r="E601" s="54"/>
      <c r="F601" s="56" t="n">
        <v>46309.8700139468</v>
      </c>
      <c r="G601" s="54" t="s">
        <v>212</v>
      </c>
      <c r="H601" s="54" t="s">
        <v>214</v>
      </c>
      <c r="I601" s="57"/>
      <c r="J601" s="56"/>
      <c r="K601" s="56"/>
      <c r="L601" s="58" t="str">
        <f aca="false">IF(AND(ISNUMBER(J601),ISNUMBER(K601)),IF(K601&gt;=J601,(K601-J601)*1440,""),"")</f>
        <v/>
      </c>
      <c r="M601" s="56"/>
      <c r="N601" s="58" t="str">
        <f aca="false">IF(AND(ISNUMBER(J601),ISNUMBER(M601)),IF(M601&gt;=J601,(M601-J601)*1440,""),"")</f>
        <v/>
      </c>
      <c r="O601" s="54" t="str">
        <f aca="false">IF(N601="","",LOOKUP(N601,Tiempos!$A$6:$A$10,Tiempos!$B$6:$B$10))</f>
        <v/>
      </c>
      <c r="P601" s="54"/>
      <c r="Q601" s="54"/>
      <c r="R601" s="54"/>
      <c r="S601" s="54"/>
      <c r="T601" s="58"/>
      <c r="U601" s="54"/>
      <c r="V601" s="58"/>
      <c r="W601" s="57"/>
      <c r="X601" s="55"/>
      <c r="Y601" s="54"/>
      <c r="Z601" s="56"/>
      <c r="AA601" s="58" t="str">
        <f aca="false">IF(AND(ISNUMBER(M601),ISNUMBER(Z601)),IF(Z601&gt;=M601,(Z601-M601)*1440,""),"")</f>
        <v/>
      </c>
      <c r="AB601" s="57"/>
      <c r="AC601" s="56"/>
      <c r="AD601" s="58" t="str">
        <f aca="false">IF(AND(ISNUMBER(Z601),ISNUMBER(AC601)),IF(AC601&gt;=Z601,(AC601-Z601)*1440,""),"")</f>
        <v/>
      </c>
      <c r="AE601" s="54"/>
      <c r="AF601" s="54"/>
      <c r="AG601" s="54"/>
      <c r="AH601" s="58"/>
      <c r="AI601" s="55" t="n">
        <v>2</v>
      </c>
      <c r="AJ601" s="54" t="s">
        <v>771</v>
      </c>
      <c r="AK601" s="54" t="s">
        <v>212</v>
      </c>
    </row>
    <row r="602" customFormat="false" ht="15" hidden="false" customHeight="false" outlineLevel="0" collapsed="false">
      <c r="A602" s="54" t="s">
        <v>28</v>
      </c>
      <c r="B602" s="55" t="n">
        <v>1926</v>
      </c>
      <c r="C602" s="54" t="s">
        <v>128</v>
      </c>
      <c r="D602" s="54" t="s">
        <v>214</v>
      </c>
      <c r="E602" s="54" t="s">
        <v>233</v>
      </c>
      <c r="F602" s="56" t="n">
        <v>46309.9123922106</v>
      </c>
      <c r="G602" s="54" t="s">
        <v>212</v>
      </c>
      <c r="H602" s="54" t="s">
        <v>214</v>
      </c>
      <c r="I602" s="57" t="s">
        <v>836</v>
      </c>
      <c r="J602" s="56" t="n">
        <v>46309.9156368982</v>
      </c>
      <c r="K602" s="56" t="n">
        <v>46309.9162068056</v>
      </c>
      <c r="L602" s="58" t="n">
        <f aca="false">IF(AND(ISNUMBER(J602),ISNUMBER(K602)),IF(K602&gt;=J602,(K602-J602)*1440,""),"")</f>
        <v>0.82066665985</v>
      </c>
      <c r="M602" s="56" t="n">
        <v>46309.9190220602</v>
      </c>
      <c r="N602" s="58" t="n">
        <f aca="false">IF(AND(ISNUMBER(J602),ISNUMBER(M602)),IF(M602&gt;=J602,(M602-J602)*1440,""),"")</f>
        <v>4.87463333643333</v>
      </c>
      <c r="O602" s="54" t="str">
        <f aca="false">IF(N602="","",LOOKUP(N602,Tiempos!$A$6:$A$10,Tiempos!$B$6:$B$10))</f>
        <v>4 a 6 min</v>
      </c>
      <c r="P602" s="54" t="s">
        <v>244</v>
      </c>
      <c r="Q602" s="54" t="s">
        <v>214</v>
      </c>
      <c r="R602" s="54" t="s">
        <v>128</v>
      </c>
      <c r="S602" s="54" t="s">
        <v>220</v>
      </c>
      <c r="T602" s="58" t="n">
        <v>73.6</v>
      </c>
      <c r="U602" s="54" t="s">
        <v>214</v>
      </c>
      <c r="V602" s="58" t="n">
        <v>4.05</v>
      </c>
      <c r="W602" s="57" t="s">
        <v>837</v>
      </c>
      <c r="X602" s="55" t="n">
        <v>3</v>
      </c>
      <c r="Y602" s="54" t="s">
        <v>214</v>
      </c>
      <c r="Z602" s="56" t="n">
        <v>46309.9201079167</v>
      </c>
      <c r="AA602" s="58" t="n">
        <f aca="false">IF(AND(ISNUMBER(M602),ISNUMBER(Z602)),IF(Z602&gt;=M602,(Z602-M602)*1440,""),"")</f>
        <v>1.56363332876667</v>
      </c>
      <c r="AB602" s="57" t="s">
        <v>838</v>
      </c>
      <c r="AC602" s="56"/>
      <c r="AD602" s="58" t="str">
        <f aca="false">IF(AND(ISNUMBER(Z602),ISNUMBER(AC602)),IF(AC602&gt;=Z602,(AC602-Z602)*1440,""),"")</f>
        <v/>
      </c>
      <c r="AE602" s="54" t="s">
        <v>740</v>
      </c>
      <c r="AF602" s="54" t="s">
        <v>214</v>
      </c>
      <c r="AG602" s="54" t="s">
        <v>214</v>
      </c>
      <c r="AH602" s="58" t="n">
        <v>4.2</v>
      </c>
      <c r="AI602" s="55" t="n">
        <v>2</v>
      </c>
      <c r="AJ602" s="54" t="s">
        <v>771</v>
      </c>
      <c r="AK602" s="54" t="s">
        <v>212</v>
      </c>
    </row>
    <row r="603" customFormat="false" ht="15" hidden="false" customHeight="false" outlineLevel="0" collapsed="false">
      <c r="A603" s="54" t="s">
        <v>28</v>
      </c>
      <c r="B603" s="55" t="n">
        <v>1942</v>
      </c>
      <c r="C603" s="54" t="s">
        <v>127</v>
      </c>
      <c r="D603" s="54" t="s">
        <v>212</v>
      </c>
      <c r="E603" s="54"/>
      <c r="F603" s="56" t="n">
        <v>46310.3015828472</v>
      </c>
      <c r="G603" s="54" t="s">
        <v>214</v>
      </c>
      <c r="H603" s="54" t="s">
        <v>212</v>
      </c>
      <c r="I603" s="57"/>
      <c r="J603" s="56"/>
      <c r="K603" s="56"/>
      <c r="L603" s="58" t="str">
        <f aca="false">IF(AND(ISNUMBER(J603),ISNUMBER(K603)),IF(K603&gt;=J603,(K603-J603)*1440,""),"")</f>
        <v/>
      </c>
      <c r="M603" s="56"/>
      <c r="N603" s="58" t="str">
        <f aca="false">IF(AND(ISNUMBER(J603),ISNUMBER(M603)),IF(M603&gt;=J603,(M603-J603)*1440,""),"")</f>
        <v/>
      </c>
      <c r="O603" s="54" t="str">
        <f aca="false">IF(N603="","",LOOKUP(N603,Tiempos!$A$6:$A$10,Tiempos!$B$6:$B$10))</f>
        <v/>
      </c>
      <c r="P603" s="54"/>
      <c r="Q603" s="54"/>
      <c r="R603" s="54"/>
      <c r="S603" s="54"/>
      <c r="T603" s="58"/>
      <c r="U603" s="54"/>
      <c r="V603" s="58"/>
      <c r="W603" s="57"/>
      <c r="X603" s="55"/>
      <c r="Y603" s="54"/>
      <c r="Z603" s="56"/>
      <c r="AA603" s="58" t="str">
        <f aca="false">IF(AND(ISNUMBER(M603),ISNUMBER(Z603)),IF(Z603&gt;=M603,(Z603-M603)*1440,""),"")</f>
        <v/>
      </c>
      <c r="AB603" s="57"/>
      <c r="AC603" s="56"/>
      <c r="AD603" s="58" t="str">
        <f aca="false">IF(AND(ISNUMBER(Z603),ISNUMBER(AC603)),IF(AC603&gt;=Z603,(AC603-Z603)*1440,""),"")</f>
        <v/>
      </c>
      <c r="AE603" s="54"/>
      <c r="AF603" s="54"/>
      <c r="AG603" s="54"/>
      <c r="AH603" s="58"/>
      <c r="AI603" s="55" t="n">
        <v>2</v>
      </c>
      <c r="AJ603" s="54" t="s">
        <v>771</v>
      </c>
      <c r="AK603" s="54" t="s">
        <v>212</v>
      </c>
    </row>
    <row r="604" customFormat="false" ht="15" hidden="false" customHeight="false" outlineLevel="0" collapsed="false">
      <c r="A604" s="54" t="s">
        <v>28</v>
      </c>
      <c r="B604" s="55" t="n">
        <v>1950</v>
      </c>
      <c r="C604" s="54" t="s">
        <v>127</v>
      </c>
      <c r="D604" s="54" t="s">
        <v>212</v>
      </c>
      <c r="E604" s="54"/>
      <c r="F604" s="56" t="n">
        <v>46310.3067697338</v>
      </c>
      <c r="G604" s="54" t="s">
        <v>214</v>
      </c>
      <c r="H604" s="54" t="s">
        <v>212</v>
      </c>
      <c r="I604" s="57"/>
      <c r="J604" s="56"/>
      <c r="K604" s="56"/>
      <c r="L604" s="58" t="str">
        <f aca="false">IF(AND(ISNUMBER(J604),ISNUMBER(K604)),IF(K604&gt;=J604,(K604-J604)*1440,""),"")</f>
        <v/>
      </c>
      <c r="M604" s="56"/>
      <c r="N604" s="58" t="str">
        <f aca="false">IF(AND(ISNUMBER(J604),ISNUMBER(M604)),IF(M604&gt;=J604,(M604-J604)*1440,""),"")</f>
        <v/>
      </c>
      <c r="O604" s="54" t="str">
        <f aca="false">IF(N604="","",LOOKUP(N604,Tiempos!$A$6:$A$10,Tiempos!$B$6:$B$10))</f>
        <v/>
      </c>
      <c r="P604" s="54"/>
      <c r="Q604" s="54"/>
      <c r="R604" s="54"/>
      <c r="S604" s="54"/>
      <c r="T604" s="58"/>
      <c r="U604" s="54"/>
      <c r="V604" s="58"/>
      <c r="W604" s="57"/>
      <c r="X604" s="55"/>
      <c r="Y604" s="54"/>
      <c r="Z604" s="56"/>
      <c r="AA604" s="58" t="str">
        <f aca="false">IF(AND(ISNUMBER(M604),ISNUMBER(Z604)),IF(Z604&gt;=M604,(Z604-M604)*1440,""),"")</f>
        <v/>
      </c>
      <c r="AB604" s="57"/>
      <c r="AC604" s="56"/>
      <c r="AD604" s="58" t="str">
        <f aca="false">IF(AND(ISNUMBER(Z604),ISNUMBER(AC604)),IF(AC604&gt;=Z604,(AC604-Z604)*1440,""),"")</f>
        <v/>
      </c>
      <c r="AE604" s="54"/>
      <c r="AF604" s="54"/>
      <c r="AG604" s="54"/>
      <c r="AH604" s="58"/>
      <c r="AI604" s="55" t="n">
        <v>2</v>
      </c>
      <c r="AJ604" s="54" t="s">
        <v>771</v>
      </c>
      <c r="AK604" s="54" t="s">
        <v>212</v>
      </c>
    </row>
    <row r="605" customFormat="false" ht="15" hidden="false" customHeight="false" outlineLevel="0" collapsed="false">
      <c r="A605" s="54" t="s">
        <v>28</v>
      </c>
      <c r="B605" s="55" t="n">
        <v>1949</v>
      </c>
      <c r="C605" s="54" t="s">
        <v>127</v>
      </c>
      <c r="D605" s="54" t="s">
        <v>211</v>
      </c>
      <c r="E605" s="54"/>
      <c r="F605" s="56" t="n">
        <v>46310.3179837732</v>
      </c>
      <c r="G605" s="54" t="s">
        <v>214</v>
      </c>
      <c r="H605" s="54" t="s">
        <v>214</v>
      </c>
      <c r="I605" s="57" t="s">
        <v>839</v>
      </c>
      <c r="J605" s="56" t="n">
        <v>46310.3892407523</v>
      </c>
      <c r="K605" s="56" t="n">
        <v>46310.3922256482</v>
      </c>
      <c r="L605" s="58" t="n">
        <f aca="false">IF(AND(ISNUMBER(J605),ISNUMBER(K605)),IF(K605&gt;=J605,(K605-J605)*1440,""),"")</f>
        <v>4.29824999416667</v>
      </c>
      <c r="M605" s="56" t="n">
        <v>46310.3922256482</v>
      </c>
      <c r="N605" s="58" t="n">
        <f aca="false">IF(AND(ISNUMBER(J605),ISNUMBER(M605)),IF(M605&gt;=J605,(M605-J605)*1440,""),"")</f>
        <v>4.29824999416667</v>
      </c>
      <c r="O605" s="54" t="str">
        <f aca="false">IF(N605="","",LOOKUP(N605,Tiempos!$A$6:$A$10,Tiempos!$B$6:$B$10))</f>
        <v>4 a 6 min</v>
      </c>
      <c r="P605" s="54" t="s">
        <v>226</v>
      </c>
      <c r="Q605" s="54" t="s">
        <v>212</v>
      </c>
      <c r="R605" s="54" t="s">
        <v>127</v>
      </c>
      <c r="S605" s="54" t="s">
        <v>220</v>
      </c>
      <c r="T605" s="58"/>
      <c r="U605" s="54"/>
      <c r="V605" s="58"/>
      <c r="W605" s="57"/>
      <c r="X605" s="55" t="n">
        <v>0</v>
      </c>
      <c r="Y605" s="54" t="s">
        <v>212</v>
      </c>
      <c r="Z605" s="56"/>
      <c r="AA605" s="58" t="str">
        <f aca="false">IF(AND(ISNUMBER(M605),ISNUMBER(Z605)),IF(Z605&gt;=M605,(Z605-M605)*1440,""),"")</f>
        <v/>
      </c>
      <c r="AB605" s="57"/>
      <c r="AC605" s="56"/>
      <c r="AD605" s="58" t="str">
        <f aca="false">IF(AND(ISNUMBER(Z605),ISNUMBER(AC605)),IF(AC605&gt;=Z605,(AC605-Z605)*1440,""),"")</f>
        <v/>
      </c>
      <c r="AE605" s="54"/>
      <c r="AF605" s="54" t="s">
        <v>214</v>
      </c>
      <c r="AG605" s="54"/>
      <c r="AH605" s="58"/>
      <c r="AI605" s="55" t="n">
        <v>1</v>
      </c>
      <c r="AJ605" s="54" t="s">
        <v>771</v>
      </c>
      <c r="AK605" s="54" t="s">
        <v>212</v>
      </c>
    </row>
    <row r="606" customFormat="false" ht="15" hidden="false" customHeight="false" outlineLevel="0" collapsed="false">
      <c r="A606" s="54" t="s">
        <v>28</v>
      </c>
      <c r="B606" s="55" t="n">
        <v>1967</v>
      </c>
      <c r="C606" s="54" t="s">
        <v>127</v>
      </c>
      <c r="D606" s="54" t="s">
        <v>212</v>
      </c>
      <c r="E606" s="54"/>
      <c r="F606" s="56" t="n">
        <v>46310.4038707523</v>
      </c>
      <c r="G606" s="54" t="s">
        <v>212</v>
      </c>
      <c r="H606" s="54" t="s">
        <v>212</v>
      </c>
      <c r="I606" s="57"/>
      <c r="J606" s="56"/>
      <c r="K606" s="56"/>
      <c r="L606" s="58" t="str">
        <f aca="false">IF(AND(ISNUMBER(J606),ISNUMBER(K606)),IF(K606&gt;=J606,(K606-J606)*1440,""),"")</f>
        <v/>
      </c>
      <c r="M606" s="56"/>
      <c r="N606" s="58" t="str">
        <f aca="false">IF(AND(ISNUMBER(J606),ISNUMBER(M606)),IF(M606&gt;=J606,(M606-J606)*1440,""),"")</f>
        <v/>
      </c>
      <c r="O606" s="54" t="str">
        <f aca="false">IF(N606="","",LOOKUP(N606,Tiempos!$A$6:$A$10,Tiempos!$B$6:$B$10))</f>
        <v/>
      </c>
      <c r="P606" s="54"/>
      <c r="Q606" s="54"/>
      <c r="R606" s="54"/>
      <c r="S606" s="54"/>
      <c r="T606" s="58"/>
      <c r="U606" s="54"/>
      <c r="V606" s="58"/>
      <c r="W606" s="57"/>
      <c r="X606" s="55"/>
      <c r="Y606" s="54"/>
      <c r="Z606" s="56"/>
      <c r="AA606" s="58" t="str">
        <f aca="false">IF(AND(ISNUMBER(M606),ISNUMBER(Z606)),IF(Z606&gt;=M606,(Z606-M606)*1440,""),"")</f>
        <v/>
      </c>
      <c r="AB606" s="57"/>
      <c r="AC606" s="56"/>
      <c r="AD606" s="58" t="str">
        <f aca="false">IF(AND(ISNUMBER(Z606),ISNUMBER(AC606)),IF(AC606&gt;=Z606,(AC606-Z606)*1440,""),"")</f>
        <v/>
      </c>
      <c r="AE606" s="54"/>
      <c r="AF606" s="54"/>
      <c r="AG606" s="54"/>
      <c r="AH606" s="58"/>
      <c r="AI606" s="55" t="n">
        <v>3</v>
      </c>
      <c r="AJ606" s="54" t="s">
        <v>771</v>
      </c>
      <c r="AK606" s="54" t="s">
        <v>212</v>
      </c>
    </row>
    <row r="607" customFormat="false" ht="15" hidden="false" customHeight="false" outlineLevel="0" collapsed="false">
      <c r="A607" s="54" t="s">
        <v>28</v>
      </c>
      <c r="B607" s="55" t="n">
        <v>1988</v>
      </c>
      <c r="C607" s="54" t="s">
        <v>127</v>
      </c>
      <c r="D607" s="54" t="s">
        <v>212</v>
      </c>
      <c r="E607" s="54"/>
      <c r="F607" s="56" t="n">
        <v>46310.4999563426</v>
      </c>
      <c r="G607" s="54" t="s">
        <v>212</v>
      </c>
      <c r="H607" s="54" t="s">
        <v>214</v>
      </c>
      <c r="I607" s="57"/>
      <c r="J607" s="56"/>
      <c r="K607" s="56"/>
      <c r="L607" s="58" t="str">
        <f aca="false">IF(AND(ISNUMBER(J607),ISNUMBER(K607)),IF(K607&gt;=J607,(K607-J607)*1440,""),"")</f>
        <v/>
      </c>
      <c r="M607" s="56"/>
      <c r="N607" s="58" t="str">
        <f aca="false">IF(AND(ISNUMBER(J607),ISNUMBER(M607)),IF(M607&gt;=J607,(M607-J607)*1440,""),"")</f>
        <v/>
      </c>
      <c r="O607" s="54" t="str">
        <f aca="false">IF(N607="","",LOOKUP(N607,Tiempos!$A$6:$A$10,Tiempos!$B$6:$B$10))</f>
        <v/>
      </c>
      <c r="P607" s="54"/>
      <c r="Q607" s="54"/>
      <c r="R607" s="54"/>
      <c r="S607" s="54"/>
      <c r="T607" s="58"/>
      <c r="U607" s="54"/>
      <c r="V607" s="58"/>
      <c r="W607" s="57"/>
      <c r="X607" s="55"/>
      <c r="Y607" s="54"/>
      <c r="Z607" s="56"/>
      <c r="AA607" s="58" t="str">
        <f aca="false">IF(AND(ISNUMBER(M607),ISNUMBER(Z607)),IF(Z607&gt;=M607,(Z607-M607)*1440,""),"")</f>
        <v/>
      </c>
      <c r="AB607" s="57"/>
      <c r="AC607" s="56"/>
      <c r="AD607" s="58" t="str">
        <f aca="false">IF(AND(ISNUMBER(Z607),ISNUMBER(AC607)),IF(AC607&gt;=Z607,(AC607-Z607)*1440,""),"")</f>
        <v/>
      </c>
      <c r="AE607" s="54"/>
      <c r="AF607" s="54"/>
      <c r="AG607" s="54"/>
      <c r="AH607" s="58"/>
      <c r="AI607" s="55" t="n">
        <v>2</v>
      </c>
      <c r="AJ607" s="54" t="s">
        <v>771</v>
      </c>
      <c r="AK607" s="54" t="s">
        <v>212</v>
      </c>
    </row>
    <row r="608" customFormat="false" ht="15" hidden="false" customHeight="false" outlineLevel="0" collapsed="false">
      <c r="A608" s="54" t="s">
        <v>28</v>
      </c>
      <c r="B608" s="55" t="n">
        <v>1999</v>
      </c>
      <c r="C608" s="54" t="s">
        <v>127</v>
      </c>
      <c r="D608" s="54" t="s">
        <v>212</v>
      </c>
      <c r="E608" s="54"/>
      <c r="F608" s="56" t="n">
        <v>46310.5583525579</v>
      </c>
      <c r="G608" s="54" t="s">
        <v>212</v>
      </c>
      <c r="H608" s="54" t="s">
        <v>214</v>
      </c>
      <c r="I608" s="57"/>
      <c r="J608" s="56"/>
      <c r="K608" s="56"/>
      <c r="L608" s="58" t="str">
        <f aca="false">IF(AND(ISNUMBER(J608),ISNUMBER(K608)),IF(K608&gt;=J608,(K608-J608)*1440,""),"")</f>
        <v/>
      </c>
      <c r="M608" s="56"/>
      <c r="N608" s="58" t="str">
        <f aca="false">IF(AND(ISNUMBER(J608),ISNUMBER(M608)),IF(M608&gt;=J608,(M608-J608)*1440,""),"")</f>
        <v/>
      </c>
      <c r="O608" s="54" t="str">
        <f aca="false">IF(N608="","",LOOKUP(N608,Tiempos!$A$6:$A$10,Tiempos!$B$6:$B$10))</f>
        <v/>
      </c>
      <c r="P608" s="54"/>
      <c r="Q608" s="54"/>
      <c r="R608" s="54"/>
      <c r="S608" s="54"/>
      <c r="T608" s="58"/>
      <c r="U608" s="54"/>
      <c r="V608" s="58"/>
      <c r="W608" s="57"/>
      <c r="X608" s="55"/>
      <c r="Y608" s="54"/>
      <c r="Z608" s="56"/>
      <c r="AA608" s="58" t="str">
        <f aca="false">IF(AND(ISNUMBER(M608),ISNUMBER(Z608)),IF(Z608&gt;=M608,(Z608-M608)*1440,""),"")</f>
        <v/>
      </c>
      <c r="AB608" s="57"/>
      <c r="AC608" s="56"/>
      <c r="AD608" s="58" t="str">
        <f aca="false">IF(AND(ISNUMBER(Z608),ISNUMBER(AC608)),IF(AC608&gt;=Z608,(AC608-Z608)*1440,""),"")</f>
        <v/>
      </c>
      <c r="AE608" s="54"/>
      <c r="AF608" s="54"/>
      <c r="AG608" s="54"/>
      <c r="AH608" s="58"/>
      <c r="AI608" s="55" t="n">
        <v>1</v>
      </c>
      <c r="AJ608" s="54" t="s">
        <v>771</v>
      </c>
      <c r="AK608" s="54" t="s">
        <v>212</v>
      </c>
    </row>
    <row r="609" customFormat="false" ht="15" hidden="false" customHeight="false" outlineLevel="0" collapsed="false">
      <c r="A609" s="54" t="s">
        <v>28</v>
      </c>
      <c r="B609" s="55" t="n">
        <v>2007</v>
      </c>
      <c r="C609" s="54" t="s">
        <v>127</v>
      </c>
      <c r="D609" s="54" t="s">
        <v>212</v>
      </c>
      <c r="E609" s="54"/>
      <c r="F609" s="56" t="n">
        <v>46310.5994985532</v>
      </c>
      <c r="G609" s="54" t="s">
        <v>212</v>
      </c>
      <c r="H609" s="54" t="s">
        <v>212</v>
      </c>
      <c r="I609" s="57"/>
      <c r="J609" s="56"/>
      <c r="K609" s="56"/>
      <c r="L609" s="58" t="str">
        <f aca="false">IF(AND(ISNUMBER(J609),ISNUMBER(K609)),IF(K609&gt;=J609,(K609-J609)*1440,""),"")</f>
        <v/>
      </c>
      <c r="M609" s="56"/>
      <c r="N609" s="58" t="str">
        <f aca="false">IF(AND(ISNUMBER(J609),ISNUMBER(M609)),IF(M609&gt;=J609,(M609-J609)*1440,""),"")</f>
        <v/>
      </c>
      <c r="O609" s="54" t="str">
        <f aca="false">IF(N609="","",LOOKUP(N609,Tiempos!$A$6:$A$10,Tiempos!$B$6:$B$10))</f>
        <v/>
      </c>
      <c r="P609" s="54"/>
      <c r="Q609" s="54"/>
      <c r="R609" s="54"/>
      <c r="S609" s="54"/>
      <c r="T609" s="58"/>
      <c r="U609" s="54"/>
      <c r="V609" s="58"/>
      <c r="W609" s="57"/>
      <c r="X609" s="55"/>
      <c r="Y609" s="54"/>
      <c r="Z609" s="56"/>
      <c r="AA609" s="58" t="str">
        <f aca="false">IF(AND(ISNUMBER(M609),ISNUMBER(Z609)),IF(Z609&gt;=M609,(Z609-M609)*1440,""),"")</f>
        <v/>
      </c>
      <c r="AB609" s="57"/>
      <c r="AC609" s="56"/>
      <c r="AD609" s="58" t="str">
        <f aca="false">IF(AND(ISNUMBER(Z609),ISNUMBER(AC609)),IF(AC609&gt;=Z609,(AC609-Z609)*1440,""),"")</f>
        <v/>
      </c>
      <c r="AE609" s="54"/>
      <c r="AF609" s="54"/>
      <c r="AG609" s="54"/>
      <c r="AH609" s="58"/>
      <c r="AI609" s="55" t="n">
        <v>2</v>
      </c>
      <c r="AJ609" s="54" t="s">
        <v>771</v>
      </c>
      <c r="AK609" s="54" t="s">
        <v>212</v>
      </c>
    </row>
    <row r="610" customFormat="false" ht="15" hidden="false" customHeight="false" outlineLevel="0" collapsed="false">
      <c r="A610" s="54" t="s">
        <v>28</v>
      </c>
      <c r="B610" s="55" t="n">
        <v>2024</v>
      </c>
      <c r="C610" s="54" t="s">
        <v>127</v>
      </c>
      <c r="D610" s="54" t="s">
        <v>212</v>
      </c>
      <c r="E610" s="54"/>
      <c r="F610" s="56" t="n">
        <v>46310.6870420139</v>
      </c>
      <c r="G610" s="54" t="s">
        <v>212</v>
      </c>
      <c r="H610" s="54" t="s">
        <v>212</v>
      </c>
      <c r="I610" s="57"/>
      <c r="J610" s="56"/>
      <c r="K610" s="56"/>
      <c r="L610" s="58" t="str">
        <f aca="false">IF(AND(ISNUMBER(J610),ISNUMBER(K610)),IF(K610&gt;=J610,(K610-J610)*1440,""),"")</f>
        <v/>
      </c>
      <c r="M610" s="56"/>
      <c r="N610" s="58" t="str">
        <f aca="false">IF(AND(ISNUMBER(J610),ISNUMBER(M610)),IF(M610&gt;=J610,(M610-J610)*1440,""),"")</f>
        <v/>
      </c>
      <c r="O610" s="54" t="str">
        <f aca="false">IF(N610="","",LOOKUP(N610,Tiempos!$A$6:$A$10,Tiempos!$B$6:$B$10))</f>
        <v/>
      </c>
      <c r="P610" s="54"/>
      <c r="Q610" s="54"/>
      <c r="R610" s="54"/>
      <c r="S610" s="54"/>
      <c r="T610" s="58"/>
      <c r="U610" s="54"/>
      <c r="V610" s="58"/>
      <c r="W610" s="57"/>
      <c r="X610" s="55"/>
      <c r="Y610" s="54"/>
      <c r="Z610" s="56"/>
      <c r="AA610" s="58" t="str">
        <f aca="false">IF(AND(ISNUMBER(M610),ISNUMBER(Z610)),IF(Z610&gt;=M610,(Z610-M610)*1440,""),"")</f>
        <v/>
      </c>
      <c r="AB610" s="57"/>
      <c r="AC610" s="56"/>
      <c r="AD610" s="58" t="str">
        <f aca="false">IF(AND(ISNUMBER(Z610),ISNUMBER(AC610)),IF(AC610&gt;=Z610,(AC610-Z610)*1440,""),"")</f>
        <v/>
      </c>
      <c r="AE610" s="54"/>
      <c r="AF610" s="54"/>
      <c r="AG610" s="54"/>
      <c r="AH610" s="58"/>
      <c r="AI610" s="55" t="n">
        <v>1</v>
      </c>
      <c r="AJ610" s="54" t="s">
        <v>771</v>
      </c>
      <c r="AK610" s="54" t="s">
        <v>212</v>
      </c>
    </row>
    <row r="611" customFormat="false" ht="15" hidden="false" customHeight="false" outlineLevel="0" collapsed="false">
      <c r="A611" s="54" t="s">
        <v>28</v>
      </c>
      <c r="B611" s="55" t="n">
        <v>2030</v>
      </c>
      <c r="C611" s="54" t="s">
        <v>128</v>
      </c>
      <c r="D611" s="54" t="s">
        <v>214</v>
      </c>
      <c r="E611" s="54" t="s">
        <v>233</v>
      </c>
      <c r="F611" s="56" t="n">
        <v>46310.7043994329</v>
      </c>
      <c r="G611" s="54" t="s">
        <v>212</v>
      </c>
      <c r="H611" s="54" t="s">
        <v>214</v>
      </c>
      <c r="I611" s="57" t="s">
        <v>840</v>
      </c>
      <c r="J611" s="56" t="n">
        <v>46310.7072480324</v>
      </c>
      <c r="K611" s="56" t="n">
        <v>46310.7089091204</v>
      </c>
      <c r="L611" s="58" t="n">
        <f aca="false">IF(AND(ISNUMBER(J611),ISNUMBER(K611)),IF(K611&gt;=J611,(K611-J611)*1440,""),"")</f>
        <v>2.39196665351667</v>
      </c>
      <c r="M611" s="56" t="n">
        <v>46310.7139187269</v>
      </c>
      <c r="N611" s="58" t="n">
        <f aca="false">IF(AND(ISNUMBER(J611),ISNUMBER(M611)),IF(M611&gt;=J611,(M611-J611)*1440,""),"")</f>
        <v>9.60579998558333</v>
      </c>
      <c r="O611" s="54" t="str">
        <f aca="false">IF(N611="","",LOOKUP(N611,Tiempos!$A$6:$A$10,Tiempos!$B$6:$B$10))</f>
        <v>6 a 10 min</v>
      </c>
      <c r="P611" s="54" t="s">
        <v>244</v>
      </c>
      <c r="Q611" s="54" t="s">
        <v>214</v>
      </c>
      <c r="R611" s="54" t="s">
        <v>128</v>
      </c>
      <c r="S611" s="54" t="s">
        <v>220</v>
      </c>
      <c r="T611" s="58" t="n">
        <v>83.9</v>
      </c>
      <c r="U611" s="54" t="s">
        <v>212</v>
      </c>
      <c r="V611" s="58" t="n">
        <v>7.21</v>
      </c>
      <c r="W611" s="57" t="s">
        <v>837</v>
      </c>
      <c r="X611" s="55" t="n">
        <v>3</v>
      </c>
      <c r="Y611" s="54" t="s">
        <v>212</v>
      </c>
      <c r="Z611" s="56"/>
      <c r="AA611" s="58" t="str">
        <f aca="false">IF(AND(ISNUMBER(M611),ISNUMBER(Z611)),IF(Z611&gt;=M611,(Z611-M611)*1440,""),"")</f>
        <v/>
      </c>
      <c r="AB611" s="57"/>
      <c r="AC611" s="56"/>
      <c r="AD611" s="58" t="str">
        <f aca="false">IF(AND(ISNUMBER(Z611),ISNUMBER(AC611)),IF(AC611&gt;=Z611,(AC611-Z611)*1440,""),"")</f>
        <v/>
      </c>
      <c r="AE611" s="54"/>
      <c r="AF611" s="54" t="s">
        <v>214</v>
      </c>
      <c r="AG611" s="54"/>
      <c r="AH611" s="58"/>
      <c r="AI611" s="55" t="n">
        <v>2</v>
      </c>
      <c r="AJ611" s="54" t="s">
        <v>771</v>
      </c>
      <c r="AK611" s="54" t="s">
        <v>212</v>
      </c>
    </row>
    <row r="612" customFormat="false" ht="15" hidden="false" customHeight="false" outlineLevel="0" collapsed="false">
      <c r="A612" s="54" t="s">
        <v>28</v>
      </c>
      <c r="B612" s="55" t="n">
        <v>2059</v>
      </c>
      <c r="C612" s="54" t="s">
        <v>127</v>
      </c>
      <c r="D612" s="54" t="s">
        <v>214</v>
      </c>
      <c r="E612" s="54" t="s">
        <v>242</v>
      </c>
      <c r="F612" s="56" t="n">
        <v>46310.8093131366</v>
      </c>
      <c r="G612" s="54" t="s">
        <v>212</v>
      </c>
      <c r="H612" s="54" t="s">
        <v>214</v>
      </c>
      <c r="I612" s="57" t="s">
        <v>841</v>
      </c>
      <c r="J612" s="56" t="n">
        <v>46310.8177061574</v>
      </c>
      <c r="K612" s="56" t="n">
        <v>46310.8179119792</v>
      </c>
      <c r="L612" s="58" t="n">
        <f aca="false">IF(AND(ISNUMBER(J612),ISNUMBER(K612)),IF(K612&gt;=J612,(K612-J612)*1440,""),"")</f>
        <v>0.296383331283333</v>
      </c>
      <c r="M612" s="56" t="n">
        <v>46310.8194609028</v>
      </c>
      <c r="N612" s="58" t="n">
        <f aca="false">IF(AND(ISNUMBER(J612),ISNUMBER(M612)),IF(M612&gt;=J612,(M612-J612)*1440,""),"")</f>
        <v>2.52683333003333</v>
      </c>
      <c r="O612" s="54" t="str">
        <f aca="false">IF(N612="","",LOOKUP(N612,Tiempos!$A$6:$A$10,Tiempos!$B$6:$B$10))</f>
        <v>Menos de 4 min</v>
      </c>
      <c r="P612" s="54" t="s">
        <v>229</v>
      </c>
      <c r="Q612" s="54" t="s">
        <v>214</v>
      </c>
      <c r="R612" s="54" t="s">
        <v>127</v>
      </c>
      <c r="S612" s="54" t="s">
        <v>220</v>
      </c>
      <c r="T612" s="58" t="n">
        <v>105.1</v>
      </c>
      <c r="U612" s="54" t="s">
        <v>214</v>
      </c>
      <c r="V612" s="58" t="n">
        <v>2.23</v>
      </c>
      <c r="W612" s="57" t="s">
        <v>352</v>
      </c>
      <c r="X612" s="55" t="n">
        <v>2</v>
      </c>
      <c r="Y612" s="54" t="s">
        <v>212</v>
      </c>
      <c r="Z612" s="56"/>
      <c r="AA612" s="58" t="str">
        <f aca="false">IF(AND(ISNUMBER(M612),ISNUMBER(Z612)),IF(Z612&gt;=M612,(Z612-M612)*1440,""),"")</f>
        <v/>
      </c>
      <c r="AB612" s="57"/>
      <c r="AC612" s="56"/>
      <c r="AD612" s="58" t="str">
        <f aca="false">IF(AND(ISNUMBER(Z612),ISNUMBER(AC612)),IF(AC612&gt;=Z612,(AC612-Z612)*1440,""),"")</f>
        <v/>
      </c>
      <c r="AE612" s="54"/>
      <c r="AF612" s="54" t="s">
        <v>214</v>
      </c>
      <c r="AG612" s="54"/>
      <c r="AH612" s="58"/>
      <c r="AI612" s="55" t="n">
        <v>2</v>
      </c>
      <c r="AJ612" s="54" t="s">
        <v>771</v>
      </c>
      <c r="AK612" s="54" t="s">
        <v>212</v>
      </c>
    </row>
    <row r="613" customFormat="false" ht="15" hidden="false" customHeight="false" outlineLevel="0" collapsed="false">
      <c r="A613" s="54" t="s">
        <v>28</v>
      </c>
      <c r="B613" s="55" t="n">
        <v>2071</v>
      </c>
      <c r="C613" s="54" t="s">
        <v>128</v>
      </c>
      <c r="D613" s="54" t="s">
        <v>214</v>
      </c>
      <c r="E613" s="54" t="s">
        <v>217</v>
      </c>
      <c r="F613" s="56" t="n">
        <v>46310.8407156019</v>
      </c>
      <c r="G613" s="54" t="s">
        <v>212</v>
      </c>
      <c r="H613" s="54" t="s">
        <v>214</v>
      </c>
      <c r="I613" s="57" t="s">
        <v>842</v>
      </c>
      <c r="J613" s="56" t="n">
        <v>46310.8413918634</v>
      </c>
      <c r="K613" s="56" t="n">
        <v>46310.8455191667</v>
      </c>
      <c r="L613" s="58" t="n">
        <f aca="false">IF(AND(ISNUMBER(J613),ISNUMBER(K613)),IF(K613&gt;=J613,(K613-J613)*1440,""),"")</f>
        <v>5.94331666593333</v>
      </c>
      <c r="M613" s="56" t="n">
        <v>46310.847635625</v>
      </c>
      <c r="N613" s="58" t="n">
        <f aca="false">IF(AND(ISNUMBER(J613),ISNUMBER(M613)),IF(M613&gt;=J613,(M613-J613)*1440,""),"")</f>
        <v>8.99101666173333</v>
      </c>
      <c r="O613" s="54" t="str">
        <f aca="false">IF(N613="","",LOOKUP(N613,Tiempos!$A$6:$A$10,Tiempos!$B$6:$B$10))</f>
        <v>6 a 10 min</v>
      </c>
      <c r="P613" s="54" t="s">
        <v>244</v>
      </c>
      <c r="Q613" s="54" t="s">
        <v>214</v>
      </c>
      <c r="R613" s="54" t="s">
        <v>128</v>
      </c>
      <c r="S613" s="54" t="s">
        <v>220</v>
      </c>
      <c r="T613" s="58" t="n">
        <v>76.4</v>
      </c>
      <c r="U613" s="54" t="s">
        <v>214</v>
      </c>
      <c r="V613" s="58" t="n">
        <v>3.05</v>
      </c>
      <c r="W613" s="57" t="s">
        <v>309</v>
      </c>
      <c r="X613" s="55" t="n">
        <v>3</v>
      </c>
      <c r="Y613" s="54" t="s">
        <v>214</v>
      </c>
      <c r="Z613" s="56" t="n">
        <v>46310.851535544</v>
      </c>
      <c r="AA613" s="58" t="n">
        <f aca="false">IF(AND(ISNUMBER(M613),ISNUMBER(Z613)),IF(Z613&gt;=M613,(Z613-M613)*1440,""),"")</f>
        <v>5.61588332871667</v>
      </c>
      <c r="AB613" s="57" t="s">
        <v>498</v>
      </c>
      <c r="AC613" s="56" t="n">
        <v>46310.8585466319</v>
      </c>
      <c r="AD613" s="58" t="n">
        <f aca="false">IF(AND(ISNUMBER(Z613),ISNUMBER(AC613)),IF(AC613&gt;=Z613,(AC613-Z613)*1440,""),"")</f>
        <v>10.0959666632</v>
      </c>
      <c r="AE613" s="54" t="s">
        <v>302</v>
      </c>
      <c r="AF613" s="54" t="s">
        <v>212</v>
      </c>
      <c r="AG613" s="54" t="s">
        <v>212</v>
      </c>
      <c r="AH613" s="58"/>
      <c r="AI613" s="55" t="n">
        <v>2</v>
      </c>
      <c r="AJ613" s="54" t="s">
        <v>780</v>
      </c>
      <c r="AK613" s="54" t="s">
        <v>212</v>
      </c>
    </row>
    <row r="614" customFormat="false" ht="15" hidden="false" customHeight="false" outlineLevel="0" collapsed="false">
      <c r="A614" s="54" t="s">
        <v>28</v>
      </c>
      <c r="B614" s="55" t="n">
        <v>2074</v>
      </c>
      <c r="C614" s="54" t="s">
        <v>128</v>
      </c>
      <c r="D614" s="54" t="s">
        <v>214</v>
      </c>
      <c r="E614" s="54" t="s">
        <v>217</v>
      </c>
      <c r="F614" s="56" t="n">
        <v>46310.8415404861</v>
      </c>
      <c r="G614" s="54" t="s">
        <v>212</v>
      </c>
      <c r="H614" s="54" t="s">
        <v>212</v>
      </c>
      <c r="I614" s="57" t="s">
        <v>843</v>
      </c>
      <c r="J614" s="56" t="n">
        <v>46310.8452401273</v>
      </c>
      <c r="K614" s="56" t="n">
        <v>46310.8487959028</v>
      </c>
      <c r="L614" s="58" t="n">
        <f aca="false">IF(AND(ISNUMBER(J614),ISNUMBER(K614)),IF(K614&gt;=J614,(K614-J614)*1440,""),"")</f>
        <v>5.12031666235</v>
      </c>
      <c r="M614" s="56" t="n">
        <v>46310.8531558681</v>
      </c>
      <c r="N614" s="58" t="n">
        <f aca="false">IF(AND(ISNUMBER(J614),ISNUMBER(M614)),IF(M614&gt;=J614,(M614-J614)*1440,""),"")</f>
        <v>11.3986666733333</v>
      </c>
      <c r="O614" s="54" t="str">
        <f aca="false">IF(N614="","",LOOKUP(N614,Tiempos!$A$6:$A$10,Tiempos!$B$6:$B$10))</f>
        <v>10 a 30 min</v>
      </c>
      <c r="P614" s="54" t="s">
        <v>244</v>
      </c>
      <c r="Q614" s="54" t="s">
        <v>214</v>
      </c>
      <c r="R614" s="54" t="s">
        <v>128</v>
      </c>
      <c r="S614" s="54" t="s">
        <v>220</v>
      </c>
      <c r="T614" s="58" t="n">
        <v>77.6</v>
      </c>
      <c r="U614" s="54" t="s">
        <v>212</v>
      </c>
      <c r="V614" s="58" t="n">
        <v>4.12</v>
      </c>
      <c r="W614" s="57" t="s">
        <v>844</v>
      </c>
      <c r="X614" s="55" t="n">
        <v>3</v>
      </c>
      <c r="Y614" s="54" t="s">
        <v>214</v>
      </c>
      <c r="Z614" s="56" t="n">
        <v>46310.8954297569</v>
      </c>
      <c r="AA614" s="58" t="n">
        <f aca="false">IF(AND(ISNUMBER(M614),ISNUMBER(Z614)),IF(Z614&gt;=M614,(Z614-M614)*1440,""),"")</f>
        <v>60.8743999886667</v>
      </c>
      <c r="AB614" s="57" t="s">
        <v>748</v>
      </c>
      <c r="AC614" s="56" t="n">
        <v>46310.8967303472</v>
      </c>
      <c r="AD614" s="58" t="n">
        <f aca="false">IF(AND(ISNUMBER(Z614),ISNUMBER(AC614)),IF(AC614&gt;=Z614,(AC614-Z614)*1440,""),"")</f>
        <v>1.87284999293333</v>
      </c>
      <c r="AE614" s="54" t="s">
        <v>636</v>
      </c>
      <c r="AF614" s="54" t="s">
        <v>212</v>
      </c>
      <c r="AG614" s="54" t="s">
        <v>212</v>
      </c>
      <c r="AH614" s="58"/>
      <c r="AI614" s="55" t="n">
        <v>2</v>
      </c>
      <c r="AJ614" s="54" t="s">
        <v>210</v>
      </c>
      <c r="AK614" s="54" t="s">
        <v>214</v>
      </c>
    </row>
    <row r="615" customFormat="false" ht="15" hidden="false" customHeight="false" outlineLevel="0" collapsed="false">
      <c r="A615" s="54" t="s">
        <v>28</v>
      </c>
      <c r="B615" s="55" t="n">
        <v>2075</v>
      </c>
      <c r="C615" s="54" t="s">
        <v>127</v>
      </c>
      <c r="D615" s="54" t="s">
        <v>212</v>
      </c>
      <c r="E615" s="54"/>
      <c r="F615" s="56" t="n">
        <v>46310.8644809838</v>
      </c>
      <c r="G615" s="54" t="s">
        <v>212</v>
      </c>
      <c r="H615" s="54" t="s">
        <v>214</v>
      </c>
      <c r="I615" s="57"/>
      <c r="J615" s="56"/>
      <c r="K615" s="56"/>
      <c r="L615" s="58" t="str">
        <f aca="false">IF(AND(ISNUMBER(J615),ISNUMBER(K615)),IF(K615&gt;=J615,(K615-J615)*1440,""),"")</f>
        <v/>
      </c>
      <c r="M615" s="56"/>
      <c r="N615" s="58" t="str">
        <f aca="false">IF(AND(ISNUMBER(J615),ISNUMBER(M615)),IF(M615&gt;=J615,(M615-J615)*1440,""),"")</f>
        <v/>
      </c>
      <c r="O615" s="54" t="str">
        <f aca="false">IF(N615="","",LOOKUP(N615,Tiempos!$A$6:$A$10,Tiempos!$B$6:$B$10))</f>
        <v/>
      </c>
      <c r="P615" s="54"/>
      <c r="Q615" s="54"/>
      <c r="R615" s="54"/>
      <c r="S615" s="54"/>
      <c r="T615" s="58"/>
      <c r="U615" s="54"/>
      <c r="V615" s="58"/>
      <c r="W615" s="57"/>
      <c r="X615" s="55"/>
      <c r="Y615" s="54"/>
      <c r="Z615" s="56"/>
      <c r="AA615" s="58" t="str">
        <f aca="false">IF(AND(ISNUMBER(M615),ISNUMBER(Z615)),IF(Z615&gt;=M615,(Z615-M615)*1440,""),"")</f>
        <v/>
      </c>
      <c r="AB615" s="57"/>
      <c r="AC615" s="56"/>
      <c r="AD615" s="58" t="str">
        <f aca="false">IF(AND(ISNUMBER(Z615),ISNUMBER(AC615)),IF(AC615&gt;=Z615,(AC615-Z615)*1440,""),"")</f>
        <v/>
      </c>
      <c r="AE615" s="54"/>
      <c r="AF615" s="54"/>
      <c r="AG615" s="54"/>
      <c r="AH615" s="58"/>
      <c r="AI615" s="55" t="n">
        <v>1</v>
      </c>
      <c r="AJ615" s="54" t="s">
        <v>771</v>
      </c>
      <c r="AK615" s="54" t="s">
        <v>212</v>
      </c>
    </row>
    <row r="616" customFormat="false" ht="15" hidden="false" customHeight="false" outlineLevel="0" collapsed="false">
      <c r="A616" s="54" t="s">
        <v>28</v>
      </c>
      <c r="B616" s="55" t="n">
        <v>2081</v>
      </c>
      <c r="C616" s="54" t="s">
        <v>127</v>
      </c>
      <c r="D616" s="54" t="s">
        <v>212</v>
      </c>
      <c r="E616" s="54"/>
      <c r="F616" s="56" t="n">
        <v>46310.9111567245</v>
      </c>
      <c r="G616" s="54" t="s">
        <v>212</v>
      </c>
      <c r="H616" s="54" t="s">
        <v>212</v>
      </c>
      <c r="I616" s="57"/>
      <c r="J616" s="56"/>
      <c r="K616" s="56"/>
      <c r="L616" s="58" t="str">
        <f aca="false">IF(AND(ISNUMBER(J616),ISNUMBER(K616)),IF(K616&gt;=J616,(K616-J616)*1440,""),"")</f>
        <v/>
      </c>
      <c r="M616" s="56"/>
      <c r="N616" s="58" t="str">
        <f aca="false">IF(AND(ISNUMBER(J616),ISNUMBER(M616)),IF(M616&gt;=J616,(M616-J616)*1440,""),"")</f>
        <v/>
      </c>
      <c r="O616" s="54" t="str">
        <f aca="false">IF(N616="","",LOOKUP(N616,Tiempos!$A$6:$A$10,Tiempos!$B$6:$B$10))</f>
        <v/>
      </c>
      <c r="P616" s="54"/>
      <c r="Q616" s="54"/>
      <c r="R616" s="54"/>
      <c r="S616" s="54"/>
      <c r="T616" s="58"/>
      <c r="U616" s="54"/>
      <c r="V616" s="58"/>
      <c r="W616" s="57"/>
      <c r="X616" s="55"/>
      <c r="Y616" s="54"/>
      <c r="Z616" s="56"/>
      <c r="AA616" s="58" t="str">
        <f aca="false">IF(AND(ISNUMBER(M616),ISNUMBER(Z616)),IF(Z616&gt;=M616,(Z616-M616)*1440,""),"")</f>
        <v/>
      </c>
      <c r="AB616" s="57"/>
      <c r="AC616" s="56"/>
      <c r="AD616" s="58" t="str">
        <f aca="false">IF(AND(ISNUMBER(Z616),ISNUMBER(AC616)),IF(AC616&gt;=Z616,(AC616-Z616)*1440,""),"")</f>
        <v/>
      </c>
      <c r="AE616" s="54"/>
      <c r="AF616" s="54"/>
      <c r="AG616" s="54"/>
      <c r="AH616" s="58"/>
      <c r="AI616" s="55" t="n">
        <v>1</v>
      </c>
      <c r="AJ616" s="54" t="s">
        <v>771</v>
      </c>
      <c r="AK616" s="54" t="s">
        <v>212</v>
      </c>
    </row>
  </sheetData>
  <autoFilter ref="A1:AK6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8AAA"/>
    <pageSetUpPr fitToPage="false"/>
  </sheetPr>
  <dimension ref="A1:Q8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7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26"/>
    <col collapsed="false" customWidth="true" hidden="false" outlineLevel="0" max="10" min="10" style="0" width="24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5" min="14" style="0" width="11"/>
    <col collapsed="false" customWidth="true" hidden="false" outlineLevel="0" max="16" min="16" style="0" width="13"/>
    <col collapsed="false" customWidth="true" hidden="false" outlineLevel="0" max="17" min="17" style="0" width="12"/>
  </cols>
  <sheetData>
    <row r="1" customFormat="false" ht="48" hidden="false" customHeight="true" outlineLevel="0" collapsed="false">
      <c r="A1" s="53" t="s">
        <v>20</v>
      </c>
      <c r="B1" s="53" t="s">
        <v>175</v>
      </c>
      <c r="C1" s="53" t="s">
        <v>845</v>
      </c>
      <c r="D1" s="53" t="s">
        <v>164</v>
      </c>
      <c r="E1" s="53" t="s">
        <v>846</v>
      </c>
      <c r="F1" s="53" t="s">
        <v>847</v>
      </c>
      <c r="G1" s="53" t="s">
        <v>848</v>
      </c>
      <c r="H1" s="53" t="s">
        <v>849</v>
      </c>
      <c r="I1" s="53" t="s">
        <v>850</v>
      </c>
      <c r="J1" s="53" t="s">
        <v>851</v>
      </c>
      <c r="K1" s="53" t="s">
        <v>852</v>
      </c>
      <c r="L1" s="53" t="s">
        <v>853</v>
      </c>
      <c r="M1" s="53" t="s">
        <v>854</v>
      </c>
      <c r="N1" s="53" t="s">
        <v>855</v>
      </c>
      <c r="O1" s="53" t="s">
        <v>856</v>
      </c>
      <c r="P1" s="53" t="s">
        <v>857</v>
      </c>
      <c r="Q1" s="53" t="s">
        <v>858</v>
      </c>
    </row>
    <row r="2" customFormat="false" ht="15" hidden="false" customHeight="false" outlineLevel="0" collapsed="false">
      <c r="A2" s="54" t="s">
        <v>29</v>
      </c>
      <c r="B2" s="55" t="n">
        <v>268</v>
      </c>
      <c r="C2" s="56" t="n">
        <v>46300.572076794</v>
      </c>
      <c r="D2" s="55" t="n">
        <v>13</v>
      </c>
      <c r="E2" s="54" t="s">
        <v>214</v>
      </c>
      <c r="F2" s="54" t="s">
        <v>859</v>
      </c>
      <c r="G2" s="54" t="s">
        <v>860</v>
      </c>
      <c r="H2" s="54" t="s">
        <v>861</v>
      </c>
      <c r="I2" s="54" t="s">
        <v>288</v>
      </c>
      <c r="J2" s="54" t="s">
        <v>862</v>
      </c>
      <c r="K2" s="58" t="n">
        <v>76.7</v>
      </c>
      <c r="L2" s="54" t="s">
        <v>863</v>
      </c>
      <c r="M2" s="54" t="s">
        <v>212</v>
      </c>
      <c r="N2" s="54" t="s">
        <v>212</v>
      </c>
      <c r="O2" s="58"/>
      <c r="P2" s="54" t="s">
        <v>214</v>
      </c>
      <c r="Q2" s="58" t="n">
        <v>1247.6</v>
      </c>
    </row>
    <row r="3" customFormat="false" ht="15" hidden="false" customHeight="false" outlineLevel="0" collapsed="false">
      <c r="A3" s="54" t="s">
        <v>29</v>
      </c>
      <c r="B3" s="55" t="n">
        <v>286</v>
      </c>
      <c r="C3" s="56" t="n">
        <v>46300.5767922685</v>
      </c>
      <c r="D3" s="55" t="n">
        <v>13</v>
      </c>
      <c r="E3" s="54" t="s">
        <v>214</v>
      </c>
      <c r="F3" s="54" t="s">
        <v>129</v>
      </c>
      <c r="G3" s="54" t="s">
        <v>118</v>
      </c>
      <c r="H3" s="54" t="s">
        <v>220</v>
      </c>
      <c r="I3" s="54" t="s">
        <v>477</v>
      </c>
      <c r="J3" s="54" t="s">
        <v>864</v>
      </c>
      <c r="K3" s="58" t="n">
        <v>97.6</v>
      </c>
      <c r="L3" s="54" t="s">
        <v>212</v>
      </c>
      <c r="M3" s="54" t="s">
        <v>214</v>
      </c>
      <c r="N3" s="54" t="s">
        <v>214</v>
      </c>
      <c r="O3" s="58" t="n">
        <v>24.9</v>
      </c>
      <c r="P3" s="54" t="s">
        <v>214</v>
      </c>
      <c r="Q3" s="58" t="n">
        <v>26.2</v>
      </c>
    </row>
    <row r="4" customFormat="false" ht="15" hidden="false" customHeight="false" outlineLevel="0" collapsed="false">
      <c r="A4" s="54" t="s">
        <v>29</v>
      </c>
      <c r="B4" s="55" t="n">
        <v>294</v>
      </c>
      <c r="C4" s="56" t="n">
        <v>46300.7027130208</v>
      </c>
      <c r="D4" s="55" t="n">
        <v>16</v>
      </c>
      <c r="E4" s="54" t="s">
        <v>214</v>
      </c>
      <c r="F4" s="54" t="s">
        <v>859</v>
      </c>
      <c r="G4" s="54" t="s">
        <v>860</v>
      </c>
      <c r="H4" s="54" t="s">
        <v>861</v>
      </c>
      <c r="I4" s="54" t="s">
        <v>288</v>
      </c>
      <c r="J4" s="54" t="s">
        <v>862</v>
      </c>
      <c r="K4" s="58" t="n">
        <v>76.7</v>
      </c>
      <c r="L4" s="54" t="s">
        <v>863</v>
      </c>
      <c r="M4" s="54" t="s">
        <v>212</v>
      </c>
      <c r="N4" s="54" t="s">
        <v>214</v>
      </c>
      <c r="O4" s="58" t="n">
        <v>1482.6</v>
      </c>
      <c r="P4" s="54" t="s">
        <v>212</v>
      </c>
      <c r="Q4" s="58"/>
    </row>
    <row r="5" customFormat="false" ht="15" hidden="false" customHeight="false" outlineLevel="0" collapsed="false">
      <c r="A5" s="54" t="s">
        <v>29</v>
      </c>
      <c r="B5" s="55" t="n">
        <v>301</v>
      </c>
      <c r="C5" s="56" t="n">
        <v>46300.7255248843</v>
      </c>
      <c r="D5" s="55" t="n">
        <v>17</v>
      </c>
      <c r="E5" s="54" t="s">
        <v>214</v>
      </c>
      <c r="F5" s="54" t="s">
        <v>859</v>
      </c>
      <c r="G5" s="54" t="s">
        <v>860</v>
      </c>
      <c r="H5" s="54" t="s">
        <v>861</v>
      </c>
      <c r="I5" s="54" t="s">
        <v>288</v>
      </c>
      <c r="J5" s="54" t="s">
        <v>862</v>
      </c>
      <c r="K5" s="58" t="n">
        <v>76.7</v>
      </c>
      <c r="L5" s="54" t="s">
        <v>863</v>
      </c>
      <c r="M5" s="54" t="s">
        <v>212</v>
      </c>
      <c r="N5" s="54" t="s">
        <v>214</v>
      </c>
      <c r="O5" s="58" t="n">
        <v>183.7</v>
      </c>
      <c r="P5" s="54" t="s">
        <v>212</v>
      </c>
      <c r="Q5" s="58"/>
    </row>
    <row r="6" customFormat="false" ht="15" hidden="false" customHeight="false" outlineLevel="0" collapsed="false">
      <c r="A6" s="54" t="s">
        <v>29</v>
      </c>
      <c r="B6" s="55" t="n">
        <v>300</v>
      </c>
      <c r="C6" s="56" t="n">
        <v>46300.7404547685</v>
      </c>
      <c r="D6" s="55" t="n">
        <v>17</v>
      </c>
      <c r="E6" s="54" t="s">
        <v>214</v>
      </c>
      <c r="F6" s="54" t="s">
        <v>859</v>
      </c>
      <c r="G6" s="54" t="s">
        <v>860</v>
      </c>
      <c r="H6" s="54" t="s">
        <v>861</v>
      </c>
      <c r="I6" s="54" t="s">
        <v>288</v>
      </c>
      <c r="J6" s="54" t="s">
        <v>862</v>
      </c>
      <c r="K6" s="58" t="n">
        <v>76.7</v>
      </c>
      <c r="L6" s="54" t="s">
        <v>863</v>
      </c>
      <c r="M6" s="54" t="s">
        <v>212</v>
      </c>
      <c r="N6" s="54" t="s">
        <v>212</v>
      </c>
      <c r="O6" s="58"/>
      <c r="P6" s="54" t="s">
        <v>212</v>
      </c>
      <c r="Q6" s="58"/>
    </row>
    <row r="7" customFormat="false" ht="15" hidden="false" customHeight="false" outlineLevel="0" collapsed="false">
      <c r="A7" s="54" t="s">
        <v>29</v>
      </c>
      <c r="B7" s="55" t="n">
        <v>310</v>
      </c>
      <c r="C7" s="56" t="n">
        <v>46300.7616361458</v>
      </c>
      <c r="D7" s="55" t="n">
        <v>18</v>
      </c>
      <c r="E7" s="54" t="s">
        <v>214</v>
      </c>
      <c r="F7" s="54" t="s">
        <v>859</v>
      </c>
      <c r="G7" s="54" t="s">
        <v>860</v>
      </c>
      <c r="H7" s="54" t="s">
        <v>861</v>
      </c>
      <c r="I7" s="54" t="s">
        <v>288</v>
      </c>
      <c r="J7" s="54" t="s">
        <v>862</v>
      </c>
      <c r="K7" s="58" t="n">
        <v>76.7</v>
      </c>
      <c r="L7" s="54" t="s">
        <v>863</v>
      </c>
      <c r="M7" s="54" t="s">
        <v>212</v>
      </c>
      <c r="N7" s="54" t="s">
        <v>212</v>
      </c>
      <c r="O7" s="58"/>
      <c r="P7" s="54" t="s">
        <v>212</v>
      </c>
      <c r="Q7" s="58"/>
    </row>
    <row r="8" customFormat="false" ht="15" hidden="false" customHeight="false" outlineLevel="0" collapsed="false">
      <c r="A8" s="54" t="s">
        <v>29</v>
      </c>
      <c r="B8" s="55" t="n">
        <v>286</v>
      </c>
      <c r="C8" s="56" t="n">
        <v>46300.7751815741</v>
      </c>
      <c r="D8" s="55" t="n">
        <v>18</v>
      </c>
      <c r="E8" s="54" t="s">
        <v>214</v>
      </c>
      <c r="F8" s="54" t="s">
        <v>859</v>
      </c>
      <c r="G8" s="54" t="s">
        <v>860</v>
      </c>
      <c r="H8" s="54" t="s">
        <v>861</v>
      </c>
      <c r="I8" s="54" t="s">
        <v>288</v>
      </c>
      <c r="J8" s="54" t="s">
        <v>862</v>
      </c>
      <c r="K8" s="58" t="n">
        <v>76.7</v>
      </c>
      <c r="L8" s="54" t="s">
        <v>863</v>
      </c>
      <c r="M8" s="54" t="s">
        <v>212</v>
      </c>
      <c r="N8" s="54" t="s">
        <v>214</v>
      </c>
      <c r="O8" s="58" t="n">
        <v>25.2</v>
      </c>
      <c r="P8" s="54" t="s">
        <v>214</v>
      </c>
      <c r="Q8" s="58" t="n">
        <v>1280.2</v>
      </c>
    </row>
    <row r="9" customFormat="false" ht="15" hidden="false" customHeight="false" outlineLevel="0" collapsed="false">
      <c r="A9" s="54" t="s">
        <v>29</v>
      </c>
      <c r="B9" s="55" t="n">
        <v>343</v>
      </c>
      <c r="C9" s="56" t="n">
        <v>46301.3012825926</v>
      </c>
      <c r="D9" s="55" t="n">
        <v>7</v>
      </c>
      <c r="E9" s="54" t="s">
        <v>212</v>
      </c>
      <c r="F9" s="54" t="s">
        <v>127</v>
      </c>
      <c r="G9" s="54" t="s">
        <v>118</v>
      </c>
      <c r="H9" s="54" t="s">
        <v>220</v>
      </c>
      <c r="I9" s="54" t="s">
        <v>477</v>
      </c>
      <c r="J9" s="54" t="s">
        <v>864</v>
      </c>
      <c r="K9" s="58" t="n">
        <v>118.1</v>
      </c>
      <c r="L9" s="54" t="s">
        <v>212</v>
      </c>
      <c r="M9" s="54" t="s">
        <v>214</v>
      </c>
      <c r="N9" s="54" t="s">
        <v>214</v>
      </c>
      <c r="O9" s="58" t="n">
        <v>6.8</v>
      </c>
      <c r="P9" s="54" t="s">
        <v>214</v>
      </c>
      <c r="Q9" s="58" t="n">
        <v>146.8</v>
      </c>
    </row>
    <row r="10" customFormat="false" ht="15" hidden="false" customHeight="false" outlineLevel="0" collapsed="false">
      <c r="A10" s="54" t="s">
        <v>29</v>
      </c>
      <c r="B10" s="55" t="n">
        <v>337</v>
      </c>
      <c r="C10" s="56" t="n">
        <v>46301.3753984028</v>
      </c>
      <c r="D10" s="55" t="n">
        <v>9</v>
      </c>
      <c r="E10" s="54" t="s">
        <v>214</v>
      </c>
      <c r="F10" s="54" t="s">
        <v>859</v>
      </c>
      <c r="G10" s="54" t="s">
        <v>860</v>
      </c>
      <c r="H10" s="54" t="s">
        <v>861</v>
      </c>
      <c r="I10" s="54" t="s">
        <v>288</v>
      </c>
      <c r="J10" s="54" t="s">
        <v>862</v>
      </c>
      <c r="K10" s="58" t="n">
        <v>76.7</v>
      </c>
      <c r="L10" s="54" t="s">
        <v>863</v>
      </c>
      <c r="M10" s="54" t="s">
        <v>212</v>
      </c>
      <c r="N10" s="54" t="s">
        <v>214</v>
      </c>
      <c r="O10" s="58" t="n">
        <v>15.2</v>
      </c>
      <c r="P10" s="54" t="s">
        <v>212</v>
      </c>
      <c r="Q10" s="58"/>
    </row>
    <row r="11" customFormat="false" ht="15" hidden="false" customHeight="false" outlineLevel="0" collapsed="false">
      <c r="A11" s="54" t="s">
        <v>29</v>
      </c>
      <c r="B11" s="55" t="n">
        <v>341</v>
      </c>
      <c r="C11" s="56" t="n">
        <v>46301.3755669676</v>
      </c>
      <c r="D11" s="55" t="n">
        <v>9</v>
      </c>
      <c r="E11" s="54" t="s">
        <v>214</v>
      </c>
      <c r="F11" s="54" t="s">
        <v>859</v>
      </c>
      <c r="G11" s="54" t="s">
        <v>860</v>
      </c>
      <c r="H11" s="54" t="s">
        <v>861</v>
      </c>
      <c r="I11" s="54" t="s">
        <v>288</v>
      </c>
      <c r="J11" s="54" t="s">
        <v>862</v>
      </c>
      <c r="K11" s="58" t="n">
        <v>76.7</v>
      </c>
      <c r="L11" s="54" t="s">
        <v>863</v>
      </c>
      <c r="M11" s="54" t="s">
        <v>212</v>
      </c>
      <c r="N11" s="54" t="s">
        <v>212</v>
      </c>
      <c r="O11" s="58"/>
      <c r="P11" s="54" t="s">
        <v>212</v>
      </c>
      <c r="Q11" s="58"/>
    </row>
    <row r="12" customFormat="false" ht="15" hidden="false" customHeight="false" outlineLevel="0" collapsed="false">
      <c r="A12" s="54" t="s">
        <v>29</v>
      </c>
      <c r="B12" s="55" t="n">
        <v>355</v>
      </c>
      <c r="C12" s="56" t="n">
        <v>46301.4375435301</v>
      </c>
      <c r="D12" s="55" t="n">
        <v>10</v>
      </c>
      <c r="E12" s="54" t="s">
        <v>214</v>
      </c>
      <c r="F12" s="54" t="s">
        <v>859</v>
      </c>
      <c r="G12" s="54" t="s">
        <v>860</v>
      </c>
      <c r="H12" s="54" t="s">
        <v>861</v>
      </c>
      <c r="I12" s="54" t="s">
        <v>288</v>
      </c>
      <c r="J12" s="54" t="s">
        <v>862</v>
      </c>
      <c r="K12" s="58" t="n">
        <v>76.7</v>
      </c>
      <c r="L12" s="54" t="s">
        <v>863</v>
      </c>
      <c r="M12" s="54" t="s">
        <v>212</v>
      </c>
      <c r="N12" s="54" t="s">
        <v>212</v>
      </c>
      <c r="O12" s="58"/>
      <c r="P12" s="54" t="s">
        <v>214</v>
      </c>
      <c r="Q12" s="58" t="n">
        <v>1438.2</v>
      </c>
    </row>
    <row r="13" customFormat="false" ht="15" hidden="false" customHeight="false" outlineLevel="0" collapsed="false">
      <c r="A13" s="54" t="s">
        <v>29</v>
      </c>
      <c r="B13" s="55" t="n">
        <v>268</v>
      </c>
      <c r="C13" s="56" t="n">
        <v>46301.4458628472</v>
      </c>
      <c r="D13" s="55" t="n">
        <v>10</v>
      </c>
      <c r="E13" s="54" t="s">
        <v>214</v>
      </c>
      <c r="F13" s="54" t="s">
        <v>130</v>
      </c>
      <c r="G13" s="54" t="s">
        <v>118</v>
      </c>
      <c r="H13" s="54" t="s">
        <v>215</v>
      </c>
      <c r="I13" s="54" t="s">
        <v>288</v>
      </c>
      <c r="J13" s="54" t="s">
        <v>862</v>
      </c>
      <c r="K13" s="58" t="n">
        <v>70.5</v>
      </c>
      <c r="L13" s="54" t="s">
        <v>212</v>
      </c>
      <c r="M13" s="54" t="s">
        <v>214</v>
      </c>
      <c r="N13" s="54" t="s">
        <v>212</v>
      </c>
      <c r="O13" s="58"/>
      <c r="P13" s="54" t="s">
        <v>212</v>
      </c>
      <c r="Q13" s="58"/>
    </row>
    <row r="14" customFormat="false" ht="15" hidden="false" customHeight="false" outlineLevel="0" collapsed="false">
      <c r="A14" s="54" t="s">
        <v>29</v>
      </c>
      <c r="B14" s="55" t="n">
        <v>343</v>
      </c>
      <c r="C14" s="56" t="n">
        <v>46301.4785168171</v>
      </c>
      <c r="D14" s="55" t="n">
        <v>11</v>
      </c>
      <c r="E14" s="54" t="s">
        <v>214</v>
      </c>
      <c r="F14" s="54" t="s">
        <v>859</v>
      </c>
      <c r="G14" s="54" t="s">
        <v>860</v>
      </c>
      <c r="H14" s="54" t="s">
        <v>861</v>
      </c>
      <c r="I14" s="54" t="s">
        <v>288</v>
      </c>
      <c r="J14" s="54" t="s">
        <v>862</v>
      </c>
      <c r="K14" s="58" t="n">
        <v>76.7</v>
      </c>
      <c r="L14" s="54" t="s">
        <v>863</v>
      </c>
      <c r="M14" s="54" t="s">
        <v>212</v>
      </c>
      <c r="N14" s="54" t="s">
        <v>214</v>
      </c>
      <c r="O14" s="58" t="n">
        <v>11.9</v>
      </c>
      <c r="P14" s="54" t="s">
        <v>212</v>
      </c>
      <c r="Q14" s="58"/>
    </row>
    <row r="15" customFormat="false" ht="15" hidden="false" customHeight="false" outlineLevel="0" collapsed="false">
      <c r="A15" s="54" t="s">
        <v>29</v>
      </c>
      <c r="B15" s="55" t="n">
        <v>371</v>
      </c>
      <c r="C15" s="56" t="n">
        <v>46301.5497229282</v>
      </c>
      <c r="D15" s="55" t="n">
        <v>13</v>
      </c>
      <c r="E15" s="54" t="s">
        <v>214</v>
      </c>
      <c r="F15" s="54" t="s">
        <v>859</v>
      </c>
      <c r="G15" s="54" t="s">
        <v>860</v>
      </c>
      <c r="H15" s="54" t="s">
        <v>861</v>
      </c>
      <c r="I15" s="54" t="s">
        <v>288</v>
      </c>
      <c r="J15" s="54" t="s">
        <v>862</v>
      </c>
      <c r="K15" s="58" t="n">
        <v>76.7</v>
      </c>
      <c r="L15" s="54" t="s">
        <v>863</v>
      </c>
      <c r="M15" s="54" t="s">
        <v>212</v>
      </c>
      <c r="N15" s="54" t="s">
        <v>214</v>
      </c>
      <c r="O15" s="58" t="n">
        <v>113</v>
      </c>
      <c r="P15" s="54" t="s">
        <v>212</v>
      </c>
      <c r="Q15" s="58"/>
    </row>
    <row r="16" customFormat="false" ht="15" hidden="false" customHeight="false" outlineLevel="0" collapsed="false">
      <c r="A16" s="54" t="s">
        <v>29</v>
      </c>
      <c r="B16" s="55" t="n">
        <v>373</v>
      </c>
      <c r="C16" s="56" t="n">
        <v>46301.5866487732</v>
      </c>
      <c r="D16" s="55" t="n">
        <v>14</v>
      </c>
      <c r="E16" s="54" t="s">
        <v>214</v>
      </c>
      <c r="F16" s="54" t="s">
        <v>859</v>
      </c>
      <c r="G16" s="54" t="s">
        <v>860</v>
      </c>
      <c r="H16" s="54" t="s">
        <v>861</v>
      </c>
      <c r="I16" s="54" t="s">
        <v>288</v>
      </c>
      <c r="J16" s="54" t="s">
        <v>862</v>
      </c>
      <c r="K16" s="58" t="n">
        <v>76.7</v>
      </c>
      <c r="L16" s="54" t="s">
        <v>863</v>
      </c>
      <c r="M16" s="54" t="s">
        <v>212</v>
      </c>
      <c r="N16" s="54" t="s">
        <v>212</v>
      </c>
      <c r="O16" s="58"/>
      <c r="P16" s="54" t="s">
        <v>212</v>
      </c>
      <c r="Q16" s="58"/>
    </row>
    <row r="17" customFormat="false" ht="15" hidden="false" customHeight="false" outlineLevel="0" collapsed="false">
      <c r="A17" s="54" t="s">
        <v>29</v>
      </c>
      <c r="B17" s="55" t="n">
        <v>449</v>
      </c>
      <c r="C17" s="56" t="n">
        <v>46301.7423381482</v>
      </c>
      <c r="D17" s="55" t="n">
        <v>17</v>
      </c>
      <c r="E17" s="54" t="s">
        <v>214</v>
      </c>
      <c r="F17" s="54" t="s">
        <v>128</v>
      </c>
      <c r="G17" s="54" t="s">
        <v>118</v>
      </c>
      <c r="H17" s="54" t="s">
        <v>220</v>
      </c>
      <c r="I17" s="54" t="s">
        <v>307</v>
      </c>
      <c r="J17" s="54" t="s">
        <v>865</v>
      </c>
      <c r="K17" s="58" t="n">
        <v>86.5</v>
      </c>
      <c r="L17" s="54" t="s">
        <v>212</v>
      </c>
      <c r="M17" s="54" t="s">
        <v>214</v>
      </c>
      <c r="N17" s="54" t="s">
        <v>214</v>
      </c>
      <c r="O17" s="58" t="n">
        <v>927.5</v>
      </c>
      <c r="P17" s="54" t="s">
        <v>212</v>
      </c>
      <c r="Q17" s="58"/>
    </row>
    <row r="18" customFormat="false" ht="15" hidden="false" customHeight="false" outlineLevel="0" collapsed="false">
      <c r="A18" s="54" t="s">
        <v>29</v>
      </c>
      <c r="B18" s="55" t="n">
        <v>446</v>
      </c>
      <c r="C18" s="56" t="n">
        <v>46301.7658184028</v>
      </c>
      <c r="D18" s="55" t="n">
        <v>18</v>
      </c>
      <c r="E18" s="54" t="s">
        <v>214</v>
      </c>
      <c r="F18" s="54" t="s">
        <v>128</v>
      </c>
      <c r="G18" s="54" t="s">
        <v>118</v>
      </c>
      <c r="H18" s="54" t="s">
        <v>220</v>
      </c>
      <c r="I18" s="54" t="s">
        <v>307</v>
      </c>
      <c r="J18" s="54" t="s">
        <v>865</v>
      </c>
      <c r="K18" s="58" t="n">
        <v>84.2</v>
      </c>
      <c r="L18" s="54" t="s">
        <v>212</v>
      </c>
      <c r="M18" s="54" t="s">
        <v>214</v>
      </c>
      <c r="N18" s="54" t="s">
        <v>214</v>
      </c>
      <c r="O18" s="58" t="n">
        <v>4.7</v>
      </c>
      <c r="P18" s="54" t="s">
        <v>214</v>
      </c>
      <c r="Q18" s="58" t="n">
        <v>886</v>
      </c>
    </row>
    <row r="19" customFormat="false" ht="15" hidden="false" customHeight="false" outlineLevel="0" collapsed="false">
      <c r="A19" s="54" t="s">
        <v>29</v>
      </c>
      <c r="B19" s="55" t="n">
        <v>445</v>
      </c>
      <c r="C19" s="56" t="n">
        <v>46301.813463206</v>
      </c>
      <c r="D19" s="55" t="n">
        <v>19</v>
      </c>
      <c r="E19" s="54" t="s">
        <v>214</v>
      </c>
      <c r="F19" s="54" t="s">
        <v>859</v>
      </c>
      <c r="G19" s="54" t="s">
        <v>860</v>
      </c>
      <c r="H19" s="54" t="s">
        <v>861</v>
      </c>
      <c r="I19" s="54" t="s">
        <v>288</v>
      </c>
      <c r="J19" s="54" t="s">
        <v>862</v>
      </c>
      <c r="K19" s="58" t="n">
        <v>76.7</v>
      </c>
      <c r="L19" s="54" t="s">
        <v>863</v>
      </c>
      <c r="M19" s="54" t="s">
        <v>212</v>
      </c>
      <c r="N19" s="54" t="s">
        <v>212</v>
      </c>
      <c r="O19" s="58"/>
      <c r="P19" s="54" t="s">
        <v>212</v>
      </c>
      <c r="Q19" s="58"/>
    </row>
    <row r="20" customFormat="false" ht="15" hidden="false" customHeight="false" outlineLevel="0" collapsed="false">
      <c r="A20" s="54" t="s">
        <v>29</v>
      </c>
      <c r="B20" s="55" t="n">
        <v>470</v>
      </c>
      <c r="C20" s="56" t="n">
        <v>46301.8498039352</v>
      </c>
      <c r="D20" s="55" t="n">
        <v>20</v>
      </c>
      <c r="E20" s="54" t="s">
        <v>214</v>
      </c>
      <c r="F20" s="54" t="s">
        <v>129</v>
      </c>
      <c r="G20" s="54" t="s">
        <v>118</v>
      </c>
      <c r="H20" s="54" t="s">
        <v>220</v>
      </c>
      <c r="I20" s="54" t="s">
        <v>477</v>
      </c>
      <c r="J20" s="54" t="s">
        <v>864</v>
      </c>
      <c r="K20" s="58" t="n">
        <v>114.7</v>
      </c>
      <c r="L20" s="54" t="s">
        <v>212</v>
      </c>
      <c r="M20" s="54" t="s">
        <v>214</v>
      </c>
      <c r="N20" s="54" t="s">
        <v>214</v>
      </c>
      <c r="O20" s="58" t="n">
        <v>0.1</v>
      </c>
      <c r="P20" s="54" t="s">
        <v>214</v>
      </c>
      <c r="Q20" s="58" t="n">
        <v>8.7</v>
      </c>
    </row>
    <row r="21" customFormat="false" ht="15" hidden="false" customHeight="false" outlineLevel="0" collapsed="false">
      <c r="A21" s="54" t="s">
        <v>29</v>
      </c>
      <c r="B21" s="55" t="n">
        <v>488</v>
      </c>
      <c r="C21" s="56" t="n">
        <v>46301.9203121181</v>
      </c>
      <c r="D21" s="55" t="n">
        <v>22</v>
      </c>
      <c r="E21" s="54" t="s">
        <v>212</v>
      </c>
      <c r="F21" s="54" t="s">
        <v>129</v>
      </c>
      <c r="G21" s="54" t="s">
        <v>118</v>
      </c>
      <c r="H21" s="54" t="s">
        <v>220</v>
      </c>
      <c r="I21" s="54" t="s">
        <v>307</v>
      </c>
      <c r="J21" s="54" t="s">
        <v>865</v>
      </c>
      <c r="K21" s="58" t="n">
        <v>94.1</v>
      </c>
      <c r="L21" s="54" t="s">
        <v>212</v>
      </c>
      <c r="M21" s="54" t="s">
        <v>214</v>
      </c>
      <c r="N21" s="54" t="s">
        <v>214</v>
      </c>
      <c r="O21" s="58" t="n">
        <v>0.1</v>
      </c>
      <c r="P21" s="54" t="s">
        <v>214</v>
      </c>
      <c r="Q21" s="58" t="n">
        <v>715.5</v>
      </c>
    </row>
    <row r="22" customFormat="false" ht="15" hidden="false" customHeight="false" outlineLevel="0" collapsed="false">
      <c r="A22" s="54" t="s">
        <v>29</v>
      </c>
      <c r="B22" s="55" t="n">
        <v>488</v>
      </c>
      <c r="C22" s="56" t="n">
        <v>46301.9212558102</v>
      </c>
      <c r="D22" s="55" t="n">
        <v>22</v>
      </c>
      <c r="E22" s="54" t="s">
        <v>212</v>
      </c>
      <c r="F22" s="54" t="s">
        <v>129</v>
      </c>
      <c r="G22" s="54" t="s">
        <v>118</v>
      </c>
      <c r="H22" s="54" t="s">
        <v>220</v>
      </c>
      <c r="I22" s="54" t="s">
        <v>307</v>
      </c>
      <c r="J22" s="54" t="s">
        <v>865</v>
      </c>
      <c r="K22" s="58" t="n">
        <v>12.7</v>
      </c>
      <c r="L22" s="54" t="s">
        <v>212</v>
      </c>
      <c r="M22" s="54" t="s">
        <v>212</v>
      </c>
      <c r="N22" s="54" t="s">
        <v>214</v>
      </c>
      <c r="O22" s="58" t="n">
        <v>0</v>
      </c>
      <c r="P22" s="54" t="s">
        <v>214</v>
      </c>
      <c r="Q22" s="58" t="n">
        <v>714.1</v>
      </c>
    </row>
    <row r="23" customFormat="false" ht="15" hidden="false" customHeight="false" outlineLevel="0" collapsed="false">
      <c r="A23" s="54" t="s">
        <v>29</v>
      </c>
      <c r="B23" s="55" t="n">
        <v>517</v>
      </c>
      <c r="C23" s="56" t="n">
        <v>46302.3750954051</v>
      </c>
      <c r="D23" s="55" t="n">
        <v>9</v>
      </c>
      <c r="E23" s="54" t="s">
        <v>214</v>
      </c>
      <c r="F23" s="54" t="s">
        <v>859</v>
      </c>
      <c r="G23" s="54" t="s">
        <v>860</v>
      </c>
      <c r="H23" s="54" t="s">
        <v>861</v>
      </c>
      <c r="I23" s="54" t="s">
        <v>288</v>
      </c>
      <c r="J23" s="54" t="s">
        <v>862</v>
      </c>
      <c r="K23" s="58" t="n">
        <v>76.7</v>
      </c>
      <c r="L23" s="54" t="s">
        <v>863</v>
      </c>
      <c r="M23" s="54" t="s">
        <v>212</v>
      </c>
      <c r="N23" s="54" t="s">
        <v>214</v>
      </c>
      <c r="O23" s="58" t="n">
        <v>1460</v>
      </c>
      <c r="P23" s="54" t="s">
        <v>212</v>
      </c>
      <c r="Q23" s="58"/>
    </row>
    <row r="24" customFormat="false" ht="15" hidden="false" customHeight="false" outlineLevel="0" collapsed="false">
      <c r="A24" s="54" t="s">
        <v>29</v>
      </c>
      <c r="B24" s="55" t="n">
        <v>470</v>
      </c>
      <c r="C24" s="56" t="n">
        <v>46302.3752342593</v>
      </c>
      <c r="D24" s="55" t="n">
        <v>9</v>
      </c>
      <c r="E24" s="54" t="s">
        <v>214</v>
      </c>
      <c r="F24" s="54" t="s">
        <v>859</v>
      </c>
      <c r="G24" s="54" t="s">
        <v>860</v>
      </c>
      <c r="H24" s="54" t="s">
        <v>861</v>
      </c>
      <c r="I24" s="54" t="s">
        <v>288</v>
      </c>
      <c r="J24" s="54" t="s">
        <v>862</v>
      </c>
      <c r="K24" s="58" t="n">
        <v>76.7</v>
      </c>
      <c r="L24" s="54" t="s">
        <v>863</v>
      </c>
      <c r="M24" s="54" t="s">
        <v>212</v>
      </c>
      <c r="N24" s="54" t="s">
        <v>214</v>
      </c>
      <c r="O24" s="58" t="n">
        <v>2002.9</v>
      </c>
      <c r="P24" s="54" t="s">
        <v>212</v>
      </c>
      <c r="Q24" s="58"/>
    </row>
    <row r="25" customFormat="false" ht="15" hidden="false" customHeight="false" outlineLevel="0" collapsed="false">
      <c r="A25" s="54" t="s">
        <v>29</v>
      </c>
      <c r="B25" s="55" t="n">
        <v>446</v>
      </c>
      <c r="C25" s="56" t="n">
        <v>46302.375265544</v>
      </c>
      <c r="D25" s="55" t="n">
        <v>9</v>
      </c>
      <c r="E25" s="54" t="s">
        <v>214</v>
      </c>
      <c r="F25" s="54" t="s">
        <v>859</v>
      </c>
      <c r="G25" s="54" t="s">
        <v>860</v>
      </c>
      <c r="H25" s="54" t="s">
        <v>861</v>
      </c>
      <c r="I25" s="54" t="s">
        <v>288</v>
      </c>
      <c r="J25" s="54" t="s">
        <v>862</v>
      </c>
      <c r="K25" s="58" t="n">
        <v>76.7</v>
      </c>
      <c r="L25" s="54" t="s">
        <v>863</v>
      </c>
      <c r="M25" s="54" t="s">
        <v>212</v>
      </c>
      <c r="N25" s="54" t="s">
        <v>214</v>
      </c>
      <c r="O25" s="58" t="n">
        <v>7.6</v>
      </c>
      <c r="P25" s="54" t="s">
        <v>214</v>
      </c>
      <c r="Q25" s="58" t="n">
        <v>8.4</v>
      </c>
    </row>
    <row r="26" customFormat="false" ht="15" hidden="false" customHeight="false" outlineLevel="0" collapsed="false">
      <c r="A26" s="54" t="s">
        <v>29</v>
      </c>
      <c r="B26" s="55" t="n">
        <v>481</v>
      </c>
      <c r="C26" s="56" t="n">
        <v>46302.3755266319</v>
      </c>
      <c r="D26" s="55" t="n">
        <v>9</v>
      </c>
      <c r="E26" s="54" t="s">
        <v>214</v>
      </c>
      <c r="F26" s="54" t="s">
        <v>859</v>
      </c>
      <c r="G26" s="54" t="s">
        <v>860</v>
      </c>
      <c r="H26" s="54" t="s">
        <v>861</v>
      </c>
      <c r="I26" s="54" t="s">
        <v>288</v>
      </c>
      <c r="J26" s="54" t="s">
        <v>862</v>
      </c>
      <c r="K26" s="58" t="n">
        <v>76.7</v>
      </c>
      <c r="L26" s="54" t="s">
        <v>863</v>
      </c>
      <c r="M26" s="54" t="s">
        <v>212</v>
      </c>
      <c r="N26" s="54" t="s">
        <v>214</v>
      </c>
      <c r="O26" s="58" t="n">
        <v>4885</v>
      </c>
      <c r="P26" s="54" t="s">
        <v>212</v>
      </c>
      <c r="Q26" s="58"/>
    </row>
    <row r="27" customFormat="false" ht="15" hidden="false" customHeight="false" outlineLevel="0" collapsed="false">
      <c r="A27" s="54" t="s">
        <v>29</v>
      </c>
      <c r="B27" s="55" t="n">
        <v>488</v>
      </c>
      <c r="C27" s="56" t="n">
        <v>46302.3755282523</v>
      </c>
      <c r="D27" s="55" t="n">
        <v>9</v>
      </c>
      <c r="E27" s="54" t="s">
        <v>214</v>
      </c>
      <c r="F27" s="54" t="s">
        <v>859</v>
      </c>
      <c r="G27" s="54" t="s">
        <v>860</v>
      </c>
      <c r="H27" s="54" t="s">
        <v>861</v>
      </c>
      <c r="I27" s="54" t="s">
        <v>288</v>
      </c>
      <c r="J27" s="54" t="s">
        <v>862</v>
      </c>
      <c r="K27" s="58" t="n">
        <v>76.7</v>
      </c>
      <c r="L27" s="54" t="s">
        <v>863</v>
      </c>
      <c r="M27" s="54" t="s">
        <v>212</v>
      </c>
      <c r="N27" s="54" t="s">
        <v>214</v>
      </c>
      <c r="O27" s="58" t="n">
        <v>59.3</v>
      </c>
      <c r="P27" s="54" t="s">
        <v>214</v>
      </c>
      <c r="Q27" s="58" t="n">
        <v>60</v>
      </c>
    </row>
    <row r="28" customFormat="false" ht="15" hidden="false" customHeight="false" outlineLevel="0" collapsed="false">
      <c r="A28" s="54" t="s">
        <v>29</v>
      </c>
      <c r="B28" s="55" t="n">
        <v>493</v>
      </c>
      <c r="C28" s="56" t="n">
        <v>46302.375573125</v>
      </c>
      <c r="D28" s="55" t="n">
        <v>9</v>
      </c>
      <c r="E28" s="54" t="s">
        <v>214</v>
      </c>
      <c r="F28" s="54" t="s">
        <v>859</v>
      </c>
      <c r="G28" s="54" t="s">
        <v>860</v>
      </c>
      <c r="H28" s="54" t="s">
        <v>861</v>
      </c>
      <c r="I28" s="54" t="s">
        <v>288</v>
      </c>
      <c r="J28" s="54" t="s">
        <v>862</v>
      </c>
      <c r="K28" s="58" t="n">
        <v>76.7</v>
      </c>
      <c r="L28" s="54" t="s">
        <v>863</v>
      </c>
      <c r="M28" s="54" t="s">
        <v>212</v>
      </c>
      <c r="N28" s="54" t="s">
        <v>212</v>
      </c>
      <c r="O28" s="58"/>
      <c r="P28" s="54" t="s">
        <v>212</v>
      </c>
      <c r="Q28" s="58"/>
    </row>
    <row r="29" customFormat="false" ht="15" hidden="false" customHeight="false" outlineLevel="0" collapsed="false">
      <c r="A29" s="54" t="s">
        <v>29</v>
      </c>
      <c r="B29" s="55" t="n">
        <v>449</v>
      </c>
      <c r="C29" s="56" t="n">
        <v>46302.3756279398</v>
      </c>
      <c r="D29" s="55" t="n">
        <v>9</v>
      </c>
      <c r="E29" s="54" t="s">
        <v>214</v>
      </c>
      <c r="F29" s="54" t="s">
        <v>859</v>
      </c>
      <c r="G29" s="54" t="s">
        <v>860</v>
      </c>
      <c r="H29" s="54" t="s">
        <v>861</v>
      </c>
      <c r="I29" s="54" t="s">
        <v>288</v>
      </c>
      <c r="J29" s="54" t="s">
        <v>862</v>
      </c>
      <c r="K29" s="58" t="n">
        <v>76.7</v>
      </c>
      <c r="L29" s="54" t="s">
        <v>863</v>
      </c>
      <c r="M29" s="54" t="s">
        <v>212</v>
      </c>
      <c r="N29" s="54" t="s">
        <v>214</v>
      </c>
      <c r="O29" s="58" t="n">
        <v>15.6</v>
      </c>
      <c r="P29" s="54" t="s">
        <v>212</v>
      </c>
      <c r="Q29" s="58"/>
    </row>
    <row r="30" customFormat="false" ht="15" hidden="false" customHeight="false" outlineLevel="0" collapsed="false">
      <c r="A30" s="54" t="s">
        <v>29</v>
      </c>
      <c r="B30" s="55" t="n">
        <v>497</v>
      </c>
      <c r="C30" s="56" t="n">
        <v>46302.3784478125</v>
      </c>
      <c r="D30" s="55" t="n">
        <v>9</v>
      </c>
      <c r="E30" s="54" t="s">
        <v>214</v>
      </c>
      <c r="F30" s="54" t="s">
        <v>859</v>
      </c>
      <c r="G30" s="54" t="s">
        <v>860</v>
      </c>
      <c r="H30" s="54" t="s">
        <v>861</v>
      </c>
      <c r="I30" s="54" t="s">
        <v>288</v>
      </c>
      <c r="J30" s="54" t="s">
        <v>862</v>
      </c>
      <c r="K30" s="58" t="n">
        <v>76.7</v>
      </c>
      <c r="L30" s="54" t="s">
        <v>863</v>
      </c>
      <c r="M30" s="54" t="s">
        <v>212</v>
      </c>
      <c r="N30" s="54" t="s">
        <v>214</v>
      </c>
      <c r="O30" s="58" t="n">
        <v>4.3</v>
      </c>
      <c r="P30" s="54" t="s">
        <v>212</v>
      </c>
      <c r="Q30" s="58"/>
    </row>
    <row r="31" customFormat="false" ht="15" hidden="false" customHeight="false" outlineLevel="0" collapsed="false">
      <c r="A31" s="54" t="s">
        <v>29</v>
      </c>
      <c r="B31" s="55" t="n">
        <v>508</v>
      </c>
      <c r="C31" s="56" t="n">
        <v>46302.379395</v>
      </c>
      <c r="D31" s="55" t="n">
        <v>9</v>
      </c>
      <c r="E31" s="54" t="s">
        <v>214</v>
      </c>
      <c r="F31" s="54" t="s">
        <v>859</v>
      </c>
      <c r="G31" s="54" t="s">
        <v>860</v>
      </c>
      <c r="H31" s="54" t="s">
        <v>861</v>
      </c>
      <c r="I31" s="54" t="s">
        <v>288</v>
      </c>
      <c r="J31" s="54" t="s">
        <v>862</v>
      </c>
      <c r="K31" s="58" t="n">
        <v>76.7</v>
      </c>
      <c r="L31" s="54" t="s">
        <v>863</v>
      </c>
      <c r="M31" s="54" t="s">
        <v>212</v>
      </c>
      <c r="N31" s="54" t="s">
        <v>212</v>
      </c>
      <c r="O31" s="58"/>
      <c r="P31" s="54" t="s">
        <v>212</v>
      </c>
      <c r="Q31" s="58"/>
    </row>
    <row r="32" customFormat="false" ht="15" hidden="false" customHeight="false" outlineLevel="0" collapsed="false">
      <c r="A32" s="54" t="s">
        <v>29</v>
      </c>
      <c r="B32" s="55" t="n">
        <v>545</v>
      </c>
      <c r="C32" s="56" t="n">
        <v>46302.4596327315</v>
      </c>
      <c r="D32" s="55" t="n">
        <v>11</v>
      </c>
      <c r="E32" s="54" t="s">
        <v>214</v>
      </c>
      <c r="F32" s="54" t="s">
        <v>859</v>
      </c>
      <c r="G32" s="54" t="s">
        <v>860</v>
      </c>
      <c r="H32" s="54" t="s">
        <v>861</v>
      </c>
      <c r="I32" s="54" t="s">
        <v>288</v>
      </c>
      <c r="J32" s="54" t="s">
        <v>862</v>
      </c>
      <c r="K32" s="58" t="n">
        <v>76.7</v>
      </c>
      <c r="L32" s="54" t="s">
        <v>863</v>
      </c>
      <c r="M32" s="54" t="s">
        <v>212</v>
      </c>
      <c r="N32" s="54" t="s">
        <v>214</v>
      </c>
      <c r="O32" s="58" t="n">
        <v>100.1</v>
      </c>
      <c r="P32" s="54" t="s">
        <v>214</v>
      </c>
      <c r="Q32" s="58" t="n">
        <v>100.7</v>
      </c>
    </row>
    <row r="33" customFormat="false" ht="15" hidden="false" customHeight="false" outlineLevel="0" collapsed="false">
      <c r="A33" s="54" t="s">
        <v>29</v>
      </c>
      <c r="B33" s="55" t="n">
        <v>565</v>
      </c>
      <c r="C33" s="56" t="n">
        <v>46302.5211933912</v>
      </c>
      <c r="D33" s="55" t="n">
        <v>12</v>
      </c>
      <c r="E33" s="54" t="s">
        <v>214</v>
      </c>
      <c r="F33" s="54" t="s">
        <v>859</v>
      </c>
      <c r="G33" s="54" t="s">
        <v>860</v>
      </c>
      <c r="H33" s="54" t="s">
        <v>861</v>
      </c>
      <c r="I33" s="54" t="s">
        <v>288</v>
      </c>
      <c r="J33" s="54" t="s">
        <v>862</v>
      </c>
      <c r="K33" s="58" t="n">
        <v>76.7</v>
      </c>
      <c r="L33" s="54" t="s">
        <v>863</v>
      </c>
      <c r="M33" s="54" t="s">
        <v>212</v>
      </c>
      <c r="N33" s="54" t="s">
        <v>212</v>
      </c>
      <c r="O33" s="58"/>
      <c r="P33" s="54" t="s">
        <v>212</v>
      </c>
      <c r="Q33" s="58"/>
    </row>
    <row r="34" customFormat="false" ht="15" hidden="false" customHeight="false" outlineLevel="0" collapsed="false">
      <c r="A34" s="54" t="s">
        <v>29</v>
      </c>
      <c r="B34" s="55" t="n">
        <v>545</v>
      </c>
      <c r="C34" s="56" t="n">
        <v>46302.5624231019</v>
      </c>
      <c r="D34" s="55" t="n">
        <v>13</v>
      </c>
      <c r="E34" s="54" t="s">
        <v>214</v>
      </c>
      <c r="F34" s="54" t="s">
        <v>127</v>
      </c>
      <c r="G34" s="54" t="s">
        <v>118</v>
      </c>
      <c r="H34" s="54" t="s">
        <v>220</v>
      </c>
      <c r="I34" s="54" t="s">
        <v>477</v>
      </c>
      <c r="J34" s="54" t="s">
        <v>864</v>
      </c>
      <c r="K34" s="58" t="n">
        <v>104.3</v>
      </c>
      <c r="L34" s="54" t="s">
        <v>212</v>
      </c>
      <c r="M34" s="54" t="s">
        <v>214</v>
      </c>
      <c r="N34" s="54" t="s">
        <v>214</v>
      </c>
      <c r="O34" s="58" t="n">
        <v>1338.6</v>
      </c>
      <c r="P34" s="54" t="s">
        <v>214</v>
      </c>
      <c r="Q34" s="58" t="n">
        <v>1348</v>
      </c>
    </row>
    <row r="35" customFormat="false" ht="15" hidden="false" customHeight="false" outlineLevel="0" collapsed="false">
      <c r="A35" s="54" t="s">
        <v>29</v>
      </c>
      <c r="B35" s="55" t="n">
        <v>589</v>
      </c>
      <c r="C35" s="56" t="n">
        <v>46302.6004752083</v>
      </c>
      <c r="D35" s="55" t="n">
        <v>14</v>
      </c>
      <c r="E35" s="54" t="s">
        <v>214</v>
      </c>
      <c r="F35" s="54" t="s">
        <v>859</v>
      </c>
      <c r="G35" s="54" t="s">
        <v>860</v>
      </c>
      <c r="H35" s="54" t="s">
        <v>861</v>
      </c>
      <c r="I35" s="54" t="s">
        <v>288</v>
      </c>
      <c r="J35" s="54" t="s">
        <v>862</v>
      </c>
      <c r="K35" s="58" t="n">
        <v>76.7</v>
      </c>
      <c r="L35" s="54" t="s">
        <v>863</v>
      </c>
      <c r="M35" s="54" t="s">
        <v>212</v>
      </c>
      <c r="N35" s="54" t="s">
        <v>214</v>
      </c>
      <c r="O35" s="58" t="n">
        <v>312</v>
      </c>
      <c r="P35" s="54" t="s">
        <v>212</v>
      </c>
      <c r="Q35" s="58"/>
    </row>
    <row r="36" customFormat="false" ht="15" hidden="false" customHeight="false" outlineLevel="0" collapsed="false">
      <c r="A36" s="54" t="s">
        <v>29</v>
      </c>
      <c r="B36" s="55" t="n">
        <v>634</v>
      </c>
      <c r="C36" s="56" t="n">
        <v>46302.6230703472</v>
      </c>
      <c r="D36" s="55" t="n">
        <v>14</v>
      </c>
      <c r="E36" s="54" t="s">
        <v>214</v>
      </c>
      <c r="F36" s="54" t="s">
        <v>127</v>
      </c>
      <c r="G36" s="54" t="s">
        <v>118</v>
      </c>
      <c r="H36" s="54" t="s">
        <v>220</v>
      </c>
      <c r="I36" s="54" t="s">
        <v>477</v>
      </c>
      <c r="J36" s="54" t="s">
        <v>864</v>
      </c>
      <c r="K36" s="58" t="n">
        <v>137</v>
      </c>
      <c r="L36" s="54" t="s">
        <v>212</v>
      </c>
      <c r="M36" s="54" t="s">
        <v>214</v>
      </c>
      <c r="N36" s="54" t="s">
        <v>214</v>
      </c>
      <c r="O36" s="58" t="n">
        <v>4.2</v>
      </c>
      <c r="P36" s="54" t="s">
        <v>214</v>
      </c>
      <c r="Q36" s="58" t="n">
        <v>6.8</v>
      </c>
    </row>
    <row r="37" customFormat="false" ht="15" hidden="false" customHeight="false" outlineLevel="0" collapsed="false">
      <c r="A37" s="54" t="s">
        <v>29</v>
      </c>
      <c r="B37" s="55" t="n">
        <v>602</v>
      </c>
      <c r="C37" s="56" t="n">
        <v>46302.6411208796</v>
      </c>
      <c r="D37" s="55" t="n">
        <v>15</v>
      </c>
      <c r="E37" s="54" t="s">
        <v>214</v>
      </c>
      <c r="F37" s="54" t="s">
        <v>859</v>
      </c>
      <c r="G37" s="54" t="s">
        <v>860</v>
      </c>
      <c r="H37" s="54" t="s">
        <v>861</v>
      </c>
      <c r="I37" s="54" t="s">
        <v>288</v>
      </c>
      <c r="J37" s="54" t="s">
        <v>862</v>
      </c>
      <c r="K37" s="58" t="n">
        <v>76.7</v>
      </c>
      <c r="L37" s="54" t="s">
        <v>863</v>
      </c>
      <c r="M37" s="54" t="s">
        <v>212</v>
      </c>
      <c r="N37" s="54" t="s">
        <v>214</v>
      </c>
      <c r="O37" s="58" t="n">
        <v>88.2</v>
      </c>
      <c r="P37" s="54" t="s">
        <v>212</v>
      </c>
      <c r="Q37" s="58"/>
    </row>
    <row r="38" customFormat="false" ht="15" hidden="false" customHeight="false" outlineLevel="0" collapsed="false">
      <c r="A38" s="54" t="s">
        <v>29</v>
      </c>
      <c r="B38" s="55" t="n">
        <v>646</v>
      </c>
      <c r="C38" s="56" t="n">
        <v>46302.7654045949</v>
      </c>
      <c r="D38" s="55" t="n">
        <v>18</v>
      </c>
      <c r="E38" s="54" t="s">
        <v>214</v>
      </c>
      <c r="F38" s="54" t="s">
        <v>859</v>
      </c>
      <c r="G38" s="54" t="s">
        <v>860</v>
      </c>
      <c r="H38" s="54" t="s">
        <v>861</v>
      </c>
      <c r="I38" s="54" t="s">
        <v>288</v>
      </c>
      <c r="J38" s="54" t="s">
        <v>862</v>
      </c>
      <c r="K38" s="58" t="n">
        <v>76.7</v>
      </c>
      <c r="L38" s="54" t="s">
        <v>863</v>
      </c>
      <c r="M38" s="54" t="s">
        <v>212</v>
      </c>
      <c r="N38" s="54" t="s">
        <v>212</v>
      </c>
      <c r="O38" s="58"/>
      <c r="P38" s="54" t="s">
        <v>212</v>
      </c>
      <c r="Q38" s="58"/>
    </row>
    <row r="39" customFormat="false" ht="15" hidden="false" customHeight="false" outlineLevel="0" collapsed="false">
      <c r="A39" s="54" t="s">
        <v>29</v>
      </c>
      <c r="B39" s="55" t="n">
        <v>634</v>
      </c>
      <c r="C39" s="56" t="n">
        <v>46302.800990625</v>
      </c>
      <c r="D39" s="55" t="n">
        <v>19</v>
      </c>
      <c r="E39" s="54" t="s">
        <v>214</v>
      </c>
      <c r="F39" s="54" t="s">
        <v>859</v>
      </c>
      <c r="G39" s="54" t="s">
        <v>860</v>
      </c>
      <c r="H39" s="54" t="s">
        <v>861</v>
      </c>
      <c r="I39" s="54" t="s">
        <v>288</v>
      </c>
      <c r="J39" s="54" t="s">
        <v>862</v>
      </c>
      <c r="K39" s="58" t="n">
        <v>76.7</v>
      </c>
      <c r="L39" s="54" t="s">
        <v>863</v>
      </c>
      <c r="M39" s="54" t="s">
        <v>212</v>
      </c>
      <c r="N39" s="54" t="s">
        <v>214</v>
      </c>
      <c r="O39" s="58" t="n">
        <v>863.1</v>
      </c>
      <c r="P39" s="54" t="s">
        <v>212</v>
      </c>
      <c r="Q39" s="58"/>
    </row>
    <row r="40" customFormat="false" ht="15" hidden="false" customHeight="false" outlineLevel="0" collapsed="false">
      <c r="A40" s="54" t="s">
        <v>29</v>
      </c>
      <c r="B40" s="55" t="n">
        <v>712</v>
      </c>
      <c r="C40" s="56" t="n">
        <v>46302.8727455208</v>
      </c>
      <c r="D40" s="55" t="n">
        <v>20</v>
      </c>
      <c r="E40" s="54" t="s">
        <v>214</v>
      </c>
      <c r="F40" s="54" t="s">
        <v>129</v>
      </c>
      <c r="G40" s="54" t="s">
        <v>118</v>
      </c>
      <c r="H40" s="54" t="s">
        <v>220</v>
      </c>
      <c r="I40" s="54" t="s">
        <v>477</v>
      </c>
      <c r="J40" s="54" t="s">
        <v>864</v>
      </c>
      <c r="K40" s="58" t="n">
        <v>83</v>
      </c>
      <c r="L40" s="54" t="s">
        <v>212</v>
      </c>
      <c r="M40" s="54" t="s">
        <v>214</v>
      </c>
      <c r="N40" s="54" t="s">
        <v>212</v>
      </c>
      <c r="O40" s="58"/>
      <c r="P40" s="54" t="s">
        <v>212</v>
      </c>
      <c r="Q40" s="58"/>
    </row>
    <row r="41" customFormat="false" ht="15" hidden="false" customHeight="false" outlineLevel="0" collapsed="false">
      <c r="A41" s="54" t="s">
        <v>29</v>
      </c>
      <c r="B41" s="55" t="n">
        <v>729</v>
      </c>
      <c r="C41" s="56" t="n">
        <v>46302.9006484375</v>
      </c>
      <c r="D41" s="55" t="n">
        <v>21</v>
      </c>
      <c r="E41" s="54" t="s">
        <v>214</v>
      </c>
      <c r="F41" s="54" t="s">
        <v>128</v>
      </c>
      <c r="G41" s="54" t="s">
        <v>118</v>
      </c>
      <c r="H41" s="54" t="s">
        <v>220</v>
      </c>
      <c r="I41" s="54" t="s">
        <v>307</v>
      </c>
      <c r="J41" s="54" t="s">
        <v>865</v>
      </c>
      <c r="K41" s="58" t="n">
        <v>76.7</v>
      </c>
      <c r="L41" s="54" t="s">
        <v>212</v>
      </c>
      <c r="M41" s="54" t="s">
        <v>214</v>
      </c>
      <c r="N41" s="54" t="s">
        <v>214</v>
      </c>
      <c r="O41" s="58" t="n">
        <v>18.9</v>
      </c>
      <c r="P41" s="54" t="s">
        <v>214</v>
      </c>
      <c r="Q41" s="58" t="n">
        <v>20.4</v>
      </c>
    </row>
    <row r="42" customFormat="false" ht="15" hidden="false" customHeight="false" outlineLevel="0" collapsed="false">
      <c r="A42" s="54" t="s">
        <v>29</v>
      </c>
      <c r="B42" s="55" t="n">
        <v>738</v>
      </c>
      <c r="C42" s="56" t="n">
        <v>46303.3059711574</v>
      </c>
      <c r="D42" s="55" t="n">
        <v>7</v>
      </c>
      <c r="E42" s="54" t="s">
        <v>212</v>
      </c>
      <c r="F42" s="54" t="s">
        <v>127</v>
      </c>
      <c r="G42" s="54" t="s">
        <v>118</v>
      </c>
      <c r="H42" s="54" t="s">
        <v>220</v>
      </c>
      <c r="I42" s="54" t="s">
        <v>288</v>
      </c>
      <c r="J42" s="54" t="s">
        <v>862</v>
      </c>
      <c r="K42" s="58" t="n">
        <v>106.6</v>
      </c>
      <c r="L42" s="54" t="s">
        <v>212</v>
      </c>
      <c r="M42" s="54" t="s">
        <v>214</v>
      </c>
      <c r="N42" s="54" t="s">
        <v>212</v>
      </c>
      <c r="O42" s="58"/>
      <c r="P42" s="54" t="s">
        <v>212</v>
      </c>
      <c r="Q42" s="58"/>
    </row>
    <row r="43" customFormat="false" ht="15" hidden="false" customHeight="false" outlineLevel="0" collapsed="false">
      <c r="A43" s="54" t="s">
        <v>29</v>
      </c>
      <c r="B43" s="55" t="n">
        <v>753</v>
      </c>
      <c r="C43" s="56" t="n">
        <v>46303.3112877315</v>
      </c>
      <c r="D43" s="55" t="n">
        <v>7</v>
      </c>
      <c r="E43" s="54" t="s">
        <v>212</v>
      </c>
      <c r="F43" s="54" t="s">
        <v>127</v>
      </c>
      <c r="G43" s="54" t="s">
        <v>118</v>
      </c>
      <c r="H43" s="54" t="s">
        <v>220</v>
      </c>
      <c r="I43" s="54" t="s">
        <v>477</v>
      </c>
      <c r="J43" s="54" t="s">
        <v>864</v>
      </c>
      <c r="K43" s="58" t="n">
        <v>57</v>
      </c>
      <c r="L43" s="54" t="s">
        <v>214</v>
      </c>
      <c r="M43" s="54" t="s">
        <v>212</v>
      </c>
      <c r="N43" s="54" t="s">
        <v>212</v>
      </c>
      <c r="O43" s="58"/>
      <c r="P43" s="54" t="s">
        <v>212</v>
      </c>
      <c r="Q43" s="58"/>
    </row>
    <row r="44" customFormat="false" ht="15" hidden="false" customHeight="false" outlineLevel="0" collapsed="false">
      <c r="A44" s="54" t="s">
        <v>29</v>
      </c>
      <c r="B44" s="55" t="n">
        <v>712</v>
      </c>
      <c r="C44" s="56" t="n">
        <v>46303.3753923611</v>
      </c>
      <c r="D44" s="55" t="n">
        <v>9</v>
      </c>
      <c r="E44" s="54" t="s">
        <v>214</v>
      </c>
      <c r="F44" s="54" t="s">
        <v>859</v>
      </c>
      <c r="G44" s="54" t="s">
        <v>860</v>
      </c>
      <c r="H44" s="54" t="s">
        <v>861</v>
      </c>
      <c r="I44" s="54" t="s">
        <v>288</v>
      </c>
      <c r="J44" s="54" t="s">
        <v>862</v>
      </c>
      <c r="K44" s="58" t="n">
        <v>76.7</v>
      </c>
      <c r="L44" s="54" t="s">
        <v>863</v>
      </c>
      <c r="M44" s="54" t="s">
        <v>212</v>
      </c>
      <c r="N44" s="54" t="s">
        <v>212</v>
      </c>
      <c r="O44" s="58"/>
      <c r="P44" s="54" t="s">
        <v>212</v>
      </c>
      <c r="Q44" s="58"/>
    </row>
    <row r="45" customFormat="false" ht="15" hidden="false" customHeight="false" outlineLevel="0" collapsed="false">
      <c r="A45" s="54" t="s">
        <v>29</v>
      </c>
      <c r="B45" s="55" t="n">
        <v>760</v>
      </c>
      <c r="C45" s="56" t="n">
        <v>46303.3753946412</v>
      </c>
      <c r="D45" s="55" t="n">
        <v>9</v>
      </c>
      <c r="E45" s="54" t="s">
        <v>214</v>
      </c>
      <c r="F45" s="54" t="s">
        <v>859</v>
      </c>
      <c r="G45" s="54" t="s">
        <v>860</v>
      </c>
      <c r="H45" s="54" t="s">
        <v>861</v>
      </c>
      <c r="I45" s="54" t="s">
        <v>288</v>
      </c>
      <c r="J45" s="54" t="s">
        <v>862</v>
      </c>
      <c r="K45" s="58" t="n">
        <v>76.7</v>
      </c>
      <c r="L45" s="54" t="s">
        <v>863</v>
      </c>
      <c r="M45" s="54" t="s">
        <v>212</v>
      </c>
      <c r="N45" s="54" t="s">
        <v>212</v>
      </c>
      <c r="O45" s="58"/>
      <c r="P45" s="54" t="s">
        <v>212</v>
      </c>
      <c r="Q45" s="58"/>
    </row>
    <row r="46" customFormat="false" ht="15" hidden="false" customHeight="false" outlineLevel="0" collapsed="false">
      <c r="A46" s="54" t="s">
        <v>29</v>
      </c>
      <c r="B46" s="55" t="n">
        <v>729</v>
      </c>
      <c r="C46" s="56" t="n">
        <v>46303.3754429514</v>
      </c>
      <c r="D46" s="55" t="n">
        <v>9</v>
      </c>
      <c r="E46" s="54" t="s">
        <v>214</v>
      </c>
      <c r="F46" s="54" t="s">
        <v>859</v>
      </c>
      <c r="G46" s="54" t="s">
        <v>860</v>
      </c>
      <c r="H46" s="54" t="s">
        <v>861</v>
      </c>
      <c r="I46" s="54" t="s">
        <v>288</v>
      </c>
      <c r="J46" s="54" t="s">
        <v>862</v>
      </c>
      <c r="K46" s="58" t="n">
        <v>76.7</v>
      </c>
      <c r="L46" s="54" t="s">
        <v>863</v>
      </c>
      <c r="M46" s="54" t="s">
        <v>212</v>
      </c>
      <c r="N46" s="54" t="s">
        <v>214</v>
      </c>
      <c r="O46" s="58" t="n">
        <v>292.5</v>
      </c>
      <c r="P46" s="54" t="s">
        <v>212</v>
      </c>
      <c r="Q46" s="58"/>
    </row>
    <row r="47" customFormat="false" ht="15" hidden="false" customHeight="false" outlineLevel="0" collapsed="false">
      <c r="A47" s="54" t="s">
        <v>29</v>
      </c>
      <c r="B47" s="55" t="n">
        <v>701</v>
      </c>
      <c r="C47" s="56" t="n">
        <v>46303.3756202662</v>
      </c>
      <c r="D47" s="55" t="n">
        <v>9</v>
      </c>
      <c r="E47" s="54" t="s">
        <v>214</v>
      </c>
      <c r="F47" s="54" t="s">
        <v>859</v>
      </c>
      <c r="G47" s="54" t="s">
        <v>860</v>
      </c>
      <c r="H47" s="54" t="s">
        <v>861</v>
      </c>
      <c r="I47" s="54" t="s">
        <v>288</v>
      </c>
      <c r="J47" s="54" t="s">
        <v>862</v>
      </c>
      <c r="K47" s="58" t="n">
        <v>76.7</v>
      </c>
      <c r="L47" s="54" t="s">
        <v>863</v>
      </c>
      <c r="M47" s="54" t="s">
        <v>212</v>
      </c>
      <c r="N47" s="54" t="s">
        <v>214</v>
      </c>
      <c r="O47" s="58" t="n">
        <v>1735.1</v>
      </c>
      <c r="P47" s="54" t="s">
        <v>212</v>
      </c>
      <c r="Q47" s="58"/>
    </row>
    <row r="48" customFormat="false" ht="15" hidden="false" customHeight="false" outlineLevel="0" collapsed="false">
      <c r="A48" s="54" t="s">
        <v>29</v>
      </c>
      <c r="B48" s="55" t="n">
        <v>753</v>
      </c>
      <c r="C48" s="56" t="n">
        <v>46303.396045162</v>
      </c>
      <c r="D48" s="55" t="n">
        <v>9</v>
      </c>
      <c r="E48" s="54" t="s">
        <v>214</v>
      </c>
      <c r="F48" s="54" t="s">
        <v>859</v>
      </c>
      <c r="G48" s="54" t="s">
        <v>860</v>
      </c>
      <c r="H48" s="54" t="s">
        <v>861</v>
      </c>
      <c r="I48" s="54" t="s">
        <v>288</v>
      </c>
      <c r="J48" s="54" t="s">
        <v>862</v>
      </c>
      <c r="K48" s="58" t="n">
        <v>76.7</v>
      </c>
      <c r="L48" s="54" t="s">
        <v>863</v>
      </c>
      <c r="M48" s="54" t="s">
        <v>212</v>
      </c>
      <c r="N48" s="54" t="s">
        <v>212</v>
      </c>
      <c r="O48" s="58"/>
      <c r="P48" s="54" t="s">
        <v>212</v>
      </c>
      <c r="Q48" s="58"/>
    </row>
    <row r="49" customFormat="false" ht="15" hidden="false" customHeight="false" outlineLevel="0" collapsed="false">
      <c r="A49" s="54" t="s">
        <v>29</v>
      </c>
      <c r="B49" s="55" t="n">
        <v>738</v>
      </c>
      <c r="C49" s="56" t="n">
        <v>46303.4831258218</v>
      </c>
      <c r="D49" s="55" t="n">
        <v>11</v>
      </c>
      <c r="E49" s="54" t="s">
        <v>214</v>
      </c>
      <c r="F49" s="54" t="s">
        <v>859</v>
      </c>
      <c r="G49" s="54" t="s">
        <v>860</v>
      </c>
      <c r="H49" s="54" t="s">
        <v>861</v>
      </c>
      <c r="I49" s="54" t="s">
        <v>288</v>
      </c>
      <c r="J49" s="54" t="s">
        <v>862</v>
      </c>
      <c r="K49" s="58" t="n">
        <v>76.7</v>
      </c>
      <c r="L49" s="54" t="s">
        <v>863</v>
      </c>
      <c r="M49" s="54" t="s">
        <v>212</v>
      </c>
      <c r="N49" s="54" t="s">
        <v>212</v>
      </c>
      <c r="O49" s="58"/>
      <c r="P49" s="54" t="s">
        <v>212</v>
      </c>
      <c r="Q49" s="58"/>
    </row>
    <row r="50" customFormat="false" ht="15" hidden="false" customHeight="false" outlineLevel="0" collapsed="false">
      <c r="A50" s="54" t="s">
        <v>29</v>
      </c>
      <c r="B50" s="55" t="n">
        <v>802</v>
      </c>
      <c r="C50" s="56" t="n">
        <v>46303.4852083102</v>
      </c>
      <c r="D50" s="55" t="n">
        <v>11</v>
      </c>
      <c r="E50" s="54" t="s">
        <v>214</v>
      </c>
      <c r="F50" s="54" t="s">
        <v>859</v>
      </c>
      <c r="G50" s="54" t="s">
        <v>860</v>
      </c>
      <c r="H50" s="54" t="s">
        <v>861</v>
      </c>
      <c r="I50" s="54" t="s">
        <v>288</v>
      </c>
      <c r="J50" s="54" t="s">
        <v>862</v>
      </c>
      <c r="K50" s="58" t="n">
        <v>76.7</v>
      </c>
      <c r="L50" s="54" t="s">
        <v>863</v>
      </c>
      <c r="M50" s="54" t="s">
        <v>212</v>
      </c>
      <c r="N50" s="54" t="s">
        <v>214</v>
      </c>
      <c r="O50" s="58" t="n">
        <v>10.3</v>
      </c>
      <c r="P50" s="54" t="s">
        <v>212</v>
      </c>
      <c r="Q50" s="58"/>
    </row>
    <row r="51" customFormat="false" ht="15" hidden="false" customHeight="false" outlineLevel="0" collapsed="false">
      <c r="A51" s="54" t="s">
        <v>29</v>
      </c>
      <c r="B51" s="55" t="n">
        <v>828</v>
      </c>
      <c r="C51" s="56" t="n">
        <v>46303.5379834491</v>
      </c>
      <c r="D51" s="55" t="n">
        <v>12</v>
      </c>
      <c r="E51" s="54" t="s">
        <v>214</v>
      </c>
      <c r="F51" s="54" t="s">
        <v>859</v>
      </c>
      <c r="G51" s="54" t="s">
        <v>860</v>
      </c>
      <c r="H51" s="54" t="s">
        <v>861</v>
      </c>
      <c r="I51" s="54" t="s">
        <v>288</v>
      </c>
      <c r="J51" s="54" t="s">
        <v>862</v>
      </c>
      <c r="K51" s="58" t="n">
        <v>76.7</v>
      </c>
      <c r="L51" s="54" t="s">
        <v>863</v>
      </c>
      <c r="M51" s="54" t="s">
        <v>212</v>
      </c>
      <c r="N51" s="54" t="s">
        <v>212</v>
      </c>
      <c r="O51" s="58"/>
      <c r="P51" s="54" t="s">
        <v>212</v>
      </c>
      <c r="Q51" s="58"/>
    </row>
    <row r="52" customFormat="false" ht="15" hidden="false" customHeight="false" outlineLevel="0" collapsed="false">
      <c r="A52" s="54" t="s">
        <v>29</v>
      </c>
      <c r="B52" s="55" t="n">
        <v>833</v>
      </c>
      <c r="C52" s="56" t="n">
        <v>46303.5509831597</v>
      </c>
      <c r="D52" s="55" t="n">
        <v>13</v>
      </c>
      <c r="E52" s="54" t="s">
        <v>214</v>
      </c>
      <c r="F52" s="54" t="s">
        <v>859</v>
      </c>
      <c r="G52" s="54" t="s">
        <v>860</v>
      </c>
      <c r="H52" s="54" t="s">
        <v>861</v>
      </c>
      <c r="I52" s="54" t="s">
        <v>288</v>
      </c>
      <c r="J52" s="54" t="s">
        <v>862</v>
      </c>
      <c r="K52" s="58" t="n">
        <v>76.7</v>
      </c>
      <c r="L52" s="54" t="s">
        <v>863</v>
      </c>
      <c r="M52" s="54" t="s">
        <v>212</v>
      </c>
      <c r="N52" s="54" t="s">
        <v>214</v>
      </c>
      <c r="O52" s="58" t="n">
        <v>0.6</v>
      </c>
      <c r="P52" s="54" t="s">
        <v>212</v>
      </c>
      <c r="Q52" s="58"/>
    </row>
    <row r="53" customFormat="false" ht="15" hidden="false" customHeight="false" outlineLevel="0" collapsed="false">
      <c r="A53" s="54" t="s">
        <v>29</v>
      </c>
      <c r="B53" s="55" t="n">
        <v>842</v>
      </c>
      <c r="C53" s="56" t="n">
        <v>46303.5961055671</v>
      </c>
      <c r="D53" s="55" t="n">
        <v>14</v>
      </c>
      <c r="E53" s="54" t="s">
        <v>214</v>
      </c>
      <c r="F53" s="54" t="s">
        <v>859</v>
      </c>
      <c r="G53" s="54" t="s">
        <v>860</v>
      </c>
      <c r="H53" s="54" t="s">
        <v>861</v>
      </c>
      <c r="I53" s="54" t="s">
        <v>288</v>
      </c>
      <c r="J53" s="54" t="s">
        <v>862</v>
      </c>
      <c r="K53" s="58" t="n">
        <v>76.7</v>
      </c>
      <c r="L53" s="54" t="s">
        <v>863</v>
      </c>
      <c r="M53" s="54" t="s">
        <v>212</v>
      </c>
      <c r="N53" s="54" t="s">
        <v>214</v>
      </c>
      <c r="O53" s="58" t="n">
        <v>0.7</v>
      </c>
      <c r="P53" s="54" t="s">
        <v>212</v>
      </c>
      <c r="Q53" s="58"/>
    </row>
    <row r="54" customFormat="false" ht="15" hidden="false" customHeight="false" outlineLevel="0" collapsed="false">
      <c r="A54" s="54" t="s">
        <v>29</v>
      </c>
      <c r="B54" s="55" t="n">
        <v>864</v>
      </c>
      <c r="C54" s="56" t="n">
        <v>46303.6716262963</v>
      </c>
      <c r="D54" s="55" t="n">
        <v>16</v>
      </c>
      <c r="E54" s="54" t="s">
        <v>214</v>
      </c>
      <c r="F54" s="54" t="s">
        <v>859</v>
      </c>
      <c r="G54" s="54" t="s">
        <v>860</v>
      </c>
      <c r="H54" s="54" t="s">
        <v>861</v>
      </c>
      <c r="I54" s="54" t="s">
        <v>288</v>
      </c>
      <c r="J54" s="54" t="s">
        <v>862</v>
      </c>
      <c r="K54" s="58" t="n">
        <v>76.7</v>
      </c>
      <c r="L54" s="54" t="s">
        <v>863</v>
      </c>
      <c r="M54" s="54" t="s">
        <v>212</v>
      </c>
      <c r="N54" s="54" t="s">
        <v>212</v>
      </c>
      <c r="O54" s="58"/>
      <c r="P54" s="54" t="s">
        <v>212</v>
      </c>
      <c r="Q54" s="58"/>
    </row>
    <row r="55" customFormat="false" ht="15" hidden="false" customHeight="false" outlineLevel="0" collapsed="false">
      <c r="A55" s="54" t="s">
        <v>29</v>
      </c>
      <c r="B55" s="55" t="n">
        <v>877</v>
      </c>
      <c r="C55" s="56" t="n">
        <v>46303.692078287</v>
      </c>
      <c r="D55" s="55" t="n">
        <v>16</v>
      </c>
      <c r="E55" s="54" t="s">
        <v>214</v>
      </c>
      <c r="F55" s="54" t="s">
        <v>859</v>
      </c>
      <c r="G55" s="54" t="s">
        <v>860</v>
      </c>
      <c r="H55" s="54" t="s">
        <v>861</v>
      </c>
      <c r="I55" s="54" t="s">
        <v>288</v>
      </c>
      <c r="J55" s="54" t="s">
        <v>862</v>
      </c>
      <c r="K55" s="58" t="n">
        <v>76.7</v>
      </c>
      <c r="L55" s="54" t="s">
        <v>863</v>
      </c>
      <c r="M55" s="54" t="s">
        <v>212</v>
      </c>
      <c r="N55" s="54" t="s">
        <v>214</v>
      </c>
      <c r="O55" s="58" t="n">
        <v>101.9</v>
      </c>
      <c r="P55" s="54" t="s">
        <v>212</v>
      </c>
      <c r="Q55" s="58"/>
    </row>
    <row r="56" customFormat="false" ht="15" hidden="false" customHeight="false" outlineLevel="0" collapsed="false">
      <c r="A56" s="54" t="s">
        <v>29</v>
      </c>
      <c r="B56" s="55" t="n">
        <v>909</v>
      </c>
      <c r="C56" s="56" t="n">
        <v>46303.8338569213</v>
      </c>
      <c r="D56" s="55" t="n">
        <v>20</v>
      </c>
      <c r="E56" s="54" t="s">
        <v>214</v>
      </c>
      <c r="F56" s="54" t="s">
        <v>859</v>
      </c>
      <c r="G56" s="54" t="s">
        <v>860</v>
      </c>
      <c r="H56" s="54" t="s">
        <v>861</v>
      </c>
      <c r="I56" s="54" t="s">
        <v>288</v>
      </c>
      <c r="J56" s="54" t="s">
        <v>862</v>
      </c>
      <c r="K56" s="58" t="n">
        <v>76.7</v>
      </c>
      <c r="L56" s="54" t="s">
        <v>863</v>
      </c>
      <c r="M56" s="54" t="s">
        <v>212</v>
      </c>
      <c r="N56" s="54" t="s">
        <v>212</v>
      </c>
      <c r="O56" s="58"/>
      <c r="P56" s="54" t="s">
        <v>212</v>
      </c>
      <c r="Q56" s="58"/>
    </row>
    <row r="57" customFormat="false" ht="15" hidden="false" customHeight="false" outlineLevel="0" collapsed="false">
      <c r="A57" s="54" t="s">
        <v>29</v>
      </c>
      <c r="B57" s="55" t="n">
        <v>992</v>
      </c>
      <c r="C57" s="56" t="n">
        <v>46304.3548437616</v>
      </c>
      <c r="D57" s="55" t="n">
        <v>8</v>
      </c>
      <c r="E57" s="54" t="s">
        <v>214</v>
      </c>
      <c r="F57" s="54" t="s">
        <v>130</v>
      </c>
      <c r="G57" s="54" t="s">
        <v>118</v>
      </c>
      <c r="H57" s="54" t="s">
        <v>215</v>
      </c>
      <c r="I57" s="54" t="s">
        <v>477</v>
      </c>
      <c r="J57" s="54" t="s">
        <v>864</v>
      </c>
      <c r="K57" s="58" t="n">
        <v>105</v>
      </c>
      <c r="L57" s="54" t="s">
        <v>212</v>
      </c>
      <c r="M57" s="54" t="s">
        <v>214</v>
      </c>
      <c r="N57" s="54" t="s">
        <v>214</v>
      </c>
      <c r="O57" s="58" t="n">
        <v>1739.6</v>
      </c>
      <c r="P57" s="54" t="s">
        <v>212</v>
      </c>
      <c r="Q57" s="58"/>
    </row>
    <row r="58" customFormat="false" ht="15" hidden="false" customHeight="false" outlineLevel="0" collapsed="false">
      <c r="A58" s="54" t="s">
        <v>29</v>
      </c>
      <c r="B58" s="55" t="n">
        <v>960</v>
      </c>
      <c r="C58" s="56" t="n">
        <v>46304.3754689583</v>
      </c>
      <c r="D58" s="55" t="n">
        <v>9</v>
      </c>
      <c r="E58" s="54" t="s">
        <v>214</v>
      </c>
      <c r="F58" s="54" t="s">
        <v>859</v>
      </c>
      <c r="G58" s="54" t="s">
        <v>860</v>
      </c>
      <c r="H58" s="54" t="s">
        <v>861</v>
      </c>
      <c r="I58" s="54" t="s">
        <v>288</v>
      </c>
      <c r="J58" s="54" t="s">
        <v>862</v>
      </c>
      <c r="K58" s="58" t="n">
        <v>76.7</v>
      </c>
      <c r="L58" s="54" t="s">
        <v>863</v>
      </c>
      <c r="M58" s="54" t="s">
        <v>212</v>
      </c>
      <c r="N58" s="54" t="s">
        <v>212</v>
      </c>
      <c r="O58" s="58"/>
      <c r="P58" s="54" t="s">
        <v>212</v>
      </c>
      <c r="Q58" s="58"/>
    </row>
    <row r="59" customFormat="false" ht="15" hidden="false" customHeight="false" outlineLevel="0" collapsed="false">
      <c r="A59" s="54" t="s">
        <v>29</v>
      </c>
      <c r="B59" s="55" t="n">
        <v>925</v>
      </c>
      <c r="C59" s="56" t="n">
        <v>46304.3755799884</v>
      </c>
      <c r="D59" s="55" t="n">
        <v>9</v>
      </c>
      <c r="E59" s="54" t="s">
        <v>214</v>
      </c>
      <c r="F59" s="54" t="s">
        <v>859</v>
      </c>
      <c r="G59" s="54" t="s">
        <v>860</v>
      </c>
      <c r="H59" s="54" t="s">
        <v>861</v>
      </c>
      <c r="I59" s="54" t="s">
        <v>288</v>
      </c>
      <c r="J59" s="54" t="s">
        <v>862</v>
      </c>
      <c r="K59" s="58" t="n">
        <v>76.7</v>
      </c>
      <c r="L59" s="54" t="s">
        <v>863</v>
      </c>
      <c r="M59" s="54" t="s">
        <v>212</v>
      </c>
      <c r="N59" s="54" t="s">
        <v>212</v>
      </c>
      <c r="O59" s="58"/>
      <c r="P59" s="54" t="s">
        <v>212</v>
      </c>
      <c r="Q59" s="58"/>
    </row>
    <row r="60" customFormat="false" ht="15" hidden="false" customHeight="false" outlineLevel="0" collapsed="false">
      <c r="A60" s="54" t="s">
        <v>29</v>
      </c>
      <c r="B60" s="55" t="n">
        <v>992</v>
      </c>
      <c r="C60" s="56" t="n">
        <v>46304.4313783449</v>
      </c>
      <c r="D60" s="55" t="n">
        <v>10</v>
      </c>
      <c r="E60" s="54" t="s">
        <v>214</v>
      </c>
      <c r="F60" s="54" t="s">
        <v>859</v>
      </c>
      <c r="G60" s="54" t="s">
        <v>860</v>
      </c>
      <c r="H60" s="54" t="s">
        <v>861</v>
      </c>
      <c r="I60" s="54" t="s">
        <v>288</v>
      </c>
      <c r="J60" s="54" t="s">
        <v>862</v>
      </c>
      <c r="K60" s="58" t="n">
        <v>76.7</v>
      </c>
      <c r="L60" s="54" t="s">
        <v>863</v>
      </c>
      <c r="M60" s="54" t="s">
        <v>212</v>
      </c>
      <c r="N60" s="54" t="s">
        <v>214</v>
      </c>
      <c r="O60" s="58" t="n">
        <v>1629.3</v>
      </c>
      <c r="P60" s="54" t="s">
        <v>212</v>
      </c>
      <c r="Q60" s="58"/>
    </row>
    <row r="61" customFormat="false" ht="15" hidden="false" customHeight="false" outlineLevel="0" collapsed="false">
      <c r="A61" s="54" t="s">
        <v>29</v>
      </c>
      <c r="B61" s="55" t="n">
        <v>1018</v>
      </c>
      <c r="C61" s="56" t="n">
        <v>46304.475411956</v>
      </c>
      <c r="D61" s="55" t="n">
        <v>11</v>
      </c>
      <c r="E61" s="54" t="s">
        <v>214</v>
      </c>
      <c r="F61" s="54" t="s">
        <v>127</v>
      </c>
      <c r="G61" s="54" t="s">
        <v>118</v>
      </c>
      <c r="H61" s="54" t="s">
        <v>220</v>
      </c>
      <c r="I61" s="54" t="s">
        <v>477</v>
      </c>
      <c r="J61" s="54" t="s">
        <v>864</v>
      </c>
      <c r="K61" s="58" t="n">
        <v>107.3</v>
      </c>
      <c r="L61" s="54" t="s">
        <v>212</v>
      </c>
      <c r="M61" s="54" t="s">
        <v>214</v>
      </c>
      <c r="N61" s="54" t="s">
        <v>214</v>
      </c>
      <c r="O61" s="58" t="n">
        <v>0.4</v>
      </c>
      <c r="P61" s="54" t="s">
        <v>214</v>
      </c>
      <c r="Q61" s="58" t="n">
        <v>3.1</v>
      </c>
    </row>
    <row r="62" customFormat="false" ht="15" hidden="false" customHeight="false" outlineLevel="0" collapsed="false">
      <c r="A62" s="54" t="s">
        <v>29</v>
      </c>
      <c r="B62" s="55" t="n">
        <v>1008</v>
      </c>
      <c r="C62" s="56" t="n">
        <v>46304.5345286921</v>
      </c>
      <c r="D62" s="55" t="n">
        <v>12</v>
      </c>
      <c r="E62" s="54" t="s">
        <v>214</v>
      </c>
      <c r="F62" s="54" t="s">
        <v>859</v>
      </c>
      <c r="G62" s="54" t="s">
        <v>860</v>
      </c>
      <c r="H62" s="54" t="s">
        <v>861</v>
      </c>
      <c r="I62" s="54" t="s">
        <v>288</v>
      </c>
      <c r="J62" s="54" t="s">
        <v>862</v>
      </c>
      <c r="K62" s="58" t="n">
        <v>76.7</v>
      </c>
      <c r="L62" s="54" t="s">
        <v>863</v>
      </c>
      <c r="M62" s="54" t="s">
        <v>212</v>
      </c>
      <c r="N62" s="54" t="s">
        <v>212</v>
      </c>
      <c r="O62" s="58"/>
      <c r="P62" s="54" t="s">
        <v>212</v>
      </c>
      <c r="Q62" s="58"/>
    </row>
    <row r="63" customFormat="false" ht="15" hidden="false" customHeight="false" outlineLevel="0" collapsed="false">
      <c r="A63" s="54" t="s">
        <v>29</v>
      </c>
      <c r="B63" s="55" t="n">
        <v>1037</v>
      </c>
      <c r="C63" s="56" t="n">
        <v>46304.6196779282</v>
      </c>
      <c r="D63" s="55" t="n">
        <v>14</v>
      </c>
      <c r="E63" s="54" t="s">
        <v>214</v>
      </c>
      <c r="F63" s="54" t="s">
        <v>859</v>
      </c>
      <c r="G63" s="54" t="s">
        <v>860</v>
      </c>
      <c r="H63" s="54" t="s">
        <v>861</v>
      </c>
      <c r="I63" s="54" t="s">
        <v>288</v>
      </c>
      <c r="J63" s="54" t="s">
        <v>862</v>
      </c>
      <c r="K63" s="58" t="n">
        <v>76.7</v>
      </c>
      <c r="L63" s="54" t="s">
        <v>863</v>
      </c>
      <c r="M63" s="54" t="s">
        <v>212</v>
      </c>
      <c r="N63" s="54" t="s">
        <v>212</v>
      </c>
      <c r="O63" s="58"/>
      <c r="P63" s="54" t="s">
        <v>212</v>
      </c>
      <c r="Q63" s="58"/>
    </row>
    <row r="64" customFormat="false" ht="15" hidden="false" customHeight="false" outlineLevel="0" collapsed="false">
      <c r="A64" s="54" t="s">
        <v>29</v>
      </c>
      <c r="B64" s="55" t="n">
        <v>1038</v>
      </c>
      <c r="C64" s="56" t="n">
        <v>46304.650050625</v>
      </c>
      <c r="D64" s="55" t="n">
        <v>15</v>
      </c>
      <c r="E64" s="54" t="s">
        <v>214</v>
      </c>
      <c r="F64" s="54" t="s">
        <v>859</v>
      </c>
      <c r="G64" s="54" t="s">
        <v>860</v>
      </c>
      <c r="H64" s="54" t="s">
        <v>861</v>
      </c>
      <c r="I64" s="54" t="s">
        <v>288</v>
      </c>
      <c r="J64" s="54" t="s">
        <v>862</v>
      </c>
      <c r="K64" s="58" t="n">
        <v>76.7</v>
      </c>
      <c r="L64" s="54" t="s">
        <v>863</v>
      </c>
      <c r="M64" s="54" t="s">
        <v>212</v>
      </c>
      <c r="N64" s="54" t="s">
        <v>214</v>
      </c>
      <c r="O64" s="58" t="n">
        <v>1638.3</v>
      </c>
      <c r="P64" s="54" t="s">
        <v>212</v>
      </c>
      <c r="Q64" s="58"/>
    </row>
    <row r="65" customFormat="false" ht="15" hidden="false" customHeight="false" outlineLevel="0" collapsed="false">
      <c r="A65" s="54" t="s">
        <v>29</v>
      </c>
      <c r="B65" s="55" t="n">
        <v>1018</v>
      </c>
      <c r="C65" s="56" t="n">
        <v>46304.6525752431</v>
      </c>
      <c r="D65" s="55" t="n">
        <v>15</v>
      </c>
      <c r="E65" s="54" t="s">
        <v>214</v>
      </c>
      <c r="F65" s="54" t="s">
        <v>859</v>
      </c>
      <c r="G65" s="54" t="s">
        <v>860</v>
      </c>
      <c r="H65" s="54" t="s">
        <v>861</v>
      </c>
      <c r="I65" s="54" t="s">
        <v>288</v>
      </c>
      <c r="J65" s="54" t="s">
        <v>862</v>
      </c>
      <c r="K65" s="58" t="n">
        <v>76.7</v>
      </c>
      <c r="L65" s="54" t="s">
        <v>863</v>
      </c>
      <c r="M65" s="54" t="s">
        <v>212</v>
      </c>
      <c r="N65" s="54" t="s">
        <v>214</v>
      </c>
      <c r="O65" s="58" t="n">
        <v>25</v>
      </c>
      <c r="P65" s="54" t="s">
        <v>212</v>
      </c>
      <c r="Q65" s="58"/>
    </row>
    <row r="66" customFormat="false" ht="15" hidden="false" customHeight="false" outlineLevel="0" collapsed="false">
      <c r="A66" s="54" t="s">
        <v>29</v>
      </c>
      <c r="B66" s="55" t="n">
        <v>1075</v>
      </c>
      <c r="C66" s="56" t="n">
        <v>46304.7176565741</v>
      </c>
      <c r="D66" s="55" t="n">
        <v>17</v>
      </c>
      <c r="E66" s="54" t="s">
        <v>214</v>
      </c>
      <c r="F66" s="54" t="s">
        <v>128</v>
      </c>
      <c r="G66" s="54" t="s">
        <v>118</v>
      </c>
      <c r="H66" s="54" t="s">
        <v>220</v>
      </c>
      <c r="I66" s="54" t="s">
        <v>307</v>
      </c>
      <c r="J66" s="54" t="s">
        <v>865</v>
      </c>
      <c r="K66" s="58" t="n">
        <v>91.2</v>
      </c>
      <c r="L66" s="54" t="s">
        <v>212</v>
      </c>
      <c r="M66" s="54" t="s">
        <v>214</v>
      </c>
      <c r="N66" s="54" t="s">
        <v>214</v>
      </c>
      <c r="O66" s="58" t="n">
        <v>10.2</v>
      </c>
      <c r="P66" s="54" t="s">
        <v>212</v>
      </c>
      <c r="Q66" s="58"/>
    </row>
    <row r="67" customFormat="false" ht="15" hidden="false" customHeight="false" outlineLevel="0" collapsed="false">
      <c r="A67" s="54" t="s">
        <v>29</v>
      </c>
      <c r="B67" s="55" t="n">
        <v>1086</v>
      </c>
      <c r="C67" s="56" t="n">
        <v>46304.84373</v>
      </c>
      <c r="D67" s="55" t="n">
        <v>20</v>
      </c>
      <c r="E67" s="54" t="s">
        <v>214</v>
      </c>
      <c r="F67" s="54" t="s">
        <v>859</v>
      </c>
      <c r="G67" s="54" t="s">
        <v>860</v>
      </c>
      <c r="H67" s="54" t="s">
        <v>861</v>
      </c>
      <c r="I67" s="54" t="s">
        <v>288</v>
      </c>
      <c r="J67" s="54" t="s">
        <v>862</v>
      </c>
      <c r="K67" s="58" t="n">
        <v>76.7</v>
      </c>
      <c r="L67" s="54" t="s">
        <v>863</v>
      </c>
      <c r="M67" s="54" t="s">
        <v>212</v>
      </c>
      <c r="N67" s="54" t="s">
        <v>212</v>
      </c>
      <c r="O67" s="58"/>
      <c r="P67" s="54" t="s">
        <v>212</v>
      </c>
      <c r="Q67" s="58"/>
    </row>
    <row r="68" customFormat="false" ht="15" hidden="false" customHeight="false" outlineLevel="0" collapsed="false">
      <c r="A68" s="54" t="s">
        <v>29</v>
      </c>
      <c r="B68" s="55" t="n">
        <v>1113</v>
      </c>
      <c r="C68" s="56" t="n">
        <v>46304.8810756829</v>
      </c>
      <c r="D68" s="55" t="n">
        <v>21</v>
      </c>
      <c r="E68" s="54" t="s">
        <v>214</v>
      </c>
      <c r="F68" s="54" t="s">
        <v>128</v>
      </c>
      <c r="G68" s="54" t="s">
        <v>118</v>
      </c>
      <c r="H68" s="54" t="s">
        <v>220</v>
      </c>
      <c r="I68" s="54" t="s">
        <v>307</v>
      </c>
      <c r="J68" s="54" t="s">
        <v>865</v>
      </c>
      <c r="K68" s="58" t="n">
        <v>77.8</v>
      </c>
      <c r="L68" s="54" t="s">
        <v>212</v>
      </c>
      <c r="M68" s="54" t="s">
        <v>214</v>
      </c>
      <c r="N68" s="54" t="s">
        <v>214</v>
      </c>
      <c r="O68" s="58" t="n">
        <v>0.7</v>
      </c>
      <c r="P68" s="54" t="s">
        <v>214</v>
      </c>
      <c r="Q68" s="58" t="n">
        <v>1.6</v>
      </c>
    </row>
    <row r="69" customFormat="false" ht="15" hidden="false" customHeight="false" outlineLevel="0" collapsed="false">
      <c r="A69" s="54" t="s">
        <v>29</v>
      </c>
      <c r="B69" s="55" t="n">
        <v>1134</v>
      </c>
      <c r="C69" s="56" t="n">
        <v>46305.354963206</v>
      </c>
      <c r="D69" s="55" t="n">
        <v>8</v>
      </c>
      <c r="E69" s="54" t="s">
        <v>214</v>
      </c>
      <c r="F69" s="54" t="s">
        <v>130</v>
      </c>
      <c r="G69" s="54" t="s">
        <v>118</v>
      </c>
      <c r="H69" s="54" t="s">
        <v>215</v>
      </c>
      <c r="I69" s="54" t="s">
        <v>477</v>
      </c>
      <c r="J69" s="54" t="s">
        <v>864</v>
      </c>
      <c r="K69" s="58" t="n">
        <v>98.3</v>
      </c>
      <c r="L69" s="54" t="s">
        <v>212</v>
      </c>
      <c r="M69" s="54" t="s">
        <v>214</v>
      </c>
      <c r="N69" s="54" t="s">
        <v>212</v>
      </c>
      <c r="O69" s="58"/>
      <c r="P69" s="54" t="s">
        <v>214</v>
      </c>
      <c r="Q69" s="58" t="n">
        <v>4.6</v>
      </c>
    </row>
    <row r="70" customFormat="false" ht="15" hidden="false" customHeight="false" outlineLevel="0" collapsed="false">
      <c r="A70" s="54" t="s">
        <v>29</v>
      </c>
      <c r="B70" s="55" t="n">
        <v>1075</v>
      </c>
      <c r="C70" s="56" t="n">
        <v>46305.3756304167</v>
      </c>
      <c r="D70" s="55" t="n">
        <v>9</v>
      </c>
      <c r="E70" s="54" t="s">
        <v>214</v>
      </c>
      <c r="F70" s="54" t="s">
        <v>859</v>
      </c>
      <c r="G70" s="54" t="s">
        <v>860</v>
      </c>
      <c r="H70" s="54" t="s">
        <v>861</v>
      </c>
      <c r="I70" s="54" t="s">
        <v>288</v>
      </c>
      <c r="J70" s="54" t="s">
        <v>862</v>
      </c>
      <c r="K70" s="58" t="n">
        <v>76.7</v>
      </c>
      <c r="L70" s="54" t="s">
        <v>863</v>
      </c>
      <c r="M70" s="54" t="s">
        <v>212</v>
      </c>
      <c r="N70" s="54" t="s">
        <v>214</v>
      </c>
      <c r="O70" s="58" t="n">
        <v>311.1</v>
      </c>
      <c r="P70" s="54" t="s">
        <v>212</v>
      </c>
      <c r="Q70" s="58"/>
    </row>
    <row r="71" customFormat="false" ht="15" hidden="false" customHeight="false" outlineLevel="0" collapsed="false">
      <c r="A71" s="54" t="s">
        <v>29</v>
      </c>
      <c r="B71" s="55" t="n">
        <v>1113</v>
      </c>
      <c r="C71" s="56" t="n">
        <v>46305.3756911921</v>
      </c>
      <c r="D71" s="55" t="n">
        <v>9</v>
      </c>
      <c r="E71" s="54" t="s">
        <v>214</v>
      </c>
      <c r="F71" s="54" t="s">
        <v>859</v>
      </c>
      <c r="G71" s="54" t="s">
        <v>860</v>
      </c>
      <c r="H71" s="54" t="s">
        <v>861</v>
      </c>
      <c r="I71" s="54" t="s">
        <v>288</v>
      </c>
      <c r="J71" s="54" t="s">
        <v>862</v>
      </c>
      <c r="K71" s="58" t="n">
        <v>76.7</v>
      </c>
      <c r="L71" s="54" t="s">
        <v>863</v>
      </c>
      <c r="M71" s="54" t="s">
        <v>212</v>
      </c>
      <c r="N71" s="54" t="s">
        <v>214</v>
      </c>
      <c r="O71" s="58" t="n">
        <v>30.4</v>
      </c>
      <c r="P71" s="54" t="s">
        <v>214</v>
      </c>
      <c r="Q71" s="58" t="n">
        <v>426.8</v>
      </c>
    </row>
    <row r="72" customFormat="false" ht="15" hidden="false" customHeight="false" outlineLevel="0" collapsed="false">
      <c r="A72" s="54" t="s">
        <v>29</v>
      </c>
      <c r="B72" s="55" t="n">
        <v>1136</v>
      </c>
      <c r="C72" s="56" t="n">
        <v>46305.4134259722</v>
      </c>
      <c r="D72" s="55" t="n">
        <v>9</v>
      </c>
      <c r="E72" s="54" t="s">
        <v>214</v>
      </c>
      <c r="F72" s="54" t="s">
        <v>859</v>
      </c>
      <c r="G72" s="54" t="s">
        <v>860</v>
      </c>
      <c r="H72" s="54" t="s">
        <v>861</v>
      </c>
      <c r="I72" s="54" t="s">
        <v>288</v>
      </c>
      <c r="J72" s="54" t="s">
        <v>862</v>
      </c>
      <c r="K72" s="58" t="n">
        <v>76.7</v>
      </c>
      <c r="L72" s="54" t="s">
        <v>863</v>
      </c>
      <c r="M72" s="54" t="s">
        <v>212</v>
      </c>
      <c r="N72" s="54" t="s">
        <v>212</v>
      </c>
      <c r="O72" s="58"/>
      <c r="P72" s="54" t="s">
        <v>212</v>
      </c>
      <c r="Q72" s="58"/>
    </row>
    <row r="73" customFormat="false" ht="15" hidden="false" customHeight="false" outlineLevel="0" collapsed="false">
      <c r="A73" s="54" t="s">
        <v>29</v>
      </c>
      <c r="B73" s="55" t="n">
        <v>446</v>
      </c>
      <c r="C73" s="56" t="n">
        <v>46305.4224908218</v>
      </c>
      <c r="D73" s="55" t="n">
        <v>10</v>
      </c>
      <c r="E73" s="54" t="s">
        <v>214</v>
      </c>
      <c r="F73" s="54" t="s">
        <v>130</v>
      </c>
      <c r="G73" s="54" t="s">
        <v>118</v>
      </c>
      <c r="H73" s="54" t="s">
        <v>215</v>
      </c>
      <c r="I73" s="54" t="s">
        <v>288</v>
      </c>
      <c r="J73" s="54" t="s">
        <v>862</v>
      </c>
      <c r="K73" s="58" t="n">
        <v>46.5</v>
      </c>
      <c r="L73" s="54" t="s">
        <v>212</v>
      </c>
      <c r="M73" s="54" t="s">
        <v>212</v>
      </c>
      <c r="N73" s="54" t="s">
        <v>214</v>
      </c>
      <c r="O73" s="58" t="n">
        <v>0.3</v>
      </c>
      <c r="P73" s="54" t="s">
        <v>212</v>
      </c>
      <c r="Q73" s="58"/>
    </row>
    <row r="74" customFormat="false" ht="15" hidden="false" customHeight="false" outlineLevel="0" collapsed="false">
      <c r="A74" s="54" t="s">
        <v>29</v>
      </c>
      <c r="B74" s="55" t="n">
        <v>1159</v>
      </c>
      <c r="C74" s="56" t="n">
        <v>46305.4599687616</v>
      </c>
      <c r="D74" s="55" t="n">
        <v>11</v>
      </c>
      <c r="E74" s="54" t="s">
        <v>214</v>
      </c>
      <c r="F74" s="54" t="s">
        <v>859</v>
      </c>
      <c r="G74" s="54" t="s">
        <v>860</v>
      </c>
      <c r="H74" s="54" t="s">
        <v>861</v>
      </c>
      <c r="I74" s="54" t="s">
        <v>288</v>
      </c>
      <c r="J74" s="54" t="s">
        <v>862</v>
      </c>
      <c r="K74" s="58" t="n">
        <v>76.7</v>
      </c>
      <c r="L74" s="54" t="s">
        <v>863</v>
      </c>
      <c r="M74" s="54" t="s">
        <v>212</v>
      </c>
      <c r="N74" s="54" t="s">
        <v>214</v>
      </c>
      <c r="O74" s="58" t="n">
        <v>126.9</v>
      </c>
      <c r="P74" s="54" t="s">
        <v>212</v>
      </c>
      <c r="Q74" s="58"/>
    </row>
    <row r="75" customFormat="false" ht="15" hidden="false" customHeight="false" outlineLevel="0" collapsed="false">
      <c r="A75" s="54" t="s">
        <v>29</v>
      </c>
      <c r="B75" s="55" t="n">
        <v>1215</v>
      </c>
      <c r="C75" s="56" t="n">
        <v>46305.84366125</v>
      </c>
      <c r="D75" s="55" t="n">
        <v>20</v>
      </c>
      <c r="E75" s="54" t="s">
        <v>214</v>
      </c>
      <c r="F75" s="54" t="s">
        <v>859</v>
      </c>
      <c r="G75" s="54" t="s">
        <v>860</v>
      </c>
      <c r="H75" s="54" t="s">
        <v>861</v>
      </c>
      <c r="I75" s="54" t="s">
        <v>288</v>
      </c>
      <c r="J75" s="54" t="s">
        <v>862</v>
      </c>
      <c r="K75" s="58" t="n">
        <v>76.7</v>
      </c>
      <c r="L75" s="54" t="s">
        <v>863</v>
      </c>
      <c r="M75" s="54" t="s">
        <v>212</v>
      </c>
      <c r="N75" s="54" t="s">
        <v>214</v>
      </c>
      <c r="O75" s="58" t="n">
        <v>2451.1</v>
      </c>
      <c r="P75" s="54" t="s">
        <v>212</v>
      </c>
      <c r="Q75" s="58"/>
    </row>
    <row r="76" customFormat="false" ht="15" hidden="false" customHeight="false" outlineLevel="0" collapsed="false">
      <c r="A76" s="54" t="s">
        <v>29</v>
      </c>
      <c r="B76" s="55" t="n">
        <v>1226</v>
      </c>
      <c r="C76" s="56" t="n">
        <v>46305.8702000695</v>
      </c>
      <c r="D76" s="55" t="n">
        <v>20</v>
      </c>
      <c r="E76" s="54" t="s">
        <v>214</v>
      </c>
      <c r="F76" s="54" t="s">
        <v>859</v>
      </c>
      <c r="G76" s="54" t="s">
        <v>860</v>
      </c>
      <c r="H76" s="54" t="s">
        <v>861</v>
      </c>
      <c r="I76" s="54" t="s">
        <v>288</v>
      </c>
      <c r="J76" s="54" t="s">
        <v>862</v>
      </c>
      <c r="K76" s="58" t="n">
        <v>76.7</v>
      </c>
      <c r="L76" s="54" t="s">
        <v>863</v>
      </c>
      <c r="M76" s="54" t="s">
        <v>212</v>
      </c>
      <c r="N76" s="54" t="s">
        <v>214</v>
      </c>
      <c r="O76" s="58" t="n">
        <v>94.3</v>
      </c>
      <c r="P76" s="54" t="s">
        <v>212</v>
      </c>
      <c r="Q76" s="58"/>
    </row>
    <row r="77" customFormat="false" ht="15" hidden="false" customHeight="false" outlineLevel="0" collapsed="false">
      <c r="A77" s="54" t="s">
        <v>29</v>
      </c>
      <c r="B77" s="55" t="n">
        <v>1236</v>
      </c>
      <c r="C77" s="56" t="n">
        <v>46306.3750129282</v>
      </c>
      <c r="D77" s="55" t="n">
        <v>9</v>
      </c>
      <c r="E77" s="54" t="s">
        <v>214</v>
      </c>
      <c r="F77" s="54" t="s">
        <v>859</v>
      </c>
      <c r="G77" s="54" t="s">
        <v>860</v>
      </c>
      <c r="H77" s="54" t="s">
        <v>861</v>
      </c>
      <c r="I77" s="54" t="s">
        <v>288</v>
      </c>
      <c r="J77" s="54" t="s">
        <v>862</v>
      </c>
      <c r="K77" s="58" t="n">
        <v>76.7</v>
      </c>
      <c r="L77" s="54" t="s">
        <v>863</v>
      </c>
      <c r="M77" s="54" t="s">
        <v>212</v>
      </c>
      <c r="N77" s="54" t="s">
        <v>212</v>
      </c>
      <c r="O77" s="58"/>
      <c r="P77" s="54" t="s">
        <v>212</v>
      </c>
      <c r="Q77" s="58"/>
    </row>
    <row r="78" customFormat="false" ht="15" hidden="false" customHeight="false" outlineLevel="0" collapsed="false">
      <c r="A78" s="54" t="s">
        <v>29</v>
      </c>
      <c r="B78" s="55" t="n">
        <v>1313</v>
      </c>
      <c r="C78" s="56" t="n">
        <v>46306.6470370486</v>
      </c>
      <c r="D78" s="55" t="n">
        <v>15</v>
      </c>
      <c r="E78" s="54" t="s">
        <v>214</v>
      </c>
      <c r="F78" s="54" t="s">
        <v>127</v>
      </c>
      <c r="G78" s="54" t="s">
        <v>118</v>
      </c>
      <c r="H78" s="54" t="s">
        <v>220</v>
      </c>
      <c r="I78" s="54" t="s">
        <v>477</v>
      </c>
      <c r="J78" s="54" t="s">
        <v>864</v>
      </c>
      <c r="K78" s="58" t="n">
        <v>103.6</v>
      </c>
      <c r="L78" s="54" t="s">
        <v>212</v>
      </c>
      <c r="M78" s="54" t="s">
        <v>214</v>
      </c>
      <c r="N78" s="54" t="s">
        <v>214</v>
      </c>
      <c r="O78" s="58" t="n">
        <v>2874.9</v>
      </c>
      <c r="P78" s="54" t="s">
        <v>212</v>
      </c>
      <c r="Q78" s="58"/>
    </row>
    <row r="79" customFormat="false" ht="15" hidden="false" customHeight="false" outlineLevel="0" collapsed="false">
      <c r="A79" s="54" t="s">
        <v>29</v>
      </c>
      <c r="B79" s="55" t="n">
        <v>1318</v>
      </c>
      <c r="C79" s="56" t="n">
        <v>46306.67742875</v>
      </c>
      <c r="D79" s="55" t="n">
        <v>16</v>
      </c>
      <c r="E79" s="54" t="s">
        <v>214</v>
      </c>
      <c r="F79" s="54" t="s">
        <v>127</v>
      </c>
      <c r="G79" s="54" t="s">
        <v>118</v>
      </c>
      <c r="H79" s="54" t="s">
        <v>220</v>
      </c>
      <c r="I79" s="54" t="s">
        <v>477</v>
      </c>
      <c r="J79" s="54" t="s">
        <v>864</v>
      </c>
      <c r="K79" s="58" t="n">
        <v>100.4</v>
      </c>
      <c r="L79" s="54" t="s">
        <v>212</v>
      </c>
      <c r="M79" s="54" t="s">
        <v>214</v>
      </c>
      <c r="N79" s="54" t="s">
        <v>214</v>
      </c>
      <c r="O79" s="58" t="n">
        <v>205.4</v>
      </c>
      <c r="P79" s="54" t="s">
        <v>214</v>
      </c>
      <c r="Q79" s="58" t="n">
        <v>207.9</v>
      </c>
    </row>
    <row r="80" customFormat="false" ht="15" hidden="false" customHeight="false" outlineLevel="0" collapsed="false">
      <c r="A80" s="54" t="s">
        <v>29</v>
      </c>
      <c r="B80" s="55" t="n">
        <v>1326</v>
      </c>
      <c r="C80" s="56" t="n">
        <v>46306.706259375</v>
      </c>
      <c r="D80" s="55" t="n">
        <v>16</v>
      </c>
      <c r="E80" s="54" t="s">
        <v>214</v>
      </c>
      <c r="F80" s="54" t="s">
        <v>129</v>
      </c>
      <c r="G80" s="54" t="s">
        <v>118</v>
      </c>
      <c r="H80" s="54" t="s">
        <v>220</v>
      </c>
      <c r="I80" s="54" t="s">
        <v>477</v>
      </c>
      <c r="J80" s="54" t="s">
        <v>864</v>
      </c>
      <c r="K80" s="58" t="n">
        <v>103.6</v>
      </c>
      <c r="L80" s="54" t="s">
        <v>212</v>
      </c>
      <c r="M80" s="54" t="s">
        <v>214</v>
      </c>
      <c r="N80" s="54" t="s">
        <v>212</v>
      </c>
      <c r="O80" s="58"/>
      <c r="P80" s="54" t="s">
        <v>212</v>
      </c>
      <c r="Q80" s="58"/>
    </row>
    <row r="81" customFormat="false" ht="15" hidden="false" customHeight="false" outlineLevel="0" collapsed="false">
      <c r="A81" s="54" t="s">
        <v>29</v>
      </c>
      <c r="B81" s="55" t="n">
        <v>1328</v>
      </c>
      <c r="C81" s="56" t="n">
        <v>46306.7205918982</v>
      </c>
      <c r="D81" s="55" t="n">
        <v>17</v>
      </c>
      <c r="E81" s="54" t="s">
        <v>214</v>
      </c>
      <c r="F81" s="54" t="s">
        <v>129</v>
      </c>
      <c r="G81" s="54" t="s">
        <v>118</v>
      </c>
      <c r="H81" s="54" t="s">
        <v>220</v>
      </c>
      <c r="I81" s="54" t="s">
        <v>477</v>
      </c>
      <c r="J81" s="54" t="s">
        <v>864</v>
      </c>
      <c r="K81" s="58" t="n">
        <v>106.4</v>
      </c>
      <c r="L81" s="54" t="s">
        <v>212</v>
      </c>
      <c r="M81" s="54" t="s">
        <v>214</v>
      </c>
      <c r="N81" s="54" t="s">
        <v>212</v>
      </c>
      <c r="O81" s="58"/>
      <c r="P81" s="54" t="s">
        <v>214</v>
      </c>
      <c r="Q81" s="58" t="n">
        <v>1.3</v>
      </c>
    </row>
    <row r="82" customFormat="false" ht="15" hidden="false" customHeight="false" outlineLevel="0" collapsed="false">
      <c r="A82" s="54" t="s">
        <v>29</v>
      </c>
      <c r="B82" s="55" t="n">
        <v>1311</v>
      </c>
      <c r="C82" s="56" t="n">
        <v>46306.7251452431</v>
      </c>
      <c r="D82" s="55" t="n">
        <v>17</v>
      </c>
      <c r="E82" s="54" t="s">
        <v>214</v>
      </c>
      <c r="F82" s="54" t="s">
        <v>859</v>
      </c>
      <c r="G82" s="54" t="s">
        <v>860</v>
      </c>
      <c r="H82" s="54" t="s">
        <v>861</v>
      </c>
      <c r="I82" s="54" t="s">
        <v>288</v>
      </c>
      <c r="J82" s="54" t="s">
        <v>862</v>
      </c>
      <c r="K82" s="58" t="n">
        <v>76.7</v>
      </c>
      <c r="L82" s="54" t="s">
        <v>863</v>
      </c>
      <c r="M82" s="54" t="s">
        <v>212</v>
      </c>
      <c r="N82" s="54" t="s">
        <v>214</v>
      </c>
      <c r="O82" s="58" t="n">
        <v>106.7</v>
      </c>
      <c r="P82" s="54" t="s">
        <v>212</v>
      </c>
      <c r="Q82" s="58"/>
    </row>
    <row r="83" customFormat="false" ht="15" hidden="false" customHeight="false" outlineLevel="0" collapsed="false">
      <c r="A83" s="54" t="s">
        <v>29</v>
      </c>
      <c r="B83" s="55" t="n">
        <v>1335</v>
      </c>
      <c r="C83" s="56" t="n">
        <v>46306.7465873495</v>
      </c>
      <c r="D83" s="55" t="n">
        <v>17</v>
      </c>
      <c r="E83" s="54" t="s">
        <v>214</v>
      </c>
      <c r="F83" s="54" t="s">
        <v>129</v>
      </c>
      <c r="G83" s="54" t="s">
        <v>118</v>
      </c>
      <c r="H83" s="54" t="s">
        <v>220</v>
      </c>
      <c r="I83" s="54" t="s">
        <v>477</v>
      </c>
      <c r="J83" s="54" t="s">
        <v>864</v>
      </c>
      <c r="K83" s="58" t="n">
        <v>99.8</v>
      </c>
      <c r="L83" s="54" t="s">
        <v>212</v>
      </c>
      <c r="M83" s="54" t="s">
        <v>214</v>
      </c>
      <c r="N83" s="54" t="s">
        <v>212</v>
      </c>
      <c r="O83" s="58"/>
      <c r="P83" s="54" t="s">
        <v>214</v>
      </c>
      <c r="Q83" s="58" t="n">
        <v>10.3</v>
      </c>
    </row>
    <row r="84" customFormat="false" ht="15" hidden="false" customHeight="false" outlineLevel="0" collapsed="false">
      <c r="A84" s="54" t="s">
        <v>29</v>
      </c>
      <c r="B84" s="55" t="n">
        <v>1313</v>
      </c>
      <c r="C84" s="56" t="n">
        <v>46306.8243851505</v>
      </c>
      <c r="D84" s="55" t="n">
        <v>19</v>
      </c>
      <c r="E84" s="54" t="s">
        <v>214</v>
      </c>
      <c r="F84" s="54" t="s">
        <v>859</v>
      </c>
      <c r="G84" s="54" t="s">
        <v>860</v>
      </c>
      <c r="H84" s="54" t="s">
        <v>861</v>
      </c>
      <c r="I84" s="54" t="s">
        <v>288</v>
      </c>
      <c r="J84" s="54" t="s">
        <v>862</v>
      </c>
      <c r="K84" s="58" t="n">
        <v>76.7</v>
      </c>
      <c r="L84" s="54" t="s">
        <v>863</v>
      </c>
      <c r="M84" s="54" t="s">
        <v>212</v>
      </c>
      <c r="N84" s="54" t="s">
        <v>214</v>
      </c>
      <c r="O84" s="58" t="n">
        <v>2619.6</v>
      </c>
      <c r="P84" s="54" t="s">
        <v>212</v>
      </c>
      <c r="Q84" s="58"/>
    </row>
    <row r="85" customFormat="false" ht="15" hidden="false" customHeight="false" outlineLevel="0" collapsed="false">
      <c r="A85" s="54" t="s">
        <v>29</v>
      </c>
      <c r="B85" s="55" t="n">
        <v>1318</v>
      </c>
      <c r="C85" s="56" t="n">
        <v>46306.8547812269</v>
      </c>
      <c r="D85" s="55" t="n">
        <v>20</v>
      </c>
      <c r="E85" s="54" t="s">
        <v>214</v>
      </c>
      <c r="F85" s="54" t="s">
        <v>859</v>
      </c>
      <c r="G85" s="54" t="s">
        <v>860</v>
      </c>
      <c r="H85" s="54" t="s">
        <v>861</v>
      </c>
      <c r="I85" s="54" t="s">
        <v>288</v>
      </c>
      <c r="J85" s="54" t="s">
        <v>862</v>
      </c>
      <c r="K85" s="58" t="n">
        <v>76.7</v>
      </c>
      <c r="L85" s="54" t="s">
        <v>863</v>
      </c>
      <c r="M85" s="54" t="s">
        <v>212</v>
      </c>
      <c r="N85" s="54" t="s">
        <v>214</v>
      </c>
      <c r="O85" s="58" t="n">
        <v>9.5</v>
      </c>
      <c r="P85" s="54" t="s">
        <v>212</v>
      </c>
      <c r="Q85" s="58"/>
    </row>
    <row r="86" customFormat="false" ht="15" hidden="false" customHeight="false" outlineLevel="0" collapsed="false">
      <c r="A86" s="54" t="s">
        <v>29</v>
      </c>
      <c r="B86" s="55" t="n">
        <v>1328</v>
      </c>
      <c r="C86" s="56" t="n">
        <v>46306.8634858681</v>
      </c>
      <c r="D86" s="55" t="n">
        <v>20</v>
      </c>
      <c r="E86" s="54" t="s">
        <v>214</v>
      </c>
      <c r="F86" s="54" t="s">
        <v>859</v>
      </c>
      <c r="G86" s="54" t="s">
        <v>860</v>
      </c>
      <c r="H86" s="54" t="s">
        <v>861</v>
      </c>
      <c r="I86" s="54" t="s">
        <v>288</v>
      </c>
      <c r="J86" s="54" t="s">
        <v>862</v>
      </c>
      <c r="K86" s="58" t="n">
        <v>76.7</v>
      </c>
      <c r="L86" s="54" t="s">
        <v>863</v>
      </c>
      <c r="M86" s="54" t="s">
        <v>212</v>
      </c>
      <c r="N86" s="54" t="s">
        <v>212</v>
      </c>
      <c r="O86" s="58"/>
      <c r="P86" s="54" t="s">
        <v>212</v>
      </c>
      <c r="Q86" s="58"/>
    </row>
    <row r="87" customFormat="false" ht="15" hidden="false" customHeight="false" outlineLevel="0" collapsed="false">
      <c r="A87" s="54" t="s">
        <v>29</v>
      </c>
      <c r="B87" s="55" t="n">
        <v>1353</v>
      </c>
      <c r="C87" s="56" t="n">
        <v>46307.3750093866</v>
      </c>
      <c r="D87" s="55" t="n">
        <v>9</v>
      </c>
      <c r="E87" s="54" t="s">
        <v>214</v>
      </c>
      <c r="F87" s="54" t="s">
        <v>859</v>
      </c>
      <c r="G87" s="54" t="s">
        <v>860</v>
      </c>
      <c r="H87" s="54" t="s">
        <v>861</v>
      </c>
      <c r="I87" s="54" t="s">
        <v>288</v>
      </c>
      <c r="J87" s="54" t="s">
        <v>862</v>
      </c>
      <c r="K87" s="58" t="n">
        <v>76.7</v>
      </c>
      <c r="L87" s="54" t="s">
        <v>863</v>
      </c>
      <c r="M87" s="54" t="s">
        <v>212</v>
      </c>
      <c r="N87" s="54" t="s">
        <v>214</v>
      </c>
      <c r="O87" s="58" t="n">
        <v>36.8</v>
      </c>
      <c r="P87" s="54" t="s">
        <v>212</v>
      </c>
      <c r="Q87" s="58"/>
    </row>
    <row r="88" customFormat="false" ht="15" hidden="false" customHeight="false" outlineLevel="0" collapsed="false">
      <c r="A88" s="54" t="s">
        <v>29</v>
      </c>
      <c r="B88" s="55" t="n">
        <v>1372</v>
      </c>
      <c r="C88" s="56" t="n">
        <v>46307.375089294</v>
      </c>
      <c r="D88" s="55" t="n">
        <v>9</v>
      </c>
      <c r="E88" s="54" t="s">
        <v>214</v>
      </c>
      <c r="F88" s="54" t="s">
        <v>859</v>
      </c>
      <c r="G88" s="54" t="s">
        <v>860</v>
      </c>
      <c r="H88" s="54" t="s">
        <v>861</v>
      </c>
      <c r="I88" s="54" t="s">
        <v>288</v>
      </c>
      <c r="J88" s="54" t="s">
        <v>862</v>
      </c>
      <c r="K88" s="58" t="n">
        <v>76.7</v>
      </c>
      <c r="L88" s="54" t="s">
        <v>863</v>
      </c>
      <c r="M88" s="54" t="s">
        <v>212</v>
      </c>
      <c r="N88" s="54" t="s">
        <v>214</v>
      </c>
      <c r="O88" s="58" t="n">
        <v>5.5</v>
      </c>
      <c r="P88" s="54" t="s">
        <v>212</v>
      </c>
      <c r="Q88" s="58"/>
    </row>
    <row r="89" customFormat="false" ht="15" hidden="false" customHeight="false" outlineLevel="0" collapsed="false">
      <c r="A89" s="54" t="s">
        <v>29</v>
      </c>
      <c r="B89" s="55" t="n">
        <v>1326</v>
      </c>
      <c r="C89" s="56" t="n">
        <v>46307.37552</v>
      </c>
      <c r="D89" s="55" t="n">
        <v>9</v>
      </c>
      <c r="E89" s="54" t="s">
        <v>214</v>
      </c>
      <c r="F89" s="54" t="s">
        <v>859</v>
      </c>
      <c r="G89" s="54" t="s">
        <v>860</v>
      </c>
      <c r="H89" s="54" t="s">
        <v>861</v>
      </c>
      <c r="I89" s="54" t="s">
        <v>288</v>
      </c>
      <c r="J89" s="54" t="s">
        <v>862</v>
      </c>
      <c r="K89" s="58" t="n">
        <v>76.7</v>
      </c>
      <c r="L89" s="54" t="s">
        <v>863</v>
      </c>
      <c r="M89" s="54" t="s">
        <v>212</v>
      </c>
      <c r="N89" s="54" t="s">
        <v>212</v>
      </c>
      <c r="O89" s="58"/>
      <c r="P89" s="54" t="s">
        <v>212</v>
      </c>
      <c r="Q89" s="58"/>
    </row>
    <row r="90" customFormat="false" ht="15" hidden="false" customHeight="false" outlineLevel="0" collapsed="false">
      <c r="A90" s="54" t="s">
        <v>29</v>
      </c>
      <c r="B90" s="55" t="n">
        <v>1335</v>
      </c>
      <c r="C90" s="56" t="n">
        <v>46307.3755509028</v>
      </c>
      <c r="D90" s="55" t="n">
        <v>9</v>
      </c>
      <c r="E90" s="54" t="s">
        <v>214</v>
      </c>
      <c r="F90" s="54" t="s">
        <v>859</v>
      </c>
      <c r="G90" s="54" t="s">
        <v>860</v>
      </c>
      <c r="H90" s="54" t="s">
        <v>861</v>
      </c>
      <c r="I90" s="54" t="s">
        <v>288</v>
      </c>
      <c r="J90" s="54" t="s">
        <v>862</v>
      </c>
      <c r="K90" s="58" t="n">
        <v>76.7</v>
      </c>
      <c r="L90" s="54" t="s">
        <v>863</v>
      </c>
      <c r="M90" s="54" t="s">
        <v>212</v>
      </c>
      <c r="N90" s="54" t="s">
        <v>212</v>
      </c>
      <c r="O90" s="58"/>
      <c r="P90" s="54" t="s">
        <v>214</v>
      </c>
      <c r="Q90" s="58" t="n">
        <v>153.7</v>
      </c>
    </row>
    <row r="91" customFormat="false" ht="15" hidden="false" customHeight="false" outlineLevel="0" collapsed="false">
      <c r="A91" s="54" t="s">
        <v>29</v>
      </c>
      <c r="B91" s="55" t="n">
        <v>1497</v>
      </c>
      <c r="C91" s="56" t="n">
        <v>46307.6321331019</v>
      </c>
      <c r="D91" s="55" t="n">
        <v>15</v>
      </c>
      <c r="E91" s="54" t="s">
        <v>214</v>
      </c>
      <c r="F91" s="54" t="s">
        <v>128</v>
      </c>
      <c r="G91" s="54" t="s">
        <v>118</v>
      </c>
      <c r="H91" s="54" t="s">
        <v>220</v>
      </c>
      <c r="I91" s="54" t="s">
        <v>477</v>
      </c>
      <c r="J91" s="54" t="s">
        <v>864</v>
      </c>
      <c r="K91" s="58" t="n">
        <v>77.2</v>
      </c>
      <c r="L91" s="54" t="s">
        <v>212</v>
      </c>
      <c r="M91" s="54" t="s">
        <v>214</v>
      </c>
      <c r="N91" s="54" t="s">
        <v>214</v>
      </c>
      <c r="O91" s="58" t="n">
        <v>0.6</v>
      </c>
      <c r="P91" s="54" t="s">
        <v>214</v>
      </c>
      <c r="Q91" s="58" t="n">
        <v>2.2</v>
      </c>
    </row>
    <row r="92" customFormat="false" ht="15" hidden="false" customHeight="false" outlineLevel="0" collapsed="false">
      <c r="A92" s="54" t="s">
        <v>29</v>
      </c>
      <c r="B92" s="55" t="n">
        <v>1482</v>
      </c>
      <c r="C92" s="56" t="n">
        <v>46307.6564060301</v>
      </c>
      <c r="D92" s="55" t="n">
        <v>15</v>
      </c>
      <c r="E92" s="54" t="s">
        <v>214</v>
      </c>
      <c r="F92" s="54" t="s">
        <v>859</v>
      </c>
      <c r="G92" s="54" t="s">
        <v>860</v>
      </c>
      <c r="H92" s="54" t="s">
        <v>861</v>
      </c>
      <c r="I92" s="54" t="s">
        <v>288</v>
      </c>
      <c r="J92" s="54" t="s">
        <v>862</v>
      </c>
      <c r="K92" s="58" t="n">
        <v>76.7</v>
      </c>
      <c r="L92" s="54" t="s">
        <v>863</v>
      </c>
      <c r="M92" s="54" t="s">
        <v>212</v>
      </c>
      <c r="N92" s="54" t="s">
        <v>212</v>
      </c>
      <c r="O92" s="58"/>
      <c r="P92" s="54" t="s">
        <v>212</v>
      </c>
      <c r="Q92" s="58"/>
    </row>
    <row r="93" customFormat="false" ht="15" hidden="false" customHeight="false" outlineLevel="0" collapsed="false">
      <c r="A93" s="54" t="s">
        <v>29</v>
      </c>
      <c r="B93" s="55" t="n">
        <v>1477</v>
      </c>
      <c r="C93" s="56" t="n">
        <v>46307.670276007</v>
      </c>
      <c r="D93" s="55" t="n">
        <v>16</v>
      </c>
      <c r="E93" s="54" t="s">
        <v>214</v>
      </c>
      <c r="F93" s="54" t="s">
        <v>859</v>
      </c>
      <c r="G93" s="54" t="s">
        <v>860</v>
      </c>
      <c r="H93" s="54" t="s">
        <v>861</v>
      </c>
      <c r="I93" s="54" t="s">
        <v>288</v>
      </c>
      <c r="J93" s="54" t="s">
        <v>862</v>
      </c>
      <c r="K93" s="58" t="n">
        <v>76.7</v>
      </c>
      <c r="L93" s="54" t="s">
        <v>863</v>
      </c>
      <c r="M93" s="54" t="s">
        <v>212</v>
      </c>
      <c r="N93" s="54" t="s">
        <v>214</v>
      </c>
      <c r="O93" s="58" t="n">
        <v>0.2</v>
      </c>
      <c r="P93" s="54" t="s">
        <v>212</v>
      </c>
      <c r="Q93" s="58"/>
    </row>
    <row r="94" customFormat="false" ht="15" hidden="false" customHeight="false" outlineLevel="0" collapsed="false">
      <c r="A94" s="54" t="s">
        <v>29</v>
      </c>
      <c r="B94" s="55" t="n">
        <v>1554</v>
      </c>
      <c r="C94" s="56" t="n">
        <v>46307.8228425695</v>
      </c>
      <c r="D94" s="55" t="n">
        <v>19</v>
      </c>
      <c r="E94" s="54" t="s">
        <v>214</v>
      </c>
      <c r="F94" s="54" t="s">
        <v>128</v>
      </c>
      <c r="G94" s="54" t="s">
        <v>118</v>
      </c>
      <c r="H94" s="54" t="s">
        <v>220</v>
      </c>
      <c r="I94" s="54" t="s">
        <v>477</v>
      </c>
      <c r="J94" s="54" t="s">
        <v>864</v>
      </c>
      <c r="K94" s="58" t="n">
        <v>80.6</v>
      </c>
      <c r="L94" s="54" t="s">
        <v>212</v>
      </c>
      <c r="M94" s="54" t="s">
        <v>214</v>
      </c>
      <c r="N94" s="54" t="s">
        <v>214</v>
      </c>
      <c r="O94" s="58" t="n">
        <v>0.4</v>
      </c>
      <c r="P94" s="54" t="s">
        <v>212</v>
      </c>
      <c r="Q94" s="58"/>
    </row>
    <row r="95" customFormat="false" ht="15" hidden="false" customHeight="false" outlineLevel="0" collapsed="false">
      <c r="A95" s="54" t="s">
        <v>29</v>
      </c>
      <c r="B95" s="55" t="n">
        <v>1536</v>
      </c>
      <c r="C95" s="56" t="n">
        <v>46307.8666679051</v>
      </c>
      <c r="D95" s="55" t="n">
        <v>20</v>
      </c>
      <c r="E95" s="54" t="s">
        <v>214</v>
      </c>
      <c r="F95" s="54" t="s">
        <v>859</v>
      </c>
      <c r="G95" s="54" t="s">
        <v>860</v>
      </c>
      <c r="H95" s="54" t="s">
        <v>861</v>
      </c>
      <c r="I95" s="54" t="s">
        <v>288</v>
      </c>
      <c r="J95" s="54" t="s">
        <v>862</v>
      </c>
      <c r="K95" s="58" t="n">
        <v>76.7</v>
      </c>
      <c r="L95" s="54" t="s">
        <v>863</v>
      </c>
      <c r="M95" s="54" t="s">
        <v>212</v>
      </c>
      <c r="N95" s="54" t="s">
        <v>214</v>
      </c>
      <c r="O95" s="58" t="n">
        <v>875.7</v>
      </c>
      <c r="P95" s="54" t="s">
        <v>212</v>
      </c>
      <c r="Q95" s="58"/>
    </row>
    <row r="96" customFormat="false" ht="15" hidden="false" customHeight="false" outlineLevel="0" collapsed="false">
      <c r="A96" s="54" t="s">
        <v>29</v>
      </c>
      <c r="B96" s="55" t="n">
        <v>1576</v>
      </c>
      <c r="C96" s="56" t="n">
        <v>46307.9141336111</v>
      </c>
      <c r="D96" s="55" t="n">
        <v>21</v>
      </c>
      <c r="E96" s="54" t="s">
        <v>214</v>
      </c>
      <c r="F96" s="54" t="s">
        <v>128</v>
      </c>
      <c r="G96" s="54" t="s">
        <v>118</v>
      </c>
      <c r="H96" s="54" t="s">
        <v>220</v>
      </c>
      <c r="I96" s="54" t="s">
        <v>477</v>
      </c>
      <c r="J96" s="54" t="s">
        <v>864</v>
      </c>
      <c r="K96" s="58" t="n">
        <v>82.1</v>
      </c>
      <c r="L96" s="54" t="s">
        <v>212</v>
      </c>
      <c r="M96" s="54" t="s">
        <v>214</v>
      </c>
      <c r="N96" s="54" t="s">
        <v>214</v>
      </c>
      <c r="O96" s="58" t="n">
        <v>4.4</v>
      </c>
      <c r="P96" s="54" t="s">
        <v>214</v>
      </c>
      <c r="Q96" s="58" t="n">
        <v>11.5</v>
      </c>
    </row>
    <row r="97" customFormat="false" ht="15" hidden="false" customHeight="false" outlineLevel="0" collapsed="false">
      <c r="A97" s="54" t="s">
        <v>29</v>
      </c>
      <c r="B97" s="55" t="n">
        <v>1592</v>
      </c>
      <c r="C97" s="56" t="n">
        <v>46308.301274213</v>
      </c>
      <c r="D97" s="55" t="n">
        <v>7</v>
      </c>
      <c r="E97" s="54" t="s">
        <v>212</v>
      </c>
      <c r="F97" s="54" t="s">
        <v>127</v>
      </c>
      <c r="G97" s="54" t="s">
        <v>118</v>
      </c>
      <c r="H97" s="54" t="s">
        <v>220</v>
      </c>
      <c r="I97" s="54" t="s">
        <v>288</v>
      </c>
      <c r="J97" s="54" t="s">
        <v>862</v>
      </c>
      <c r="K97" s="58" t="n">
        <v>114.7</v>
      </c>
      <c r="L97" s="54" t="s">
        <v>212</v>
      </c>
      <c r="M97" s="54" t="s">
        <v>214</v>
      </c>
      <c r="N97" s="54" t="s">
        <v>214</v>
      </c>
      <c r="O97" s="58" t="n">
        <v>453.5</v>
      </c>
      <c r="P97" s="54" t="s">
        <v>212</v>
      </c>
      <c r="Q97" s="58"/>
    </row>
    <row r="98" customFormat="false" ht="15" hidden="false" customHeight="false" outlineLevel="0" collapsed="false">
      <c r="A98" s="54" t="s">
        <v>29</v>
      </c>
      <c r="B98" s="55" t="n">
        <v>1554</v>
      </c>
      <c r="C98" s="56" t="n">
        <v>46308.3750289699</v>
      </c>
      <c r="D98" s="55" t="n">
        <v>9</v>
      </c>
      <c r="E98" s="54" t="s">
        <v>214</v>
      </c>
      <c r="F98" s="54" t="s">
        <v>859</v>
      </c>
      <c r="G98" s="54" t="s">
        <v>860</v>
      </c>
      <c r="H98" s="54" t="s">
        <v>861</v>
      </c>
      <c r="I98" s="54" t="s">
        <v>288</v>
      </c>
      <c r="J98" s="54" t="s">
        <v>862</v>
      </c>
      <c r="K98" s="58" t="n">
        <v>76.7</v>
      </c>
      <c r="L98" s="54" t="s">
        <v>863</v>
      </c>
      <c r="M98" s="54" t="s">
        <v>212</v>
      </c>
      <c r="N98" s="54" t="s">
        <v>214</v>
      </c>
      <c r="O98" s="58" t="n">
        <v>29.8</v>
      </c>
      <c r="P98" s="54" t="s">
        <v>212</v>
      </c>
      <c r="Q98" s="58"/>
    </row>
    <row r="99" customFormat="false" ht="15" hidden="false" customHeight="false" outlineLevel="0" collapsed="false">
      <c r="A99" s="54" t="s">
        <v>29</v>
      </c>
      <c r="B99" s="55" t="n">
        <v>1584</v>
      </c>
      <c r="C99" s="56" t="n">
        <v>46308.3751022338</v>
      </c>
      <c r="D99" s="55" t="n">
        <v>9</v>
      </c>
      <c r="E99" s="54" t="s">
        <v>214</v>
      </c>
      <c r="F99" s="54" t="s">
        <v>859</v>
      </c>
      <c r="G99" s="54" t="s">
        <v>860</v>
      </c>
      <c r="H99" s="54" t="s">
        <v>861</v>
      </c>
      <c r="I99" s="54" t="s">
        <v>288</v>
      </c>
      <c r="J99" s="54" t="s">
        <v>862</v>
      </c>
      <c r="K99" s="58" t="n">
        <v>76.7</v>
      </c>
      <c r="L99" s="54" t="s">
        <v>863</v>
      </c>
      <c r="M99" s="54" t="s">
        <v>212</v>
      </c>
      <c r="N99" s="54" t="s">
        <v>214</v>
      </c>
      <c r="O99" s="58" t="n">
        <v>79.8</v>
      </c>
      <c r="P99" s="54" t="s">
        <v>212</v>
      </c>
      <c r="Q99" s="58"/>
    </row>
    <row r="100" customFormat="false" ht="15" hidden="false" customHeight="false" outlineLevel="0" collapsed="false">
      <c r="A100" s="54" t="s">
        <v>29</v>
      </c>
      <c r="B100" s="55" t="n">
        <v>1576</v>
      </c>
      <c r="C100" s="56" t="n">
        <v>46308.3755370023</v>
      </c>
      <c r="D100" s="55" t="n">
        <v>9</v>
      </c>
      <c r="E100" s="54" t="s">
        <v>214</v>
      </c>
      <c r="F100" s="54" t="s">
        <v>859</v>
      </c>
      <c r="G100" s="54" t="s">
        <v>860</v>
      </c>
      <c r="H100" s="54" t="s">
        <v>861</v>
      </c>
      <c r="I100" s="54" t="s">
        <v>288</v>
      </c>
      <c r="J100" s="54" t="s">
        <v>862</v>
      </c>
      <c r="K100" s="58" t="n">
        <v>76.7</v>
      </c>
      <c r="L100" s="54" t="s">
        <v>863</v>
      </c>
      <c r="M100" s="54" t="s">
        <v>212</v>
      </c>
      <c r="N100" s="54" t="s">
        <v>214</v>
      </c>
      <c r="O100" s="58" t="n">
        <v>39.6</v>
      </c>
      <c r="P100" s="54" t="s">
        <v>212</v>
      </c>
      <c r="Q100" s="58"/>
    </row>
    <row r="101" customFormat="false" ht="15" hidden="false" customHeight="false" outlineLevel="0" collapsed="false">
      <c r="A101" s="54" t="s">
        <v>29</v>
      </c>
      <c r="B101" s="55" t="n">
        <v>1566</v>
      </c>
      <c r="C101" s="56" t="n">
        <v>46308.3756626273</v>
      </c>
      <c r="D101" s="55" t="n">
        <v>9</v>
      </c>
      <c r="E101" s="54" t="s">
        <v>214</v>
      </c>
      <c r="F101" s="54" t="s">
        <v>859</v>
      </c>
      <c r="G101" s="54" t="s">
        <v>860</v>
      </c>
      <c r="H101" s="54" t="s">
        <v>861</v>
      </c>
      <c r="I101" s="54" t="s">
        <v>288</v>
      </c>
      <c r="J101" s="54" t="s">
        <v>862</v>
      </c>
      <c r="K101" s="58" t="n">
        <v>76.7</v>
      </c>
      <c r="L101" s="54" t="s">
        <v>863</v>
      </c>
      <c r="M101" s="54" t="s">
        <v>212</v>
      </c>
      <c r="N101" s="54" t="s">
        <v>212</v>
      </c>
      <c r="O101" s="58"/>
      <c r="P101" s="54" t="s">
        <v>212</v>
      </c>
      <c r="Q101" s="58"/>
    </row>
    <row r="102" customFormat="false" ht="15" hidden="false" customHeight="false" outlineLevel="0" collapsed="false">
      <c r="A102" s="54" t="s">
        <v>29</v>
      </c>
      <c r="B102" s="55" t="n">
        <v>1637</v>
      </c>
      <c r="C102" s="56" t="n">
        <v>46308.4572235417</v>
      </c>
      <c r="D102" s="55" t="n">
        <v>10</v>
      </c>
      <c r="E102" s="54" t="s">
        <v>214</v>
      </c>
      <c r="F102" s="54" t="s">
        <v>130</v>
      </c>
      <c r="G102" s="54" t="s">
        <v>118</v>
      </c>
      <c r="H102" s="54" t="s">
        <v>215</v>
      </c>
      <c r="I102" s="54" t="s">
        <v>477</v>
      </c>
      <c r="J102" s="54" t="s">
        <v>864</v>
      </c>
      <c r="K102" s="58" t="n">
        <v>146.7</v>
      </c>
      <c r="L102" s="54" t="s">
        <v>212</v>
      </c>
      <c r="M102" s="54" t="s">
        <v>214</v>
      </c>
      <c r="N102" s="54" t="s">
        <v>212</v>
      </c>
      <c r="O102" s="58"/>
      <c r="P102" s="54" t="s">
        <v>212</v>
      </c>
      <c r="Q102" s="58"/>
    </row>
    <row r="103" customFormat="false" ht="15" hidden="false" customHeight="false" outlineLevel="0" collapsed="false">
      <c r="A103" s="54" t="s">
        <v>29</v>
      </c>
      <c r="B103" s="55" t="n">
        <v>1619</v>
      </c>
      <c r="C103" s="56" t="n">
        <v>46308.4670776042</v>
      </c>
      <c r="D103" s="55" t="n">
        <v>11</v>
      </c>
      <c r="E103" s="54" t="s">
        <v>214</v>
      </c>
      <c r="F103" s="54" t="s">
        <v>859</v>
      </c>
      <c r="G103" s="54" t="s">
        <v>860</v>
      </c>
      <c r="H103" s="54" t="s">
        <v>861</v>
      </c>
      <c r="I103" s="54" t="s">
        <v>288</v>
      </c>
      <c r="J103" s="54" t="s">
        <v>862</v>
      </c>
      <c r="K103" s="58" t="n">
        <v>76.7</v>
      </c>
      <c r="L103" s="54" t="s">
        <v>863</v>
      </c>
      <c r="M103" s="54" t="s">
        <v>212</v>
      </c>
      <c r="N103" s="54" t="s">
        <v>212</v>
      </c>
      <c r="O103" s="58"/>
      <c r="P103" s="54" t="s">
        <v>212</v>
      </c>
      <c r="Q103" s="58"/>
    </row>
    <row r="104" customFormat="false" ht="15" hidden="false" customHeight="false" outlineLevel="0" collapsed="false">
      <c r="A104" s="54" t="s">
        <v>29</v>
      </c>
      <c r="B104" s="55" t="n">
        <v>1592</v>
      </c>
      <c r="C104" s="56" t="n">
        <v>46308.4783941204</v>
      </c>
      <c r="D104" s="55" t="n">
        <v>11</v>
      </c>
      <c r="E104" s="54" t="s">
        <v>214</v>
      </c>
      <c r="F104" s="54" t="s">
        <v>859</v>
      </c>
      <c r="G104" s="54" t="s">
        <v>860</v>
      </c>
      <c r="H104" s="54" t="s">
        <v>861</v>
      </c>
      <c r="I104" s="54" t="s">
        <v>288</v>
      </c>
      <c r="J104" s="54" t="s">
        <v>862</v>
      </c>
      <c r="K104" s="58" t="n">
        <v>76.7</v>
      </c>
      <c r="L104" s="54" t="s">
        <v>863</v>
      </c>
      <c r="M104" s="54" t="s">
        <v>212</v>
      </c>
      <c r="N104" s="54" t="s">
        <v>214</v>
      </c>
      <c r="O104" s="58" t="n">
        <v>198.5</v>
      </c>
      <c r="P104" s="54" t="s">
        <v>212</v>
      </c>
      <c r="Q104" s="58"/>
    </row>
    <row r="105" customFormat="false" ht="15" hidden="false" customHeight="false" outlineLevel="0" collapsed="false">
      <c r="A105" s="54" t="s">
        <v>29</v>
      </c>
      <c r="B105" s="55" t="n">
        <v>1637</v>
      </c>
      <c r="C105" s="56" t="n">
        <v>46308.534077037</v>
      </c>
      <c r="D105" s="55" t="n">
        <v>12</v>
      </c>
      <c r="E105" s="54" t="s">
        <v>214</v>
      </c>
      <c r="F105" s="54" t="s">
        <v>859</v>
      </c>
      <c r="G105" s="54" t="s">
        <v>860</v>
      </c>
      <c r="H105" s="54" t="s">
        <v>861</v>
      </c>
      <c r="I105" s="54" t="s">
        <v>288</v>
      </c>
      <c r="J105" s="54" t="s">
        <v>862</v>
      </c>
      <c r="K105" s="58" t="n">
        <v>76.7</v>
      </c>
      <c r="L105" s="54" t="s">
        <v>863</v>
      </c>
      <c r="M105" s="54" t="s">
        <v>212</v>
      </c>
      <c r="N105" s="54" t="s">
        <v>212</v>
      </c>
      <c r="O105" s="58"/>
      <c r="P105" s="54" t="s">
        <v>212</v>
      </c>
      <c r="Q105" s="58"/>
    </row>
    <row r="106" customFormat="false" ht="15" hidden="false" customHeight="false" outlineLevel="0" collapsed="false">
      <c r="A106" s="54" t="s">
        <v>29</v>
      </c>
      <c r="B106" s="55" t="n">
        <v>1655</v>
      </c>
      <c r="C106" s="56" t="n">
        <v>46308.5358862384</v>
      </c>
      <c r="D106" s="55" t="n">
        <v>12</v>
      </c>
      <c r="E106" s="54" t="s">
        <v>214</v>
      </c>
      <c r="F106" s="54" t="s">
        <v>127</v>
      </c>
      <c r="G106" s="54" t="s">
        <v>118</v>
      </c>
      <c r="H106" s="54" t="s">
        <v>220</v>
      </c>
      <c r="I106" s="54" t="s">
        <v>477</v>
      </c>
      <c r="J106" s="54" t="s">
        <v>864</v>
      </c>
      <c r="K106" s="58" t="n">
        <v>136.3</v>
      </c>
      <c r="L106" s="54" t="s">
        <v>212</v>
      </c>
      <c r="M106" s="54" t="s">
        <v>214</v>
      </c>
      <c r="N106" s="54" t="s">
        <v>212</v>
      </c>
      <c r="O106" s="58"/>
      <c r="P106" s="54" t="s">
        <v>212</v>
      </c>
      <c r="Q106" s="58"/>
    </row>
    <row r="107" customFormat="false" ht="15" hidden="false" customHeight="false" outlineLevel="0" collapsed="false">
      <c r="A107" s="54" t="s">
        <v>29</v>
      </c>
      <c r="B107" s="55" t="n">
        <v>1656</v>
      </c>
      <c r="C107" s="56" t="n">
        <v>46308.5424147917</v>
      </c>
      <c r="D107" s="55" t="n">
        <v>13</v>
      </c>
      <c r="E107" s="54" t="s">
        <v>214</v>
      </c>
      <c r="F107" s="54" t="s">
        <v>127</v>
      </c>
      <c r="G107" s="54" t="s">
        <v>118</v>
      </c>
      <c r="H107" s="54" t="s">
        <v>220</v>
      </c>
      <c r="I107" s="54" t="s">
        <v>477</v>
      </c>
      <c r="J107" s="54" t="s">
        <v>864</v>
      </c>
      <c r="K107" s="58" t="n">
        <v>111.9</v>
      </c>
      <c r="L107" s="54" t="s">
        <v>212</v>
      </c>
      <c r="M107" s="54" t="s">
        <v>214</v>
      </c>
      <c r="N107" s="54" t="s">
        <v>214</v>
      </c>
      <c r="O107" s="58" t="n">
        <v>255.3</v>
      </c>
      <c r="P107" s="54" t="s">
        <v>212</v>
      </c>
      <c r="Q107" s="58"/>
    </row>
    <row r="108" customFormat="false" ht="15" hidden="false" customHeight="false" outlineLevel="0" collapsed="false">
      <c r="A108" s="54" t="s">
        <v>29</v>
      </c>
      <c r="B108" s="55" t="n">
        <v>1657</v>
      </c>
      <c r="C108" s="56" t="n">
        <v>46308.6212387963</v>
      </c>
      <c r="D108" s="55" t="n">
        <v>14</v>
      </c>
      <c r="E108" s="54" t="s">
        <v>214</v>
      </c>
      <c r="F108" s="54" t="s">
        <v>859</v>
      </c>
      <c r="G108" s="54" t="s">
        <v>860</v>
      </c>
      <c r="H108" s="54" t="s">
        <v>861</v>
      </c>
      <c r="I108" s="54" t="s">
        <v>288</v>
      </c>
      <c r="J108" s="54" t="s">
        <v>862</v>
      </c>
      <c r="K108" s="58" t="n">
        <v>76.7</v>
      </c>
      <c r="L108" s="54" t="s">
        <v>863</v>
      </c>
      <c r="M108" s="54" t="s">
        <v>212</v>
      </c>
      <c r="N108" s="54" t="s">
        <v>214</v>
      </c>
      <c r="O108" s="58" t="n">
        <v>22.1</v>
      </c>
      <c r="P108" s="54" t="s">
        <v>212</v>
      </c>
      <c r="Q108" s="58"/>
    </row>
    <row r="109" customFormat="false" ht="15" hidden="false" customHeight="false" outlineLevel="0" collapsed="false">
      <c r="A109" s="54" t="s">
        <v>29</v>
      </c>
      <c r="B109" s="55" t="n">
        <v>1688</v>
      </c>
      <c r="C109" s="56" t="n">
        <v>46308.6922906713</v>
      </c>
      <c r="D109" s="55" t="n">
        <v>16</v>
      </c>
      <c r="E109" s="54" t="s">
        <v>214</v>
      </c>
      <c r="F109" s="54" t="s">
        <v>129</v>
      </c>
      <c r="G109" s="54" t="s">
        <v>118</v>
      </c>
      <c r="H109" s="54" t="s">
        <v>220</v>
      </c>
      <c r="I109" s="54" t="s">
        <v>477</v>
      </c>
      <c r="J109" s="54" t="s">
        <v>864</v>
      </c>
      <c r="K109" s="58" t="n">
        <v>118.4</v>
      </c>
      <c r="L109" s="54" t="s">
        <v>212</v>
      </c>
      <c r="M109" s="54" t="s">
        <v>214</v>
      </c>
      <c r="N109" s="54" t="s">
        <v>214</v>
      </c>
      <c r="O109" s="58" t="n">
        <v>0.6</v>
      </c>
      <c r="P109" s="54" t="s">
        <v>214</v>
      </c>
      <c r="Q109" s="58" t="n">
        <v>6.8</v>
      </c>
    </row>
    <row r="110" customFormat="false" ht="15" hidden="false" customHeight="false" outlineLevel="0" collapsed="false">
      <c r="A110" s="54" t="s">
        <v>29</v>
      </c>
      <c r="B110" s="55" t="n">
        <v>1655</v>
      </c>
      <c r="C110" s="56" t="n">
        <v>46308.7131740857</v>
      </c>
      <c r="D110" s="55" t="n">
        <v>17</v>
      </c>
      <c r="E110" s="54" t="s">
        <v>214</v>
      </c>
      <c r="F110" s="54" t="s">
        <v>859</v>
      </c>
      <c r="G110" s="54" t="s">
        <v>860</v>
      </c>
      <c r="H110" s="54" t="s">
        <v>861</v>
      </c>
      <c r="I110" s="54" t="s">
        <v>288</v>
      </c>
      <c r="J110" s="54" t="s">
        <v>862</v>
      </c>
      <c r="K110" s="58" t="n">
        <v>76.7</v>
      </c>
      <c r="L110" s="54" t="s">
        <v>863</v>
      </c>
      <c r="M110" s="54" t="s">
        <v>212</v>
      </c>
      <c r="N110" s="54" t="s">
        <v>212</v>
      </c>
      <c r="O110" s="58"/>
      <c r="P110" s="54" t="s">
        <v>212</v>
      </c>
      <c r="Q110" s="58"/>
    </row>
    <row r="111" customFormat="false" ht="15" hidden="false" customHeight="false" outlineLevel="0" collapsed="false">
      <c r="A111" s="54" t="s">
        <v>29</v>
      </c>
      <c r="B111" s="55" t="n">
        <v>1656</v>
      </c>
      <c r="C111" s="56" t="n">
        <v>46308.7195531713</v>
      </c>
      <c r="D111" s="55" t="n">
        <v>17</v>
      </c>
      <c r="E111" s="54" t="s">
        <v>214</v>
      </c>
      <c r="F111" s="54" t="s">
        <v>859</v>
      </c>
      <c r="G111" s="54" t="s">
        <v>860</v>
      </c>
      <c r="H111" s="54" t="s">
        <v>861</v>
      </c>
      <c r="I111" s="54" t="s">
        <v>288</v>
      </c>
      <c r="J111" s="54" t="s">
        <v>862</v>
      </c>
      <c r="K111" s="58" t="n">
        <v>76.7</v>
      </c>
      <c r="L111" s="54" t="s">
        <v>863</v>
      </c>
      <c r="M111" s="54" t="s">
        <v>212</v>
      </c>
      <c r="N111" s="54" t="s">
        <v>214</v>
      </c>
      <c r="O111" s="58" t="n">
        <v>0.2</v>
      </c>
      <c r="P111" s="54" t="s">
        <v>212</v>
      </c>
      <c r="Q111" s="58"/>
    </row>
    <row r="112" customFormat="false" ht="15" hidden="false" customHeight="false" outlineLevel="0" collapsed="false">
      <c r="A112" s="54" t="s">
        <v>29</v>
      </c>
      <c r="B112" s="55" t="n">
        <v>1680</v>
      </c>
      <c r="C112" s="56" t="n">
        <v>46308.7455268171</v>
      </c>
      <c r="D112" s="55" t="n">
        <v>17</v>
      </c>
      <c r="E112" s="54" t="s">
        <v>214</v>
      </c>
      <c r="F112" s="54" t="s">
        <v>859</v>
      </c>
      <c r="G112" s="54" t="s">
        <v>860</v>
      </c>
      <c r="H112" s="54" t="s">
        <v>861</v>
      </c>
      <c r="I112" s="54" t="s">
        <v>288</v>
      </c>
      <c r="J112" s="54" t="s">
        <v>862</v>
      </c>
      <c r="K112" s="58" t="n">
        <v>76.7</v>
      </c>
      <c r="L112" s="54" t="s">
        <v>863</v>
      </c>
      <c r="M112" s="54" t="s">
        <v>212</v>
      </c>
      <c r="N112" s="54" t="s">
        <v>214</v>
      </c>
      <c r="O112" s="58" t="n">
        <v>43.6</v>
      </c>
      <c r="P112" s="54" t="s">
        <v>212</v>
      </c>
      <c r="Q112" s="58"/>
    </row>
    <row r="113" customFormat="false" ht="15" hidden="false" customHeight="false" outlineLevel="0" collapsed="false">
      <c r="A113" s="54" t="s">
        <v>29</v>
      </c>
      <c r="B113" s="55" t="n">
        <v>1694</v>
      </c>
      <c r="C113" s="56" t="n">
        <v>46308.7807145718</v>
      </c>
      <c r="D113" s="55" t="n">
        <v>18</v>
      </c>
      <c r="E113" s="54" t="s">
        <v>214</v>
      </c>
      <c r="F113" s="54" t="s">
        <v>859</v>
      </c>
      <c r="G113" s="54" t="s">
        <v>860</v>
      </c>
      <c r="H113" s="54" t="s">
        <v>861</v>
      </c>
      <c r="I113" s="54" t="s">
        <v>288</v>
      </c>
      <c r="J113" s="54" t="s">
        <v>862</v>
      </c>
      <c r="K113" s="58" t="n">
        <v>76.7</v>
      </c>
      <c r="L113" s="54" t="s">
        <v>863</v>
      </c>
      <c r="M113" s="54" t="s">
        <v>212</v>
      </c>
      <c r="N113" s="54" t="s">
        <v>214</v>
      </c>
      <c r="O113" s="58" t="n">
        <v>615.1</v>
      </c>
      <c r="P113" s="54" t="s">
        <v>212</v>
      </c>
      <c r="Q113" s="58"/>
    </row>
    <row r="114" customFormat="false" ht="15" hidden="false" customHeight="false" outlineLevel="0" collapsed="false">
      <c r="A114" s="54" t="s">
        <v>29</v>
      </c>
      <c r="B114" s="55" t="n">
        <v>1688</v>
      </c>
      <c r="C114" s="56" t="n">
        <v>46308.8639339468</v>
      </c>
      <c r="D114" s="55" t="n">
        <v>20</v>
      </c>
      <c r="E114" s="54" t="s">
        <v>214</v>
      </c>
      <c r="F114" s="54" t="s">
        <v>859</v>
      </c>
      <c r="G114" s="54" t="s">
        <v>860</v>
      </c>
      <c r="H114" s="54" t="s">
        <v>861</v>
      </c>
      <c r="I114" s="54" t="s">
        <v>288</v>
      </c>
      <c r="J114" s="54" t="s">
        <v>862</v>
      </c>
      <c r="K114" s="58" t="n">
        <v>76.7</v>
      </c>
      <c r="L114" s="54" t="s">
        <v>863</v>
      </c>
      <c r="M114" s="54" t="s">
        <v>212</v>
      </c>
      <c r="N114" s="54" t="s">
        <v>214</v>
      </c>
      <c r="O114" s="58" t="n">
        <v>0.2</v>
      </c>
      <c r="P114" s="54" t="s">
        <v>212</v>
      </c>
      <c r="Q114" s="58"/>
    </row>
    <row r="115" customFormat="false" ht="15" hidden="false" customHeight="false" outlineLevel="0" collapsed="false">
      <c r="A115" s="54" t="s">
        <v>29</v>
      </c>
      <c r="B115" s="55" t="n">
        <v>1744</v>
      </c>
      <c r="C115" s="56" t="n">
        <v>46308.878749919</v>
      </c>
      <c r="D115" s="55" t="n">
        <v>21</v>
      </c>
      <c r="E115" s="54" t="s">
        <v>214</v>
      </c>
      <c r="F115" s="54" t="s">
        <v>128</v>
      </c>
      <c r="G115" s="54" t="s">
        <v>118</v>
      </c>
      <c r="H115" s="54" t="s">
        <v>220</v>
      </c>
      <c r="I115" s="54" t="s">
        <v>477</v>
      </c>
      <c r="J115" s="54" t="s">
        <v>864</v>
      </c>
      <c r="K115" s="58" t="n">
        <v>76.2</v>
      </c>
      <c r="L115" s="54" t="s">
        <v>212</v>
      </c>
      <c r="M115" s="54" t="s">
        <v>214</v>
      </c>
      <c r="N115" s="54" t="s">
        <v>212</v>
      </c>
      <c r="O115" s="58"/>
      <c r="P115" s="54" t="s">
        <v>214</v>
      </c>
      <c r="Q115" s="58" t="n">
        <v>6.5</v>
      </c>
    </row>
    <row r="116" customFormat="false" ht="15" hidden="false" customHeight="false" outlineLevel="0" collapsed="false">
      <c r="A116" s="54" t="s">
        <v>29</v>
      </c>
      <c r="B116" s="55" t="n">
        <v>1760</v>
      </c>
      <c r="C116" s="56" t="n">
        <v>46309.3753227662</v>
      </c>
      <c r="D116" s="55" t="n">
        <v>9</v>
      </c>
      <c r="E116" s="54" t="s">
        <v>214</v>
      </c>
      <c r="F116" s="54" t="s">
        <v>859</v>
      </c>
      <c r="G116" s="54" t="s">
        <v>860</v>
      </c>
      <c r="H116" s="54" t="s">
        <v>861</v>
      </c>
      <c r="I116" s="54" t="s">
        <v>288</v>
      </c>
      <c r="J116" s="54" t="s">
        <v>862</v>
      </c>
      <c r="K116" s="58" t="n">
        <v>76.7</v>
      </c>
      <c r="L116" s="54" t="s">
        <v>863</v>
      </c>
      <c r="M116" s="54" t="s">
        <v>212</v>
      </c>
      <c r="N116" s="54" t="s">
        <v>212</v>
      </c>
      <c r="O116" s="58"/>
      <c r="P116" s="54" t="s">
        <v>212</v>
      </c>
      <c r="Q116" s="58"/>
    </row>
    <row r="117" customFormat="false" ht="15" hidden="false" customHeight="false" outlineLevel="0" collapsed="false">
      <c r="A117" s="54" t="s">
        <v>29</v>
      </c>
      <c r="B117" s="55" t="n">
        <v>1723</v>
      </c>
      <c r="C117" s="56" t="n">
        <v>46309.3755246759</v>
      </c>
      <c r="D117" s="55" t="n">
        <v>9</v>
      </c>
      <c r="E117" s="54" t="s">
        <v>214</v>
      </c>
      <c r="F117" s="54" t="s">
        <v>859</v>
      </c>
      <c r="G117" s="54" t="s">
        <v>860</v>
      </c>
      <c r="H117" s="54" t="s">
        <v>861</v>
      </c>
      <c r="I117" s="54" t="s">
        <v>288</v>
      </c>
      <c r="J117" s="54" t="s">
        <v>862</v>
      </c>
      <c r="K117" s="58" t="n">
        <v>76.7</v>
      </c>
      <c r="L117" s="54" t="s">
        <v>863</v>
      </c>
      <c r="M117" s="54" t="s">
        <v>212</v>
      </c>
      <c r="N117" s="54" t="s">
        <v>212</v>
      </c>
      <c r="O117" s="58"/>
      <c r="P117" s="54" t="s">
        <v>212</v>
      </c>
      <c r="Q117" s="58"/>
    </row>
    <row r="118" customFormat="false" ht="15" hidden="false" customHeight="false" outlineLevel="0" collapsed="false">
      <c r="A118" s="54" t="s">
        <v>29</v>
      </c>
      <c r="B118" s="55" t="n">
        <v>1774</v>
      </c>
      <c r="C118" s="56" t="n">
        <v>46309.3755637269</v>
      </c>
      <c r="D118" s="55" t="n">
        <v>9</v>
      </c>
      <c r="E118" s="54" t="s">
        <v>214</v>
      </c>
      <c r="F118" s="54" t="s">
        <v>859</v>
      </c>
      <c r="G118" s="54" t="s">
        <v>860</v>
      </c>
      <c r="H118" s="54" t="s">
        <v>861</v>
      </c>
      <c r="I118" s="54" t="s">
        <v>288</v>
      </c>
      <c r="J118" s="54" t="s">
        <v>862</v>
      </c>
      <c r="K118" s="58" t="n">
        <v>76.7</v>
      </c>
      <c r="L118" s="54" t="s">
        <v>863</v>
      </c>
      <c r="M118" s="54" t="s">
        <v>212</v>
      </c>
      <c r="N118" s="54" t="s">
        <v>214</v>
      </c>
      <c r="O118" s="58" t="n">
        <v>689.3</v>
      </c>
      <c r="P118" s="54" t="s">
        <v>214</v>
      </c>
      <c r="Q118" s="58" t="n">
        <v>721.8</v>
      </c>
    </row>
    <row r="119" customFormat="false" ht="15" hidden="false" customHeight="false" outlineLevel="0" collapsed="false">
      <c r="A119" s="54" t="s">
        <v>29</v>
      </c>
      <c r="B119" s="55" t="n">
        <v>1726</v>
      </c>
      <c r="C119" s="56" t="n">
        <v>46309.3755759954</v>
      </c>
      <c r="D119" s="55" t="n">
        <v>9</v>
      </c>
      <c r="E119" s="54" t="s">
        <v>214</v>
      </c>
      <c r="F119" s="54" t="s">
        <v>859</v>
      </c>
      <c r="G119" s="54" t="s">
        <v>860</v>
      </c>
      <c r="H119" s="54" t="s">
        <v>861</v>
      </c>
      <c r="I119" s="54" t="s">
        <v>288</v>
      </c>
      <c r="J119" s="54" t="s">
        <v>862</v>
      </c>
      <c r="K119" s="58" t="n">
        <v>76.7</v>
      </c>
      <c r="L119" s="54" t="s">
        <v>863</v>
      </c>
      <c r="M119" s="54" t="s">
        <v>212</v>
      </c>
      <c r="N119" s="54" t="s">
        <v>214</v>
      </c>
      <c r="O119" s="58" t="n">
        <v>249.8</v>
      </c>
      <c r="P119" s="54" t="s">
        <v>212</v>
      </c>
      <c r="Q119" s="58"/>
    </row>
    <row r="120" customFormat="false" ht="15" hidden="false" customHeight="false" outlineLevel="0" collapsed="false">
      <c r="A120" s="54" t="s">
        <v>29</v>
      </c>
      <c r="B120" s="55" t="n">
        <v>1756</v>
      </c>
      <c r="C120" s="56" t="n">
        <v>46309.3801529745</v>
      </c>
      <c r="D120" s="55" t="n">
        <v>9</v>
      </c>
      <c r="E120" s="54" t="s">
        <v>214</v>
      </c>
      <c r="F120" s="54" t="s">
        <v>859</v>
      </c>
      <c r="G120" s="54" t="s">
        <v>860</v>
      </c>
      <c r="H120" s="54" t="s">
        <v>861</v>
      </c>
      <c r="I120" s="54" t="s">
        <v>288</v>
      </c>
      <c r="J120" s="54" t="s">
        <v>862</v>
      </c>
      <c r="K120" s="58" t="n">
        <v>76.7</v>
      </c>
      <c r="L120" s="54" t="s">
        <v>863</v>
      </c>
      <c r="M120" s="54" t="s">
        <v>212</v>
      </c>
      <c r="N120" s="54" t="s">
        <v>214</v>
      </c>
      <c r="O120" s="58" t="n">
        <v>189.3</v>
      </c>
      <c r="P120" s="54" t="s">
        <v>212</v>
      </c>
      <c r="Q120" s="58"/>
    </row>
    <row r="121" customFormat="false" ht="15" hidden="false" customHeight="false" outlineLevel="0" collapsed="false">
      <c r="A121" s="54" t="s">
        <v>29</v>
      </c>
      <c r="B121" s="55" t="n">
        <v>1775</v>
      </c>
      <c r="C121" s="56" t="n">
        <v>46309.3911645255</v>
      </c>
      <c r="D121" s="55" t="n">
        <v>9</v>
      </c>
      <c r="E121" s="54" t="s">
        <v>214</v>
      </c>
      <c r="F121" s="54" t="s">
        <v>859</v>
      </c>
      <c r="G121" s="54" t="s">
        <v>860</v>
      </c>
      <c r="H121" s="54" t="s">
        <v>861</v>
      </c>
      <c r="I121" s="54" t="s">
        <v>288</v>
      </c>
      <c r="J121" s="54" t="s">
        <v>862</v>
      </c>
      <c r="K121" s="58" t="n">
        <v>76.7</v>
      </c>
      <c r="L121" s="54" t="s">
        <v>863</v>
      </c>
      <c r="M121" s="54" t="s">
        <v>212</v>
      </c>
      <c r="N121" s="54" t="s">
        <v>214</v>
      </c>
      <c r="O121" s="58" t="n">
        <v>75.7</v>
      </c>
      <c r="P121" s="54" t="s">
        <v>212</v>
      </c>
      <c r="Q121" s="58"/>
    </row>
    <row r="122" customFormat="false" ht="15" hidden="false" customHeight="false" outlineLevel="0" collapsed="false">
      <c r="A122" s="54" t="s">
        <v>29</v>
      </c>
      <c r="B122" s="55" t="n">
        <v>1807</v>
      </c>
      <c r="C122" s="56" t="n">
        <v>46309.475650625</v>
      </c>
      <c r="D122" s="55" t="n">
        <v>11</v>
      </c>
      <c r="E122" s="54" t="s">
        <v>214</v>
      </c>
      <c r="F122" s="54" t="s">
        <v>859</v>
      </c>
      <c r="G122" s="54" t="s">
        <v>860</v>
      </c>
      <c r="H122" s="54" t="s">
        <v>861</v>
      </c>
      <c r="I122" s="54" t="s">
        <v>288</v>
      </c>
      <c r="J122" s="54" t="s">
        <v>862</v>
      </c>
      <c r="K122" s="58" t="n">
        <v>76.7</v>
      </c>
      <c r="L122" s="54" t="s">
        <v>863</v>
      </c>
      <c r="M122" s="54" t="s">
        <v>212</v>
      </c>
      <c r="N122" s="54" t="s">
        <v>214</v>
      </c>
      <c r="O122" s="58" t="n">
        <v>12</v>
      </c>
      <c r="P122" s="54" t="s">
        <v>214</v>
      </c>
      <c r="Q122" s="58" t="n">
        <v>137.4</v>
      </c>
    </row>
    <row r="123" customFormat="false" ht="15" hidden="false" customHeight="false" outlineLevel="0" collapsed="false">
      <c r="A123" s="54" t="s">
        <v>29</v>
      </c>
      <c r="B123" s="55" t="n">
        <v>1812</v>
      </c>
      <c r="C123" s="56" t="n">
        <v>46309.4854204398</v>
      </c>
      <c r="D123" s="55" t="n">
        <v>11</v>
      </c>
      <c r="E123" s="54" t="s">
        <v>214</v>
      </c>
      <c r="F123" s="54" t="s">
        <v>859</v>
      </c>
      <c r="G123" s="54" t="s">
        <v>860</v>
      </c>
      <c r="H123" s="54" t="s">
        <v>861</v>
      </c>
      <c r="I123" s="54" t="s">
        <v>288</v>
      </c>
      <c r="J123" s="54" t="s">
        <v>862</v>
      </c>
      <c r="K123" s="58" t="n">
        <v>76.7</v>
      </c>
      <c r="L123" s="54" t="s">
        <v>863</v>
      </c>
      <c r="M123" s="54" t="s">
        <v>212</v>
      </c>
      <c r="N123" s="54" t="s">
        <v>214</v>
      </c>
      <c r="O123" s="58" t="n">
        <v>15.3</v>
      </c>
      <c r="P123" s="54" t="s">
        <v>212</v>
      </c>
      <c r="Q123" s="58"/>
    </row>
    <row r="124" customFormat="false" ht="15" hidden="false" customHeight="false" outlineLevel="0" collapsed="false">
      <c r="A124" s="54" t="s">
        <v>29</v>
      </c>
      <c r="B124" s="55" t="n">
        <v>1821</v>
      </c>
      <c r="C124" s="56" t="n">
        <v>46309.5318697222</v>
      </c>
      <c r="D124" s="55" t="n">
        <v>12</v>
      </c>
      <c r="E124" s="54" t="s">
        <v>214</v>
      </c>
      <c r="F124" s="54" t="s">
        <v>859</v>
      </c>
      <c r="G124" s="54" t="s">
        <v>860</v>
      </c>
      <c r="H124" s="54" t="s">
        <v>861</v>
      </c>
      <c r="I124" s="54" t="s">
        <v>288</v>
      </c>
      <c r="J124" s="54" t="s">
        <v>862</v>
      </c>
      <c r="K124" s="58" t="n">
        <v>76.7</v>
      </c>
      <c r="L124" s="54" t="s">
        <v>863</v>
      </c>
      <c r="M124" s="54" t="s">
        <v>212</v>
      </c>
      <c r="N124" s="54" t="s">
        <v>212</v>
      </c>
      <c r="O124" s="58"/>
      <c r="P124" s="54" t="s">
        <v>212</v>
      </c>
      <c r="Q124" s="58"/>
    </row>
    <row r="125" customFormat="false" ht="15" hidden="false" customHeight="false" outlineLevel="0" collapsed="false">
      <c r="A125" s="54" t="s">
        <v>29</v>
      </c>
      <c r="B125" s="55" t="n">
        <v>1841</v>
      </c>
      <c r="C125" s="56" t="n">
        <v>46309.5776282986</v>
      </c>
      <c r="D125" s="55" t="n">
        <v>13</v>
      </c>
      <c r="E125" s="54" t="s">
        <v>214</v>
      </c>
      <c r="F125" s="54" t="s">
        <v>859</v>
      </c>
      <c r="G125" s="54" t="s">
        <v>860</v>
      </c>
      <c r="H125" s="54" t="s">
        <v>861</v>
      </c>
      <c r="I125" s="54" t="s">
        <v>288</v>
      </c>
      <c r="J125" s="54" t="s">
        <v>862</v>
      </c>
      <c r="K125" s="58" t="n">
        <v>76.7</v>
      </c>
      <c r="L125" s="54" t="s">
        <v>863</v>
      </c>
      <c r="M125" s="54" t="s">
        <v>212</v>
      </c>
      <c r="N125" s="54" t="s">
        <v>214</v>
      </c>
      <c r="O125" s="58" t="n">
        <v>77.9</v>
      </c>
      <c r="P125" s="54" t="s">
        <v>212</v>
      </c>
      <c r="Q125" s="58"/>
    </row>
    <row r="126" customFormat="false" ht="15" hidden="false" customHeight="false" outlineLevel="0" collapsed="false">
      <c r="A126" s="54" t="s">
        <v>29</v>
      </c>
      <c r="B126" s="55" t="n">
        <v>1838</v>
      </c>
      <c r="C126" s="56" t="n">
        <v>46309.589339838</v>
      </c>
      <c r="D126" s="55" t="n">
        <v>14</v>
      </c>
      <c r="E126" s="54" t="s">
        <v>214</v>
      </c>
      <c r="F126" s="54" t="s">
        <v>859</v>
      </c>
      <c r="G126" s="54" t="s">
        <v>860</v>
      </c>
      <c r="H126" s="54" t="s">
        <v>861</v>
      </c>
      <c r="I126" s="54" t="s">
        <v>288</v>
      </c>
      <c r="J126" s="54" t="s">
        <v>862</v>
      </c>
      <c r="K126" s="58" t="n">
        <v>76.7</v>
      </c>
      <c r="L126" s="54" t="s">
        <v>863</v>
      </c>
      <c r="M126" s="54" t="s">
        <v>212</v>
      </c>
      <c r="N126" s="54" t="s">
        <v>214</v>
      </c>
      <c r="O126" s="58" t="n">
        <v>1449.6</v>
      </c>
      <c r="P126" s="54" t="s">
        <v>212</v>
      </c>
      <c r="Q126" s="58"/>
    </row>
    <row r="127" customFormat="false" ht="15" hidden="false" customHeight="false" outlineLevel="0" collapsed="false">
      <c r="A127" s="54" t="s">
        <v>29</v>
      </c>
      <c r="B127" s="55" t="n">
        <v>1853</v>
      </c>
      <c r="C127" s="56" t="n">
        <v>46309.6493361574</v>
      </c>
      <c r="D127" s="55" t="n">
        <v>15</v>
      </c>
      <c r="E127" s="54" t="s">
        <v>214</v>
      </c>
      <c r="F127" s="54" t="s">
        <v>859</v>
      </c>
      <c r="G127" s="54" t="s">
        <v>860</v>
      </c>
      <c r="H127" s="54" t="s">
        <v>861</v>
      </c>
      <c r="I127" s="54" t="s">
        <v>288</v>
      </c>
      <c r="J127" s="54" t="s">
        <v>862</v>
      </c>
      <c r="K127" s="58" t="n">
        <v>76.7</v>
      </c>
      <c r="L127" s="54" t="s">
        <v>863</v>
      </c>
      <c r="M127" s="54" t="s">
        <v>212</v>
      </c>
      <c r="N127" s="54" t="s">
        <v>212</v>
      </c>
      <c r="O127" s="58"/>
      <c r="P127" s="54" t="s">
        <v>212</v>
      </c>
      <c r="Q127" s="58"/>
    </row>
    <row r="128" customFormat="false" ht="15" hidden="false" customHeight="false" outlineLevel="0" collapsed="false">
      <c r="A128" s="54" t="s">
        <v>29</v>
      </c>
      <c r="B128" s="55" t="n">
        <v>1893</v>
      </c>
      <c r="C128" s="56" t="n">
        <v>46309.8299754398</v>
      </c>
      <c r="D128" s="55" t="n">
        <v>19</v>
      </c>
      <c r="E128" s="54" t="s">
        <v>214</v>
      </c>
      <c r="F128" s="54" t="s">
        <v>859</v>
      </c>
      <c r="G128" s="54" t="s">
        <v>860</v>
      </c>
      <c r="H128" s="54" t="s">
        <v>861</v>
      </c>
      <c r="I128" s="54" t="s">
        <v>288</v>
      </c>
      <c r="J128" s="54" t="s">
        <v>862</v>
      </c>
      <c r="K128" s="58" t="n">
        <v>76.7</v>
      </c>
      <c r="L128" s="54" t="s">
        <v>863</v>
      </c>
      <c r="M128" s="54" t="s">
        <v>212</v>
      </c>
      <c r="N128" s="54" t="s">
        <v>214</v>
      </c>
      <c r="O128" s="58" t="n">
        <v>2.2</v>
      </c>
      <c r="P128" s="54" t="s">
        <v>214</v>
      </c>
      <c r="Q128" s="58" t="n">
        <v>1224.7</v>
      </c>
    </row>
    <row r="129" customFormat="false" ht="15" hidden="false" customHeight="false" outlineLevel="0" collapsed="false">
      <c r="A129" s="54" t="s">
        <v>29</v>
      </c>
      <c r="B129" s="55" t="n">
        <v>1898</v>
      </c>
      <c r="C129" s="56" t="n">
        <v>46309.8524110417</v>
      </c>
      <c r="D129" s="55" t="n">
        <v>20</v>
      </c>
      <c r="E129" s="54" t="s">
        <v>214</v>
      </c>
      <c r="F129" s="54" t="s">
        <v>859</v>
      </c>
      <c r="G129" s="54" t="s">
        <v>860</v>
      </c>
      <c r="H129" s="54" t="s">
        <v>861</v>
      </c>
      <c r="I129" s="54" t="s">
        <v>288</v>
      </c>
      <c r="J129" s="54" t="s">
        <v>862</v>
      </c>
      <c r="K129" s="58" t="n">
        <v>76.7</v>
      </c>
      <c r="L129" s="54" t="s">
        <v>863</v>
      </c>
      <c r="M129" s="54" t="s">
        <v>212</v>
      </c>
      <c r="N129" s="54" t="s">
        <v>214</v>
      </c>
      <c r="O129" s="58" t="n">
        <v>2.9</v>
      </c>
      <c r="P129" s="54" t="s">
        <v>212</v>
      </c>
      <c r="Q129" s="58"/>
    </row>
    <row r="130" customFormat="false" ht="15" hidden="false" customHeight="false" outlineLevel="0" collapsed="false">
      <c r="A130" s="54" t="s">
        <v>29</v>
      </c>
      <c r="B130" s="55" t="n">
        <v>1912</v>
      </c>
      <c r="C130" s="56" t="n">
        <v>46309.8873452662</v>
      </c>
      <c r="D130" s="55" t="n">
        <v>21</v>
      </c>
      <c r="E130" s="54" t="s">
        <v>214</v>
      </c>
      <c r="F130" s="54" t="s">
        <v>128</v>
      </c>
      <c r="G130" s="54" t="s">
        <v>118</v>
      </c>
      <c r="H130" s="54" t="s">
        <v>220</v>
      </c>
      <c r="I130" s="54" t="s">
        <v>477</v>
      </c>
      <c r="J130" s="54" t="s">
        <v>864</v>
      </c>
      <c r="K130" s="58" t="n">
        <v>80.6</v>
      </c>
      <c r="L130" s="54" t="s">
        <v>212</v>
      </c>
      <c r="M130" s="54" t="s">
        <v>214</v>
      </c>
      <c r="N130" s="54" t="s">
        <v>214</v>
      </c>
      <c r="O130" s="58" t="n">
        <v>592.5</v>
      </c>
      <c r="P130" s="54" t="s">
        <v>214</v>
      </c>
      <c r="Q130" s="58" t="n">
        <v>600.7</v>
      </c>
    </row>
    <row r="131" customFormat="false" ht="15" hidden="false" customHeight="false" outlineLevel="0" collapsed="false">
      <c r="A131" s="54" t="s">
        <v>29</v>
      </c>
      <c r="B131" s="55" t="n">
        <v>1927</v>
      </c>
      <c r="C131" s="56" t="n">
        <v>46310.2939161574</v>
      </c>
      <c r="D131" s="55" t="n">
        <v>7</v>
      </c>
      <c r="E131" s="54" t="s">
        <v>212</v>
      </c>
      <c r="F131" s="54" t="s">
        <v>127</v>
      </c>
      <c r="G131" s="54" t="s">
        <v>118</v>
      </c>
      <c r="H131" s="54" t="s">
        <v>220</v>
      </c>
      <c r="I131" s="54" t="s">
        <v>288</v>
      </c>
      <c r="J131" s="54" t="s">
        <v>862</v>
      </c>
      <c r="K131" s="58" t="n">
        <v>108.3</v>
      </c>
      <c r="L131" s="54" t="s">
        <v>212</v>
      </c>
      <c r="M131" s="54" t="s">
        <v>214</v>
      </c>
      <c r="N131" s="54" t="s">
        <v>214</v>
      </c>
      <c r="O131" s="58" t="n">
        <v>0.4</v>
      </c>
      <c r="P131" s="54" t="s">
        <v>212</v>
      </c>
      <c r="Q131" s="58"/>
    </row>
    <row r="132" customFormat="false" ht="15" hidden="false" customHeight="false" outlineLevel="0" collapsed="false">
      <c r="A132" s="54" t="s">
        <v>29</v>
      </c>
      <c r="B132" s="55" t="n">
        <v>1947</v>
      </c>
      <c r="C132" s="56" t="n">
        <v>46310.3191039468</v>
      </c>
      <c r="D132" s="55" t="n">
        <v>7</v>
      </c>
      <c r="E132" s="54" t="s">
        <v>212</v>
      </c>
      <c r="F132" s="54" t="s">
        <v>127</v>
      </c>
      <c r="G132" s="54" t="s">
        <v>118</v>
      </c>
      <c r="H132" s="54" t="s">
        <v>220</v>
      </c>
      <c r="I132" s="54" t="s">
        <v>477</v>
      </c>
      <c r="J132" s="54" t="s">
        <v>864</v>
      </c>
      <c r="K132" s="58" t="n">
        <v>106</v>
      </c>
      <c r="L132" s="54" t="s">
        <v>212</v>
      </c>
      <c r="M132" s="54" t="s">
        <v>214</v>
      </c>
      <c r="N132" s="54" t="s">
        <v>214</v>
      </c>
      <c r="O132" s="58" t="n">
        <v>4.7</v>
      </c>
      <c r="P132" s="54" t="s">
        <v>214</v>
      </c>
      <c r="Q132" s="58" t="n">
        <v>28.1</v>
      </c>
    </row>
    <row r="133" customFormat="false" ht="15" hidden="false" customHeight="false" outlineLevel="0" collapsed="false">
      <c r="A133" s="54" t="s">
        <v>29</v>
      </c>
      <c r="B133" s="55" t="n">
        <v>1912</v>
      </c>
      <c r="C133" s="56" t="n">
        <v>46310.3756130903</v>
      </c>
      <c r="D133" s="55" t="n">
        <v>9</v>
      </c>
      <c r="E133" s="54" t="s">
        <v>214</v>
      </c>
      <c r="F133" s="54" t="s">
        <v>859</v>
      </c>
      <c r="G133" s="54" t="s">
        <v>860</v>
      </c>
      <c r="H133" s="54" t="s">
        <v>861</v>
      </c>
      <c r="I133" s="54" t="s">
        <v>288</v>
      </c>
      <c r="J133" s="54" t="s">
        <v>862</v>
      </c>
      <c r="K133" s="58" t="n">
        <v>76.7</v>
      </c>
      <c r="L133" s="54" t="s">
        <v>863</v>
      </c>
      <c r="M133" s="54" t="s">
        <v>212</v>
      </c>
      <c r="N133" s="54" t="s">
        <v>214</v>
      </c>
      <c r="O133" s="58" t="n">
        <v>8.7</v>
      </c>
      <c r="P133" s="54" t="s">
        <v>212</v>
      </c>
      <c r="Q133" s="58"/>
    </row>
    <row r="134" customFormat="false" ht="15" hidden="false" customHeight="false" outlineLevel="0" collapsed="false">
      <c r="A134" s="54" t="s">
        <v>29</v>
      </c>
      <c r="B134" s="55" t="n">
        <v>1933</v>
      </c>
      <c r="C134" s="56" t="n">
        <v>46310.3796794907</v>
      </c>
      <c r="D134" s="55" t="n">
        <v>9</v>
      </c>
      <c r="E134" s="54" t="s">
        <v>214</v>
      </c>
      <c r="F134" s="54" t="s">
        <v>859</v>
      </c>
      <c r="G134" s="54" t="s">
        <v>860</v>
      </c>
      <c r="H134" s="54" t="s">
        <v>861</v>
      </c>
      <c r="I134" s="54" t="s">
        <v>288</v>
      </c>
      <c r="J134" s="54" t="s">
        <v>862</v>
      </c>
      <c r="K134" s="58" t="n">
        <v>76.7</v>
      </c>
      <c r="L134" s="54" t="s">
        <v>863</v>
      </c>
      <c r="M134" s="54" t="s">
        <v>212</v>
      </c>
      <c r="N134" s="54" t="s">
        <v>212</v>
      </c>
      <c r="O134" s="58"/>
      <c r="P134" s="54" t="s">
        <v>212</v>
      </c>
      <c r="Q134" s="58"/>
    </row>
    <row r="135" customFormat="false" ht="15" hidden="false" customHeight="false" outlineLevel="0" collapsed="false">
      <c r="A135" s="54" t="s">
        <v>29</v>
      </c>
      <c r="B135" s="55" t="n">
        <v>1927</v>
      </c>
      <c r="C135" s="56" t="n">
        <v>46310.4710426852</v>
      </c>
      <c r="D135" s="55" t="n">
        <v>11</v>
      </c>
      <c r="E135" s="54" t="s">
        <v>214</v>
      </c>
      <c r="F135" s="54" t="s">
        <v>859</v>
      </c>
      <c r="G135" s="54" t="s">
        <v>860</v>
      </c>
      <c r="H135" s="54" t="s">
        <v>861</v>
      </c>
      <c r="I135" s="54" t="s">
        <v>288</v>
      </c>
      <c r="J135" s="54" t="s">
        <v>862</v>
      </c>
      <c r="K135" s="58" t="n">
        <v>76.7</v>
      </c>
      <c r="L135" s="54" t="s">
        <v>863</v>
      </c>
      <c r="M135" s="54" t="s">
        <v>212</v>
      </c>
      <c r="N135" s="54" t="s">
        <v>214</v>
      </c>
      <c r="O135" s="58" t="n">
        <v>57.2</v>
      </c>
      <c r="P135" s="54" t="s">
        <v>212</v>
      </c>
      <c r="Q135" s="58"/>
    </row>
    <row r="136" customFormat="false" ht="15" hidden="false" customHeight="false" outlineLevel="0" collapsed="false">
      <c r="A136" s="54" t="s">
        <v>29</v>
      </c>
      <c r="B136" s="55" t="n">
        <v>1992</v>
      </c>
      <c r="C136" s="56" t="n">
        <v>46310.5156170139</v>
      </c>
      <c r="D136" s="55" t="n">
        <v>12</v>
      </c>
      <c r="E136" s="54" t="s">
        <v>214</v>
      </c>
      <c r="F136" s="54" t="s">
        <v>130</v>
      </c>
      <c r="G136" s="54" t="s">
        <v>118</v>
      </c>
      <c r="H136" s="54" t="s">
        <v>215</v>
      </c>
      <c r="I136" s="54" t="s">
        <v>477</v>
      </c>
      <c r="J136" s="54" t="s">
        <v>864</v>
      </c>
      <c r="K136" s="58" t="n">
        <v>107.5</v>
      </c>
      <c r="L136" s="54" t="s">
        <v>212</v>
      </c>
      <c r="M136" s="54" t="s">
        <v>214</v>
      </c>
      <c r="N136" s="54" t="s">
        <v>212</v>
      </c>
      <c r="O136" s="58"/>
      <c r="P136" s="54" t="s">
        <v>212</v>
      </c>
      <c r="Q136" s="58"/>
    </row>
    <row r="137" customFormat="false" ht="15" hidden="false" customHeight="false" outlineLevel="0" collapsed="false">
      <c r="A137" s="54" t="s">
        <v>29</v>
      </c>
      <c r="B137" s="55" t="n">
        <v>1972</v>
      </c>
      <c r="C137" s="56" t="n">
        <v>46310.5168480787</v>
      </c>
      <c r="D137" s="55" t="n">
        <v>12</v>
      </c>
      <c r="E137" s="54" t="s">
        <v>214</v>
      </c>
      <c r="F137" s="54" t="s">
        <v>859</v>
      </c>
      <c r="G137" s="54" t="s">
        <v>860</v>
      </c>
      <c r="H137" s="54" t="s">
        <v>861</v>
      </c>
      <c r="I137" s="54" t="s">
        <v>288</v>
      </c>
      <c r="J137" s="54" t="s">
        <v>862</v>
      </c>
      <c r="K137" s="58" t="n">
        <v>76.7</v>
      </c>
      <c r="L137" s="54" t="s">
        <v>863</v>
      </c>
      <c r="M137" s="54" t="s">
        <v>212</v>
      </c>
      <c r="N137" s="54" t="s">
        <v>214</v>
      </c>
      <c r="O137" s="58" t="n">
        <v>115.4</v>
      </c>
      <c r="P137" s="54" t="s">
        <v>212</v>
      </c>
      <c r="Q137" s="58"/>
    </row>
    <row r="138" customFormat="false" ht="15" hidden="false" customHeight="false" outlineLevel="0" collapsed="false">
      <c r="A138" s="54" t="s">
        <v>29</v>
      </c>
      <c r="B138" s="55" t="n">
        <v>2005</v>
      </c>
      <c r="C138" s="56" t="n">
        <v>46310.5742412153</v>
      </c>
      <c r="D138" s="55" t="n">
        <v>13</v>
      </c>
      <c r="E138" s="54" t="s">
        <v>214</v>
      </c>
      <c r="F138" s="54" t="s">
        <v>130</v>
      </c>
      <c r="G138" s="54" t="s">
        <v>118</v>
      </c>
      <c r="H138" s="54" t="s">
        <v>215</v>
      </c>
      <c r="I138" s="54" t="s">
        <v>477</v>
      </c>
      <c r="J138" s="54" t="s">
        <v>864</v>
      </c>
      <c r="K138" s="58" t="n">
        <v>106.7</v>
      </c>
      <c r="L138" s="54" t="s">
        <v>212</v>
      </c>
      <c r="M138" s="54" t="s">
        <v>214</v>
      </c>
      <c r="N138" s="54" t="s">
        <v>212</v>
      </c>
      <c r="O138" s="58"/>
      <c r="P138" s="54" t="s">
        <v>212</v>
      </c>
      <c r="Q138" s="58"/>
    </row>
    <row r="139" customFormat="false" ht="15" hidden="false" customHeight="false" outlineLevel="0" collapsed="false">
      <c r="A139" s="54" t="s">
        <v>29</v>
      </c>
      <c r="B139" s="55" t="n">
        <v>1992</v>
      </c>
      <c r="C139" s="56" t="n">
        <v>46310.5939265972</v>
      </c>
      <c r="D139" s="55" t="n">
        <v>14</v>
      </c>
      <c r="E139" s="54" t="s">
        <v>214</v>
      </c>
      <c r="F139" s="54" t="s">
        <v>859</v>
      </c>
      <c r="G139" s="54" t="s">
        <v>860</v>
      </c>
      <c r="H139" s="54" t="s">
        <v>861</v>
      </c>
      <c r="I139" s="54" t="s">
        <v>288</v>
      </c>
      <c r="J139" s="54" t="s">
        <v>862</v>
      </c>
      <c r="K139" s="58" t="n">
        <v>76.7</v>
      </c>
      <c r="L139" s="54" t="s">
        <v>863</v>
      </c>
      <c r="M139" s="54" t="s">
        <v>212</v>
      </c>
      <c r="N139" s="54" t="s">
        <v>212</v>
      </c>
      <c r="O139" s="58"/>
      <c r="P139" s="54" t="s">
        <v>212</v>
      </c>
      <c r="Q139" s="58"/>
    </row>
    <row r="140" customFormat="false" ht="15" hidden="false" customHeight="false" outlineLevel="0" collapsed="false">
      <c r="A140" s="54" t="s">
        <v>29</v>
      </c>
      <c r="B140" s="55" t="n">
        <v>2005</v>
      </c>
      <c r="C140" s="56" t="n">
        <v>46310.6518683565</v>
      </c>
      <c r="D140" s="55" t="n">
        <v>15</v>
      </c>
      <c r="E140" s="54" t="s">
        <v>214</v>
      </c>
      <c r="F140" s="54" t="s">
        <v>859</v>
      </c>
      <c r="G140" s="54" t="s">
        <v>860</v>
      </c>
      <c r="H140" s="54" t="s">
        <v>861</v>
      </c>
      <c r="I140" s="54" t="s">
        <v>288</v>
      </c>
      <c r="J140" s="54" t="s">
        <v>862</v>
      </c>
      <c r="K140" s="58" t="n">
        <v>76.7</v>
      </c>
      <c r="L140" s="54" t="s">
        <v>863</v>
      </c>
      <c r="M140" s="54" t="s">
        <v>212</v>
      </c>
      <c r="N140" s="54" t="s">
        <v>212</v>
      </c>
      <c r="O140" s="58"/>
      <c r="P140" s="54" t="s">
        <v>212</v>
      </c>
      <c r="Q140" s="58"/>
    </row>
    <row r="141" customFormat="false" ht="15" hidden="false" customHeight="false" outlineLevel="0" collapsed="false">
      <c r="A141" s="54" t="s">
        <v>27</v>
      </c>
      <c r="B141" s="55" t="n">
        <v>276</v>
      </c>
      <c r="C141" s="56" t="n">
        <v>46300.5202525695</v>
      </c>
      <c r="D141" s="55" t="n">
        <v>12</v>
      </c>
      <c r="E141" s="54" t="s">
        <v>214</v>
      </c>
      <c r="F141" s="54" t="s">
        <v>127</v>
      </c>
      <c r="G141" s="54" t="s">
        <v>118</v>
      </c>
      <c r="H141" s="54" t="s">
        <v>220</v>
      </c>
      <c r="I141" s="54" t="s">
        <v>477</v>
      </c>
      <c r="J141" s="54" t="s">
        <v>864</v>
      </c>
      <c r="K141" s="58" t="n">
        <v>103.9</v>
      </c>
      <c r="L141" s="54" t="s">
        <v>212</v>
      </c>
      <c r="M141" s="54" t="s">
        <v>214</v>
      </c>
      <c r="N141" s="54" t="s">
        <v>214</v>
      </c>
      <c r="O141" s="58" t="n">
        <v>4378.4</v>
      </c>
      <c r="P141" s="54" t="s">
        <v>212</v>
      </c>
      <c r="Q141" s="58"/>
    </row>
    <row r="142" customFormat="false" ht="15" hidden="false" customHeight="false" outlineLevel="0" collapsed="false">
      <c r="A142" s="54" t="s">
        <v>27</v>
      </c>
      <c r="B142" s="55" t="n">
        <v>278</v>
      </c>
      <c r="C142" s="56" t="n">
        <v>46300.5254364931</v>
      </c>
      <c r="D142" s="55" t="n">
        <v>12</v>
      </c>
      <c r="E142" s="54" t="s">
        <v>214</v>
      </c>
      <c r="F142" s="54" t="s">
        <v>127</v>
      </c>
      <c r="G142" s="54" t="s">
        <v>118</v>
      </c>
      <c r="H142" s="54" t="s">
        <v>220</v>
      </c>
      <c r="I142" s="54" t="s">
        <v>477</v>
      </c>
      <c r="J142" s="54" t="s">
        <v>864</v>
      </c>
      <c r="K142" s="58" t="n">
        <v>110.2</v>
      </c>
      <c r="L142" s="54" t="s">
        <v>212</v>
      </c>
      <c r="M142" s="54" t="s">
        <v>214</v>
      </c>
      <c r="N142" s="54" t="s">
        <v>214</v>
      </c>
      <c r="O142" s="58" t="n">
        <v>0.2</v>
      </c>
      <c r="P142" s="54" t="s">
        <v>214</v>
      </c>
      <c r="Q142" s="58" t="n">
        <v>0.4</v>
      </c>
    </row>
    <row r="143" customFormat="false" ht="15" hidden="false" customHeight="false" outlineLevel="0" collapsed="false">
      <c r="A143" s="54" t="s">
        <v>27</v>
      </c>
      <c r="B143" s="55" t="n">
        <v>278</v>
      </c>
      <c r="C143" s="56" t="n">
        <v>46300.5264528588</v>
      </c>
      <c r="D143" s="55" t="n">
        <v>12</v>
      </c>
      <c r="E143" s="54" t="s">
        <v>214</v>
      </c>
      <c r="F143" s="54" t="s">
        <v>127</v>
      </c>
      <c r="G143" s="54" t="s">
        <v>118</v>
      </c>
      <c r="H143" s="54" t="s">
        <v>220</v>
      </c>
      <c r="I143" s="54" t="s">
        <v>473</v>
      </c>
      <c r="J143" s="54" t="s">
        <v>865</v>
      </c>
      <c r="K143" s="58" t="n">
        <v>110.2</v>
      </c>
      <c r="L143" s="54" t="s">
        <v>212</v>
      </c>
      <c r="M143" s="54" t="s">
        <v>212</v>
      </c>
      <c r="N143" s="54" t="s">
        <v>214</v>
      </c>
      <c r="O143" s="58" t="n">
        <v>0.3</v>
      </c>
      <c r="P143" s="54" t="s">
        <v>214</v>
      </c>
      <c r="Q143" s="58" t="n">
        <v>0.7</v>
      </c>
    </row>
    <row r="144" customFormat="false" ht="15" hidden="false" customHeight="false" outlineLevel="0" collapsed="false">
      <c r="A144" s="54" t="s">
        <v>27</v>
      </c>
      <c r="B144" s="55" t="n">
        <v>282</v>
      </c>
      <c r="C144" s="56" t="n">
        <v>46300.5350796412</v>
      </c>
      <c r="D144" s="55" t="n">
        <v>12</v>
      </c>
      <c r="E144" s="54" t="s">
        <v>214</v>
      </c>
      <c r="F144" s="54" t="s">
        <v>127</v>
      </c>
      <c r="G144" s="54" t="s">
        <v>118</v>
      </c>
      <c r="H144" s="54" t="s">
        <v>220</v>
      </c>
      <c r="I144" s="54" t="s">
        <v>477</v>
      </c>
      <c r="J144" s="54" t="s">
        <v>864</v>
      </c>
      <c r="K144" s="58" t="n">
        <v>2.2</v>
      </c>
      <c r="L144" s="54" t="s">
        <v>212</v>
      </c>
      <c r="M144" s="54" t="s">
        <v>212</v>
      </c>
      <c r="N144" s="54" t="s">
        <v>214</v>
      </c>
      <c r="O144" s="58" t="n">
        <v>0</v>
      </c>
      <c r="P144" s="54" t="s">
        <v>212</v>
      </c>
      <c r="Q144" s="58"/>
    </row>
    <row r="145" customFormat="false" ht="15" hidden="false" customHeight="false" outlineLevel="0" collapsed="false">
      <c r="A145" s="54" t="s">
        <v>27</v>
      </c>
      <c r="B145" s="55" t="n">
        <v>282</v>
      </c>
      <c r="C145" s="56" t="n">
        <v>46300.5355535532</v>
      </c>
      <c r="D145" s="55" t="n">
        <v>12</v>
      </c>
      <c r="E145" s="54" t="s">
        <v>214</v>
      </c>
      <c r="F145" s="54" t="s">
        <v>127</v>
      </c>
      <c r="G145" s="54" t="s">
        <v>118</v>
      </c>
      <c r="H145" s="54" t="s">
        <v>220</v>
      </c>
      <c r="I145" s="54" t="s">
        <v>477</v>
      </c>
      <c r="J145" s="54" t="s">
        <v>864</v>
      </c>
      <c r="K145" s="58" t="n">
        <v>5</v>
      </c>
      <c r="L145" s="54" t="s">
        <v>212</v>
      </c>
      <c r="M145" s="54" t="s">
        <v>212</v>
      </c>
      <c r="N145" s="54" t="s">
        <v>214</v>
      </c>
      <c r="O145" s="58" t="n">
        <v>0</v>
      </c>
      <c r="P145" s="54" t="s">
        <v>212</v>
      </c>
      <c r="Q145" s="58"/>
    </row>
    <row r="146" customFormat="false" ht="15" hidden="false" customHeight="false" outlineLevel="0" collapsed="false">
      <c r="A146" s="54" t="s">
        <v>27</v>
      </c>
      <c r="B146" s="55" t="n">
        <v>277</v>
      </c>
      <c r="C146" s="56" t="n">
        <v>46300.5974060995</v>
      </c>
      <c r="D146" s="55" t="n">
        <v>14</v>
      </c>
      <c r="E146" s="54" t="s">
        <v>214</v>
      </c>
      <c r="F146" s="54" t="s">
        <v>128</v>
      </c>
      <c r="G146" s="54" t="s">
        <v>118</v>
      </c>
      <c r="H146" s="54" t="s">
        <v>220</v>
      </c>
      <c r="I146" s="54" t="s">
        <v>477</v>
      </c>
      <c r="J146" s="54" t="s">
        <v>864</v>
      </c>
      <c r="K146" s="58" t="n">
        <v>99.1</v>
      </c>
      <c r="L146" s="54" t="s">
        <v>212</v>
      </c>
      <c r="M146" s="54" t="s">
        <v>214</v>
      </c>
      <c r="N146" s="54" t="s">
        <v>212</v>
      </c>
      <c r="O146" s="58"/>
      <c r="P146" s="54" t="s">
        <v>212</v>
      </c>
      <c r="Q146" s="58"/>
    </row>
    <row r="147" customFormat="false" ht="15" hidden="false" customHeight="false" outlineLevel="0" collapsed="false">
      <c r="A147" s="54" t="s">
        <v>27</v>
      </c>
      <c r="B147" s="55" t="n">
        <v>271</v>
      </c>
      <c r="C147" s="56" t="n">
        <v>46300.6006574421</v>
      </c>
      <c r="D147" s="55" t="n">
        <v>14</v>
      </c>
      <c r="E147" s="54" t="s">
        <v>214</v>
      </c>
      <c r="F147" s="54" t="s">
        <v>859</v>
      </c>
      <c r="G147" s="54" t="s">
        <v>860</v>
      </c>
      <c r="H147" s="54" t="s">
        <v>861</v>
      </c>
      <c r="I147" s="54" t="s">
        <v>347</v>
      </c>
      <c r="J147" s="54" t="s">
        <v>862</v>
      </c>
      <c r="K147" s="58" t="n">
        <v>72</v>
      </c>
      <c r="L147" s="54" t="s">
        <v>863</v>
      </c>
      <c r="M147" s="54" t="s">
        <v>212</v>
      </c>
      <c r="N147" s="54" t="s">
        <v>212</v>
      </c>
      <c r="O147" s="58"/>
      <c r="P147" s="54" t="s">
        <v>212</v>
      </c>
      <c r="Q147" s="58"/>
    </row>
    <row r="148" customFormat="false" ht="15" hidden="false" customHeight="false" outlineLevel="0" collapsed="false">
      <c r="A148" s="54" t="s">
        <v>27</v>
      </c>
      <c r="B148" s="55" t="n">
        <v>287</v>
      </c>
      <c r="C148" s="56" t="n">
        <v>46300.609282662</v>
      </c>
      <c r="D148" s="55" t="n">
        <v>14</v>
      </c>
      <c r="E148" s="54" t="s">
        <v>214</v>
      </c>
      <c r="F148" s="54" t="s">
        <v>127</v>
      </c>
      <c r="G148" s="54" t="s">
        <v>118</v>
      </c>
      <c r="H148" s="54" t="s">
        <v>220</v>
      </c>
      <c r="I148" s="54" t="s">
        <v>477</v>
      </c>
      <c r="J148" s="54" t="s">
        <v>864</v>
      </c>
      <c r="K148" s="58" t="n">
        <v>123.3</v>
      </c>
      <c r="L148" s="54" t="s">
        <v>212</v>
      </c>
      <c r="M148" s="54" t="s">
        <v>212</v>
      </c>
      <c r="N148" s="54" t="s">
        <v>214</v>
      </c>
      <c r="O148" s="58" t="n">
        <v>2.3</v>
      </c>
      <c r="P148" s="54" t="s">
        <v>214</v>
      </c>
      <c r="Q148" s="58" t="n">
        <v>29.2</v>
      </c>
    </row>
    <row r="149" customFormat="false" ht="15" hidden="false" customHeight="false" outlineLevel="0" collapsed="false">
      <c r="A149" s="54" t="s">
        <v>27</v>
      </c>
      <c r="B149" s="55" t="n">
        <v>282</v>
      </c>
      <c r="C149" s="56" t="n">
        <v>46300.6199288542</v>
      </c>
      <c r="D149" s="55" t="n">
        <v>14</v>
      </c>
      <c r="E149" s="54" t="s">
        <v>214</v>
      </c>
      <c r="F149" s="54" t="s">
        <v>859</v>
      </c>
      <c r="G149" s="54" t="s">
        <v>860</v>
      </c>
      <c r="H149" s="54" t="s">
        <v>861</v>
      </c>
      <c r="I149" s="54" t="s">
        <v>347</v>
      </c>
      <c r="J149" s="54" t="s">
        <v>862</v>
      </c>
      <c r="K149" s="58" t="n">
        <v>72</v>
      </c>
      <c r="L149" s="54" t="s">
        <v>863</v>
      </c>
      <c r="M149" s="54" t="s">
        <v>212</v>
      </c>
      <c r="N149" s="54" t="s">
        <v>214</v>
      </c>
      <c r="O149" s="58" t="n">
        <v>341.1</v>
      </c>
      <c r="P149" s="54" t="s">
        <v>212</v>
      </c>
      <c r="Q149" s="58"/>
    </row>
    <row r="150" customFormat="false" ht="15" hidden="false" customHeight="false" outlineLevel="0" collapsed="false">
      <c r="A150" s="54" t="s">
        <v>27</v>
      </c>
      <c r="B150" s="55" t="n">
        <v>298</v>
      </c>
      <c r="C150" s="56" t="n">
        <v>46300.623036007</v>
      </c>
      <c r="D150" s="55" t="n">
        <v>14</v>
      </c>
      <c r="E150" s="54" t="s">
        <v>214</v>
      </c>
      <c r="F150" s="54" t="s">
        <v>127</v>
      </c>
      <c r="G150" s="54" t="s">
        <v>118</v>
      </c>
      <c r="H150" s="54" t="s">
        <v>220</v>
      </c>
      <c r="I150" s="54" t="s">
        <v>477</v>
      </c>
      <c r="J150" s="54" t="s">
        <v>864</v>
      </c>
      <c r="K150" s="58" t="n">
        <v>108.5</v>
      </c>
      <c r="L150" s="54" t="s">
        <v>212</v>
      </c>
      <c r="M150" s="54" t="s">
        <v>214</v>
      </c>
      <c r="N150" s="54" t="s">
        <v>214</v>
      </c>
      <c r="O150" s="58" t="n">
        <v>0.5</v>
      </c>
      <c r="P150" s="54" t="s">
        <v>214</v>
      </c>
      <c r="Q150" s="58" t="n">
        <v>5.2</v>
      </c>
    </row>
    <row r="151" customFormat="false" ht="15" hidden="false" customHeight="false" outlineLevel="0" collapsed="false">
      <c r="A151" s="54" t="s">
        <v>27</v>
      </c>
      <c r="B151" s="55" t="n">
        <v>298</v>
      </c>
      <c r="C151" s="56" t="n">
        <v>46300.6269586458</v>
      </c>
      <c r="D151" s="55" t="n">
        <v>15</v>
      </c>
      <c r="E151" s="54" t="s">
        <v>214</v>
      </c>
      <c r="F151" s="54" t="s">
        <v>127</v>
      </c>
      <c r="G151" s="54" t="s">
        <v>118</v>
      </c>
      <c r="H151" s="54" t="s">
        <v>220</v>
      </c>
      <c r="I151" s="54" t="s">
        <v>473</v>
      </c>
      <c r="J151" s="54" t="s">
        <v>865</v>
      </c>
      <c r="K151" s="58" t="n">
        <v>57</v>
      </c>
      <c r="L151" s="54" t="s">
        <v>214</v>
      </c>
      <c r="M151" s="54" t="s">
        <v>212</v>
      </c>
      <c r="N151" s="54" t="s">
        <v>214</v>
      </c>
      <c r="O151" s="58" t="n">
        <v>0.4</v>
      </c>
      <c r="P151" s="54" t="s">
        <v>214</v>
      </c>
      <c r="Q151" s="58" t="n">
        <v>0.8</v>
      </c>
    </row>
    <row r="152" customFormat="false" ht="15" hidden="false" customHeight="false" outlineLevel="0" collapsed="false">
      <c r="A152" s="54" t="s">
        <v>27</v>
      </c>
      <c r="B152" s="55" t="n">
        <v>280</v>
      </c>
      <c r="C152" s="56" t="n">
        <v>46300.6287824421</v>
      </c>
      <c r="D152" s="55" t="n">
        <v>15</v>
      </c>
      <c r="E152" s="54" t="s">
        <v>214</v>
      </c>
      <c r="F152" s="54" t="s">
        <v>859</v>
      </c>
      <c r="G152" s="54" t="s">
        <v>860</v>
      </c>
      <c r="H152" s="54" t="s">
        <v>861</v>
      </c>
      <c r="I152" s="54" t="s">
        <v>347</v>
      </c>
      <c r="J152" s="54" t="s">
        <v>862</v>
      </c>
      <c r="K152" s="58" t="n">
        <v>72</v>
      </c>
      <c r="L152" s="54" t="s">
        <v>863</v>
      </c>
      <c r="M152" s="54" t="s">
        <v>212</v>
      </c>
      <c r="N152" s="54" t="s">
        <v>214</v>
      </c>
      <c r="O152" s="58" t="n">
        <v>13.2</v>
      </c>
      <c r="P152" s="54" t="s">
        <v>212</v>
      </c>
      <c r="Q152" s="58"/>
    </row>
    <row r="153" customFormat="false" ht="15" hidden="false" customHeight="false" outlineLevel="0" collapsed="false">
      <c r="A153" s="54" t="s">
        <v>27</v>
      </c>
      <c r="B153" s="55" t="n">
        <v>296</v>
      </c>
      <c r="C153" s="56" t="n">
        <v>46300.6396398495</v>
      </c>
      <c r="D153" s="55" t="n">
        <v>15</v>
      </c>
      <c r="E153" s="54" t="s">
        <v>214</v>
      </c>
      <c r="F153" s="54" t="s">
        <v>127</v>
      </c>
      <c r="G153" s="54" t="s">
        <v>118</v>
      </c>
      <c r="H153" s="54" t="s">
        <v>220</v>
      </c>
      <c r="I153" s="54" t="s">
        <v>477</v>
      </c>
      <c r="J153" s="54" t="s">
        <v>864</v>
      </c>
      <c r="K153" s="58" t="n">
        <v>107</v>
      </c>
      <c r="L153" s="54" t="s">
        <v>212</v>
      </c>
      <c r="M153" s="54" t="s">
        <v>214</v>
      </c>
      <c r="N153" s="54" t="s">
        <v>214</v>
      </c>
      <c r="O153" s="58" t="n">
        <v>3</v>
      </c>
      <c r="P153" s="54" t="s">
        <v>212</v>
      </c>
      <c r="Q153" s="58"/>
    </row>
    <row r="154" customFormat="false" ht="15" hidden="false" customHeight="false" outlineLevel="0" collapsed="false">
      <c r="A154" s="54" t="s">
        <v>27</v>
      </c>
      <c r="B154" s="55" t="n">
        <v>285</v>
      </c>
      <c r="C154" s="56" t="n">
        <v>46300.6562143866</v>
      </c>
      <c r="D154" s="55" t="n">
        <v>15</v>
      </c>
      <c r="E154" s="54" t="s">
        <v>214</v>
      </c>
      <c r="F154" s="54" t="s">
        <v>859</v>
      </c>
      <c r="G154" s="54" t="s">
        <v>860</v>
      </c>
      <c r="H154" s="54" t="s">
        <v>861</v>
      </c>
      <c r="I154" s="54" t="s">
        <v>347</v>
      </c>
      <c r="J154" s="54" t="s">
        <v>862</v>
      </c>
      <c r="K154" s="58" t="n">
        <v>72</v>
      </c>
      <c r="L154" s="54" t="s">
        <v>863</v>
      </c>
      <c r="M154" s="54" t="s">
        <v>212</v>
      </c>
      <c r="N154" s="54" t="s">
        <v>212</v>
      </c>
      <c r="O154" s="58"/>
      <c r="P154" s="54" t="s">
        <v>212</v>
      </c>
      <c r="Q154" s="58"/>
    </row>
    <row r="155" customFormat="false" ht="15" hidden="false" customHeight="false" outlineLevel="0" collapsed="false">
      <c r="A155" s="54" t="s">
        <v>27</v>
      </c>
      <c r="B155" s="55" t="n">
        <v>291</v>
      </c>
      <c r="C155" s="56" t="n">
        <v>46300.6570821412</v>
      </c>
      <c r="D155" s="55" t="n">
        <v>15</v>
      </c>
      <c r="E155" s="54" t="s">
        <v>214</v>
      </c>
      <c r="F155" s="54" t="s">
        <v>859</v>
      </c>
      <c r="G155" s="54" t="s">
        <v>860</v>
      </c>
      <c r="H155" s="54" t="s">
        <v>861</v>
      </c>
      <c r="I155" s="54" t="s">
        <v>347</v>
      </c>
      <c r="J155" s="54" t="s">
        <v>862</v>
      </c>
      <c r="K155" s="58" t="n">
        <v>72</v>
      </c>
      <c r="L155" s="54" t="s">
        <v>863</v>
      </c>
      <c r="M155" s="54" t="s">
        <v>212</v>
      </c>
      <c r="N155" s="54" t="s">
        <v>212</v>
      </c>
      <c r="O155" s="58"/>
      <c r="P155" s="54" t="s">
        <v>212</v>
      </c>
      <c r="Q155" s="58"/>
    </row>
    <row r="156" customFormat="false" ht="15" hidden="false" customHeight="false" outlineLevel="0" collapsed="false">
      <c r="A156" s="54" t="s">
        <v>27</v>
      </c>
      <c r="B156" s="55" t="n">
        <v>292</v>
      </c>
      <c r="C156" s="56" t="n">
        <v>46300.6827462847</v>
      </c>
      <c r="D156" s="55" t="n">
        <v>16</v>
      </c>
      <c r="E156" s="54" t="s">
        <v>214</v>
      </c>
      <c r="F156" s="54" t="s">
        <v>859</v>
      </c>
      <c r="G156" s="54" t="s">
        <v>860</v>
      </c>
      <c r="H156" s="54" t="s">
        <v>861</v>
      </c>
      <c r="I156" s="54" t="s">
        <v>347</v>
      </c>
      <c r="J156" s="54" t="s">
        <v>862</v>
      </c>
      <c r="K156" s="58" t="n">
        <v>72</v>
      </c>
      <c r="L156" s="54" t="s">
        <v>863</v>
      </c>
      <c r="M156" s="54" t="s">
        <v>212</v>
      </c>
      <c r="N156" s="54" t="s">
        <v>214</v>
      </c>
      <c r="O156" s="58" t="n">
        <v>1265.9</v>
      </c>
      <c r="P156" s="54" t="s">
        <v>212</v>
      </c>
      <c r="Q156" s="58"/>
    </row>
    <row r="157" customFormat="false" ht="15" hidden="false" customHeight="false" outlineLevel="0" collapsed="false">
      <c r="A157" s="54" t="s">
        <v>27</v>
      </c>
      <c r="B157" s="55" t="n">
        <v>295</v>
      </c>
      <c r="C157" s="56" t="n">
        <v>46300.6981998264</v>
      </c>
      <c r="D157" s="55" t="n">
        <v>16</v>
      </c>
      <c r="E157" s="54" t="s">
        <v>214</v>
      </c>
      <c r="F157" s="54" t="s">
        <v>859</v>
      </c>
      <c r="G157" s="54" t="s">
        <v>860</v>
      </c>
      <c r="H157" s="54" t="s">
        <v>861</v>
      </c>
      <c r="I157" s="54" t="s">
        <v>347</v>
      </c>
      <c r="J157" s="54" t="s">
        <v>862</v>
      </c>
      <c r="K157" s="58" t="n">
        <v>72</v>
      </c>
      <c r="L157" s="54" t="s">
        <v>863</v>
      </c>
      <c r="M157" s="54" t="s">
        <v>212</v>
      </c>
      <c r="N157" s="54" t="s">
        <v>214</v>
      </c>
      <c r="O157" s="58" t="n">
        <v>6.2</v>
      </c>
      <c r="P157" s="54" t="s">
        <v>212</v>
      </c>
      <c r="Q157" s="58"/>
    </row>
    <row r="158" customFormat="false" ht="15" hidden="false" customHeight="false" outlineLevel="0" collapsed="false">
      <c r="A158" s="54" t="s">
        <v>27</v>
      </c>
      <c r="B158" s="55" t="n">
        <v>276</v>
      </c>
      <c r="C158" s="56" t="n">
        <v>46300.6982016088</v>
      </c>
      <c r="D158" s="55" t="n">
        <v>16</v>
      </c>
      <c r="E158" s="54" t="s">
        <v>214</v>
      </c>
      <c r="F158" s="54" t="s">
        <v>859</v>
      </c>
      <c r="G158" s="54" t="s">
        <v>860</v>
      </c>
      <c r="H158" s="54" t="s">
        <v>861</v>
      </c>
      <c r="I158" s="54" t="s">
        <v>347</v>
      </c>
      <c r="J158" s="54" t="s">
        <v>862</v>
      </c>
      <c r="K158" s="58" t="n">
        <v>72</v>
      </c>
      <c r="L158" s="54" t="s">
        <v>863</v>
      </c>
      <c r="M158" s="54" t="s">
        <v>212</v>
      </c>
      <c r="N158" s="54" t="s">
        <v>214</v>
      </c>
      <c r="O158" s="58" t="n">
        <v>4122.1</v>
      </c>
      <c r="P158" s="54" t="s">
        <v>212</v>
      </c>
      <c r="Q158" s="58"/>
    </row>
    <row r="159" customFormat="false" ht="15" hidden="false" customHeight="false" outlineLevel="0" collapsed="false">
      <c r="A159" s="54" t="s">
        <v>27</v>
      </c>
      <c r="B159" s="55" t="n">
        <v>278</v>
      </c>
      <c r="C159" s="56" t="n">
        <v>46300.7028866088</v>
      </c>
      <c r="D159" s="55" t="n">
        <v>16</v>
      </c>
      <c r="E159" s="54" t="s">
        <v>214</v>
      </c>
      <c r="F159" s="54" t="s">
        <v>859</v>
      </c>
      <c r="G159" s="54" t="s">
        <v>860</v>
      </c>
      <c r="H159" s="54" t="s">
        <v>861</v>
      </c>
      <c r="I159" s="54" t="s">
        <v>347</v>
      </c>
      <c r="J159" s="54" t="s">
        <v>862</v>
      </c>
      <c r="K159" s="58" t="n">
        <v>72</v>
      </c>
      <c r="L159" s="54" t="s">
        <v>863</v>
      </c>
      <c r="M159" s="54" t="s">
        <v>212</v>
      </c>
      <c r="N159" s="54" t="s">
        <v>214</v>
      </c>
      <c r="O159" s="58" t="n">
        <v>49.8</v>
      </c>
      <c r="P159" s="54" t="s">
        <v>212</v>
      </c>
      <c r="Q159" s="58"/>
    </row>
    <row r="160" customFormat="false" ht="15" hidden="false" customHeight="false" outlineLevel="0" collapsed="false">
      <c r="A160" s="54" t="s">
        <v>27</v>
      </c>
      <c r="B160" s="55" t="n">
        <v>308</v>
      </c>
      <c r="C160" s="56" t="n">
        <v>46300.7395503241</v>
      </c>
      <c r="D160" s="55" t="n">
        <v>17</v>
      </c>
      <c r="E160" s="54" t="s">
        <v>214</v>
      </c>
      <c r="F160" s="54" t="s">
        <v>127</v>
      </c>
      <c r="G160" s="54" t="s">
        <v>118</v>
      </c>
      <c r="H160" s="54" t="s">
        <v>220</v>
      </c>
      <c r="I160" s="54" t="s">
        <v>477</v>
      </c>
      <c r="J160" s="54" t="s">
        <v>864</v>
      </c>
      <c r="K160" s="58" t="n">
        <v>115.5</v>
      </c>
      <c r="L160" s="54" t="s">
        <v>212</v>
      </c>
      <c r="M160" s="54" t="s">
        <v>214</v>
      </c>
      <c r="N160" s="54" t="s">
        <v>214</v>
      </c>
      <c r="O160" s="58" t="n">
        <v>20.9</v>
      </c>
      <c r="P160" s="54" t="s">
        <v>214</v>
      </c>
      <c r="Q160" s="58" t="n">
        <v>21.5</v>
      </c>
    </row>
    <row r="161" customFormat="false" ht="15" hidden="false" customHeight="false" outlineLevel="0" collapsed="false">
      <c r="A161" s="54" t="s">
        <v>27</v>
      </c>
      <c r="B161" s="55" t="n">
        <v>307</v>
      </c>
      <c r="C161" s="56" t="n">
        <v>46300.74740125</v>
      </c>
      <c r="D161" s="55" t="n">
        <v>17</v>
      </c>
      <c r="E161" s="54" t="s">
        <v>214</v>
      </c>
      <c r="F161" s="54" t="s">
        <v>859</v>
      </c>
      <c r="G161" s="54" t="s">
        <v>860</v>
      </c>
      <c r="H161" s="54" t="s">
        <v>861</v>
      </c>
      <c r="I161" s="54" t="s">
        <v>347</v>
      </c>
      <c r="J161" s="54" t="s">
        <v>862</v>
      </c>
      <c r="K161" s="58" t="n">
        <v>72</v>
      </c>
      <c r="L161" s="54" t="s">
        <v>863</v>
      </c>
      <c r="M161" s="54" t="s">
        <v>212</v>
      </c>
      <c r="N161" s="54" t="s">
        <v>212</v>
      </c>
      <c r="O161" s="58"/>
      <c r="P161" s="54" t="s">
        <v>212</v>
      </c>
      <c r="Q161" s="58"/>
    </row>
    <row r="162" customFormat="false" ht="15" hidden="false" customHeight="false" outlineLevel="0" collapsed="false">
      <c r="A162" s="54" t="s">
        <v>27</v>
      </c>
      <c r="B162" s="55" t="n">
        <v>277</v>
      </c>
      <c r="C162" s="56" t="n">
        <v>46300.7748315046</v>
      </c>
      <c r="D162" s="55" t="n">
        <v>18</v>
      </c>
      <c r="E162" s="54" t="s">
        <v>214</v>
      </c>
      <c r="F162" s="54" t="s">
        <v>859</v>
      </c>
      <c r="G162" s="54" t="s">
        <v>860</v>
      </c>
      <c r="H162" s="54" t="s">
        <v>861</v>
      </c>
      <c r="I162" s="54" t="s">
        <v>347</v>
      </c>
      <c r="J162" s="54" t="s">
        <v>862</v>
      </c>
      <c r="K162" s="58" t="n">
        <v>72</v>
      </c>
      <c r="L162" s="54" t="s">
        <v>863</v>
      </c>
      <c r="M162" s="54" t="s">
        <v>212</v>
      </c>
      <c r="N162" s="54" t="s">
        <v>212</v>
      </c>
      <c r="O162" s="58"/>
      <c r="P162" s="54" t="s">
        <v>212</v>
      </c>
      <c r="Q162" s="58"/>
    </row>
    <row r="163" customFormat="false" ht="15" hidden="false" customHeight="false" outlineLevel="0" collapsed="false">
      <c r="A163" s="54" t="s">
        <v>27</v>
      </c>
      <c r="B163" s="55" t="n">
        <v>287</v>
      </c>
      <c r="C163" s="56" t="n">
        <v>46300.7869842477</v>
      </c>
      <c r="D163" s="55" t="n">
        <v>18</v>
      </c>
      <c r="E163" s="54" t="s">
        <v>214</v>
      </c>
      <c r="F163" s="54" t="s">
        <v>859</v>
      </c>
      <c r="G163" s="54" t="s">
        <v>860</v>
      </c>
      <c r="H163" s="54" t="s">
        <v>861</v>
      </c>
      <c r="I163" s="54" t="s">
        <v>347</v>
      </c>
      <c r="J163" s="54" t="s">
        <v>862</v>
      </c>
      <c r="K163" s="58" t="n">
        <v>72</v>
      </c>
      <c r="L163" s="54" t="s">
        <v>863</v>
      </c>
      <c r="M163" s="54" t="s">
        <v>212</v>
      </c>
      <c r="N163" s="54" t="s">
        <v>214</v>
      </c>
      <c r="O163" s="58" t="n">
        <v>71.1</v>
      </c>
      <c r="P163" s="54" t="s">
        <v>214</v>
      </c>
      <c r="Q163" s="58" t="n">
        <v>118.4</v>
      </c>
    </row>
    <row r="164" customFormat="false" ht="15" hidden="false" customHeight="false" outlineLevel="0" collapsed="false">
      <c r="A164" s="54" t="s">
        <v>27</v>
      </c>
      <c r="B164" s="55" t="n">
        <v>311</v>
      </c>
      <c r="C164" s="56" t="n">
        <v>46300.7878526157</v>
      </c>
      <c r="D164" s="55" t="n">
        <v>18</v>
      </c>
      <c r="E164" s="54" t="s">
        <v>214</v>
      </c>
      <c r="F164" s="54" t="s">
        <v>859</v>
      </c>
      <c r="G164" s="54" t="s">
        <v>860</v>
      </c>
      <c r="H164" s="54" t="s">
        <v>861</v>
      </c>
      <c r="I164" s="54" t="s">
        <v>347</v>
      </c>
      <c r="J164" s="54" t="s">
        <v>862</v>
      </c>
      <c r="K164" s="58" t="n">
        <v>72</v>
      </c>
      <c r="L164" s="54" t="s">
        <v>863</v>
      </c>
      <c r="M164" s="54" t="s">
        <v>212</v>
      </c>
      <c r="N164" s="54" t="s">
        <v>214</v>
      </c>
      <c r="O164" s="58" t="n">
        <v>0.2</v>
      </c>
      <c r="P164" s="54" t="s">
        <v>212</v>
      </c>
      <c r="Q164" s="58"/>
    </row>
    <row r="165" customFormat="false" ht="15" hidden="false" customHeight="false" outlineLevel="0" collapsed="false">
      <c r="A165" s="54" t="s">
        <v>27</v>
      </c>
      <c r="B165" s="55" t="n">
        <v>298</v>
      </c>
      <c r="C165" s="56" t="n">
        <v>46300.7944497222</v>
      </c>
      <c r="D165" s="55" t="n">
        <v>19</v>
      </c>
      <c r="E165" s="54" t="s">
        <v>214</v>
      </c>
      <c r="F165" s="54" t="s">
        <v>859</v>
      </c>
      <c r="G165" s="54" t="s">
        <v>860</v>
      </c>
      <c r="H165" s="54" t="s">
        <v>861</v>
      </c>
      <c r="I165" s="54" t="s">
        <v>347</v>
      </c>
      <c r="J165" s="54" t="s">
        <v>862</v>
      </c>
      <c r="K165" s="58" t="n">
        <v>72</v>
      </c>
      <c r="L165" s="54" t="s">
        <v>863</v>
      </c>
      <c r="M165" s="54" t="s">
        <v>212</v>
      </c>
      <c r="N165" s="54" t="s">
        <v>214</v>
      </c>
      <c r="O165" s="58" t="n">
        <v>1.1</v>
      </c>
      <c r="P165" s="54" t="s">
        <v>212</v>
      </c>
      <c r="Q165" s="58"/>
    </row>
    <row r="166" customFormat="false" ht="15" hidden="false" customHeight="false" outlineLevel="0" collapsed="false">
      <c r="A166" s="54" t="s">
        <v>27</v>
      </c>
      <c r="B166" s="55" t="n">
        <v>314</v>
      </c>
      <c r="C166" s="56" t="n">
        <v>46300.8040816435</v>
      </c>
      <c r="D166" s="55" t="n">
        <v>19</v>
      </c>
      <c r="E166" s="54" t="s">
        <v>214</v>
      </c>
      <c r="F166" s="54" t="s">
        <v>859</v>
      </c>
      <c r="G166" s="54" t="s">
        <v>860</v>
      </c>
      <c r="H166" s="54" t="s">
        <v>861</v>
      </c>
      <c r="I166" s="54" t="s">
        <v>347</v>
      </c>
      <c r="J166" s="54" t="s">
        <v>862</v>
      </c>
      <c r="K166" s="58" t="n">
        <v>72</v>
      </c>
      <c r="L166" s="54" t="s">
        <v>863</v>
      </c>
      <c r="M166" s="54" t="s">
        <v>212</v>
      </c>
      <c r="N166" s="54" t="s">
        <v>214</v>
      </c>
      <c r="O166" s="58" t="n">
        <v>4215.2</v>
      </c>
      <c r="P166" s="54" t="s">
        <v>212</v>
      </c>
      <c r="Q166" s="58"/>
    </row>
    <row r="167" customFormat="false" ht="15" hidden="false" customHeight="false" outlineLevel="0" collapsed="false">
      <c r="A167" s="54" t="s">
        <v>27</v>
      </c>
      <c r="B167" s="55" t="n">
        <v>296</v>
      </c>
      <c r="C167" s="56" t="n">
        <v>46300.8168475926</v>
      </c>
      <c r="D167" s="55" t="n">
        <v>19</v>
      </c>
      <c r="E167" s="54" t="s">
        <v>214</v>
      </c>
      <c r="F167" s="54" t="s">
        <v>859</v>
      </c>
      <c r="G167" s="54" t="s">
        <v>860</v>
      </c>
      <c r="H167" s="54" t="s">
        <v>861</v>
      </c>
      <c r="I167" s="54" t="s">
        <v>347</v>
      </c>
      <c r="J167" s="54" t="s">
        <v>862</v>
      </c>
      <c r="K167" s="58" t="n">
        <v>72</v>
      </c>
      <c r="L167" s="54" t="s">
        <v>863</v>
      </c>
      <c r="M167" s="54" t="s">
        <v>212</v>
      </c>
      <c r="N167" s="54" t="s">
        <v>214</v>
      </c>
      <c r="O167" s="58" t="n">
        <v>55.6</v>
      </c>
      <c r="P167" s="54" t="s">
        <v>212</v>
      </c>
      <c r="Q167" s="58"/>
    </row>
    <row r="168" customFormat="false" ht="15" hidden="false" customHeight="false" outlineLevel="0" collapsed="false">
      <c r="A168" s="54" t="s">
        <v>27</v>
      </c>
      <c r="B168" s="55" t="n">
        <v>321</v>
      </c>
      <c r="C168" s="56" t="n">
        <v>46300.8506998148</v>
      </c>
      <c r="D168" s="55" t="n">
        <v>20</v>
      </c>
      <c r="E168" s="54" t="s">
        <v>214</v>
      </c>
      <c r="F168" s="54" t="s">
        <v>859</v>
      </c>
      <c r="G168" s="54" t="s">
        <v>860</v>
      </c>
      <c r="H168" s="54" t="s">
        <v>861</v>
      </c>
      <c r="I168" s="54" t="s">
        <v>347</v>
      </c>
      <c r="J168" s="54" t="s">
        <v>862</v>
      </c>
      <c r="K168" s="58" t="n">
        <v>72</v>
      </c>
      <c r="L168" s="54" t="s">
        <v>863</v>
      </c>
      <c r="M168" s="54" t="s">
        <v>212</v>
      </c>
      <c r="N168" s="54" t="s">
        <v>212</v>
      </c>
      <c r="O168" s="58"/>
      <c r="P168" s="54" t="s">
        <v>212</v>
      </c>
      <c r="Q168" s="58"/>
    </row>
    <row r="169" customFormat="false" ht="15" hidden="false" customHeight="false" outlineLevel="0" collapsed="false">
      <c r="A169" s="54" t="s">
        <v>27</v>
      </c>
      <c r="B169" s="55" t="n">
        <v>319</v>
      </c>
      <c r="C169" s="56" t="n">
        <v>46300.8643728357</v>
      </c>
      <c r="D169" s="55" t="n">
        <v>20</v>
      </c>
      <c r="E169" s="54" t="s">
        <v>214</v>
      </c>
      <c r="F169" s="54" t="s">
        <v>859</v>
      </c>
      <c r="G169" s="54" t="s">
        <v>860</v>
      </c>
      <c r="H169" s="54" t="s">
        <v>861</v>
      </c>
      <c r="I169" s="54" t="s">
        <v>347</v>
      </c>
      <c r="J169" s="54" t="s">
        <v>862</v>
      </c>
      <c r="K169" s="58" t="n">
        <v>72</v>
      </c>
      <c r="L169" s="54" t="s">
        <v>863</v>
      </c>
      <c r="M169" s="54" t="s">
        <v>212</v>
      </c>
      <c r="N169" s="54" t="s">
        <v>214</v>
      </c>
      <c r="O169" s="58" t="n">
        <v>2256.4</v>
      </c>
      <c r="P169" s="54" t="s">
        <v>212</v>
      </c>
      <c r="Q169" s="58"/>
    </row>
    <row r="170" customFormat="false" ht="15" hidden="false" customHeight="false" outlineLevel="0" collapsed="false">
      <c r="A170" s="54" t="s">
        <v>27</v>
      </c>
      <c r="B170" s="55" t="n">
        <v>348</v>
      </c>
      <c r="C170" s="56" t="n">
        <v>46301.345327963</v>
      </c>
      <c r="D170" s="55" t="n">
        <v>8</v>
      </c>
      <c r="E170" s="54" t="s">
        <v>214</v>
      </c>
      <c r="F170" s="54" t="s">
        <v>130</v>
      </c>
      <c r="G170" s="54" t="s">
        <v>118</v>
      </c>
      <c r="H170" s="54" t="s">
        <v>215</v>
      </c>
      <c r="I170" s="54" t="s">
        <v>477</v>
      </c>
      <c r="J170" s="54" t="s">
        <v>864</v>
      </c>
      <c r="K170" s="58" t="n">
        <v>108.3</v>
      </c>
      <c r="L170" s="54" t="s">
        <v>212</v>
      </c>
      <c r="M170" s="54" t="s">
        <v>214</v>
      </c>
      <c r="N170" s="54" t="s">
        <v>214</v>
      </c>
      <c r="O170" s="58" t="n">
        <v>0.9</v>
      </c>
      <c r="P170" s="54" t="s">
        <v>214</v>
      </c>
      <c r="Q170" s="58" t="n">
        <v>230.1</v>
      </c>
    </row>
    <row r="171" customFormat="false" ht="15" hidden="false" customHeight="false" outlineLevel="0" collapsed="false">
      <c r="A171" s="54" t="s">
        <v>27</v>
      </c>
      <c r="B171" s="55" t="n">
        <v>350</v>
      </c>
      <c r="C171" s="56" t="n">
        <v>46301.3597209259</v>
      </c>
      <c r="D171" s="55" t="n">
        <v>8</v>
      </c>
      <c r="E171" s="54" t="s">
        <v>214</v>
      </c>
      <c r="F171" s="54" t="s">
        <v>130</v>
      </c>
      <c r="G171" s="54" t="s">
        <v>118</v>
      </c>
      <c r="H171" s="54" t="s">
        <v>215</v>
      </c>
      <c r="I171" s="54" t="s">
        <v>477</v>
      </c>
      <c r="J171" s="54" t="s">
        <v>864</v>
      </c>
      <c r="K171" s="58" t="n">
        <v>108.6</v>
      </c>
      <c r="L171" s="54" t="s">
        <v>212</v>
      </c>
      <c r="M171" s="54" t="s">
        <v>214</v>
      </c>
      <c r="N171" s="54" t="s">
        <v>214</v>
      </c>
      <c r="O171" s="58" t="n">
        <v>5</v>
      </c>
      <c r="P171" s="54" t="s">
        <v>214</v>
      </c>
      <c r="Q171" s="58" t="n">
        <v>5.4</v>
      </c>
    </row>
    <row r="172" customFormat="false" ht="15" hidden="false" customHeight="false" outlineLevel="0" collapsed="false">
      <c r="A172" s="54" t="s">
        <v>27</v>
      </c>
      <c r="B172" s="55" t="n">
        <v>322</v>
      </c>
      <c r="C172" s="56" t="n">
        <v>46301.3752204977</v>
      </c>
      <c r="D172" s="55" t="n">
        <v>9</v>
      </c>
      <c r="E172" s="54" t="s">
        <v>214</v>
      </c>
      <c r="F172" s="54" t="s">
        <v>859</v>
      </c>
      <c r="G172" s="54" t="s">
        <v>860</v>
      </c>
      <c r="H172" s="54" t="s">
        <v>861</v>
      </c>
      <c r="I172" s="54" t="s">
        <v>347</v>
      </c>
      <c r="J172" s="54" t="s">
        <v>862</v>
      </c>
      <c r="K172" s="58" t="n">
        <v>72</v>
      </c>
      <c r="L172" s="54" t="s">
        <v>863</v>
      </c>
      <c r="M172" s="54" t="s">
        <v>212</v>
      </c>
      <c r="N172" s="54" t="s">
        <v>214</v>
      </c>
      <c r="O172" s="58" t="n">
        <v>4560.5</v>
      </c>
      <c r="P172" s="54" t="s">
        <v>212</v>
      </c>
      <c r="Q172" s="58"/>
    </row>
    <row r="173" customFormat="false" ht="15" hidden="false" customHeight="false" outlineLevel="0" collapsed="false">
      <c r="A173" s="54" t="s">
        <v>27</v>
      </c>
      <c r="B173" s="55" t="n">
        <v>334</v>
      </c>
      <c r="C173" s="56" t="n">
        <v>46301.3753891088</v>
      </c>
      <c r="D173" s="55" t="n">
        <v>9</v>
      </c>
      <c r="E173" s="54" t="s">
        <v>214</v>
      </c>
      <c r="F173" s="54" t="s">
        <v>859</v>
      </c>
      <c r="G173" s="54" t="s">
        <v>860</v>
      </c>
      <c r="H173" s="54" t="s">
        <v>861</v>
      </c>
      <c r="I173" s="54" t="s">
        <v>347</v>
      </c>
      <c r="J173" s="54" t="s">
        <v>862</v>
      </c>
      <c r="K173" s="58" t="n">
        <v>72</v>
      </c>
      <c r="L173" s="54" t="s">
        <v>863</v>
      </c>
      <c r="M173" s="54" t="s">
        <v>212</v>
      </c>
      <c r="N173" s="54" t="s">
        <v>214</v>
      </c>
      <c r="O173" s="58" t="n">
        <v>279.8</v>
      </c>
      <c r="P173" s="54" t="s">
        <v>212</v>
      </c>
      <c r="Q173" s="58"/>
    </row>
    <row r="174" customFormat="false" ht="15" hidden="false" customHeight="false" outlineLevel="0" collapsed="false">
      <c r="A174" s="54" t="s">
        <v>27</v>
      </c>
      <c r="B174" s="55" t="n">
        <v>323</v>
      </c>
      <c r="C174" s="56" t="n">
        <v>46301.3753909722</v>
      </c>
      <c r="D174" s="55" t="n">
        <v>9</v>
      </c>
      <c r="E174" s="54" t="s">
        <v>214</v>
      </c>
      <c r="F174" s="54" t="s">
        <v>859</v>
      </c>
      <c r="G174" s="54" t="s">
        <v>860</v>
      </c>
      <c r="H174" s="54" t="s">
        <v>861</v>
      </c>
      <c r="I174" s="54" t="s">
        <v>347</v>
      </c>
      <c r="J174" s="54" t="s">
        <v>862</v>
      </c>
      <c r="K174" s="58" t="n">
        <v>72</v>
      </c>
      <c r="L174" s="54" t="s">
        <v>863</v>
      </c>
      <c r="M174" s="54" t="s">
        <v>212</v>
      </c>
      <c r="N174" s="54" t="s">
        <v>214</v>
      </c>
      <c r="O174" s="58" t="n">
        <v>1829.2</v>
      </c>
      <c r="P174" s="54" t="s">
        <v>212</v>
      </c>
      <c r="Q174" s="58"/>
    </row>
    <row r="175" customFormat="false" ht="15" hidden="false" customHeight="false" outlineLevel="0" collapsed="false">
      <c r="A175" s="54" t="s">
        <v>27</v>
      </c>
      <c r="B175" s="55" t="n">
        <v>342</v>
      </c>
      <c r="C175" s="56" t="n">
        <v>46301.3753937847</v>
      </c>
      <c r="D175" s="55" t="n">
        <v>9</v>
      </c>
      <c r="E175" s="54" t="s">
        <v>214</v>
      </c>
      <c r="F175" s="54" t="s">
        <v>859</v>
      </c>
      <c r="G175" s="54" t="s">
        <v>860</v>
      </c>
      <c r="H175" s="54" t="s">
        <v>861</v>
      </c>
      <c r="I175" s="54" t="s">
        <v>347</v>
      </c>
      <c r="J175" s="54" t="s">
        <v>862</v>
      </c>
      <c r="K175" s="58" t="n">
        <v>72</v>
      </c>
      <c r="L175" s="54" t="s">
        <v>863</v>
      </c>
      <c r="M175" s="54" t="s">
        <v>212</v>
      </c>
      <c r="N175" s="54" t="s">
        <v>212</v>
      </c>
      <c r="O175" s="58"/>
      <c r="P175" s="54" t="s">
        <v>212</v>
      </c>
      <c r="Q175" s="58"/>
    </row>
    <row r="176" customFormat="false" ht="15" hidden="false" customHeight="false" outlineLevel="0" collapsed="false">
      <c r="A176" s="54" t="s">
        <v>27</v>
      </c>
      <c r="B176" s="55" t="n">
        <v>330</v>
      </c>
      <c r="C176" s="56" t="n">
        <v>46301.3753965856</v>
      </c>
      <c r="D176" s="55" t="n">
        <v>9</v>
      </c>
      <c r="E176" s="54" t="s">
        <v>214</v>
      </c>
      <c r="F176" s="54" t="s">
        <v>859</v>
      </c>
      <c r="G176" s="54" t="s">
        <v>860</v>
      </c>
      <c r="H176" s="54" t="s">
        <v>861</v>
      </c>
      <c r="I176" s="54" t="s">
        <v>347</v>
      </c>
      <c r="J176" s="54" t="s">
        <v>862</v>
      </c>
      <c r="K176" s="58" t="n">
        <v>72</v>
      </c>
      <c r="L176" s="54" t="s">
        <v>863</v>
      </c>
      <c r="M176" s="54" t="s">
        <v>212</v>
      </c>
      <c r="N176" s="54" t="s">
        <v>214</v>
      </c>
      <c r="O176" s="58" t="n">
        <v>1.3</v>
      </c>
      <c r="P176" s="54" t="s">
        <v>212</v>
      </c>
      <c r="Q176" s="58"/>
    </row>
    <row r="177" customFormat="false" ht="15" hidden="false" customHeight="false" outlineLevel="0" collapsed="false">
      <c r="A177" s="54" t="s">
        <v>27</v>
      </c>
      <c r="B177" s="55" t="n">
        <v>313</v>
      </c>
      <c r="C177" s="56" t="n">
        <v>46301.3755680208</v>
      </c>
      <c r="D177" s="55" t="n">
        <v>9</v>
      </c>
      <c r="E177" s="54" t="s">
        <v>214</v>
      </c>
      <c r="F177" s="54" t="s">
        <v>859</v>
      </c>
      <c r="G177" s="54" t="s">
        <v>860</v>
      </c>
      <c r="H177" s="54" t="s">
        <v>861</v>
      </c>
      <c r="I177" s="54" t="s">
        <v>347</v>
      </c>
      <c r="J177" s="54" t="s">
        <v>862</v>
      </c>
      <c r="K177" s="58" t="n">
        <v>72</v>
      </c>
      <c r="L177" s="54" t="s">
        <v>863</v>
      </c>
      <c r="M177" s="54" t="s">
        <v>212</v>
      </c>
      <c r="N177" s="54" t="s">
        <v>214</v>
      </c>
      <c r="O177" s="58" t="n">
        <v>9324.3</v>
      </c>
      <c r="P177" s="54" t="s">
        <v>212</v>
      </c>
      <c r="Q177" s="58"/>
    </row>
    <row r="178" customFormat="false" ht="15" hidden="false" customHeight="false" outlineLevel="0" collapsed="false">
      <c r="A178" s="54" t="s">
        <v>27</v>
      </c>
      <c r="B178" s="55" t="n">
        <v>308</v>
      </c>
      <c r="C178" s="56" t="n">
        <v>46301.3755699537</v>
      </c>
      <c r="D178" s="55" t="n">
        <v>9</v>
      </c>
      <c r="E178" s="54" t="s">
        <v>214</v>
      </c>
      <c r="F178" s="54" t="s">
        <v>859</v>
      </c>
      <c r="G178" s="54" t="s">
        <v>860</v>
      </c>
      <c r="H178" s="54" t="s">
        <v>861</v>
      </c>
      <c r="I178" s="54" t="s">
        <v>347</v>
      </c>
      <c r="J178" s="54" t="s">
        <v>862</v>
      </c>
      <c r="K178" s="58" t="n">
        <v>72</v>
      </c>
      <c r="L178" s="54" t="s">
        <v>863</v>
      </c>
      <c r="M178" s="54" t="s">
        <v>212</v>
      </c>
      <c r="N178" s="54" t="s">
        <v>214</v>
      </c>
      <c r="O178" s="58" t="n">
        <v>131.1</v>
      </c>
      <c r="P178" s="54" t="s">
        <v>212</v>
      </c>
      <c r="Q178" s="58"/>
    </row>
    <row r="179" customFormat="false" ht="15" hidden="false" customHeight="false" outlineLevel="0" collapsed="false">
      <c r="A179" s="54" t="s">
        <v>27</v>
      </c>
      <c r="B179" s="55" t="n">
        <v>317</v>
      </c>
      <c r="C179" s="56" t="n">
        <v>46301.3755712037</v>
      </c>
      <c r="D179" s="55" t="n">
        <v>9</v>
      </c>
      <c r="E179" s="54" t="s">
        <v>214</v>
      </c>
      <c r="F179" s="54" t="s">
        <v>859</v>
      </c>
      <c r="G179" s="54" t="s">
        <v>860</v>
      </c>
      <c r="H179" s="54" t="s">
        <v>861</v>
      </c>
      <c r="I179" s="54" t="s">
        <v>347</v>
      </c>
      <c r="J179" s="54" t="s">
        <v>862</v>
      </c>
      <c r="K179" s="58" t="n">
        <v>72</v>
      </c>
      <c r="L179" s="54" t="s">
        <v>863</v>
      </c>
      <c r="M179" s="54" t="s">
        <v>212</v>
      </c>
      <c r="N179" s="54" t="s">
        <v>214</v>
      </c>
      <c r="O179" s="58" t="n">
        <v>15.2</v>
      </c>
      <c r="P179" s="54" t="s">
        <v>212</v>
      </c>
      <c r="Q179" s="58"/>
    </row>
    <row r="180" customFormat="false" ht="15" hidden="false" customHeight="false" outlineLevel="0" collapsed="false">
      <c r="A180" s="54" t="s">
        <v>27</v>
      </c>
      <c r="B180" s="55" t="n">
        <v>336</v>
      </c>
      <c r="C180" s="56" t="n">
        <v>46301.3755743519</v>
      </c>
      <c r="D180" s="55" t="n">
        <v>9</v>
      </c>
      <c r="E180" s="54" t="s">
        <v>214</v>
      </c>
      <c r="F180" s="54" t="s">
        <v>859</v>
      </c>
      <c r="G180" s="54" t="s">
        <v>860</v>
      </c>
      <c r="H180" s="54" t="s">
        <v>861</v>
      </c>
      <c r="I180" s="54" t="s">
        <v>347</v>
      </c>
      <c r="J180" s="54" t="s">
        <v>862</v>
      </c>
      <c r="K180" s="58" t="n">
        <v>72</v>
      </c>
      <c r="L180" s="54" t="s">
        <v>863</v>
      </c>
      <c r="M180" s="54" t="s">
        <v>212</v>
      </c>
      <c r="N180" s="54" t="s">
        <v>214</v>
      </c>
      <c r="O180" s="58" t="n">
        <v>166.3</v>
      </c>
      <c r="P180" s="54" t="s">
        <v>212</v>
      </c>
      <c r="Q180" s="58"/>
    </row>
    <row r="181" customFormat="false" ht="15" hidden="false" customHeight="false" outlineLevel="0" collapsed="false">
      <c r="A181" s="54" t="s">
        <v>27</v>
      </c>
      <c r="B181" s="55" t="n">
        <v>331</v>
      </c>
      <c r="C181" s="56" t="n">
        <v>46301.3757355093</v>
      </c>
      <c r="D181" s="55" t="n">
        <v>9</v>
      </c>
      <c r="E181" s="54" t="s">
        <v>214</v>
      </c>
      <c r="F181" s="54" t="s">
        <v>859</v>
      </c>
      <c r="G181" s="54" t="s">
        <v>860</v>
      </c>
      <c r="H181" s="54" t="s">
        <v>861</v>
      </c>
      <c r="I181" s="54" t="s">
        <v>347</v>
      </c>
      <c r="J181" s="54" t="s">
        <v>862</v>
      </c>
      <c r="K181" s="58" t="n">
        <v>72</v>
      </c>
      <c r="L181" s="54" t="s">
        <v>863</v>
      </c>
      <c r="M181" s="54" t="s">
        <v>212</v>
      </c>
      <c r="N181" s="54" t="s">
        <v>214</v>
      </c>
      <c r="O181" s="58" t="n">
        <v>272</v>
      </c>
      <c r="P181" s="54" t="s">
        <v>212</v>
      </c>
      <c r="Q181" s="58"/>
    </row>
    <row r="182" customFormat="false" ht="15" hidden="false" customHeight="false" outlineLevel="0" collapsed="false">
      <c r="A182" s="54" t="s">
        <v>27</v>
      </c>
      <c r="B182" s="55" t="n">
        <v>335</v>
      </c>
      <c r="C182" s="56" t="n">
        <v>46301.3757396644</v>
      </c>
      <c r="D182" s="55" t="n">
        <v>9</v>
      </c>
      <c r="E182" s="54" t="s">
        <v>214</v>
      </c>
      <c r="F182" s="54" t="s">
        <v>859</v>
      </c>
      <c r="G182" s="54" t="s">
        <v>860</v>
      </c>
      <c r="H182" s="54" t="s">
        <v>861</v>
      </c>
      <c r="I182" s="54" t="s">
        <v>347</v>
      </c>
      <c r="J182" s="54" t="s">
        <v>862</v>
      </c>
      <c r="K182" s="58" t="n">
        <v>72</v>
      </c>
      <c r="L182" s="54" t="s">
        <v>863</v>
      </c>
      <c r="M182" s="54" t="s">
        <v>212</v>
      </c>
      <c r="N182" s="54" t="s">
        <v>214</v>
      </c>
      <c r="O182" s="58" t="n">
        <v>7</v>
      </c>
      <c r="P182" s="54" t="s">
        <v>212</v>
      </c>
      <c r="Q182" s="58"/>
    </row>
    <row r="183" customFormat="false" ht="15" hidden="false" customHeight="false" outlineLevel="0" collapsed="false">
      <c r="A183" s="54" t="s">
        <v>27</v>
      </c>
      <c r="B183" s="55" t="n">
        <v>359</v>
      </c>
      <c r="C183" s="56" t="n">
        <v>46301.3893119676</v>
      </c>
      <c r="D183" s="55" t="n">
        <v>9</v>
      </c>
      <c r="E183" s="54" t="s">
        <v>214</v>
      </c>
      <c r="F183" s="54" t="s">
        <v>127</v>
      </c>
      <c r="G183" s="54" t="s">
        <v>118</v>
      </c>
      <c r="H183" s="54" t="s">
        <v>220</v>
      </c>
      <c r="I183" s="54" t="s">
        <v>477</v>
      </c>
      <c r="J183" s="54" t="s">
        <v>864</v>
      </c>
      <c r="K183" s="58" t="n">
        <v>103.4</v>
      </c>
      <c r="L183" s="54" t="s">
        <v>212</v>
      </c>
      <c r="M183" s="54" t="s">
        <v>214</v>
      </c>
      <c r="N183" s="54" t="s">
        <v>214</v>
      </c>
      <c r="O183" s="58" t="n">
        <v>68.6</v>
      </c>
      <c r="P183" s="54" t="s">
        <v>214</v>
      </c>
      <c r="Q183" s="58" t="n">
        <v>70.5</v>
      </c>
    </row>
    <row r="184" customFormat="false" ht="15" hidden="false" customHeight="false" outlineLevel="0" collapsed="false">
      <c r="A184" s="54" t="s">
        <v>27</v>
      </c>
      <c r="B184" s="55" t="n">
        <v>348</v>
      </c>
      <c r="C184" s="56" t="n">
        <v>46301.4090689583</v>
      </c>
      <c r="D184" s="55" t="n">
        <v>9</v>
      </c>
      <c r="E184" s="54" t="s">
        <v>214</v>
      </c>
      <c r="F184" s="54" t="s">
        <v>859</v>
      </c>
      <c r="G184" s="54" t="s">
        <v>860</v>
      </c>
      <c r="H184" s="54" t="s">
        <v>861</v>
      </c>
      <c r="I184" s="54" t="s">
        <v>347</v>
      </c>
      <c r="J184" s="54" t="s">
        <v>862</v>
      </c>
      <c r="K184" s="58" t="n">
        <v>72</v>
      </c>
      <c r="L184" s="54" t="s">
        <v>863</v>
      </c>
      <c r="M184" s="54" t="s">
        <v>212</v>
      </c>
      <c r="N184" s="54" t="s">
        <v>214</v>
      </c>
      <c r="O184" s="58" t="n">
        <v>1</v>
      </c>
      <c r="P184" s="54" t="s">
        <v>214</v>
      </c>
      <c r="Q184" s="58" t="n">
        <v>138.3</v>
      </c>
    </row>
    <row r="185" customFormat="false" ht="15" hidden="false" customHeight="false" outlineLevel="0" collapsed="false">
      <c r="A185" s="54" t="s">
        <v>27</v>
      </c>
      <c r="B185" s="55" t="n">
        <v>357</v>
      </c>
      <c r="C185" s="56" t="n">
        <v>46301.4380646181</v>
      </c>
      <c r="D185" s="55" t="n">
        <v>10</v>
      </c>
      <c r="E185" s="54" t="s">
        <v>214</v>
      </c>
      <c r="F185" s="54" t="s">
        <v>859</v>
      </c>
      <c r="G185" s="54" t="s">
        <v>860</v>
      </c>
      <c r="H185" s="54" t="s">
        <v>861</v>
      </c>
      <c r="I185" s="54" t="s">
        <v>347</v>
      </c>
      <c r="J185" s="54" t="s">
        <v>862</v>
      </c>
      <c r="K185" s="58" t="n">
        <v>72</v>
      </c>
      <c r="L185" s="54" t="s">
        <v>863</v>
      </c>
      <c r="M185" s="54" t="s">
        <v>212</v>
      </c>
      <c r="N185" s="54" t="s">
        <v>214</v>
      </c>
      <c r="O185" s="58" t="n">
        <v>29.5</v>
      </c>
      <c r="P185" s="54" t="s">
        <v>212</v>
      </c>
      <c r="Q185" s="58"/>
    </row>
    <row r="186" customFormat="false" ht="15" hidden="false" customHeight="false" outlineLevel="0" collapsed="false">
      <c r="A186" s="54" t="s">
        <v>27</v>
      </c>
      <c r="B186" s="55" t="n">
        <v>366</v>
      </c>
      <c r="C186" s="56" t="n">
        <v>46301.4502052546</v>
      </c>
      <c r="D186" s="55" t="n">
        <v>10</v>
      </c>
      <c r="E186" s="54" t="s">
        <v>214</v>
      </c>
      <c r="F186" s="54" t="s">
        <v>130</v>
      </c>
      <c r="G186" s="54" t="s">
        <v>118</v>
      </c>
      <c r="H186" s="54" t="s">
        <v>215</v>
      </c>
      <c r="I186" s="54" t="s">
        <v>477</v>
      </c>
      <c r="J186" s="54" t="s">
        <v>864</v>
      </c>
      <c r="K186" s="58" t="n">
        <v>117.4</v>
      </c>
      <c r="L186" s="54" t="s">
        <v>212</v>
      </c>
      <c r="M186" s="54" t="s">
        <v>214</v>
      </c>
      <c r="N186" s="54" t="s">
        <v>214</v>
      </c>
      <c r="O186" s="58" t="n">
        <v>0.3</v>
      </c>
      <c r="P186" s="54" t="s">
        <v>214</v>
      </c>
      <c r="Q186" s="58" t="n">
        <v>0.4</v>
      </c>
    </row>
    <row r="187" customFormat="false" ht="15" hidden="false" customHeight="false" outlineLevel="0" collapsed="false">
      <c r="A187" s="54" t="s">
        <v>27</v>
      </c>
      <c r="B187" s="55" t="n">
        <v>367</v>
      </c>
      <c r="C187" s="56" t="n">
        <v>46301.4584608796</v>
      </c>
      <c r="D187" s="55" t="n">
        <v>11</v>
      </c>
      <c r="E187" s="54" t="s">
        <v>214</v>
      </c>
      <c r="F187" s="54" t="s">
        <v>130</v>
      </c>
      <c r="G187" s="54" t="s">
        <v>118</v>
      </c>
      <c r="H187" s="54" t="s">
        <v>215</v>
      </c>
      <c r="I187" s="54" t="s">
        <v>477</v>
      </c>
      <c r="J187" s="54" t="s">
        <v>864</v>
      </c>
      <c r="K187" s="58" t="n">
        <v>103.2</v>
      </c>
      <c r="L187" s="54" t="s">
        <v>212</v>
      </c>
      <c r="M187" s="54" t="s">
        <v>214</v>
      </c>
      <c r="N187" s="54" t="s">
        <v>214</v>
      </c>
      <c r="O187" s="58" t="n">
        <v>30.1</v>
      </c>
      <c r="P187" s="54" t="s">
        <v>214</v>
      </c>
      <c r="Q187" s="58" t="n">
        <v>32.1</v>
      </c>
    </row>
    <row r="188" customFormat="false" ht="15" hidden="false" customHeight="false" outlineLevel="0" collapsed="false">
      <c r="A188" s="54" t="s">
        <v>27</v>
      </c>
      <c r="B188" s="55" t="n">
        <v>369</v>
      </c>
      <c r="C188" s="56" t="n">
        <v>46301.4728776042</v>
      </c>
      <c r="D188" s="55" t="n">
        <v>11</v>
      </c>
      <c r="E188" s="54" t="s">
        <v>214</v>
      </c>
      <c r="F188" s="54" t="s">
        <v>127</v>
      </c>
      <c r="G188" s="54" t="s">
        <v>118</v>
      </c>
      <c r="H188" s="54" t="s">
        <v>220</v>
      </c>
      <c r="I188" s="54" t="s">
        <v>477</v>
      </c>
      <c r="J188" s="54" t="s">
        <v>864</v>
      </c>
      <c r="K188" s="58" t="n">
        <v>108.8</v>
      </c>
      <c r="L188" s="54" t="s">
        <v>212</v>
      </c>
      <c r="M188" s="54" t="s">
        <v>214</v>
      </c>
      <c r="N188" s="54" t="s">
        <v>214</v>
      </c>
      <c r="O188" s="58" t="n">
        <v>26.8</v>
      </c>
      <c r="P188" s="54" t="s">
        <v>212</v>
      </c>
      <c r="Q188" s="58"/>
    </row>
    <row r="189" customFormat="false" ht="15" hidden="false" customHeight="false" outlineLevel="0" collapsed="false">
      <c r="A189" s="54" t="s">
        <v>27</v>
      </c>
      <c r="B189" s="55" t="n">
        <v>376</v>
      </c>
      <c r="C189" s="56" t="n">
        <v>46301.5031084491</v>
      </c>
      <c r="D189" s="55" t="n">
        <v>12</v>
      </c>
      <c r="E189" s="54" t="s">
        <v>214</v>
      </c>
      <c r="F189" s="54" t="s">
        <v>127</v>
      </c>
      <c r="G189" s="54" t="s">
        <v>118</v>
      </c>
      <c r="H189" s="54" t="s">
        <v>220</v>
      </c>
      <c r="I189" s="54" t="s">
        <v>477</v>
      </c>
      <c r="J189" s="54" t="s">
        <v>864</v>
      </c>
      <c r="K189" s="58" t="n">
        <v>108.4</v>
      </c>
      <c r="L189" s="54" t="s">
        <v>212</v>
      </c>
      <c r="M189" s="54" t="s">
        <v>214</v>
      </c>
      <c r="N189" s="54" t="s">
        <v>214</v>
      </c>
      <c r="O189" s="58" t="n">
        <v>2.4</v>
      </c>
      <c r="P189" s="54" t="s">
        <v>212</v>
      </c>
      <c r="Q189" s="58"/>
    </row>
    <row r="190" customFormat="false" ht="15" hidden="false" customHeight="false" outlineLevel="0" collapsed="false">
      <c r="A190" s="54" t="s">
        <v>27</v>
      </c>
      <c r="B190" s="55" t="n">
        <v>366</v>
      </c>
      <c r="C190" s="56" t="n">
        <v>46301.5079377315</v>
      </c>
      <c r="D190" s="55" t="n">
        <v>12</v>
      </c>
      <c r="E190" s="54" t="s">
        <v>214</v>
      </c>
      <c r="F190" s="54" t="s">
        <v>127</v>
      </c>
      <c r="G190" s="54" t="s">
        <v>118</v>
      </c>
      <c r="H190" s="54" t="s">
        <v>220</v>
      </c>
      <c r="I190" s="54" t="s">
        <v>477</v>
      </c>
      <c r="J190" s="54" t="s">
        <v>864</v>
      </c>
      <c r="K190" s="58" t="n">
        <v>57</v>
      </c>
      <c r="L190" s="54" t="s">
        <v>214</v>
      </c>
      <c r="M190" s="54" t="s">
        <v>212</v>
      </c>
      <c r="N190" s="54" t="s">
        <v>214</v>
      </c>
      <c r="O190" s="58" t="n">
        <v>1.2</v>
      </c>
      <c r="P190" s="54" t="s">
        <v>214</v>
      </c>
      <c r="Q190" s="58" t="n">
        <v>20</v>
      </c>
    </row>
    <row r="191" customFormat="false" ht="15" hidden="false" customHeight="false" outlineLevel="0" collapsed="false">
      <c r="A191" s="54" t="s">
        <v>27</v>
      </c>
      <c r="B191" s="55" t="n">
        <v>388</v>
      </c>
      <c r="C191" s="56" t="n">
        <v>46301.5233383912</v>
      </c>
      <c r="D191" s="55" t="n">
        <v>12</v>
      </c>
      <c r="E191" s="54" t="s">
        <v>214</v>
      </c>
      <c r="F191" s="54" t="s">
        <v>127</v>
      </c>
      <c r="G191" s="54" t="s">
        <v>118</v>
      </c>
      <c r="H191" s="54" t="s">
        <v>220</v>
      </c>
      <c r="I191" s="54" t="s">
        <v>477</v>
      </c>
      <c r="J191" s="54" t="s">
        <v>864</v>
      </c>
      <c r="K191" s="58" t="n">
        <v>110.3</v>
      </c>
      <c r="L191" s="54" t="s">
        <v>212</v>
      </c>
      <c r="M191" s="54" t="s">
        <v>214</v>
      </c>
      <c r="N191" s="54" t="s">
        <v>212</v>
      </c>
      <c r="O191" s="58"/>
      <c r="P191" s="54" t="s">
        <v>212</v>
      </c>
      <c r="Q191" s="58"/>
    </row>
    <row r="192" customFormat="false" ht="15" hidden="false" customHeight="false" outlineLevel="0" collapsed="false">
      <c r="A192" s="54" t="s">
        <v>27</v>
      </c>
      <c r="B192" s="55" t="n">
        <v>366</v>
      </c>
      <c r="C192" s="56" t="n">
        <v>46301.5255892593</v>
      </c>
      <c r="D192" s="55" t="n">
        <v>12</v>
      </c>
      <c r="E192" s="54" t="s">
        <v>214</v>
      </c>
      <c r="F192" s="54" t="s">
        <v>859</v>
      </c>
      <c r="G192" s="54" t="s">
        <v>860</v>
      </c>
      <c r="H192" s="54" t="s">
        <v>861</v>
      </c>
      <c r="I192" s="54" t="s">
        <v>347</v>
      </c>
      <c r="J192" s="54" t="s">
        <v>862</v>
      </c>
      <c r="K192" s="58" t="n">
        <v>72</v>
      </c>
      <c r="L192" s="54" t="s">
        <v>863</v>
      </c>
      <c r="M192" s="54" t="s">
        <v>212</v>
      </c>
      <c r="N192" s="54" t="s">
        <v>214</v>
      </c>
      <c r="O192" s="58" t="n">
        <v>175.9</v>
      </c>
      <c r="P192" s="54" t="s">
        <v>214</v>
      </c>
      <c r="Q192" s="58" t="n">
        <v>178.2</v>
      </c>
    </row>
    <row r="193" customFormat="false" ht="15" hidden="false" customHeight="false" outlineLevel="0" collapsed="false">
      <c r="A193" s="54" t="s">
        <v>27</v>
      </c>
      <c r="B193" s="55" t="n">
        <v>367</v>
      </c>
      <c r="C193" s="56" t="n">
        <v>46301.5306237037</v>
      </c>
      <c r="D193" s="55" t="n">
        <v>12</v>
      </c>
      <c r="E193" s="54" t="s">
        <v>214</v>
      </c>
      <c r="F193" s="54" t="s">
        <v>859</v>
      </c>
      <c r="G193" s="54" t="s">
        <v>860</v>
      </c>
      <c r="H193" s="54" t="s">
        <v>861</v>
      </c>
      <c r="I193" s="54" t="s">
        <v>347</v>
      </c>
      <c r="J193" s="54" t="s">
        <v>862</v>
      </c>
      <c r="K193" s="58" t="n">
        <v>72</v>
      </c>
      <c r="L193" s="54" t="s">
        <v>863</v>
      </c>
      <c r="M193" s="54" t="s">
        <v>212</v>
      </c>
      <c r="N193" s="54" t="s">
        <v>214</v>
      </c>
      <c r="O193" s="58" t="n">
        <v>1.9</v>
      </c>
      <c r="P193" s="54" t="s">
        <v>212</v>
      </c>
      <c r="Q193" s="58"/>
    </row>
    <row r="194" customFormat="false" ht="15" hidden="false" customHeight="false" outlineLevel="0" collapsed="false">
      <c r="A194" s="54" t="s">
        <v>27</v>
      </c>
      <c r="B194" s="55" t="n">
        <v>359</v>
      </c>
      <c r="C194" s="56" t="n">
        <v>46301.5665625695</v>
      </c>
      <c r="D194" s="55" t="n">
        <v>13</v>
      </c>
      <c r="E194" s="54" t="s">
        <v>214</v>
      </c>
      <c r="F194" s="54" t="s">
        <v>859</v>
      </c>
      <c r="G194" s="54" t="s">
        <v>860</v>
      </c>
      <c r="H194" s="54" t="s">
        <v>861</v>
      </c>
      <c r="I194" s="54" t="s">
        <v>347</v>
      </c>
      <c r="J194" s="54" t="s">
        <v>862</v>
      </c>
      <c r="K194" s="58" t="n">
        <v>72</v>
      </c>
      <c r="L194" s="54" t="s">
        <v>863</v>
      </c>
      <c r="M194" s="54" t="s">
        <v>212</v>
      </c>
      <c r="N194" s="54" t="s">
        <v>214</v>
      </c>
      <c r="O194" s="58" t="n">
        <v>0.7</v>
      </c>
      <c r="P194" s="54" t="s">
        <v>212</v>
      </c>
      <c r="Q194" s="58"/>
    </row>
    <row r="195" customFormat="false" ht="15" hidden="false" customHeight="false" outlineLevel="0" collapsed="false">
      <c r="A195" s="54" t="s">
        <v>27</v>
      </c>
      <c r="B195" s="55" t="n">
        <v>379</v>
      </c>
      <c r="C195" s="56" t="n">
        <v>46301.5908980093</v>
      </c>
      <c r="D195" s="55" t="n">
        <v>14</v>
      </c>
      <c r="E195" s="54" t="s">
        <v>214</v>
      </c>
      <c r="F195" s="54" t="s">
        <v>127</v>
      </c>
      <c r="G195" s="54" t="s">
        <v>118</v>
      </c>
      <c r="H195" s="54" t="s">
        <v>220</v>
      </c>
      <c r="I195" s="54" t="s">
        <v>866</v>
      </c>
      <c r="J195" s="54" t="s">
        <v>867</v>
      </c>
      <c r="K195" s="58" t="n">
        <v>116.1</v>
      </c>
      <c r="L195" s="54" t="s">
        <v>212</v>
      </c>
      <c r="M195" s="54" t="s">
        <v>212</v>
      </c>
      <c r="N195" s="54" t="s">
        <v>214</v>
      </c>
      <c r="O195" s="58" t="n">
        <v>8810.9</v>
      </c>
      <c r="P195" s="54" t="s">
        <v>212</v>
      </c>
      <c r="Q195" s="58"/>
    </row>
    <row r="196" customFormat="false" ht="15" hidden="false" customHeight="false" outlineLevel="0" collapsed="false">
      <c r="A196" s="54" t="s">
        <v>27</v>
      </c>
      <c r="B196" s="55" t="n">
        <v>378</v>
      </c>
      <c r="C196" s="56" t="n">
        <v>46301.6005370949</v>
      </c>
      <c r="D196" s="55" t="n">
        <v>14</v>
      </c>
      <c r="E196" s="54" t="s">
        <v>214</v>
      </c>
      <c r="F196" s="54" t="s">
        <v>859</v>
      </c>
      <c r="G196" s="54" t="s">
        <v>860</v>
      </c>
      <c r="H196" s="54" t="s">
        <v>861</v>
      </c>
      <c r="I196" s="54" t="s">
        <v>347</v>
      </c>
      <c r="J196" s="54" t="s">
        <v>862</v>
      </c>
      <c r="K196" s="58" t="n">
        <v>72</v>
      </c>
      <c r="L196" s="54" t="s">
        <v>863</v>
      </c>
      <c r="M196" s="54" t="s">
        <v>212</v>
      </c>
      <c r="N196" s="54" t="s">
        <v>212</v>
      </c>
      <c r="O196" s="58"/>
      <c r="P196" s="54" t="s">
        <v>212</v>
      </c>
      <c r="Q196" s="58"/>
    </row>
    <row r="197" customFormat="false" ht="15" hidden="false" customHeight="false" outlineLevel="0" collapsed="false">
      <c r="A197" s="54" t="s">
        <v>27</v>
      </c>
      <c r="B197" s="55" t="n">
        <v>417</v>
      </c>
      <c r="C197" s="56" t="n">
        <v>46301.6066069329</v>
      </c>
      <c r="D197" s="55" t="n">
        <v>14</v>
      </c>
      <c r="E197" s="54" t="s">
        <v>214</v>
      </c>
      <c r="F197" s="54" t="s">
        <v>128</v>
      </c>
      <c r="G197" s="54" t="s">
        <v>118</v>
      </c>
      <c r="H197" s="54" t="s">
        <v>220</v>
      </c>
      <c r="I197" s="54" t="s">
        <v>477</v>
      </c>
      <c r="J197" s="54" t="s">
        <v>864</v>
      </c>
      <c r="K197" s="58" t="n">
        <v>103.7</v>
      </c>
      <c r="L197" s="54" t="s">
        <v>212</v>
      </c>
      <c r="M197" s="54" t="s">
        <v>214</v>
      </c>
      <c r="N197" s="54" t="s">
        <v>214</v>
      </c>
      <c r="O197" s="58" t="n">
        <v>0.5</v>
      </c>
      <c r="P197" s="54" t="s">
        <v>214</v>
      </c>
      <c r="Q197" s="58" t="n">
        <v>2.9</v>
      </c>
    </row>
    <row r="198" customFormat="false" ht="15" hidden="false" customHeight="false" outlineLevel="0" collapsed="false">
      <c r="A198" s="54" t="s">
        <v>27</v>
      </c>
      <c r="B198" s="55" t="n">
        <v>398</v>
      </c>
      <c r="C198" s="56" t="n">
        <v>46301.6144896991</v>
      </c>
      <c r="D198" s="55" t="n">
        <v>14</v>
      </c>
      <c r="E198" s="54" t="s">
        <v>214</v>
      </c>
      <c r="F198" s="54" t="s">
        <v>859</v>
      </c>
      <c r="G198" s="54" t="s">
        <v>860</v>
      </c>
      <c r="H198" s="54" t="s">
        <v>861</v>
      </c>
      <c r="I198" s="54" t="s">
        <v>347</v>
      </c>
      <c r="J198" s="54" t="s">
        <v>862</v>
      </c>
      <c r="K198" s="58" t="n">
        <v>72</v>
      </c>
      <c r="L198" s="54" t="s">
        <v>863</v>
      </c>
      <c r="M198" s="54" t="s">
        <v>212</v>
      </c>
      <c r="N198" s="54" t="s">
        <v>212</v>
      </c>
      <c r="O198" s="58"/>
      <c r="P198" s="54" t="s">
        <v>212</v>
      </c>
      <c r="Q198" s="58"/>
    </row>
    <row r="199" customFormat="false" ht="15" hidden="false" customHeight="false" outlineLevel="0" collapsed="false">
      <c r="A199" s="54" t="s">
        <v>27</v>
      </c>
      <c r="B199" s="55" t="n">
        <v>404</v>
      </c>
      <c r="C199" s="56" t="n">
        <v>46301.6254643634</v>
      </c>
      <c r="D199" s="55" t="n">
        <v>15</v>
      </c>
      <c r="E199" s="54" t="s">
        <v>214</v>
      </c>
      <c r="F199" s="54" t="s">
        <v>859</v>
      </c>
      <c r="G199" s="54" t="s">
        <v>860</v>
      </c>
      <c r="H199" s="54" t="s">
        <v>861</v>
      </c>
      <c r="I199" s="54" t="s">
        <v>347</v>
      </c>
      <c r="J199" s="54" t="s">
        <v>862</v>
      </c>
      <c r="K199" s="58" t="n">
        <v>72</v>
      </c>
      <c r="L199" s="54" t="s">
        <v>863</v>
      </c>
      <c r="M199" s="54" t="s">
        <v>212</v>
      </c>
      <c r="N199" s="54" t="s">
        <v>214</v>
      </c>
      <c r="O199" s="58" t="n">
        <v>0.8</v>
      </c>
      <c r="P199" s="54" t="s">
        <v>212</v>
      </c>
      <c r="Q199" s="58"/>
    </row>
    <row r="200" customFormat="false" ht="15" hidden="false" customHeight="false" outlineLevel="0" collapsed="false">
      <c r="A200" s="54" t="s">
        <v>27</v>
      </c>
      <c r="B200" s="55" t="n">
        <v>392</v>
      </c>
      <c r="C200" s="56" t="n">
        <v>46301.6266782986</v>
      </c>
      <c r="D200" s="55" t="n">
        <v>15</v>
      </c>
      <c r="E200" s="54" t="s">
        <v>214</v>
      </c>
      <c r="F200" s="54" t="s">
        <v>859</v>
      </c>
      <c r="G200" s="54" t="s">
        <v>860</v>
      </c>
      <c r="H200" s="54" t="s">
        <v>861</v>
      </c>
      <c r="I200" s="54" t="s">
        <v>347</v>
      </c>
      <c r="J200" s="54" t="s">
        <v>862</v>
      </c>
      <c r="K200" s="58" t="n">
        <v>72</v>
      </c>
      <c r="L200" s="54" t="s">
        <v>863</v>
      </c>
      <c r="M200" s="54" t="s">
        <v>212</v>
      </c>
      <c r="N200" s="54" t="s">
        <v>214</v>
      </c>
      <c r="O200" s="58" t="n">
        <v>1576.3</v>
      </c>
      <c r="P200" s="54" t="s">
        <v>212</v>
      </c>
      <c r="Q200" s="58"/>
    </row>
    <row r="201" customFormat="false" ht="15" hidden="false" customHeight="false" outlineLevel="0" collapsed="false">
      <c r="A201" s="54" t="s">
        <v>27</v>
      </c>
      <c r="B201" s="55" t="n">
        <v>406</v>
      </c>
      <c r="C201" s="56" t="n">
        <v>46301.6332773958</v>
      </c>
      <c r="D201" s="55" t="n">
        <v>15</v>
      </c>
      <c r="E201" s="54" t="s">
        <v>214</v>
      </c>
      <c r="F201" s="54" t="s">
        <v>859</v>
      </c>
      <c r="G201" s="54" t="s">
        <v>860</v>
      </c>
      <c r="H201" s="54" t="s">
        <v>861</v>
      </c>
      <c r="I201" s="54" t="s">
        <v>347</v>
      </c>
      <c r="J201" s="54" t="s">
        <v>862</v>
      </c>
      <c r="K201" s="58" t="n">
        <v>72</v>
      </c>
      <c r="L201" s="54" t="s">
        <v>863</v>
      </c>
      <c r="M201" s="54" t="s">
        <v>212</v>
      </c>
      <c r="N201" s="54" t="s">
        <v>212</v>
      </c>
      <c r="O201" s="58"/>
      <c r="P201" s="54" t="s">
        <v>212</v>
      </c>
      <c r="Q201" s="58"/>
    </row>
    <row r="202" customFormat="false" ht="15" hidden="false" customHeight="false" outlineLevel="0" collapsed="false">
      <c r="A202" s="54" t="s">
        <v>27</v>
      </c>
      <c r="B202" s="55" t="n">
        <v>407</v>
      </c>
      <c r="C202" s="56" t="n">
        <v>46301.6337974074</v>
      </c>
      <c r="D202" s="55" t="n">
        <v>15</v>
      </c>
      <c r="E202" s="54" t="s">
        <v>214</v>
      </c>
      <c r="F202" s="54" t="s">
        <v>859</v>
      </c>
      <c r="G202" s="54" t="s">
        <v>860</v>
      </c>
      <c r="H202" s="54" t="s">
        <v>861</v>
      </c>
      <c r="I202" s="54" t="s">
        <v>347</v>
      </c>
      <c r="J202" s="54" t="s">
        <v>862</v>
      </c>
      <c r="K202" s="58" t="n">
        <v>72</v>
      </c>
      <c r="L202" s="54" t="s">
        <v>863</v>
      </c>
      <c r="M202" s="54" t="s">
        <v>212</v>
      </c>
      <c r="N202" s="54" t="s">
        <v>214</v>
      </c>
      <c r="O202" s="58" t="n">
        <v>450.2</v>
      </c>
      <c r="P202" s="54" t="s">
        <v>212</v>
      </c>
      <c r="Q202" s="58"/>
    </row>
    <row r="203" customFormat="false" ht="15" hidden="false" customHeight="false" outlineLevel="0" collapsed="false">
      <c r="A203" s="54" t="s">
        <v>27</v>
      </c>
      <c r="B203" s="55" t="n">
        <v>423</v>
      </c>
      <c r="C203" s="56" t="n">
        <v>46301.6339137616</v>
      </c>
      <c r="D203" s="55" t="n">
        <v>15</v>
      </c>
      <c r="E203" s="54" t="s">
        <v>214</v>
      </c>
      <c r="F203" s="54" t="s">
        <v>128</v>
      </c>
      <c r="G203" s="54" t="s">
        <v>118</v>
      </c>
      <c r="H203" s="54" t="s">
        <v>220</v>
      </c>
      <c r="I203" s="54" t="s">
        <v>473</v>
      </c>
      <c r="J203" s="54" t="s">
        <v>865</v>
      </c>
      <c r="K203" s="58" t="n">
        <v>97</v>
      </c>
      <c r="L203" s="54" t="s">
        <v>212</v>
      </c>
      <c r="M203" s="54" t="s">
        <v>214</v>
      </c>
      <c r="N203" s="54" t="s">
        <v>212</v>
      </c>
      <c r="O203" s="58"/>
      <c r="P203" s="54" t="s">
        <v>212</v>
      </c>
      <c r="Q203" s="58"/>
    </row>
    <row r="204" customFormat="false" ht="15" hidden="false" customHeight="false" outlineLevel="0" collapsed="false">
      <c r="A204" s="54" t="s">
        <v>27</v>
      </c>
      <c r="B204" s="55" t="n">
        <v>369</v>
      </c>
      <c r="C204" s="56" t="n">
        <v>46301.6501194907</v>
      </c>
      <c r="D204" s="55" t="n">
        <v>15</v>
      </c>
      <c r="E204" s="54" t="s">
        <v>214</v>
      </c>
      <c r="F204" s="54" t="s">
        <v>859</v>
      </c>
      <c r="G204" s="54" t="s">
        <v>860</v>
      </c>
      <c r="H204" s="54" t="s">
        <v>861</v>
      </c>
      <c r="I204" s="54" t="s">
        <v>347</v>
      </c>
      <c r="J204" s="54" t="s">
        <v>862</v>
      </c>
      <c r="K204" s="58" t="n">
        <v>72</v>
      </c>
      <c r="L204" s="54" t="s">
        <v>863</v>
      </c>
      <c r="M204" s="54" t="s">
        <v>212</v>
      </c>
      <c r="N204" s="54" t="s">
        <v>214</v>
      </c>
      <c r="O204" s="58" t="n">
        <v>1216.1</v>
      </c>
      <c r="P204" s="54" t="s">
        <v>212</v>
      </c>
      <c r="Q204" s="58"/>
    </row>
    <row r="205" customFormat="false" ht="15" hidden="false" customHeight="false" outlineLevel="0" collapsed="false">
      <c r="A205" s="54" t="s">
        <v>27</v>
      </c>
      <c r="B205" s="55" t="n">
        <v>413</v>
      </c>
      <c r="C205" s="56" t="n">
        <v>46301.6620966782</v>
      </c>
      <c r="D205" s="55" t="n">
        <v>15</v>
      </c>
      <c r="E205" s="54" t="s">
        <v>214</v>
      </c>
      <c r="F205" s="54" t="s">
        <v>859</v>
      </c>
      <c r="G205" s="54" t="s">
        <v>860</v>
      </c>
      <c r="H205" s="54" t="s">
        <v>861</v>
      </c>
      <c r="I205" s="54" t="s">
        <v>347</v>
      </c>
      <c r="J205" s="54" t="s">
        <v>862</v>
      </c>
      <c r="K205" s="58" t="n">
        <v>72</v>
      </c>
      <c r="L205" s="54" t="s">
        <v>863</v>
      </c>
      <c r="M205" s="54" t="s">
        <v>212</v>
      </c>
      <c r="N205" s="54" t="s">
        <v>214</v>
      </c>
      <c r="O205" s="58" t="n">
        <v>61.6</v>
      </c>
      <c r="P205" s="54" t="s">
        <v>212</v>
      </c>
      <c r="Q205" s="58"/>
    </row>
    <row r="206" customFormat="false" ht="15" hidden="false" customHeight="false" outlineLevel="0" collapsed="false">
      <c r="A206" s="54" t="s">
        <v>27</v>
      </c>
      <c r="B206" s="55" t="n">
        <v>433</v>
      </c>
      <c r="C206" s="56" t="n">
        <v>46301.6720600926</v>
      </c>
      <c r="D206" s="55" t="n">
        <v>16</v>
      </c>
      <c r="E206" s="54" t="s">
        <v>214</v>
      </c>
      <c r="F206" s="54" t="s">
        <v>127</v>
      </c>
      <c r="G206" s="54" t="s">
        <v>118</v>
      </c>
      <c r="H206" s="54" t="s">
        <v>220</v>
      </c>
      <c r="I206" s="54" t="s">
        <v>477</v>
      </c>
      <c r="J206" s="54" t="s">
        <v>864</v>
      </c>
      <c r="K206" s="58" t="n">
        <v>101.8</v>
      </c>
      <c r="L206" s="54" t="s">
        <v>212</v>
      </c>
      <c r="M206" s="54" t="s">
        <v>214</v>
      </c>
      <c r="N206" s="54" t="s">
        <v>214</v>
      </c>
      <c r="O206" s="58" t="n">
        <v>0.3</v>
      </c>
      <c r="P206" s="54" t="s">
        <v>212</v>
      </c>
      <c r="Q206" s="58"/>
    </row>
    <row r="207" customFormat="false" ht="15" hidden="false" customHeight="false" outlineLevel="0" collapsed="false">
      <c r="A207" s="54" t="s">
        <v>27</v>
      </c>
      <c r="B207" s="55" t="n">
        <v>435</v>
      </c>
      <c r="C207" s="56" t="n">
        <v>46301.6801170949</v>
      </c>
      <c r="D207" s="55" t="n">
        <v>16</v>
      </c>
      <c r="E207" s="54" t="s">
        <v>214</v>
      </c>
      <c r="F207" s="54" t="s">
        <v>129</v>
      </c>
      <c r="G207" s="54" t="s">
        <v>118</v>
      </c>
      <c r="H207" s="54" t="s">
        <v>220</v>
      </c>
      <c r="I207" s="54" t="s">
        <v>477</v>
      </c>
      <c r="J207" s="54" t="s">
        <v>864</v>
      </c>
      <c r="K207" s="58" t="n">
        <v>102.4</v>
      </c>
      <c r="L207" s="54" t="s">
        <v>212</v>
      </c>
      <c r="M207" s="54" t="s">
        <v>214</v>
      </c>
      <c r="N207" s="54" t="s">
        <v>212</v>
      </c>
      <c r="O207" s="58"/>
      <c r="P207" s="54" t="s">
        <v>212</v>
      </c>
      <c r="Q207" s="58"/>
    </row>
    <row r="208" customFormat="false" ht="15" hidden="false" customHeight="false" outlineLevel="0" collapsed="false">
      <c r="A208" s="54" t="s">
        <v>27</v>
      </c>
      <c r="B208" s="55" t="n">
        <v>376</v>
      </c>
      <c r="C208" s="56" t="n">
        <v>46301.6803247454</v>
      </c>
      <c r="D208" s="55" t="n">
        <v>16</v>
      </c>
      <c r="E208" s="54" t="s">
        <v>214</v>
      </c>
      <c r="F208" s="54" t="s">
        <v>859</v>
      </c>
      <c r="G208" s="54" t="s">
        <v>860</v>
      </c>
      <c r="H208" s="54" t="s">
        <v>861</v>
      </c>
      <c r="I208" s="54" t="s">
        <v>347</v>
      </c>
      <c r="J208" s="54" t="s">
        <v>862</v>
      </c>
      <c r="K208" s="58" t="n">
        <v>72</v>
      </c>
      <c r="L208" s="54" t="s">
        <v>863</v>
      </c>
      <c r="M208" s="54" t="s">
        <v>212</v>
      </c>
      <c r="N208" s="54" t="s">
        <v>214</v>
      </c>
      <c r="O208" s="58" t="n">
        <v>12.6</v>
      </c>
      <c r="P208" s="54" t="s">
        <v>212</v>
      </c>
      <c r="Q208" s="58"/>
    </row>
    <row r="209" customFormat="false" ht="15" hidden="false" customHeight="false" outlineLevel="0" collapsed="false">
      <c r="A209" s="54" t="s">
        <v>27</v>
      </c>
      <c r="B209" s="55" t="n">
        <v>388</v>
      </c>
      <c r="C209" s="56" t="n">
        <v>46301.7006390278</v>
      </c>
      <c r="D209" s="55" t="n">
        <v>16</v>
      </c>
      <c r="E209" s="54" t="s">
        <v>214</v>
      </c>
      <c r="F209" s="54" t="s">
        <v>859</v>
      </c>
      <c r="G209" s="54" t="s">
        <v>860</v>
      </c>
      <c r="H209" s="54" t="s">
        <v>861</v>
      </c>
      <c r="I209" s="54" t="s">
        <v>347</v>
      </c>
      <c r="J209" s="54" t="s">
        <v>862</v>
      </c>
      <c r="K209" s="58" t="n">
        <v>72</v>
      </c>
      <c r="L209" s="54" t="s">
        <v>863</v>
      </c>
      <c r="M209" s="54" t="s">
        <v>212</v>
      </c>
      <c r="N209" s="54" t="s">
        <v>212</v>
      </c>
      <c r="O209" s="58"/>
      <c r="P209" s="54" t="s">
        <v>212</v>
      </c>
      <c r="Q209" s="58"/>
    </row>
    <row r="210" customFormat="false" ht="15" hidden="false" customHeight="false" outlineLevel="0" collapsed="false">
      <c r="A210" s="54" t="s">
        <v>27</v>
      </c>
      <c r="B210" s="55" t="n">
        <v>438</v>
      </c>
      <c r="C210" s="56" t="n">
        <v>46301.7037665857</v>
      </c>
      <c r="D210" s="55" t="n">
        <v>16</v>
      </c>
      <c r="E210" s="54" t="s">
        <v>214</v>
      </c>
      <c r="F210" s="54" t="s">
        <v>129</v>
      </c>
      <c r="G210" s="54" t="s">
        <v>118</v>
      </c>
      <c r="H210" s="54" t="s">
        <v>220</v>
      </c>
      <c r="I210" s="54" t="s">
        <v>477</v>
      </c>
      <c r="J210" s="54" t="s">
        <v>864</v>
      </c>
      <c r="K210" s="58" t="n">
        <v>86.4</v>
      </c>
      <c r="L210" s="54" t="s">
        <v>212</v>
      </c>
      <c r="M210" s="54" t="s">
        <v>214</v>
      </c>
      <c r="N210" s="54" t="s">
        <v>214</v>
      </c>
      <c r="O210" s="58" t="n">
        <v>22.8</v>
      </c>
      <c r="P210" s="54" t="s">
        <v>212</v>
      </c>
      <c r="Q210" s="58"/>
    </row>
    <row r="211" customFormat="false" ht="15" hidden="false" customHeight="false" outlineLevel="0" collapsed="false">
      <c r="A211" s="54" t="s">
        <v>27</v>
      </c>
      <c r="B211" s="55" t="n">
        <v>422</v>
      </c>
      <c r="C211" s="56" t="n">
        <v>46301.710416412</v>
      </c>
      <c r="D211" s="55" t="n">
        <v>17</v>
      </c>
      <c r="E211" s="54" t="s">
        <v>214</v>
      </c>
      <c r="F211" s="54" t="s">
        <v>859</v>
      </c>
      <c r="G211" s="54" t="s">
        <v>860</v>
      </c>
      <c r="H211" s="54" t="s">
        <v>861</v>
      </c>
      <c r="I211" s="54" t="s">
        <v>347</v>
      </c>
      <c r="J211" s="54" t="s">
        <v>862</v>
      </c>
      <c r="K211" s="58" t="n">
        <v>72</v>
      </c>
      <c r="L211" s="54" t="s">
        <v>863</v>
      </c>
      <c r="M211" s="54" t="s">
        <v>212</v>
      </c>
      <c r="N211" s="54" t="s">
        <v>214</v>
      </c>
      <c r="O211" s="58" t="n">
        <v>150.7</v>
      </c>
      <c r="P211" s="54" t="s">
        <v>212</v>
      </c>
      <c r="Q211" s="58"/>
    </row>
    <row r="212" customFormat="false" ht="15" hidden="false" customHeight="false" outlineLevel="0" collapsed="false">
      <c r="A212" s="54" t="s">
        <v>27</v>
      </c>
      <c r="B212" s="55" t="n">
        <v>424</v>
      </c>
      <c r="C212" s="56" t="n">
        <v>46301.7407378241</v>
      </c>
      <c r="D212" s="55" t="n">
        <v>17</v>
      </c>
      <c r="E212" s="54" t="s">
        <v>214</v>
      </c>
      <c r="F212" s="54" t="s">
        <v>859</v>
      </c>
      <c r="G212" s="54" t="s">
        <v>860</v>
      </c>
      <c r="H212" s="54" t="s">
        <v>861</v>
      </c>
      <c r="I212" s="54" t="s">
        <v>347</v>
      </c>
      <c r="J212" s="54" t="s">
        <v>862</v>
      </c>
      <c r="K212" s="58" t="n">
        <v>72</v>
      </c>
      <c r="L212" s="54" t="s">
        <v>863</v>
      </c>
      <c r="M212" s="54" t="s">
        <v>212</v>
      </c>
      <c r="N212" s="54" t="s">
        <v>212</v>
      </c>
      <c r="O212" s="58"/>
      <c r="P212" s="54" t="s">
        <v>212</v>
      </c>
      <c r="Q212" s="58"/>
    </row>
    <row r="213" customFormat="false" ht="15" hidden="false" customHeight="false" outlineLevel="0" collapsed="false">
      <c r="A213" s="54" t="s">
        <v>27</v>
      </c>
      <c r="B213" s="55" t="n">
        <v>450</v>
      </c>
      <c r="C213" s="56" t="n">
        <v>46301.7467500579</v>
      </c>
      <c r="D213" s="55" t="n">
        <v>17</v>
      </c>
      <c r="E213" s="54" t="s">
        <v>214</v>
      </c>
      <c r="F213" s="54" t="s">
        <v>128</v>
      </c>
      <c r="G213" s="54" t="s">
        <v>118</v>
      </c>
      <c r="H213" s="54" t="s">
        <v>220</v>
      </c>
      <c r="I213" s="54" t="s">
        <v>473</v>
      </c>
      <c r="J213" s="54" t="s">
        <v>865</v>
      </c>
      <c r="K213" s="58" t="n">
        <v>95.5</v>
      </c>
      <c r="L213" s="54" t="s">
        <v>212</v>
      </c>
      <c r="M213" s="54" t="s">
        <v>214</v>
      </c>
      <c r="N213" s="54" t="s">
        <v>214</v>
      </c>
      <c r="O213" s="58" t="n">
        <v>2.4</v>
      </c>
      <c r="P213" s="54" t="s">
        <v>214</v>
      </c>
      <c r="Q213" s="58" t="n">
        <v>18.6</v>
      </c>
    </row>
    <row r="214" customFormat="false" ht="15" hidden="false" customHeight="false" outlineLevel="0" collapsed="false">
      <c r="A214" s="54" t="s">
        <v>27</v>
      </c>
      <c r="B214" s="55" t="n">
        <v>379</v>
      </c>
      <c r="C214" s="56" t="n">
        <v>46301.7681769097</v>
      </c>
      <c r="D214" s="55" t="n">
        <v>18</v>
      </c>
      <c r="E214" s="54" t="s">
        <v>214</v>
      </c>
      <c r="F214" s="54" t="s">
        <v>859</v>
      </c>
      <c r="G214" s="54" t="s">
        <v>860</v>
      </c>
      <c r="H214" s="54" t="s">
        <v>861</v>
      </c>
      <c r="I214" s="54" t="s">
        <v>347</v>
      </c>
      <c r="J214" s="54" t="s">
        <v>862</v>
      </c>
      <c r="K214" s="58" t="n">
        <v>72</v>
      </c>
      <c r="L214" s="54" t="s">
        <v>863</v>
      </c>
      <c r="M214" s="54" t="s">
        <v>212</v>
      </c>
      <c r="N214" s="54" t="s">
        <v>214</v>
      </c>
      <c r="O214" s="58" t="n">
        <v>10252.8</v>
      </c>
      <c r="P214" s="54" t="s">
        <v>212</v>
      </c>
      <c r="Q214" s="58"/>
    </row>
    <row r="215" customFormat="false" ht="15" hidden="false" customHeight="false" outlineLevel="0" collapsed="false">
      <c r="A215" s="54" t="s">
        <v>27</v>
      </c>
      <c r="B215" s="55" t="n">
        <v>455</v>
      </c>
      <c r="C215" s="56" t="n">
        <v>46301.783268125</v>
      </c>
      <c r="D215" s="55" t="n">
        <v>18</v>
      </c>
      <c r="E215" s="54" t="s">
        <v>214</v>
      </c>
      <c r="F215" s="54" t="s">
        <v>128</v>
      </c>
      <c r="G215" s="54" t="s">
        <v>118</v>
      </c>
      <c r="H215" s="54" t="s">
        <v>220</v>
      </c>
      <c r="I215" s="54" t="s">
        <v>473</v>
      </c>
      <c r="J215" s="54" t="s">
        <v>865</v>
      </c>
      <c r="K215" s="58" t="n">
        <v>95</v>
      </c>
      <c r="L215" s="54" t="s">
        <v>212</v>
      </c>
      <c r="M215" s="54" t="s">
        <v>214</v>
      </c>
      <c r="N215" s="54" t="s">
        <v>214</v>
      </c>
      <c r="O215" s="58" t="n">
        <v>24.8</v>
      </c>
      <c r="P215" s="54" t="s">
        <v>212</v>
      </c>
      <c r="Q215" s="58"/>
    </row>
    <row r="216" customFormat="false" ht="15" hidden="false" customHeight="false" outlineLevel="0" collapsed="false">
      <c r="A216" s="54" t="s">
        <v>27</v>
      </c>
      <c r="B216" s="55" t="n">
        <v>442</v>
      </c>
      <c r="C216" s="56" t="n">
        <v>46301.7896208565</v>
      </c>
      <c r="D216" s="55" t="n">
        <v>18</v>
      </c>
      <c r="E216" s="54" t="s">
        <v>214</v>
      </c>
      <c r="F216" s="54" t="s">
        <v>859</v>
      </c>
      <c r="G216" s="54" t="s">
        <v>860</v>
      </c>
      <c r="H216" s="54" t="s">
        <v>861</v>
      </c>
      <c r="I216" s="54" t="s">
        <v>347</v>
      </c>
      <c r="J216" s="54" t="s">
        <v>862</v>
      </c>
      <c r="K216" s="58" t="n">
        <v>72</v>
      </c>
      <c r="L216" s="54" t="s">
        <v>863</v>
      </c>
      <c r="M216" s="54" t="s">
        <v>212</v>
      </c>
      <c r="N216" s="54" t="s">
        <v>214</v>
      </c>
      <c r="O216" s="58" t="n">
        <v>3726.9</v>
      </c>
      <c r="P216" s="54" t="s">
        <v>212</v>
      </c>
      <c r="Q216" s="58"/>
    </row>
    <row r="217" customFormat="false" ht="15" hidden="false" customHeight="false" outlineLevel="0" collapsed="false">
      <c r="A217" s="54" t="s">
        <v>27</v>
      </c>
      <c r="B217" s="55" t="n">
        <v>440</v>
      </c>
      <c r="C217" s="56" t="n">
        <v>46301.791715706</v>
      </c>
      <c r="D217" s="55" t="n">
        <v>19</v>
      </c>
      <c r="E217" s="54" t="s">
        <v>214</v>
      </c>
      <c r="F217" s="54" t="s">
        <v>859</v>
      </c>
      <c r="G217" s="54" t="s">
        <v>860</v>
      </c>
      <c r="H217" s="54" t="s">
        <v>861</v>
      </c>
      <c r="I217" s="54" t="s">
        <v>347</v>
      </c>
      <c r="J217" s="54" t="s">
        <v>862</v>
      </c>
      <c r="K217" s="58" t="n">
        <v>72</v>
      </c>
      <c r="L217" s="54" t="s">
        <v>863</v>
      </c>
      <c r="M217" s="54" t="s">
        <v>212</v>
      </c>
      <c r="N217" s="54" t="s">
        <v>214</v>
      </c>
      <c r="O217" s="58" t="n">
        <v>13.5</v>
      </c>
      <c r="P217" s="54" t="s">
        <v>212</v>
      </c>
      <c r="Q217" s="58"/>
    </row>
    <row r="218" customFormat="false" ht="15" hidden="false" customHeight="false" outlineLevel="0" collapsed="false">
      <c r="A218" s="54" t="s">
        <v>27</v>
      </c>
      <c r="B218" s="55" t="n">
        <v>459</v>
      </c>
      <c r="C218" s="56" t="n">
        <v>46301.8018313079</v>
      </c>
      <c r="D218" s="55" t="n">
        <v>19</v>
      </c>
      <c r="E218" s="54" t="s">
        <v>214</v>
      </c>
      <c r="F218" s="54" t="s">
        <v>128</v>
      </c>
      <c r="G218" s="54" t="s">
        <v>118</v>
      </c>
      <c r="H218" s="54" t="s">
        <v>220</v>
      </c>
      <c r="I218" s="54" t="s">
        <v>473</v>
      </c>
      <c r="J218" s="54" t="s">
        <v>865</v>
      </c>
      <c r="K218" s="58" t="n">
        <v>87.4</v>
      </c>
      <c r="L218" s="54" t="s">
        <v>212</v>
      </c>
      <c r="M218" s="54" t="s">
        <v>214</v>
      </c>
      <c r="N218" s="54" t="s">
        <v>214</v>
      </c>
      <c r="O218" s="58" t="n">
        <v>0.4</v>
      </c>
      <c r="P218" s="54" t="s">
        <v>212</v>
      </c>
      <c r="Q218" s="58"/>
    </row>
    <row r="219" customFormat="false" ht="15" hidden="false" customHeight="false" outlineLevel="0" collapsed="false">
      <c r="A219" s="54" t="s">
        <v>27</v>
      </c>
      <c r="B219" s="55" t="n">
        <v>423</v>
      </c>
      <c r="C219" s="56" t="n">
        <v>46301.810227963</v>
      </c>
      <c r="D219" s="55" t="n">
        <v>19</v>
      </c>
      <c r="E219" s="54" t="s">
        <v>214</v>
      </c>
      <c r="F219" s="54" t="s">
        <v>859</v>
      </c>
      <c r="G219" s="54" t="s">
        <v>860</v>
      </c>
      <c r="H219" s="54" t="s">
        <v>861</v>
      </c>
      <c r="I219" s="54" t="s">
        <v>347</v>
      </c>
      <c r="J219" s="54" t="s">
        <v>862</v>
      </c>
      <c r="K219" s="58" t="n">
        <v>72</v>
      </c>
      <c r="L219" s="54" t="s">
        <v>863</v>
      </c>
      <c r="M219" s="54" t="s">
        <v>212</v>
      </c>
      <c r="N219" s="54" t="s">
        <v>212</v>
      </c>
      <c r="O219" s="58"/>
      <c r="P219" s="54" t="s">
        <v>212</v>
      </c>
      <c r="Q219" s="58"/>
    </row>
    <row r="220" customFormat="false" ht="15" hidden="false" customHeight="false" outlineLevel="0" collapsed="false">
      <c r="A220" s="54" t="s">
        <v>27</v>
      </c>
      <c r="B220" s="55" t="n">
        <v>461</v>
      </c>
      <c r="C220" s="56" t="n">
        <v>46301.8267637847</v>
      </c>
      <c r="D220" s="55" t="n">
        <v>19</v>
      </c>
      <c r="E220" s="54" t="s">
        <v>214</v>
      </c>
      <c r="F220" s="54" t="s">
        <v>128</v>
      </c>
      <c r="G220" s="54" t="s">
        <v>118</v>
      </c>
      <c r="H220" s="54" t="s">
        <v>220</v>
      </c>
      <c r="I220" s="54" t="s">
        <v>477</v>
      </c>
      <c r="J220" s="54" t="s">
        <v>864</v>
      </c>
      <c r="K220" s="58" t="n">
        <v>104</v>
      </c>
      <c r="L220" s="54" t="s">
        <v>212</v>
      </c>
      <c r="M220" s="54" t="s">
        <v>214</v>
      </c>
      <c r="N220" s="54" t="s">
        <v>214</v>
      </c>
      <c r="O220" s="58" t="n">
        <v>2.6</v>
      </c>
      <c r="P220" s="54" t="s">
        <v>214</v>
      </c>
      <c r="Q220" s="58" t="n">
        <v>6.1</v>
      </c>
    </row>
    <row r="221" customFormat="false" ht="15" hidden="false" customHeight="false" outlineLevel="0" collapsed="false">
      <c r="A221" s="54" t="s">
        <v>27</v>
      </c>
      <c r="B221" s="55" t="n">
        <v>433</v>
      </c>
      <c r="C221" s="56" t="n">
        <v>46301.8493889931</v>
      </c>
      <c r="D221" s="55" t="n">
        <v>20</v>
      </c>
      <c r="E221" s="54" t="s">
        <v>214</v>
      </c>
      <c r="F221" s="54" t="s">
        <v>859</v>
      </c>
      <c r="G221" s="54" t="s">
        <v>860</v>
      </c>
      <c r="H221" s="54" t="s">
        <v>861</v>
      </c>
      <c r="I221" s="54" t="s">
        <v>347</v>
      </c>
      <c r="J221" s="54" t="s">
        <v>862</v>
      </c>
      <c r="K221" s="58" t="n">
        <v>72</v>
      </c>
      <c r="L221" s="54" t="s">
        <v>863</v>
      </c>
      <c r="M221" s="54" t="s">
        <v>212</v>
      </c>
      <c r="N221" s="54" t="s">
        <v>214</v>
      </c>
      <c r="O221" s="58" t="n">
        <v>92.3</v>
      </c>
      <c r="P221" s="54" t="s">
        <v>212</v>
      </c>
      <c r="Q221" s="58"/>
    </row>
    <row r="222" customFormat="false" ht="15" hidden="false" customHeight="false" outlineLevel="0" collapsed="false">
      <c r="A222" s="54" t="s">
        <v>27</v>
      </c>
      <c r="B222" s="55" t="n">
        <v>435</v>
      </c>
      <c r="C222" s="56" t="n">
        <v>46301.8578189352</v>
      </c>
      <c r="D222" s="55" t="n">
        <v>20</v>
      </c>
      <c r="E222" s="54" t="s">
        <v>214</v>
      </c>
      <c r="F222" s="54" t="s">
        <v>859</v>
      </c>
      <c r="G222" s="54" t="s">
        <v>860</v>
      </c>
      <c r="H222" s="54" t="s">
        <v>861</v>
      </c>
      <c r="I222" s="54" t="s">
        <v>347</v>
      </c>
      <c r="J222" s="54" t="s">
        <v>862</v>
      </c>
      <c r="K222" s="58" t="n">
        <v>72</v>
      </c>
      <c r="L222" s="54" t="s">
        <v>863</v>
      </c>
      <c r="M222" s="54" t="s">
        <v>212</v>
      </c>
      <c r="N222" s="54" t="s">
        <v>212</v>
      </c>
      <c r="O222" s="58"/>
      <c r="P222" s="54" t="s">
        <v>212</v>
      </c>
      <c r="Q222" s="58"/>
    </row>
    <row r="223" customFormat="false" ht="15" hidden="false" customHeight="false" outlineLevel="0" collapsed="false">
      <c r="A223" s="54" t="s">
        <v>27</v>
      </c>
      <c r="B223" s="55" t="n">
        <v>454</v>
      </c>
      <c r="C223" s="56" t="n">
        <v>46301.8740562269</v>
      </c>
      <c r="D223" s="55" t="n">
        <v>20</v>
      </c>
      <c r="E223" s="54" t="s">
        <v>214</v>
      </c>
      <c r="F223" s="54" t="s">
        <v>859</v>
      </c>
      <c r="G223" s="54" t="s">
        <v>860</v>
      </c>
      <c r="H223" s="54" t="s">
        <v>861</v>
      </c>
      <c r="I223" s="54" t="s">
        <v>347</v>
      </c>
      <c r="J223" s="54" t="s">
        <v>862</v>
      </c>
      <c r="K223" s="58" t="n">
        <v>72</v>
      </c>
      <c r="L223" s="54" t="s">
        <v>863</v>
      </c>
      <c r="M223" s="54" t="s">
        <v>212</v>
      </c>
      <c r="N223" s="54" t="s">
        <v>214</v>
      </c>
      <c r="O223" s="58" t="n">
        <v>876</v>
      </c>
      <c r="P223" s="54" t="s">
        <v>212</v>
      </c>
      <c r="Q223" s="58"/>
    </row>
    <row r="224" customFormat="false" ht="15" hidden="false" customHeight="false" outlineLevel="0" collapsed="false">
      <c r="A224" s="54" t="s">
        <v>27</v>
      </c>
      <c r="B224" s="55" t="n">
        <v>478</v>
      </c>
      <c r="C224" s="56" t="n">
        <v>46301.8862634028</v>
      </c>
      <c r="D224" s="55" t="n">
        <v>21</v>
      </c>
      <c r="E224" s="54" t="s">
        <v>214</v>
      </c>
      <c r="F224" s="54" t="s">
        <v>128</v>
      </c>
      <c r="G224" s="54" t="s">
        <v>118</v>
      </c>
      <c r="H224" s="54" t="s">
        <v>220</v>
      </c>
      <c r="I224" s="54" t="s">
        <v>473</v>
      </c>
      <c r="J224" s="54" t="s">
        <v>865</v>
      </c>
      <c r="K224" s="58" t="n">
        <v>73.9</v>
      </c>
      <c r="L224" s="54" t="s">
        <v>212</v>
      </c>
      <c r="M224" s="54" t="s">
        <v>214</v>
      </c>
      <c r="N224" s="54" t="s">
        <v>214</v>
      </c>
      <c r="O224" s="58" t="n">
        <v>18.7</v>
      </c>
      <c r="P224" s="54" t="s">
        <v>212</v>
      </c>
      <c r="Q224" s="58"/>
    </row>
    <row r="225" customFormat="false" ht="15" hidden="false" customHeight="false" outlineLevel="0" collapsed="false">
      <c r="A225" s="54" t="s">
        <v>27</v>
      </c>
      <c r="B225" s="55" t="n">
        <v>484</v>
      </c>
      <c r="C225" s="56" t="n">
        <v>46301.9111202315</v>
      </c>
      <c r="D225" s="55" t="n">
        <v>21</v>
      </c>
      <c r="E225" s="54" t="s">
        <v>214</v>
      </c>
      <c r="F225" s="54" t="s">
        <v>128</v>
      </c>
      <c r="G225" s="54" t="s">
        <v>118</v>
      </c>
      <c r="H225" s="54" t="s">
        <v>220</v>
      </c>
      <c r="I225" s="54" t="s">
        <v>473</v>
      </c>
      <c r="J225" s="54" t="s">
        <v>865</v>
      </c>
      <c r="K225" s="58" t="n">
        <v>86.8</v>
      </c>
      <c r="L225" s="54" t="s">
        <v>212</v>
      </c>
      <c r="M225" s="54" t="s">
        <v>214</v>
      </c>
      <c r="N225" s="54" t="s">
        <v>212</v>
      </c>
      <c r="O225" s="58"/>
      <c r="P225" s="54" t="s">
        <v>212</v>
      </c>
      <c r="Q225" s="58"/>
    </row>
    <row r="226" customFormat="false" ht="15" hidden="false" customHeight="false" outlineLevel="0" collapsed="false">
      <c r="A226" s="54" t="s">
        <v>27</v>
      </c>
      <c r="B226" s="55" t="n">
        <v>487</v>
      </c>
      <c r="C226" s="56" t="n">
        <v>46301.9365378125</v>
      </c>
      <c r="D226" s="55" t="n">
        <v>22</v>
      </c>
      <c r="E226" s="54" t="s">
        <v>212</v>
      </c>
      <c r="F226" s="54" t="s">
        <v>129</v>
      </c>
      <c r="G226" s="54" t="s">
        <v>118</v>
      </c>
      <c r="H226" s="54" t="s">
        <v>220</v>
      </c>
      <c r="I226" s="54" t="s">
        <v>477</v>
      </c>
      <c r="J226" s="54" t="s">
        <v>864</v>
      </c>
      <c r="K226" s="58" t="n">
        <v>105.1</v>
      </c>
      <c r="L226" s="54" t="s">
        <v>212</v>
      </c>
      <c r="M226" s="54" t="s">
        <v>214</v>
      </c>
      <c r="N226" s="54" t="s">
        <v>212</v>
      </c>
      <c r="O226" s="58"/>
      <c r="P226" s="54" t="s">
        <v>212</v>
      </c>
      <c r="Q226" s="58"/>
    </row>
    <row r="227" customFormat="false" ht="15" hidden="false" customHeight="false" outlineLevel="0" collapsed="false">
      <c r="A227" s="54" t="s">
        <v>27</v>
      </c>
      <c r="B227" s="55" t="n">
        <v>510</v>
      </c>
      <c r="C227" s="56" t="n">
        <v>46302.3009367245</v>
      </c>
      <c r="D227" s="55" t="n">
        <v>7</v>
      </c>
      <c r="E227" s="54" t="s">
        <v>212</v>
      </c>
      <c r="F227" s="54" t="s">
        <v>127</v>
      </c>
      <c r="G227" s="54" t="s">
        <v>118</v>
      </c>
      <c r="H227" s="54" t="s">
        <v>220</v>
      </c>
      <c r="I227" s="54" t="s">
        <v>477</v>
      </c>
      <c r="J227" s="54" t="s">
        <v>864</v>
      </c>
      <c r="K227" s="58" t="n">
        <v>117.1</v>
      </c>
      <c r="L227" s="54" t="s">
        <v>212</v>
      </c>
      <c r="M227" s="54" t="s">
        <v>214</v>
      </c>
      <c r="N227" s="54" t="s">
        <v>214</v>
      </c>
      <c r="O227" s="58" t="n">
        <v>14.6</v>
      </c>
      <c r="P227" s="54" t="s">
        <v>212</v>
      </c>
      <c r="Q227" s="58"/>
    </row>
    <row r="228" customFormat="false" ht="15" hidden="false" customHeight="false" outlineLevel="0" collapsed="false">
      <c r="A228" s="54" t="s">
        <v>27</v>
      </c>
      <c r="B228" s="55" t="n">
        <v>461</v>
      </c>
      <c r="C228" s="56" t="n">
        <v>46302.3750112153</v>
      </c>
      <c r="D228" s="55" t="n">
        <v>9</v>
      </c>
      <c r="E228" s="54" t="s">
        <v>214</v>
      </c>
      <c r="F228" s="54" t="s">
        <v>859</v>
      </c>
      <c r="G228" s="54" t="s">
        <v>860</v>
      </c>
      <c r="H228" s="54" t="s">
        <v>861</v>
      </c>
      <c r="I228" s="54" t="s">
        <v>347</v>
      </c>
      <c r="J228" s="54" t="s">
        <v>862</v>
      </c>
      <c r="K228" s="58" t="n">
        <v>72</v>
      </c>
      <c r="L228" s="54" t="s">
        <v>863</v>
      </c>
      <c r="M228" s="54" t="s">
        <v>212</v>
      </c>
      <c r="N228" s="54" t="s">
        <v>214</v>
      </c>
      <c r="O228" s="58" t="n">
        <v>72.3</v>
      </c>
      <c r="P228" s="54" t="s">
        <v>212</v>
      </c>
      <c r="Q228" s="58"/>
    </row>
    <row r="229" customFormat="false" ht="15" hidden="false" customHeight="false" outlineLevel="0" collapsed="false">
      <c r="A229" s="54" t="s">
        <v>27</v>
      </c>
      <c r="B229" s="55" t="n">
        <v>474</v>
      </c>
      <c r="C229" s="56" t="n">
        <v>46302.3751188194</v>
      </c>
      <c r="D229" s="55" t="n">
        <v>9</v>
      </c>
      <c r="E229" s="54" t="s">
        <v>214</v>
      </c>
      <c r="F229" s="54" t="s">
        <v>859</v>
      </c>
      <c r="G229" s="54" t="s">
        <v>860</v>
      </c>
      <c r="H229" s="54" t="s">
        <v>861</v>
      </c>
      <c r="I229" s="54" t="s">
        <v>347</v>
      </c>
      <c r="J229" s="54" t="s">
        <v>862</v>
      </c>
      <c r="K229" s="58" t="n">
        <v>72</v>
      </c>
      <c r="L229" s="54" t="s">
        <v>863</v>
      </c>
      <c r="M229" s="54" t="s">
        <v>212</v>
      </c>
      <c r="N229" s="54" t="s">
        <v>214</v>
      </c>
      <c r="O229" s="58" t="n">
        <v>1705.3</v>
      </c>
      <c r="P229" s="54" t="s">
        <v>212</v>
      </c>
      <c r="Q229" s="58"/>
    </row>
    <row r="230" customFormat="false" ht="15" hidden="false" customHeight="false" outlineLevel="0" collapsed="false">
      <c r="A230" s="54" t="s">
        <v>27</v>
      </c>
      <c r="B230" s="55" t="n">
        <v>478</v>
      </c>
      <c r="C230" s="56" t="n">
        <v>46302.3751711921</v>
      </c>
      <c r="D230" s="55" t="n">
        <v>9</v>
      </c>
      <c r="E230" s="54" t="s">
        <v>214</v>
      </c>
      <c r="F230" s="54" t="s">
        <v>859</v>
      </c>
      <c r="G230" s="54" t="s">
        <v>860</v>
      </c>
      <c r="H230" s="54" t="s">
        <v>861</v>
      </c>
      <c r="I230" s="54" t="s">
        <v>347</v>
      </c>
      <c r="J230" s="54" t="s">
        <v>862</v>
      </c>
      <c r="K230" s="58" t="n">
        <v>72</v>
      </c>
      <c r="L230" s="54" t="s">
        <v>863</v>
      </c>
      <c r="M230" s="54" t="s">
        <v>212</v>
      </c>
      <c r="N230" s="54" t="s">
        <v>214</v>
      </c>
      <c r="O230" s="58" t="n">
        <v>6.1</v>
      </c>
      <c r="P230" s="54" t="s">
        <v>212</v>
      </c>
      <c r="Q230" s="58"/>
    </row>
    <row r="231" customFormat="false" ht="15" hidden="false" customHeight="false" outlineLevel="0" collapsed="false">
      <c r="A231" s="54" t="s">
        <v>27</v>
      </c>
      <c r="B231" s="55" t="n">
        <v>487</v>
      </c>
      <c r="C231" s="56" t="n">
        <v>46302.3751984028</v>
      </c>
      <c r="D231" s="55" t="n">
        <v>9</v>
      </c>
      <c r="E231" s="54" t="s">
        <v>214</v>
      </c>
      <c r="F231" s="54" t="s">
        <v>859</v>
      </c>
      <c r="G231" s="54" t="s">
        <v>860</v>
      </c>
      <c r="H231" s="54" t="s">
        <v>861</v>
      </c>
      <c r="I231" s="54" t="s">
        <v>347</v>
      </c>
      <c r="J231" s="54" t="s">
        <v>862</v>
      </c>
      <c r="K231" s="58" t="n">
        <v>72</v>
      </c>
      <c r="L231" s="54" t="s">
        <v>863</v>
      </c>
      <c r="M231" s="54" t="s">
        <v>212</v>
      </c>
      <c r="N231" s="54" t="s">
        <v>212</v>
      </c>
      <c r="O231" s="58"/>
      <c r="P231" s="54" t="s">
        <v>212</v>
      </c>
      <c r="Q231" s="58"/>
    </row>
    <row r="232" customFormat="false" ht="15" hidden="false" customHeight="false" outlineLevel="0" collapsed="false">
      <c r="A232" s="54" t="s">
        <v>27</v>
      </c>
      <c r="B232" s="55" t="n">
        <v>502</v>
      </c>
      <c r="C232" s="56" t="n">
        <v>46302.3752313542</v>
      </c>
      <c r="D232" s="55" t="n">
        <v>9</v>
      </c>
      <c r="E232" s="54" t="s">
        <v>214</v>
      </c>
      <c r="F232" s="54" t="s">
        <v>859</v>
      </c>
      <c r="G232" s="54" t="s">
        <v>860</v>
      </c>
      <c r="H232" s="54" t="s">
        <v>861</v>
      </c>
      <c r="I232" s="54" t="s">
        <v>347</v>
      </c>
      <c r="J232" s="54" t="s">
        <v>862</v>
      </c>
      <c r="K232" s="58" t="n">
        <v>72</v>
      </c>
      <c r="L232" s="54" t="s">
        <v>863</v>
      </c>
      <c r="M232" s="54" t="s">
        <v>212</v>
      </c>
      <c r="N232" s="54" t="s">
        <v>214</v>
      </c>
      <c r="O232" s="58" t="n">
        <v>5.2</v>
      </c>
      <c r="P232" s="54" t="s">
        <v>212</v>
      </c>
      <c r="Q232" s="58"/>
    </row>
    <row r="233" customFormat="false" ht="15" hidden="false" customHeight="false" outlineLevel="0" collapsed="false">
      <c r="A233" s="54" t="s">
        <v>27</v>
      </c>
      <c r="B233" s="55" t="n">
        <v>438</v>
      </c>
      <c r="C233" s="56" t="n">
        <v>46302.3752938079</v>
      </c>
      <c r="D233" s="55" t="n">
        <v>9</v>
      </c>
      <c r="E233" s="54" t="s">
        <v>214</v>
      </c>
      <c r="F233" s="54" t="s">
        <v>859</v>
      </c>
      <c r="G233" s="54" t="s">
        <v>860</v>
      </c>
      <c r="H233" s="54" t="s">
        <v>861</v>
      </c>
      <c r="I233" s="54" t="s">
        <v>347</v>
      </c>
      <c r="J233" s="54" t="s">
        <v>862</v>
      </c>
      <c r="K233" s="58" t="n">
        <v>72</v>
      </c>
      <c r="L233" s="54" t="s">
        <v>863</v>
      </c>
      <c r="M233" s="54" t="s">
        <v>212</v>
      </c>
      <c r="N233" s="54" t="s">
        <v>214</v>
      </c>
      <c r="O233" s="58" t="n">
        <v>36.2</v>
      </c>
      <c r="P233" s="54" t="s">
        <v>212</v>
      </c>
      <c r="Q233" s="58"/>
    </row>
    <row r="234" customFormat="false" ht="15" hidden="false" customHeight="false" outlineLevel="0" collapsed="false">
      <c r="A234" s="54" t="s">
        <v>27</v>
      </c>
      <c r="B234" s="55" t="n">
        <v>450</v>
      </c>
      <c r="C234" s="56" t="n">
        <v>46302.3753297454</v>
      </c>
      <c r="D234" s="55" t="n">
        <v>9</v>
      </c>
      <c r="E234" s="54" t="s">
        <v>214</v>
      </c>
      <c r="F234" s="54" t="s">
        <v>859</v>
      </c>
      <c r="G234" s="54" t="s">
        <v>860</v>
      </c>
      <c r="H234" s="54" t="s">
        <v>861</v>
      </c>
      <c r="I234" s="54" t="s">
        <v>347</v>
      </c>
      <c r="J234" s="54" t="s">
        <v>862</v>
      </c>
      <c r="K234" s="58" t="n">
        <v>72</v>
      </c>
      <c r="L234" s="54" t="s">
        <v>863</v>
      </c>
      <c r="M234" s="54" t="s">
        <v>212</v>
      </c>
      <c r="N234" s="54" t="s">
        <v>214</v>
      </c>
      <c r="O234" s="58" t="n">
        <v>88</v>
      </c>
      <c r="P234" s="54" t="s">
        <v>212</v>
      </c>
      <c r="Q234" s="58"/>
    </row>
    <row r="235" customFormat="false" ht="15" hidden="false" customHeight="false" outlineLevel="0" collapsed="false">
      <c r="A235" s="54" t="s">
        <v>27</v>
      </c>
      <c r="B235" s="55" t="n">
        <v>484</v>
      </c>
      <c r="C235" s="56" t="n">
        <v>46302.3753352083</v>
      </c>
      <c r="D235" s="55" t="n">
        <v>9</v>
      </c>
      <c r="E235" s="54" t="s">
        <v>214</v>
      </c>
      <c r="F235" s="54" t="s">
        <v>859</v>
      </c>
      <c r="G235" s="54" t="s">
        <v>860</v>
      </c>
      <c r="H235" s="54" t="s">
        <v>861</v>
      </c>
      <c r="I235" s="54" t="s">
        <v>347</v>
      </c>
      <c r="J235" s="54" t="s">
        <v>862</v>
      </c>
      <c r="K235" s="58" t="n">
        <v>72</v>
      </c>
      <c r="L235" s="54" t="s">
        <v>863</v>
      </c>
      <c r="M235" s="54" t="s">
        <v>212</v>
      </c>
      <c r="N235" s="54" t="s">
        <v>212</v>
      </c>
      <c r="O235" s="58"/>
      <c r="P235" s="54" t="s">
        <v>212</v>
      </c>
      <c r="Q235" s="58"/>
    </row>
    <row r="236" customFormat="false" ht="15" hidden="false" customHeight="false" outlineLevel="0" collapsed="false">
      <c r="A236" s="54" t="s">
        <v>27</v>
      </c>
      <c r="B236" s="55" t="n">
        <v>489</v>
      </c>
      <c r="C236" s="56" t="n">
        <v>46302.3753745949</v>
      </c>
      <c r="D236" s="55" t="n">
        <v>9</v>
      </c>
      <c r="E236" s="54" t="s">
        <v>214</v>
      </c>
      <c r="F236" s="54" t="s">
        <v>859</v>
      </c>
      <c r="G236" s="54" t="s">
        <v>860</v>
      </c>
      <c r="H236" s="54" t="s">
        <v>861</v>
      </c>
      <c r="I236" s="54" t="s">
        <v>347</v>
      </c>
      <c r="J236" s="54" t="s">
        <v>862</v>
      </c>
      <c r="K236" s="58" t="n">
        <v>72</v>
      </c>
      <c r="L236" s="54" t="s">
        <v>863</v>
      </c>
      <c r="M236" s="54" t="s">
        <v>212</v>
      </c>
      <c r="N236" s="54" t="s">
        <v>214</v>
      </c>
      <c r="O236" s="58" t="n">
        <v>2050.7</v>
      </c>
      <c r="P236" s="54" t="s">
        <v>212</v>
      </c>
      <c r="Q236" s="58"/>
    </row>
    <row r="237" customFormat="false" ht="15" hidden="false" customHeight="false" outlineLevel="0" collapsed="false">
      <c r="A237" s="54" t="s">
        <v>27</v>
      </c>
      <c r="B237" s="55" t="n">
        <v>518</v>
      </c>
      <c r="C237" s="56" t="n">
        <v>46302.3754309144</v>
      </c>
      <c r="D237" s="55" t="n">
        <v>9</v>
      </c>
      <c r="E237" s="54" t="s">
        <v>214</v>
      </c>
      <c r="F237" s="54" t="s">
        <v>859</v>
      </c>
      <c r="G237" s="54" t="s">
        <v>860</v>
      </c>
      <c r="H237" s="54" t="s">
        <v>861</v>
      </c>
      <c r="I237" s="54" t="s">
        <v>347</v>
      </c>
      <c r="J237" s="54" t="s">
        <v>862</v>
      </c>
      <c r="K237" s="58" t="n">
        <v>72</v>
      </c>
      <c r="L237" s="54" t="s">
        <v>863</v>
      </c>
      <c r="M237" s="54" t="s">
        <v>212</v>
      </c>
      <c r="N237" s="54" t="s">
        <v>214</v>
      </c>
      <c r="O237" s="58" t="n">
        <v>43.1</v>
      </c>
      <c r="P237" s="54" t="s">
        <v>212</v>
      </c>
      <c r="Q237" s="58"/>
    </row>
    <row r="238" customFormat="false" ht="15" hidden="false" customHeight="false" outlineLevel="0" collapsed="false">
      <c r="A238" s="54" t="s">
        <v>27</v>
      </c>
      <c r="B238" s="55" t="n">
        <v>520</v>
      </c>
      <c r="C238" s="56" t="n">
        <v>46302.3754664699</v>
      </c>
      <c r="D238" s="55" t="n">
        <v>9</v>
      </c>
      <c r="E238" s="54" t="s">
        <v>214</v>
      </c>
      <c r="F238" s="54" t="s">
        <v>859</v>
      </c>
      <c r="G238" s="54" t="s">
        <v>860</v>
      </c>
      <c r="H238" s="54" t="s">
        <v>861</v>
      </c>
      <c r="I238" s="54" t="s">
        <v>347</v>
      </c>
      <c r="J238" s="54" t="s">
        <v>862</v>
      </c>
      <c r="K238" s="58" t="n">
        <v>72</v>
      </c>
      <c r="L238" s="54" t="s">
        <v>863</v>
      </c>
      <c r="M238" s="54" t="s">
        <v>212</v>
      </c>
      <c r="N238" s="54" t="s">
        <v>214</v>
      </c>
      <c r="O238" s="58" t="n">
        <v>144.1</v>
      </c>
      <c r="P238" s="54" t="s">
        <v>212</v>
      </c>
      <c r="Q238" s="58"/>
    </row>
    <row r="239" customFormat="false" ht="15" hidden="false" customHeight="false" outlineLevel="0" collapsed="false">
      <c r="A239" s="54" t="s">
        <v>27</v>
      </c>
      <c r="B239" s="55" t="n">
        <v>500</v>
      </c>
      <c r="C239" s="56" t="n">
        <v>46302.3755097569</v>
      </c>
      <c r="D239" s="55" t="n">
        <v>9</v>
      </c>
      <c r="E239" s="54" t="s">
        <v>214</v>
      </c>
      <c r="F239" s="54" t="s">
        <v>859</v>
      </c>
      <c r="G239" s="54" t="s">
        <v>860</v>
      </c>
      <c r="H239" s="54" t="s">
        <v>861</v>
      </c>
      <c r="I239" s="54" t="s">
        <v>347</v>
      </c>
      <c r="J239" s="54" t="s">
        <v>862</v>
      </c>
      <c r="K239" s="58" t="n">
        <v>72</v>
      </c>
      <c r="L239" s="54" t="s">
        <v>863</v>
      </c>
      <c r="M239" s="54" t="s">
        <v>212</v>
      </c>
      <c r="N239" s="54" t="s">
        <v>214</v>
      </c>
      <c r="O239" s="58" t="n">
        <v>3.5</v>
      </c>
      <c r="P239" s="54" t="s">
        <v>212</v>
      </c>
      <c r="Q239" s="58"/>
    </row>
    <row r="240" customFormat="false" ht="15" hidden="false" customHeight="false" outlineLevel="0" collapsed="false">
      <c r="A240" s="54" t="s">
        <v>27</v>
      </c>
      <c r="B240" s="55" t="n">
        <v>467</v>
      </c>
      <c r="C240" s="56" t="n">
        <v>46302.3755129745</v>
      </c>
      <c r="D240" s="55" t="n">
        <v>9</v>
      </c>
      <c r="E240" s="54" t="s">
        <v>214</v>
      </c>
      <c r="F240" s="54" t="s">
        <v>859</v>
      </c>
      <c r="G240" s="54" t="s">
        <v>860</v>
      </c>
      <c r="H240" s="54" t="s">
        <v>861</v>
      </c>
      <c r="I240" s="54" t="s">
        <v>347</v>
      </c>
      <c r="J240" s="54" t="s">
        <v>862</v>
      </c>
      <c r="K240" s="58" t="n">
        <v>72</v>
      </c>
      <c r="L240" s="54" t="s">
        <v>863</v>
      </c>
      <c r="M240" s="54" t="s">
        <v>212</v>
      </c>
      <c r="N240" s="54" t="s">
        <v>212</v>
      </c>
      <c r="O240" s="58"/>
      <c r="P240" s="54" t="s">
        <v>212</v>
      </c>
      <c r="Q240" s="58"/>
    </row>
    <row r="241" customFormat="false" ht="15" hidden="false" customHeight="false" outlineLevel="0" collapsed="false">
      <c r="A241" s="54" t="s">
        <v>27</v>
      </c>
      <c r="B241" s="55" t="n">
        <v>459</v>
      </c>
      <c r="C241" s="56" t="n">
        <v>46302.3755434607</v>
      </c>
      <c r="D241" s="55" t="n">
        <v>9</v>
      </c>
      <c r="E241" s="54" t="s">
        <v>214</v>
      </c>
      <c r="F241" s="54" t="s">
        <v>859</v>
      </c>
      <c r="G241" s="54" t="s">
        <v>860</v>
      </c>
      <c r="H241" s="54" t="s">
        <v>861</v>
      </c>
      <c r="I241" s="54" t="s">
        <v>347</v>
      </c>
      <c r="J241" s="54" t="s">
        <v>862</v>
      </c>
      <c r="K241" s="58" t="n">
        <v>72</v>
      </c>
      <c r="L241" s="54" t="s">
        <v>863</v>
      </c>
      <c r="M241" s="54" t="s">
        <v>212</v>
      </c>
      <c r="N241" s="54" t="s">
        <v>214</v>
      </c>
      <c r="O241" s="58" t="n">
        <v>3.9</v>
      </c>
      <c r="P241" s="54" t="s">
        <v>212</v>
      </c>
      <c r="Q241" s="58"/>
    </row>
    <row r="242" customFormat="false" ht="15" hidden="false" customHeight="false" outlineLevel="0" collapsed="false">
      <c r="A242" s="54" t="s">
        <v>27</v>
      </c>
      <c r="B242" s="55" t="n">
        <v>417</v>
      </c>
      <c r="C242" s="56" t="n">
        <v>46302.3755675</v>
      </c>
      <c r="D242" s="55" t="n">
        <v>9</v>
      </c>
      <c r="E242" s="54" t="s">
        <v>214</v>
      </c>
      <c r="F242" s="54" t="s">
        <v>859</v>
      </c>
      <c r="G242" s="54" t="s">
        <v>860</v>
      </c>
      <c r="H242" s="54" t="s">
        <v>861</v>
      </c>
      <c r="I242" s="54" t="s">
        <v>347</v>
      </c>
      <c r="J242" s="54" t="s">
        <v>862</v>
      </c>
      <c r="K242" s="58" t="n">
        <v>72</v>
      </c>
      <c r="L242" s="54" t="s">
        <v>863</v>
      </c>
      <c r="M242" s="54" t="s">
        <v>212</v>
      </c>
      <c r="N242" s="54" t="s">
        <v>214</v>
      </c>
      <c r="O242" s="58" t="n">
        <v>4.6</v>
      </c>
      <c r="P242" s="54" t="s">
        <v>214</v>
      </c>
      <c r="Q242" s="58" t="n">
        <v>5.6</v>
      </c>
    </row>
    <row r="243" customFormat="false" ht="15" hidden="false" customHeight="false" outlineLevel="0" collapsed="false">
      <c r="A243" s="54" t="s">
        <v>27</v>
      </c>
      <c r="B243" s="55" t="n">
        <v>512</v>
      </c>
      <c r="C243" s="56" t="n">
        <v>46302.375624838</v>
      </c>
      <c r="D243" s="55" t="n">
        <v>9</v>
      </c>
      <c r="E243" s="54" t="s">
        <v>214</v>
      </c>
      <c r="F243" s="54" t="s">
        <v>859</v>
      </c>
      <c r="G243" s="54" t="s">
        <v>860</v>
      </c>
      <c r="H243" s="54" t="s">
        <v>861</v>
      </c>
      <c r="I243" s="54" t="s">
        <v>347</v>
      </c>
      <c r="J243" s="54" t="s">
        <v>862</v>
      </c>
      <c r="K243" s="58" t="n">
        <v>72</v>
      </c>
      <c r="L243" s="54" t="s">
        <v>863</v>
      </c>
      <c r="M243" s="54" t="s">
        <v>212</v>
      </c>
      <c r="N243" s="54" t="s">
        <v>214</v>
      </c>
      <c r="O243" s="58" t="n">
        <v>4835.9</v>
      </c>
      <c r="P243" s="54" t="s">
        <v>212</v>
      </c>
      <c r="Q243" s="58"/>
    </row>
    <row r="244" customFormat="false" ht="15" hidden="false" customHeight="false" outlineLevel="0" collapsed="false">
      <c r="A244" s="54" t="s">
        <v>27</v>
      </c>
      <c r="B244" s="55" t="n">
        <v>492</v>
      </c>
      <c r="C244" s="56" t="n">
        <v>46302.3756370602</v>
      </c>
      <c r="D244" s="55" t="n">
        <v>9</v>
      </c>
      <c r="E244" s="54" t="s">
        <v>214</v>
      </c>
      <c r="F244" s="54" t="s">
        <v>859</v>
      </c>
      <c r="G244" s="54" t="s">
        <v>860</v>
      </c>
      <c r="H244" s="54" t="s">
        <v>861</v>
      </c>
      <c r="I244" s="54" t="s">
        <v>347</v>
      </c>
      <c r="J244" s="54" t="s">
        <v>862</v>
      </c>
      <c r="K244" s="58" t="n">
        <v>72</v>
      </c>
      <c r="L244" s="54" t="s">
        <v>863</v>
      </c>
      <c r="M244" s="54" t="s">
        <v>212</v>
      </c>
      <c r="N244" s="54" t="s">
        <v>214</v>
      </c>
      <c r="O244" s="58" t="n">
        <v>186.8</v>
      </c>
      <c r="P244" s="54" t="s">
        <v>212</v>
      </c>
      <c r="Q244" s="58"/>
    </row>
    <row r="245" customFormat="false" ht="15" hidden="false" customHeight="false" outlineLevel="0" collapsed="false">
      <c r="A245" s="54" t="s">
        <v>27</v>
      </c>
      <c r="B245" s="55" t="n">
        <v>455</v>
      </c>
      <c r="C245" s="56" t="n">
        <v>46302.3756909375</v>
      </c>
      <c r="D245" s="55" t="n">
        <v>9</v>
      </c>
      <c r="E245" s="54" t="s">
        <v>214</v>
      </c>
      <c r="F245" s="54" t="s">
        <v>859</v>
      </c>
      <c r="G245" s="54" t="s">
        <v>860</v>
      </c>
      <c r="H245" s="54" t="s">
        <v>861</v>
      </c>
      <c r="I245" s="54" t="s">
        <v>347</v>
      </c>
      <c r="J245" s="54" t="s">
        <v>862</v>
      </c>
      <c r="K245" s="58" t="n">
        <v>72</v>
      </c>
      <c r="L245" s="54" t="s">
        <v>863</v>
      </c>
      <c r="M245" s="54" t="s">
        <v>212</v>
      </c>
      <c r="N245" s="54" t="s">
        <v>214</v>
      </c>
      <c r="O245" s="58" t="n">
        <v>36.2</v>
      </c>
      <c r="P245" s="54" t="s">
        <v>212</v>
      </c>
      <c r="Q245" s="58"/>
    </row>
    <row r="246" customFormat="false" ht="15" hidden="false" customHeight="false" outlineLevel="0" collapsed="false">
      <c r="A246" s="54" t="s">
        <v>27</v>
      </c>
      <c r="B246" s="55" t="n">
        <v>503</v>
      </c>
      <c r="C246" s="56" t="n">
        <v>46302.3786448264</v>
      </c>
      <c r="D246" s="55" t="n">
        <v>9</v>
      </c>
      <c r="E246" s="54" t="s">
        <v>214</v>
      </c>
      <c r="F246" s="54" t="s">
        <v>859</v>
      </c>
      <c r="G246" s="54" t="s">
        <v>860</v>
      </c>
      <c r="H246" s="54" t="s">
        <v>861</v>
      </c>
      <c r="I246" s="54" t="s">
        <v>347</v>
      </c>
      <c r="J246" s="54" t="s">
        <v>862</v>
      </c>
      <c r="K246" s="58" t="n">
        <v>72</v>
      </c>
      <c r="L246" s="54" t="s">
        <v>863</v>
      </c>
      <c r="M246" s="54" t="s">
        <v>212</v>
      </c>
      <c r="N246" s="54" t="s">
        <v>214</v>
      </c>
      <c r="O246" s="58" t="n">
        <v>3480.7</v>
      </c>
      <c r="P246" s="54" t="s">
        <v>212</v>
      </c>
      <c r="Q246" s="58"/>
    </row>
    <row r="247" customFormat="false" ht="15" hidden="false" customHeight="false" outlineLevel="0" collapsed="false">
      <c r="A247" s="54" t="s">
        <v>27</v>
      </c>
      <c r="B247" s="55" t="n">
        <v>507</v>
      </c>
      <c r="C247" s="56" t="n">
        <v>46302.3791265162</v>
      </c>
      <c r="D247" s="55" t="n">
        <v>9</v>
      </c>
      <c r="E247" s="54" t="s">
        <v>214</v>
      </c>
      <c r="F247" s="54" t="s">
        <v>859</v>
      </c>
      <c r="G247" s="54" t="s">
        <v>860</v>
      </c>
      <c r="H247" s="54" t="s">
        <v>861</v>
      </c>
      <c r="I247" s="54" t="s">
        <v>347</v>
      </c>
      <c r="J247" s="54" t="s">
        <v>862</v>
      </c>
      <c r="K247" s="58" t="n">
        <v>72</v>
      </c>
      <c r="L247" s="54" t="s">
        <v>863</v>
      </c>
      <c r="M247" s="54" t="s">
        <v>212</v>
      </c>
      <c r="N247" s="54" t="s">
        <v>214</v>
      </c>
      <c r="O247" s="58" t="n">
        <v>1528.2</v>
      </c>
      <c r="P247" s="54" t="s">
        <v>212</v>
      </c>
      <c r="Q247" s="58"/>
    </row>
    <row r="248" customFormat="false" ht="15" hidden="false" customHeight="false" outlineLevel="0" collapsed="false">
      <c r="A248" s="54" t="s">
        <v>27</v>
      </c>
      <c r="B248" s="55" t="n">
        <v>516</v>
      </c>
      <c r="C248" s="56" t="n">
        <v>46302.3802085301</v>
      </c>
      <c r="D248" s="55" t="n">
        <v>9</v>
      </c>
      <c r="E248" s="54" t="s">
        <v>214</v>
      </c>
      <c r="F248" s="54" t="s">
        <v>859</v>
      </c>
      <c r="G248" s="54" t="s">
        <v>860</v>
      </c>
      <c r="H248" s="54" t="s">
        <v>861</v>
      </c>
      <c r="I248" s="54" t="s">
        <v>347</v>
      </c>
      <c r="J248" s="54" t="s">
        <v>862</v>
      </c>
      <c r="K248" s="58" t="n">
        <v>72</v>
      </c>
      <c r="L248" s="54" t="s">
        <v>863</v>
      </c>
      <c r="M248" s="54" t="s">
        <v>212</v>
      </c>
      <c r="N248" s="54" t="s">
        <v>214</v>
      </c>
      <c r="O248" s="58" t="n">
        <v>24</v>
      </c>
      <c r="P248" s="54" t="s">
        <v>212</v>
      </c>
      <c r="Q248" s="58"/>
    </row>
    <row r="249" customFormat="false" ht="15" hidden="false" customHeight="false" outlineLevel="0" collapsed="false">
      <c r="A249" s="54" t="s">
        <v>27</v>
      </c>
      <c r="B249" s="55" t="n">
        <v>524</v>
      </c>
      <c r="C249" s="56" t="n">
        <v>46302.3954903357</v>
      </c>
      <c r="D249" s="55" t="n">
        <v>9</v>
      </c>
      <c r="E249" s="54" t="s">
        <v>214</v>
      </c>
      <c r="F249" s="54" t="s">
        <v>859</v>
      </c>
      <c r="G249" s="54" t="s">
        <v>860</v>
      </c>
      <c r="H249" s="54" t="s">
        <v>861</v>
      </c>
      <c r="I249" s="54" t="s">
        <v>347</v>
      </c>
      <c r="J249" s="54" t="s">
        <v>862</v>
      </c>
      <c r="K249" s="58" t="n">
        <v>72</v>
      </c>
      <c r="L249" s="54" t="s">
        <v>863</v>
      </c>
      <c r="M249" s="54" t="s">
        <v>212</v>
      </c>
      <c r="N249" s="54" t="s">
        <v>212</v>
      </c>
      <c r="O249" s="58"/>
      <c r="P249" s="54" t="s">
        <v>212</v>
      </c>
      <c r="Q249" s="58"/>
    </row>
    <row r="250" customFormat="false" ht="15" hidden="false" customHeight="false" outlineLevel="0" collapsed="false">
      <c r="A250" s="54" t="s">
        <v>27</v>
      </c>
      <c r="B250" s="55" t="n">
        <v>551</v>
      </c>
      <c r="C250" s="56" t="n">
        <v>46302.4011216204</v>
      </c>
      <c r="D250" s="55" t="n">
        <v>9</v>
      </c>
      <c r="E250" s="54" t="s">
        <v>214</v>
      </c>
      <c r="F250" s="54" t="s">
        <v>130</v>
      </c>
      <c r="G250" s="54" t="s">
        <v>118</v>
      </c>
      <c r="H250" s="54" t="s">
        <v>215</v>
      </c>
      <c r="I250" s="54" t="s">
        <v>477</v>
      </c>
      <c r="J250" s="54" t="s">
        <v>864</v>
      </c>
      <c r="K250" s="58" t="n">
        <v>108</v>
      </c>
      <c r="L250" s="54" t="s">
        <v>212</v>
      </c>
      <c r="M250" s="54" t="s">
        <v>214</v>
      </c>
      <c r="N250" s="54" t="s">
        <v>214</v>
      </c>
      <c r="O250" s="58" t="n">
        <v>3.7</v>
      </c>
      <c r="P250" s="54" t="s">
        <v>214</v>
      </c>
      <c r="Q250" s="58" t="n">
        <v>6.2</v>
      </c>
    </row>
    <row r="251" customFormat="false" ht="15" hidden="false" customHeight="false" outlineLevel="0" collapsed="false">
      <c r="A251" s="54" t="s">
        <v>27</v>
      </c>
      <c r="B251" s="55" t="n">
        <v>530</v>
      </c>
      <c r="C251" s="56" t="n">
        <v>46302.402796169</v>
      </c>
      <c r="D251" s="55" t="n">
        <v>9</v>
      </c>
      <c r="E251" s="54" t="s">
        <v>214</v>
      </c>
      <c r="F251" s="54" t="s">
        <v>859</v>
      </c>
      <c r="G251" s="54" t="s">
        <v>860</v>
      </c>
      <c r="H251" s="54" t="s">
        <v>861</v>
      </c>
      <c r="I251" s="54" t="s">
        <v>347</v>
      </c>
      <c r="J251" s="54" t="s">
        <v>862</v>
      </c>
      <c r="K251" s="58" t="n">
        <v>72</v>
      </c>
      <c r="L251" s="54" t="s">
        <v>863</v>
      </c>
      <c r="M251" s="54" t="s">
        <v>212</v>
      </c>
      <c r="N251" s="54" t="s">
        <v>214</v>
      </c>
      <c r="O251" s="58" t="n">
        <v>1846.1</v>
      </c>
      <c r="P251" s="54" t="s">
        <v>212</v>
      </c>
      <c r="Q251" s="58"/>
    </row>
    <row r="252" customFormat="false" ht="15" hidden="false" customHeight="false" outlineLevel="0" collapsed="false">
      <c r="A252" s="54" t="s">
        <v>27</v>
      </c>
      <c r="B252" s="55" t="n">
        <v>568</v>
      </c>
      <c r="C252" s="56" t="n">
        <v>46302.4331221065</v>
      </c>
      <c r="D252" s="55" t="n">
        <v>10</v>
      </c>
      <c r="E252" s="54" t="s">
        <v>214</v>
      </c>
      <c r="F252" s="54" t="s">
        <v>130</v>
      </c>
      <c r="G252" s="54" t="s">
        <v>118</v>
      </c>
      <c r="H252" s="54" t="s">
        <v>215</v>
      </c>
      <c r="I252" s="54" t="s">
        <v>477</v>
      </c>
      <c r="J252" s="54" t="s">
        <v>864</v>
      </c>
      <c r="K252" s="58" t="n">
        <v>98</v>
      </c>
      <c r="L252" s="54" t="s">
        <v>212</v>
      </c>
      <c r="M252" s="54" t="s">
        <v>214</v>
      </c>
      <c r="N252" s="54" t="s">
        <v>214</v>
      </c>
      <c r="O252" s="58" t="n">
        <v>1.1</v>
      </c>
      <c r="P252" s="54" t="s">
        <v>214</v>
      </c>
      <c r="Q252" s="58" t="n">
        <v>4.9</v>
      </c>
    </row>
    <row r="253" customFormat="false" ht="15" hidden="false" customHeight="false" outlineLevel="0" collapsed="false">
      <c r="A253" s="54" t="s">
        <v>27</v>
      </c>
      <c r="B253" s="55" t="n">
        <v>572</v>
      </c>
      <c r="C253" s="56" t="n">
        <v>46302.4424779861</v>
      </c>
      <c r="D253" s="55" t="n">
        <v>10</v>
      </c>
      <c r="E253" s="54" t="s">
        <v>214</v>
      </c>
      <c r="F253" s="54" t="s">
        <v>130</v>
      </c>
      <c r="G253" s="54" t="s">
        <v>118</v>
      </c>
      <c r="H253" s="54" t="s">
        <v>215</v>
      </c>
      <c r="I253" s="54" t="s">
        <v>477</v>
      </c>
      <c r="J253" s="54" t="s">
        <v>864</v>
      </c>
      <c r="K253" s="58" t="n">
        <v>139.1</v>
      </c>
      <c r="L253" s="54" t="s">
        <v>212</v>
      </c>
      <c r="M253" s="54" t="s">
        <v>214</v>
      </c>
      <c r="N253" s="54" t="s">
        <v>214</v>
      </c>
      <c r="O253" s="58" t="n">
        <v>10</v>
      </c>
      <c r="P253" s="54" t="s">
        <v>212</v>
      </c>
      <c r="Q253" s="58"/>
    </row>
    <row r="254" customFormat="false" ht="15" hidden="false" customHeight="false" outlineLevel="0" collapsed="false">
      <c r="A254" s="54" t="s">
        <v>27</v>
      </c>
      <c r="B254" s="55" t="n">
        <v>575</v>
      </c>
      <c r="C254" s="56" t="n">
        <v>46302.4634771296</v>
      </c>
      <c r="D254" s="55" t="n">
        <v>11</v>
      </c>
      <c r="E254" s="54" t="s">
        <v>214</v>
      </c>
      <c r="F254" s="54" t="s">
        <v>127</v>
      </c>
      <c r="G254" s="54" t="s">
        <v>118</v>
      </c>
      <c r="H254" s="54" t="s">
        <v>220</v>
      </c>
      <c r="I254" s="54" t="s">
        <v>477</v>
      </c>
      <c r="J254" s="54" t="s">
        <v>864</v>
      </c>
      <c r="K254" s="58" t="n">
        <v>98.6</v>
      </c>
      <c r="L254" s="54" t="s">
        <v>212</v>
      </c>
      <c r="M254" s="54" t="s">
        <v>214</v>
      </c>
      <c r="N254" s="54" t="s">
        <v>214</v>
      </c>
      <c r="O254" s="58" t="n">
        <v>5823.2</v>
      </c>
      <c r="P254" s="54" t="s">
        <v>212</v>
      </c>
      <c r="Q254" s="58"/>
    </row>
    <row r="255" customFormat="false" ht="15" hidden="false" customHeight="false" outlineLevel="0" collapsed="false">
      <c r="A255" s="54" t="s">
        <v>27</v>
      </c>
      <c r="B255" s="55" t="n">
        <v>510</v>
      </c>
      <c r="C255" s="56" t="n">
        <v>46302.4781813773</v>
      </c>
      <c r="D255" s="55" t="n">
        <v>11</v>
      </c>
      <c r="E255" s="54" t="s">
        <v>214</v>
      </c>
      <c r="F255" s="54" t="s">
        <v>859</v>
      </c>
      <c r="G255" s="54" t="s">
        <v>860</v>
      </c>
      <c r="H255" s="54" t="s">
        <v>861</v>
      </c>
      <c r="I255" s="54" t="s">
        <v>347</v>
      </c>
      <c r="J255" s="54" t="s">
        <v>862</v>
      </c>
      <c r="K255" s="58" t="n">
        <v>72</v>
      </c>
      <c r="L255" s="54" t="s">
        <v>863</v>
      </c>
      <c r="M255" s="54" t="s">
        <v>212</v>
      </c>
      <c r="N255" s="54" t="s">
        <v>214</v>
      </c>
      <c r="O255" s="58" t="n">
        <v>180</v>
      </c>
      <c r="P255" s="54" t="s">
        <v>212</v>
      </c>
      <c r="Q255" s="58"/>
    </row>
    <row r="256" customFormat="false" ht="15" hidden="false" customHeight="false" outlineLevel="0" collapsed="false">
      <c r="A256" s="54" t="s">
        <v>27</v>
      </c>
      <c r="B256" s="55" t="n">
        <v>585</v>
      </c>
      <c r="C256" s="56" t="n">
        <v>46302.4840283333</v>
      </c>
      <c r="D256" s="55" t="n">
        <v>11</v>
      </c>
      <c r="E256" s="54" t="s">
        <v>214</v>
      </c>
      <c r="F256" s="54" t="s">
        <v>127</v>
      </c>
      <c r="G256" s="54" t="s">
        <v>118</v>
      </c>
      <c r="H256" s="54" t="s">
        <v>220</v>
      </c>
      <c r="I256" s="54" t="s">
        <v>477</v>
      </c>
      <c r="J256" s="54" t="s">
        <v>864</v>
      </c>
      <c r="K256" s="58" t="n">
        <v>121.5</v>
      </c>
      <c r="L256" s="54" t="s">
        <v>212</v>
      </c>
      <c r="M256" s="54" t="s">
        <v>214</v>
      </c>
      <c r="N256" s="54" t="s">
        <v>212</v>
      </c>
      <c r="O256" s="58"/>
      <c r="P256" s="54" t="s">
        <v>214</v>
      </c>
      <c r="Q256" s="58" t="n">
        <v>37.3</v>
      </c>
    </row>
    <row r="257" customFormat="false" ht="15" hidden="false" customHeight="false" outlineLevel="0" collapsed="false">
      <c r="A257" s="54" t="s">
        <v>27</v>
      </c>
      <c r="B257" s="55" t="n">
        <v>549</v>
      </c>
      <c r="C257" s="56" t="n">
        <v>46302.4861238657</v>
      </c>
      <c r="D257" s="55" t="n">
        <v>11</v>
      </c>
      <c r="E257" s="54" t="s">
        <v>214</v>
      </c>
      <c r="F257" s="54" t="s">
        <v>859</v>
      </c>
      <c r="G257" s="54" t="s">
        <v>860</v>
      </c>
      <c r="H257" s="54" t="s">
        <v>861</v>
      </c>
      <c r="I257" s="54" t="s">
        <v>347</v>
      </c>
      <c r="J257" s="54" t="s">
        <v>862</v>
      </c>
      <c r="K257" s="58" t="n">
        <v>72</v>
      </c>
      <c r="L257" s="54" t="s">
        <v>863</v>
      </c>
      <c r="M257" s="54" t="s">
        <v>212</v>
      </c>
      <c r="N257" s="54" t="s">
        <v>214</v>
      </c>
      <c r="O257" s="58" t="n">
        <v>3.3</v>
      </c>
      <c r="P257" s="54" t="s">
        <v>212</v>
      </c>
      <c r="Q257" s="58"/>
    </row>
    <row r="258" customFormat="false" ht="15" hidden="false" customHeight="false" outlineLevel="0" collapsed="false">
      <c r="A258" s="54" t="s">
        <v>27</v>
      </c>
      <c r="B258" s="55" t="n">
        <v>568</v>
      </c>
      <c r="C258" s="56" t="n">
        <v>46302.5119915509</v>
      </c>
      <c r="D258" s="55" t="n">
        <v>12</v>
      </c>
      <c r="E258" s="54" t="s">
        <v>214</v>
      </c>
      <c r="F258" s="54" t="s">
        <v>859</v>
      </c>
      <c r="G258" s="54" t="s">
        <v>860</v>
      </c>
      <c r="H258" s="54" t="s">
        <v>861</v>
      </c>
      <c r="I258" s="54" t="s">
        <v>347</v>
      </c>
      <c r="J258" s="54" t="s">
        <v>862</v>
      </c>
      <c r="K258" s="58" t="n">
        <v>72</v>
      </c>
      <c r="L258" s="54" t="s">
        <v>863</v>
      </c>
      <c r="M258" s="54" t="s">
        <v>212</v>
      </c>
      <c r="N258" s="54" t="s">
        <v>214</v>
      </c>
      <c r="O258" s="58" t="n">
        <v>145.9</v>
      </c>
      <c r="P258" s="54" t="s">
        <v>212</v>
      </c>
      <c r="Q258" s="58"/>
    </row>
    <row r="259" customFormat="false" ht="15" hidden="false" customHeight="false" outlineLevel="0" collapsed="false">
      <c r="A259" s="54" t="s">
        <v>27</v>
      </c>
      <c r="B259" s="55" t="n">
        <v>570</v>
      </c>
      <c r="C259" s="56" t="n">
        <v>46302.5128592361</v>
      </c>
      <c r="D259" s="55" t="n">
        <v>12</v>
      </c>
      <c r="E259" s="54" t="s">
        <v>214</v>
      </c>
      <c r="F259" s="54" t="s">
        <v>859</v>
      </c>
      <c r="G259" s="54" t="s">
        <v>860</v>
      </c>
      <c r="H259" s="54" t="s">
        <v>861</v>
      </c>
      <c r="I259" s="54" t="s">
        <v>347</v>
      </c>
      <c r="J259" s="54" t="s">
        <v>862</v>
      </c>
      <c r="K259" s="58" t="n">
        <v>72</v>
      </c>
      <c r="L259" s="54" t="s">
        <v>863</v>
      </c>
      <c r="M259" s="54" t="s">
        <v>212</v>
      </c>
      <c r="N259" s="54" t="s">
        <v>214</v>
      </c>
      <c r="O259" s="58" t="n">
        <v>331.5</v>
      </c>
      <c r="P259" s="54" t="s">
        <v>214</v>
      </c>
      <c r="Q259" s="58" t="n">
        <v>332.7</v>
      </c>
    </row>
    <row r="260" customFormat="false" ht="15" hidden="false" customHeight="false" outlineLevel="0" collapsed="false">
      <c r="A260" s="54" t="s">
        <v>27</v>
      </c>
      <c r="B260" s="55" t="n">
        <v>572</v>
      </c>
      <c r="C260" s="56" t="n">
        <v>46302.5187654514</v>
      </c>
      <c r="D260" s="55" t="n">
        <v>12</v>
      </c>
      <c r="E260" s="54" t="s">
        <v>214</v>
      </c>
      <c r="F260" s="54" t="s">
        <v>859</v>
      </c>
      <c r="G260" s="54" t="s">
        <v>860</v>
      </c>
      <c r="H260" s="54" t="s">
        <v>861</v>
      </c>
      <c r="I260" s="54" t="s">
        <v>347</v>
      </c>
      <c r="J260" s="54" t="s">
        <v>862</v>
      </c>
      <c r="K260" s="58" t="n">
        <v>72</v>
      </c>
      <c r="L260" s="54" t="s">
        <v>863</v>
      </c>
      <c r="M260" s="54" t="s">
        <v>212</v>
      </c>
      <c r="N260" s="54" t="s">
        <v>214</v>
      </c>
      <c r="O260" s="58" t="n">
        <v>129.8</v>
      </c>
      <c r="P260" s="54" t="s">
        <v>212</v>
      </c>
      <c r="Q260" s="58"/>
    </row>
    <row r="261" customFormat="false" ht="15" hidden="false" customHeight="false" outlineLevel="0" collapsed="false">
      <c r="A261" s="54" t="s">
        <v>27</v>
      </c>
      <c r="B261" s="55" t="n">
        <v>579</v>
      </c>
      <c r="C261" s="56" t="n">
        <v>46302.546132037</v>
      </c>
      <c r="D261" s="55" t="n">
        <v>13</v>
      </c>
      <c r="E261" s="54" t="s">
        <v>214</v>
      </c>
      <c r="F261" s="54" t="s">
        <v>859</v>
      </c>
      <c r="G261" s="54" t="s">
        <v>860</v>
      </c>
      <c r="H261" s="54" t="s">
        <v>861</v>
      </c>
      <c r="I261" s="54" t="s">
        <v>347</v>
      </c>
      <c r="J261" s="54" t="s">
        <v>862</v>
      </c>
      <c r="K261" s="58" t="n">
        <v>72</v>
      </c>
      <c r="L261" s="54" t="s">
        <v>863</v>
      </c>
      <c r="M261" s="54" t="s">
        <v>212</v>
      </c>
      <c r="N261" s="54" t="s">
        <v>214</v>
      </c>
      <c r="O261" s="58" t="n">
        <v>119.3</v>
      </c>
      <c r="P261" s="54" t="s">
        <v>212</v>
      </c>
      <c r="Q261" s="58"/>
    </row>
    <row r="262" customFormat="false" ht="15" hidden="false" customHeight="false" outlineLevel="0" collapsed="false">
      <c r="A262" s="54" t="s">
        <v>27</v>
      </c>
      <c r="B262" s="55" t="n">
        <v>580</v>
      </c>
      <c r="C262" s="56" t="n">
        <v>46302.5492569907</v>
      </c>
      <c r="D262" s="55" t="n">
        <v>13</v>
      </c>
      <c r="E262" s="54" t="s">
        <v>214</v>
      </c>
      <c r="F262" s="54" t="s">
        <v>859</v>
      </c>
      <c r="G262" s="54" t="s">
        <v>860</v>
      </c>
      <c r="H262" s="54" t="s">
        <v>861</v>
      </c>
      <c r="I262" s="54" t="s">
        <v>347</v>
      </c>
      <c r="J262" s="54" t="s">
        <v>862</v>
      </c>
      <c r="K262" s="58" t="n">
        <v>72</v>
      </c>
      <c r="L262" s="54" t="s">
        <v>863</v>
      </c>
      <c r="M262" s="54" t="s">
        <v>212</v>
      </c>
      <c r="N262" s="54" t="s">
        <v>214</v>
      </c>
      <c r="O262" s="58" t="n">
        <v>1762.7</v>
      </c>
      <c r="P262" s="54" t="s">
        <v>212</v>
      </c>
      <c r="Q262" s="58"/>
    </row>
    <row r="263" customFormat="false" ht="15" hidden="false" customHeight="false" outlineLevel="0" collapsed="false">
      <c r="A263" s="54" t="s">
        <v>27</v>
      </c>
      <c r="B263" s="55" t="n">
        <v>581</v>
      </c>
      <c r="C263" s="56" t="n">
        <v>46302.5494314468</v>
      </c>
      <c r="D263" s="55" t="n">
        <v>13</v>
      </c>
      <c r="E263" s="54" t="s">
        <v>214</v>
      </c>
      <c r="F263" s="54" t="s">
        <v>859</v>
      </c>
      <c r="G263" s="54" t="s">
        <v>860</v>
      </c>
      <c r="H263" s="54" t="s">
        <v>861</v>
      </c>
      <c r="I263" s="54" t="s">
        <v>347</v>
      </c>
      <c r="J263" s="54" t="s">
        <v>862</v>
      </c>
      <c r="K263" s="58" t="n">
        <v>72</v>
      </c>
      <c r="L263" s="54" t="s">
        <v>863</v>
      </c>
      <c r="M263" s="54" t="s">
        <v>212</v>
      </c>
      <c r="N263" s="54" t="s">
        <v>214</v>
      </c>
      <c r="O263" s="58" t="n">
        <v>17.7</v>
      </c>
      <c r="P263" s="54" t="s">
        <v>212</v>
      </c>
      <c r="Q263" s="58"/>
    </row>
    <row r="264" customFormat="false" ht="15" hidden="false" customHeight="false" outlineLevel="0" collapsed="false">
      <c r="A264" s="54" t="s">
        <v>27</v>
      </c>
      <c r="B264" s="55" t="n">
        <v>601</v>
      </c>
      <c r="C264" s="56" t="n">
        <v>46302.5508133218</v>
      </c>
      <c r="D264" s="55" t="n">
        <v>13</v>
      </c>
      <c r="E264" s="54" t="s">
        <v>214</v>
      </c>
      <c r="F264" s="54" t="s">
        <v>129</v>
      </c>
      <c r="G264" s="54" t="s">
        <v>118</v>
      </c>
      <c r="H264" s="54" t="s">
        <v>220</v>
      </c>
      <c r="I264" s="54" t="s">
        <v>477</v>
      </c>
      <c r="J264" s="54" t="s">
        <v>864</v>
      </c>
      <c r="K264" s="58" t="n">
        <v>104.5</v>
      </c>
      <c r="L264" s="54" t="s">
        <v>212</v>
      </c>
      <c r="M264" s="54" t="s">
        <v>214</v>
      </c>
      <c r="N264" s="54" t="s">
        <v>214</v>
      </c>
      <c r="O264" s="58" t="n">
        <v>1.3</v>
      </c>
      <c r="P264" s="54" t="s">
        <v>212</v>
      </c>
      <c r="Q264" s="58"/>
    </row>
    <row r="265" customFormat="false" ht="15" hidden="false" customHeight="false" outlineLevel="0" collapsed="false">
      <c r="A265" s="54" t="s">
        <v>27</v>
      </c>
      <c r="B265" s="55" t="n">
        <v>578</v>
      </c>
      <c r="C265" s="56" t="n">
        <v>46302.5657507755</v>
      </c>
      <c r="D265" s="55" t="n">
        <v>13</v>
      </c>
      <c r="E265" s="54" t="s">
        <v>214</v>
      </c>
      <c r="F265" s="54" t="s">
        <v>859</v>
      </c>
      <c r="G265" s="54" t="s">
        <v>860</v>
      </c>
      <c r="H265" s="54" t="s">
        <v>861</v>
      </c>
      <c r="I265" s="54" t="s">
        <v>347</v>
      </c>
      <c r="J265" s="54" t="s">
        <v>862</v>
      </c>
      <c r="K265" s="58" t="n">
        <v>72</v>
      </c>
      <c r="L265" s="54" t="s">
        <v>863</v>
      </c>
      <c r="M265" s="54" t="s">
        <v>212</v>
      </c>
      <c r="N265" s="54" t="s">
        <v>214</v>
      </c>
      <c r="O265" s="58" t="n">
        <v>122.3</v>
      </c>
      <c r="P265" s="54" t="s">
        <v>212</v>
      </c>
      <c r="Q265" s="58"/>
    </row>
    <row r="266" customFormat="false" ht="15" hidden="false" customHeight="false" outlineLevel="0" collapsed="false">
      <c r="A266" s="54" t="s">
        <v>27</v>
      </c>
      <c r="B266" s="55" t="n">
        <v>586</v>
      </c>
      <c r="C266" s="56" t="n">
        <v>46302.5695700694</v>
      </c>
      <c r="D266" s="55" t="n">
        <v>13</v>
      </c>
      <c r="E266" s="54" t="s">
        <v>214</v>
      </c>
      <c r="F266" s="54" t="s">
        <v>859</v>
      </c>
      <c r="G266" s="54" t="s">
        <v>860</v>
      </c>
      <c r="H266" s="54" t="s">
        <v>861</v>
      </c>
      <c r="I266" s="54" t="s">
        <v>347</v>
      </c>
      <c r="J266" s="54" t="s">
        <v>862</v>
      </c>
      <c r="K266" s="58" t="n">
        <v>72</v>
      </c>
      <c r="L266" s="54" t="s">
        <v>863</v>
      </c>
      <c r="M266" s="54" t="s">
        <v>212</v>
      </c>
      <c r="N266" s="54" t="s">
        <v>212</v>
      </c>
      <c r="O266" s="58"/>
      <c r="P266" s="54" t="s">
        <v>214</v>
      </c>
      <c r="Q266" s="58" t="n">
        <v>54.7</v>
      </c>
    </row>
    <row r="267" customFormat="false" ht="15" hidden="false" customHeight="false" outlineLevel="0" collapsed="false">
      <c r="A267" s="54" t="s">
        <v>27</v>
      </c>
      <c r="B267" s="55" t="n">
        <v>551</v>
      </c>
      <c r="C267" s="56" t="n">
        <v>46302.5768630787</v>
      </c>
      <c r="D267" s="55" t="n">
        <v>13</v>
      </c>
      <c r="E267" s="54" t="s">
        <v>214</v>
      </c>
      <c r="F267" s="54" t="s">
        <v>859</v>
      </c>
      <c r="G267" s="54" t="s">
        <v>860</v>
      </c>
      <c r="H267" s="54" t="s">
        <v>861</v>
      </c>
      <c r="I267" s="54" t="s">
        <v>347</v>
      </c>
      <c r="J267" s="54" t="s">
        <v>862</v>
      </c>
      <c r="K267" s="58" t="n">
        <v>72</v>
      </c>
      <c r="L267" s="54" t="s">
        <v>863</v>
      </c>
      <c r="M267" s="54" t="s">
        <v>212</v>
      </c>
      <c r="N267" s="54" t="s">
        <v>214</v>
      </c>
      <c r="O267" s="58" t="n">
        <v>26.4</v>
      </c>
      <c r="P267" s="54" t="s">
        <v>212</v>
      </c>
      <c r="Q267" s="58"/>
    </row>
    <row r="268" customFormat="false" ht="15" hidden="false" customHeight="false" outlineLevel="0" collapsed="false">
      <c r="A268" s="54" t="s">
        <v>27</v>
      </c>
      <c r="B268" s="55" t="n">
        <v>620</v>
      </c>
      <c r="C268" s="56" t="n">
        <v>46302.5929417593</v>
      </c>
      <c r="D268" s="55" t="n">
        <v>14</v>
      </c>
      <c r="E268" s="54" t="s">
        <v>214</v>
      </c>
      <c r="F268" s="54" t="s">
        <v>128</v>
      </c>
      <c r="G268" s="54" t="s">
        <v>118</v>
      </c>
      <c r="H268" s="54" t="s">
        <v>220</v>
      </c>
      <c r="I268" s="54" t="s">
        <v>473</v>
      </c>
      <c r="J268" s="54" t="s">
        <v>865</v>
      </c>
      <c r="K268" s="58" t="n">
        <v>84.7</v>
      </c>
      <c r="L268" s="54" t="s">
        <v>212</v>
      </c>
      <c r="M268" s="54" t="s">
        <v>214</v>
      </c>
      <c r="N268" s="54" t="s">
        <v>212</v>
      </c>
      <c r="O268" s="58"/>
      <c r="P268" s="54" t="s">
        <v>212</v>
      </c>
      <c r="Q268" s="58"/>
    </row>
    <row r="269" customFormat="false" ht="15" hidden="false" customHeight="false" outlineLevel="0" collapsed="false">
      <c r="A269" s="54" t="s">
        <v>27</v>
      </c>
      <c r="B269" s="55" t="n">
        <v>590</v>
      </c>
      <c r="C269" s="56" t="n">
        <v>46302.595614375</v>
      </c>
      <c r="D269" s="55" t="n">
        <v>14</v>
      </c>
      <c r="E269" s="54" t="s">
        <v>214</v>
      </c>
      <c r="F269" s="54" t="s">
        <v>859</v>
      </c>
      <c r="G269" s="54" t="s">
        <v>860</v>
      </c>
      <c r="H269" s="54" t="s">
        <v>861</v>
      </c>
      <c r="I269" s="54" t="s">
        <v>347</v>
      </c>
      <c r="J269" s="54" t="s">
        <v>862</v>
      </c>
      <c r="K269" s="58" t="n">
        <v>72</v>
      </c>
      <c r="L269" s="54" t="s">
        <v>863</v>
      </c>
      <c r="M269" s="54" t="s">
        <v>212</v>
      </c>
      <c r="N269" s="54" t="s">
        <v>214</v>
      </c>
      <c r="O269" s="58" t="n">
        <v>130.2</v>
      </c>
      <c r="P269" s="54" t="s">
        <v>214</v>
      </c>
      <c r="Q269" s="58" t="n">
        <v>1353.6</v>
      </c>
    </row>
    <row r="270" customFormat="false" ht="15" hidden="false" customHeight="false" outlineLevel="0" collapsed="false">
      <c r="A270" s="54" t="s">
        <v>27</v>
      </c>
      <c r="B270" s="55" t="n">
        <v>592</v>
      </c>
      <c r="C270" s="56" t="n">
        <v>46302.5959593982</v>
      </c>
      <c r="D270" s="55" t="n">
        <v>14</v>
      </c>
      <c r="E270" s="54" t="s">
        <v>214</v>
      </c>
      <c r="F270" s="54" t="s">
        <v>859</v>
      </c>
      <c r="G270" s="54" t="s">
        <v>860</v>
      </c>
      <c r="H270" s="54" t="s">
        <v>861</v>
      </c>
      <c r="I270" s="54" t="s">
        <v>347</v>
      </c>
      <c r="J270" s="54" t="s">
        <v>862</v>
      </c>
      <c r="K270" s="58" t="n">
        <v>72</v>
      </c>
      <c r="L270" s="54" t="s">
        <v>863</v>
      </c>
      <c r="M270" s="54" t="s">
        <v>212</v>
      </c>
      <c r="N270" s="54" t="s">
        <v>212</v>
      </c>
      <c r="O270" s="58"/>
      <c r="P270" s="54" t="s">
        <v>212</v>
      </c>
      <c r="Q270" s="58"/>
    </row>
    <row r="271" customFormat="false" ht="15" hidden="false" customHeight="false" outlineLevel="0" collapsed="false">
      <c r="A271" s="54" t="s">
        <v>27</v>
      </c>
      <c r="B271" s="55" t="n">
        <v>586</v>
      </c>
      <c r="C271" s="56" t="n">
        <v>46302.620012882</v>
      </c>
      <c r="D271" s="55" t="n">
        <v>14</v>
      </c>
      <c r="E271" s="54" t="s">
        <v>214</v>
      </c>
      <c r="F271" s="54" t="s">
        <v>127</v>
      </c>
      <c r="G271" s="54" t="s">
        <v>118</v>
      </c>
      <c r="H271" s="54" t="s">
        <v>220</v>
      </c>
      <c r="I271" s="54" t="s">
        <v>347</v>
      </c>
      <c r="J271" s="54" t="s">
        <v>862</v>
      </c>
      <c r="K271" s="58" t="n">
        <v>108.8</v>
      </c>
      <c r="L271" s="54" t="s">
        <v>212</v>
      </c>
      <c r="M271" s="54" t="s">
        <v>214</v>
      </c>
      <c r="N271" s="54" t="s">
        <v>212</v>
      </c>
      <c r="O271" s="58"/>
      <c r="P271" s="54" t="s">
        <v>212</v>
      </c>
      <c r="Q271" s="58"/>
    </row>
    <row r="272" customFormat="false" ht="15" hidden="false" customHeight="false" outlineLevel="0" collapsed="false">
      <c r="A272" s="54" t="s">
        <v>27</v>
      </c>
      <c r="B272" s="55" t="n">
        <v>600</v>
      </c>
      <c r="C272" s="56" t="n">
        <v>46302.6387562037</v>
      </c>
      <c r="D272" s="55" t="n">
        <v>15</v>
      </c>
      <c r="E272" s="54" t="s">
        <v>214</v>
      </c>
      <c r="F272" s="54" t="s">
        <v>859</v>
      </c>
      <c r="G272" s="54" t="s">
        <v>860</v>
      </c>
      <c r="H272" s="54" t="s">
        <v>861</v>
      </c>
      <c r="I272" s="54" t="s">
        <v>347</v>
      </c>
      <c r="J272" s="54" t="s">
        <v>862</v>
      </c>
      <c r="K272" s="58" t="n">
        <v>72</v>
      </c>
      <c r="L272" s="54" t="s">
        <v>863</v>
      </c>
      <c r="M272" s="54" t="s">
        <v>212</v>
      </c>
      <c r="N272" s="54" t="s">
        <v>214</v>
      </c>
      <c r="O272" s="58" t="n">
        <v>122</v>
      </c>
      <c r="P272" s="54" t="s">
        <v>212</v>
      </c>
      <c r="Q272" s="58"/>
    </row>
    <row r="273" customFormat="false" ht="15" hidden="false" customHeight="false" outlineLevel="0" collapsed="false">
      <c r="A273" s="54" t="s">
        <v>27</v>
      </c>
      <c r="B273" s="55" t="n">
        <v>575</v>
      </c>
      <c r="C273" s="56" t="n">
        <v>46302.6407732176</v>
      </c>
      <c r="D273" s="55" t="n">
        <v>15</v>
      </c>
      <c r="E273" s="54" t="s">
        <v>214</v>
      </c>
      <c r="F273" s="54" t="s">
        <v>859</v>
      </c>
      <c r="G273" s="54" t="s">
        <v>860</v>
      </c>
      <c r="H273" s="54" t="s">
        <v>861</v>
      </c>
      <c r="I273" s="54" t="s">
        <v>347</v>
      </c>
      <c r="J273" s="54" t="s">
        <v>862</v>
      </c>
      <c r="K273" s="58" t="n">
        <v>72</v>
      </c>
      <c r="L273" s="54" t="s">
        <v>863</v>
      </c>
      <c r="M273" s="54" t="s">
        <v>212</v>
      </c>
      <c r="N273" s="54" t="s">
        <v>214</v>
      </c>
      <c r="O273" s="58" t="n">
        <v>5567.9</v>
      </c>
      <c r="P273" s="54" t="s">
        <v>212</v>
      </c>
      <c r="Q273" s="58"/>
    </row>
    <row r="274" customFormat="false" ht="15" hidden="false" customHeight="false" outlineLevel="0" collapsed="false">
      <c r="A274" s="54" t="s">
        <v>27</v>
      </c>
      <c r="B274" s="55" t="n">
        <v>628</v>
      </c>
      <c r="C274" s="56" t="n">
        <v>46302.6509799653</v>
      </c>
      <c r="D274" s="55" t="n">
        <v>15</v>
      </c>
      <c r="E274" s="54" t="s">
        <v>214</v>
      </c>
      <c r="F274" s="54" t="s">
        <v>128</v>
      </c>
      <c r="G274" s="54" t="s">
        <v>118</v>
      </c>
      <c r="H274" s="54" t="s">
        <v>220</v>
      </c>
      <c r="I274" s="54" t="s">
        <v>473</v>
      </c>
      <c r="J274" s="54" t="s">
        <v>865</v>
      </c>
      <c r="K274" s="58" t="n">
        <v>87.6</v>
      </c>
      <c r="L274" s="54" t="s">
        <v>212</v>
      </c>
      <c r="M274" s="54" t="s">
        <v>214</v>
      </c>
      <c r="N274" s="54" t="s">
        <v>214</v>
      </c>
      <c r="O274" s="58" t="n">
        <v>13.7</v>
      </c>
      <c r="P274" s="54" t="s">
        <v>214</v>
      </c>
      <c r="Q274" s="58" t="n">
        <v>15.5</v>
      </c>
    </row>
    <row r="275" customFormat="false" ht="15" hidden="false" customHeight="false" outlineLevel="0" collapsed="false">
      <c r="A275" s="54" t="s">
        <v>27</v>
      </c>
      <c r="B275" s="55" t="n">
        <v>642</v>
      </c>
      <c r="C275" s="56" t="n">
        <v>46302.6559062847</v>
      </c>
      <c r="D275" s="55" t="n">
        <v>15</v>
      </c>
      <c r="E275" s="54" t="s">
        <v>214</v>
      </c>
      <c r="F275" s="54" t="s">
        <v>128</v>
      </c>
      <c r="G275" s="54" t="s">
        <v>118</v>
      </c>
      <c r="H275" s="54" t="s">
        <v>220</v>
      </c>
      <c r="I275" s="54" t="s">
        <v>473</v>
      </c>
      <c r="J275" s="54" t="s">
        <v>865</v>
      </c>
      <c r="K275" s="58" t="n">
        <v>89.1</v>
      </c>
      <c r="L275" s="54" t="s">
        <v>212</v>
      </c>
      <c r="M275" s="54" t="s">
        <v>214</v>
      </c>
      <c r="N275" s="54" t="s">
        <v>212</v>
      </c>
      <c r="O275" s="58"/>
      <c r="P275" s="54" t="s">
        <v>214</v>
      </c>
      <c r="Q275" s="58" t="n">
        <v>15.9</v>
      </c>
    </row>
    <row r="276" customFormat="false" ht="15" hidden="false" customHeight="false" outlineLevel="0" collapsed="false">
      <c r="A276" s="54" t="s">
        <v>27</v>
      </c>
      <c r="B276" s="55" t="n">
        <v>611</v>
      </c>
      <c r="C276" s="56" t="n">
        <v>46302.6640834259</v>
      </c>
      <c r="D276" s="55" t="n">
        <v>15</v>
      </c>
      <c r="E276" s="54" t="s">
        <v>214</v>
      </c>
      <c r="F276" s="54" t="s">
        <v>859</v>
      </c>
      <c r="G276" s="54" t="s">
        <v>860</v>
      </c>
      <c r="H276" s="54" t="s">
        <v>861</v>
      </c>
      <c r="I276" s="54" t="s">
        <v>347</v>
      </c>
      <c r="J276" s="54" t="s">
        <v>862</v>
      </c>
      <c r="K276" s="58" t="n">
        <v>72</v>
      </c>
      <c r="L276" s="54" t="s">
        <v>863</v>
      </c>
      <c r="M276" s="54" t="s">
        <v>212</v>
      </c>
      <c r="N276" s="54" t="s">
        <v>212</v>
      </c>
      <c r="O276" s="58"/>
      <c r="P276" s="54" t="s">
        <v>212</v>
      </c>
      <c r="Q276" s="58"/>
    </row>
    <row r="277" customFormat="false" ht="15" hidden="false" customHeight="false" outlineLevel="0" collapsed="false">
      <c r="A277" s="54" t="s">
        <v>27</v>
      </c>
      <c r="B277" s="55" t="n">
        <v>651</v>
      </c>
      <c r="C277" s="56" t="n">
        <v>46302.680862037</v>
      </c>
      <c r="D277" s="55" t="n">
        <v>16</v>
      </c>
      <c r="E277" s="54" t="s">
        <v>214</v>
      </c>
      <c r="F277" s="54" t="s">
        <v>129</v>
      </c>
      <c r="G277" s="54" t="s">
        <v>118</v>
      </c>
      <c r="H277" s="54" t="s">
        <v>220</v>
      </c>
      <c r="I277" s="54" t="s">
        <v>477</v>
      </c>
      <c r="J277" s="54" t="s">
        <v>864</v>
      </c>
      <c r="K277" s="58" t="n">
        <v>104.7</v>
      </c>
      <c r="L277" s="54" t="s">
        <v>212</v>
      </c>
      <c r="M277" s="54" t="s">
        <v>214</v>
      </c>
      <c r="N277" s="54" t="s">
        <v>214</v>
      </c>
      <c r="O277" s="58" t="n">
        <v>0.8</v>
      </c>
      <c r="P277" s="54" t="s">
        <v>214</v>
      </c>
      <c r="Q277" s="58" t="n">
        <v>1.2</v>
      </c>
    </row>
    <row r="278" customFormat="false" ht="15" hidden="false" customHeight="false" outlineLevel="0" collapsed="false">
      <c r="A278" s="54" t="s">
        <v>27</v>
      </c>
      <c r="B278" s="55" t="n">
        <v>626</v>
      </c>
      <c r="C278" s="56" t="n">
        <v>46302.700369919</v>
      </c>
      <c r="D278" s="55" t="n">
        <v>16</v>
      </c>
      <c r="E278" s="54" t="s">
        <v>214</v>
      </c>
      <c r="F278" s="54" t="s">
        <v>859</v>
      </c>
      <c r="G278" s="54" t="s">
        <v>860</v>
      </c>
      <c r="H278" s="54" t="s">
        <v>861</v>
      </c>
      <c r="I278" s="54" t="s">
        <v>347</v>
      </c>
      <c r="J278" s="54" t="s">
        <v>862</v>
      </c>
      <c r="K278" s="58" t="n">
        <v>72</v>
      </c>
      <c r="L278" s="54" t="s">
        <v>863</v>
      </c>
      <c r="M278" s="54" t="s">
        <v>212</v>
      </c>
      <c r="N278" s="54" t="s">
        <v>214</v>
      </c>
      <c r="O278" s="58" t="n">
        <v>84.6</v>
      </c>
      <c r="P278" s="54" t="s">
        <v>212</v>
      </c>
      <c r="Q278" s="58"/>
    </row>
    <row r="279" customFormat="false" ht="15" hidden="false" customHeight="false" outlineLevel="0" collapsed="false">
      <c r="A279" s="54" t="s">
        <v>27</v>
      </c>
      <c r="B279" s="55" t="n">
        <v>636</v>
      </c>
      <c r="C279" s="56" t="n">
        <v>46302.7107866898</v>
      </c>
      <c r="D279" s="55" t="n">
        <v>17</v>
      </c>
      <c r="E279" s="54" t="s">
        <v>214</v>
      </c>
      <c r="F279" s="54" t="s">
        <v>859</v>
      </c>
      <c r="G279" s="54" t="s">
        <v>860</v>
      </c>
      <c r="H279" s="54" t="s">
        <v>861</v>
      </c>
      <c r="I279" s="54" t="s">
        <v>347</v>
      </c>
      <c r="J279" s="54" t="s">
        <v>862</v>
      </c>
      <c r="K279" s="58" t="n">
        <v>72</v>
      </c>
      <c r="L279" s="54" t="s">
        <v>863</v>
      </c>
      <c r="M279" s="54" t="s">
        <v>212</v>
      </c>
      <c r="N279" s="54" t="s">
        <v>212</v>
      </c>
      <c r="O279" s="58"/>
      <c r="P279" s="54" t="s">
        <v>212</v>
      </c>
      <c r="Q279" s="58"/>
    </row>
    <row r="280" customFormat="false" ht="15" hidden="false" customHeight="false" outlineLevel="0" collapsed="false">
      <c r="A280" s="54" t="s">
        <v>27</v>
      </c>
      <c r="B280" s="55" t="n">
        <v>601</v>
      </c>
      <c r="C280" s="56" t="n">
        <v>46302.7284955093</v>
      </c>
      <c r="D280" s="55" t="n">
        <v>17</v>
      </c>
      <c r="E280" s="54" t="s">
        <v>214</v>
      </c>
      <c r="F280" s="54" t="s">
        <v>859</v>
      </c>
      <c r="G280" s="54" t="s">
        <v>860</v>
      </c>
      <c r="H280" s="54" t="s">
        <v>861</v>
      </c>
      <c r="I280" s="54" t="s">
        <v>347</v>
      </c>
      <c r="J280" s="54" t="s">
        <v>862</v>
      </c>
      <c r="K280" s="58" t="n">
        <v>72</v>
      </c>
      <c r="L280" s="54" t="s">
        <v>863</v>
      </c>
      <c r="M280" s="54" t="s">
        <v>212</v>
      </c>
      <c r="N280" s="54" t="s">
        <v>214</v>
      </c>
      <c r="O280" s="58" t="n">
        <v>25.5</v>
      </c>
      <c r="P280" s="54" t="s">
        <v>212</v>
      </c>
      <c r="Q280" s="58"/>
    </row>
    <row r="281" customFormat="false" ht="15" hidden="false" customHeight="false" outlineLevel="0" collapsed="false">
      <c r="A281" s="54" t="s">
        <v>27</v>
      </c>
      <c r="B281" s="55" t="n">
        <v>670</v>
      </c>
      <c r="C281" s="56" t="n">
        <v>46302.7498237616</v>
      </c>
      <c r="D281" s="55" t="n">
        <v>17</v>
      </c>
      <c r="E281" s="54" t="s">
        <v>214</v>
      </c>
      <c r="F281" s="54" t="s">
        <v>128</v>
      </c>
      <c r="G281" s="54" t="s">
        <v>118</v>
      </c>
      <c r="H281" s="54" t="s">
        <v>220</v>
      </c>
      <c r="I281" s="54" t="s">
        <v>473</v>
      </c>
      <c r="J281" s="54" t="s">
        <v>865</v>
      </c>
      <c r="K281" s="58" t="n">
        <v>83.5</v>
      </c>
      <c r="L281" s="54" t="s">
        <v>212</v>
      </c>
      <c r="M281" s="54" t="s">
        <v>214</v>
      </c>
      <c r="N281" s="54" t="s">
        <v>214</v>
      </c>
      <c r="O281" s="58" t="n">
        <v>1.7</v>
      </c>
      <c r="P281" s="54" t="s">
        <v>214</v>
      </c>
      <c r="Q281" s="58" t="n">
        <v>3.5</v>
      </c>
    </row>
    <row r="282" customFormat="false" ht="15" hidden="false" customHeight="false" outlineLevel="0" collapsed="false">
      <c r="A282" s="54" t="s">
        <v>27</v>
      </c>
      <c r="B282" s="55" t="n">
        <v>645</v>
      </c>
      <c r="C282" s="56" t="n">
        <v>46302.7608883333</v>
      </c>
      <c r="D282" s="55" t="n">
        <v>18</v>
      </c>
      <c r="E282" s="54" t="s">
        <v>214</v>
      </c>
      <c r="F282" s="54" t="s">
        <v>859</v>
      </c>
      <c r="G282" s="54" t="s">
        <v>860</v>
      </c>
      <c r="H282" s="54" t="s">
        <v>861</v>
      </c>
      <c r="I282" s="54" t="s">
        <v>347</v>
      </c>
      <c r="J282" s="54" t="s">
        <v>862</v>
      </c>
      <c r="K282" s="58" t="n">
        <v>72</v>
      </c>
      <c r="L282" s="54" t="s">
        <v>863</v>
      </c>
      <c r="M282" s="54" t="s">
        <v>212</v>
      </c>
      <c r="N282" s="54" t="s">
        <v>214</v>
      </c>
      <c r="O282" s="58" t="n">
        <v>103.1</v>
      </c>
      <c r="P282" s="54" t="s">
        <v>212</v>
      </c>
      <c r="Q282" s="58"/>
    </row>
    <row r="283" customFormat="false" ht="15" hidden="false" customHeight="false" outlineLevel="0" collapsed="false">
      <c r="A283" s="54" t="s">
        <v>27</v>
      </c>
      <c r="B283" s="55" t="n">
        <v>620</v>
      </c>
      <c r="C283" s="56" t="n">
        <v>46302.7690507986</v>
      </c>
      <c r="D283" s="55" t="n">
        <v>18</v>
      </c>
      <c r="E283" s="54" t="s">
        <v>214</v>
      </c>
      <c r="F283" s="54" t="s">
        <v>859</v>
      </c>
      <c r="G283" s="54" t="s">
        <v>860</v>
      </c>
      <c r="H283" s="54" t="s">
        <v>861</v>
      </c>
      <c r="I283" s="54" t="s">
        <v>347</v>
      </c>
      <c r="J283" s="54" t="s">
        <v>862</v>
      </c>
      <c r="K283" s="58" t="n">
        <v>72</v>
      </c>
      <c r="L283" s="54" t="s">
        <v>863</v>
      </c>
      <c r="M283" s="54" t="s">
        <v>212</v>
      </c>
      <c r="N283" s="54" t="s">
        <v>212</v>
      </c>
      <c r="O283" s="58"/>
      <c r="P283" s="54" t="s">
        <v>212</v>
      </c>
      <c r="Q283" s="58"/>
    </row>
    <row r="284" customFormat="false" ht="15" hidden="false" customHeight="false" outlineLevel="0" collapsed="false">
      <c r="A284" s="54" t="s">
        <v>27</v>
      </c>
      <c r="B284" s="55" t="n">
        <v>660</v>
      </c>
      <c r="C284" s="56" t="n">
        <v>46302.7891875695</v>
      </c>
      <c r="D284" s="55" t="n">
        <v>18</v>
      </c>
      <c r="E284" s="54" t="s">
        <v>214</v>
      </c>
      <c r="F284" s="54" t="s">
        <v>859</v>
      </c>
      <c r="G284" s="54" t="s">
        <v>860</v>
      </c>
      <c r="H284" s="54" t="s">
        <v>861</v>
      </c>
      <c r="I284" s="54" t="s">
        <v>347</v>
      </c>
      <c r="J284" s="54" t="s">
        <v>862</v>
      </c>
      <c r="K284" s="58" t="n">
        <v>72</v>
      </c>
      <c r="L284" s="54" t="s">
        <v>863</v>
      </c>
      <c r="M284" s="54" t="s">
        <v>212</v>
      </c>
      <c r="N284" s="54" t="s">
        <v>212</v>
      </c>
      <c r="O284" s="58"/>
      <c r="P284" s="54" t="s">
        <v>212</v>
      </c>
      <c r="Q284" s="58"/>
    </row>
    <row r="285" customFormat="false" ht="15" hidden="false" customHeight="false" outlineLevel="0" collapsed="false">
      <c r="A285" s="54" t="s">
        <v>27</v>
      </c>
      <c r="B285" s="55" t="n">
        <v>659</v>
      </c>
      <c r="C285" s="56" t="n">
        <v>46302.8020325</v>
      </c>
      <c r="D285" s="55" t="n">
        <v>19</v>
      </c>
      <c r="E285" s="54" t="s">
        <v>214</v>
      </c>
      <c r="F285" s="54" t="s">
        <v>859</v>
      </c>
      <c r="G285" s="54" t="s">
        <v>860</v>
      </c>
      <c r="H285" s="54" t="s">
        <v>861</v>
      </c>
      <c r="I285" s="54" t="s">
        <v>347</v>
      </c>
      <c r="J285" s="54" t="s">
        <v>862</v>
      </c>
      <c r="K285" s="58" t="n">
        <v>72</v>
      </c>
      <c r="L285" s="54" t="s">
        <v>863</v>
      </c>
      <c r="M285" s="54" t="s">
        <v>212</v>
      </c>
      <c r="N285" s="54" t="s">
        <v>214</v>
      </c>
      <c r="O285" s="58" t="n">
        <v>15.6</v>
      </c>
      <c r="P285" s="54" t="s">
        <v>212</v>
      </c>
      <c r="Q285" s="58"/>
    </row>
    <row r="286" customFormat="false" ht="15" hidden="false" customHeight="false" outlineLevel="0" collapsed="false">
      <c r="A286" s="54" t="s">
        <v>27</v>
      </c>
      <c r="B286" s="55" t="n">
        <v>659</v>
      </c>
      <c r="C286" s="56" t="n">
        <v>46302.8093359954</v>
      </c>
      <c r="D286" s="55" t="n">
        <v>19</v>
      </c>
      <c r="E286" s="54" t="s">
        <v>214</v>
      </c>
      <c r="F286" s="54" t="s">
        <v>127</v>
      </c>
      <c r="G286" s="54" t="s">
        <v>118</v>
      </c>
      <c r="H286" s="54" t="s">
        <v>220</v>
      </c>
      <c r="I286" s="54" t="s">
        <v>347</v>
      </c>
      <c r="J286" s="54" t="s">
        <v>862</v>
      </c>
      <c r="K286" s="58" t="n">
        <v>116.5</v>
      </c>
      <c r="L286" s="54" t="s">
        <v>212</v>
      </c>
      <c r="M286" s="54" t="s">
        <v>214</v>
      </c>
      <c r="N286" s="54" t="s">
        <v>214</v>
      </c>
      <c r="O286" s="58" t="n">
        <v>5.1</v>
      </c>
      <c r="P286" s="54" t="s">
        <v>212</v>
      </c>
      <c r="Q286" s="58"/>
    </row>
    <row r="287" customFormat="false" ht="15" hidden="false" customHeight="false" outlineLevel="0" collapsed="false">
      <c r="A287" s="54" t="s">
        <v>27</v>
      </c>
      <c r="B287" s="55" t="n">
        <v>628</v>
      </c>
      <c r="C287" s="56" t="n">
        <v>46302.8268592593</v>
      </c>
      <c r="D287" s="55" t="n">
        <v>19</v>
      </c>
      <c r="E287" s="54" t="s">
        <v>214</v>
      </c>
      <c r="F287" s="54" t="s">
        <v>859</v>
      </c>
      <c r="G287" s="54" t="s">
        <v>860</v>
      </c>
      <c r="H287" s="54" t="s">
        <v>861</v>
      </c>
      <c r="I287" s="54" t="s">
        <v>347</v>
      </c>
      <c r="J287" s="54" t="s">
        <v>862</v>
      </c>
      <c r="K287" s="58" t="n">
        <v>72</v>
      </c>
      <c r="L287" s="54" t="s">
        <v>863</v>
      </c>
      <c r="M287" s="54" t="s">
        <v>212</v>
      </c>
      <c r="N287" s="54" t="s">
        <v>214</v>
      </c>
      <c r="O287" s="58" t="n">
        <v>2423.6</v>
      </c>
      <c r="P287" s="54" t="s">
        <v>212</v>
      </c>
      <c r="Q287" s="58"/>
    </row>
    <row r="288" customFormat="false" ht="15" hidden="false" customHeight="false" outlineLevel="0" collapsed="false">
      <c r="A288" s="54" t="s">
        <v>27</v>
      </c>
      <c r="B288" s="55" t="n">
        <v>666</v>
      </c>
      <c r="C288" s="56" t="n">
        <v>46302.8292939236</v>
      </c>
      <c r="D288" s="55" t="n">
        <v>19</v>
      </c>
      <c r="E288" s="54" t="s">
        <v>214</v>
      </c>
      <c r="F288" s="54" t="s">
        <v>859</v>
      </c>
      <c r="G288" s="54" t="s">
        <v>860</v>
      </c>
      <c r="H288" s="54" t="s">
        <v>861</v>
      </c>
      <c r="I288" s="54" t="s">
        <v>347</v>
      </c>
      <c r="J288" s="54" t="s">
        <v>862</v>
      </c>
      <c r="K288" s="58" t="n">
        <v>72</v>
      </c>
      <c r="L288" s="54" t="s">
        <v>863</v>
      </c>
      <c r="M288" s="54" t="s">
        <v>212</v>
      </c>
      <c r="N288" s="54" t="s">
        <v>212</v>
      </c>
      <c r="O288" s="58"/>
      <c r="P288" s="54" t="s">
        <v>212</v>
      </c>
      <c r="Q288" s="58"/>
    </row>
    <row r="289" customFormat="false" ht="15" hidden="false" customHeight="false" outlineLevel="0" collapsed="false">
      <c r="A289" s="54" t="s">
        <v>27</v>
      </c>
      <c r="B289" s="55" t="n">
        <v>642</v>
      </c>
      <c r="C289" s="56" t="n">
        <v>46302.836060706</v>
      </c>
      <c r="D289" s="55" t="n">
        <v>20</v>
      </c>
      <c r="E289" s="54" t="s">
        <v>214</v>
      </c>
      <c r="F289" s="54" t="s">
        <v>859</v>
      </c>
      <c r="G289" s="54" t="s">
        <v>860</v>
      </c>
      <c r="H289" s="54" t="s">
        <v>861</v>
      </c>
      <c r="I289" s="54" t="s">
        <v>347</v>
      </c>
      <c r="J289" s="54" t="s">
        <v>862</v>
      </c>
      <c r="K289" s="58" t="n">
        <v>72</v>
      </c>
      <c r="L289" s="54" t="s">
        <v>863</v>
      </c>
      <c r="M289" s="54" t="s">
        <v>212</v>
      </c>
      <c r="N289" s="54" t="s">
        <v>212</v>
      </c>
      <c r="O289" s="58"/>
      <c r="P289" s="54" t="s">
        <v>212</v>
      </c>
      <c r="Q289" s="58"/>
    </row>
    <row r="290" customFormat="false" ht="15" hidden="false" customHeight="false" outlineLevel="0" collapsed="false">
      <c r="A290" s="54" t="s">
        <v>27</v>
      </c>
      <c r="B290" s="55" t="n">
        <v>682</v>
      </c>
      <c r="C290" s="56" t="n">
        <v>46302.8408897454</v>
      </c>
      <c r="D290" s="55" t="n">
        <v>20</v>
      </c>
      <c r="E290" s="54" t="s">
        <v>214</v>
      </c>
      <c r="F290" s="54" t="s">
        <v>859</v>
      </c>
      <c r="G290" s="54" t="s">
        <v>860</v>
      </c>
      <c r="H290" s="54" t="s">
        <v>861</v>
      </c>
      <c r="I290" s="54" t="s">
        <v>347</v>
      </c>
      <c r="J290" s="54" t="s">
        <v>862</v>
      </c>
      <c r="K290" s="58" t="n">
        <v>72</v>
      </c>
      <c r="L290" s="54" t="s">
        <v>863</v>
      </c>
      <c r="M290" s="54" t="s">
        <v>212</v>
      </c>
      <c r="N290" s="54" t="s">
        <v>214</v>
      </c>
      <c r="O290" s="58" t="n">
        <v>711.7</v>
      </c>
      <c r="P290" s="54" t="s">
        <v>212</v>
      </c>
      <c r="Q290" s="58"/>
    </row>
    <row r="291" customFormat="false" ht="15" hidden="false" customHeight="false" outlineLevel="0" collapsed="false">
      <c r="A291" s="54" t="s">
        <v>27</v>
      </c>
      <c r="B291" s="55" t="n">
        <v>680</v>
      </c>
      <c r="C291" s="56" t="n">
        <v>46302.8585843287</v>
      </c>
      <c r="D291" s="55" t="n">
        <v>20</v>
      </c>
      <c r="E291" s="54" t="s">
        <v>214</v>
      </c>
      <c r="F291" s="54" t="s">
        <v>859</v>
      </c>
      <c r="G291" s="54" t="s">
        <v>860</v>
      </c>
      <c r="H291" s="54" t="s">
        <v>861</v>
      </c>
      <c r="I291" s="54" t="s">
        <v>347</v>
      </c>
      <c r="J291" s="54" t="s">
        <v>862</v>
      </c>
      <c r="K291" s="58" t="n">
        <v>72</v>
      </c>
      <c r="L291" s="54" t="s">
        <v>863</v>
      </c>
      <c r="M291" s="54" t="s">
        <v>212</v>
      </c>
      <c r="N291" s="54" t="s">
        <v>214</v>
      </c>
      <c r="O291" s="58" t="n">
        <v>43.6</v>
      </c>
      <c r="P291" s="54" t="s">
        <v>212</v>
      </c>
      <c r="Q291" s="58"/>
    </row>
    <row r="292" customFormat="false" ht="15" hidden="false" customHeight="false" outlineLevel="0" collapsed="false">
      <c r="A292" s="54" t="s">
        <v>27</v>
      </c>
      <c r="B292" s="55" t="n">
        <v>721</v>
      </c>
      <c r="C292" s="56" t="n">
        <v>46302.8679838194</v>
      </c>
      <c r="D292" s="55" t="n">
        <v>20</v>
      </c>
      <c r="E292" s="54" t="s">
        <v>214</v>
      </c>
      <c r="F292" s="54" t="s">
        <v>129</v>
      </c>
      <c r="G292" s="54" t="s">
        <v>118</v>
      </c>
      <c r="H292" s="54" t="s">
        <v>220</v>
      </c>
      <c r="I292" s="54" t="s">
        <v>477</v>
      </c>
      <c r="J292" s="54" t="s">
        <v>864</v>
      </c>
      <c r="K292" s="58" t="n">
        <v>96.8</v>
      </c>
      <c r="L292" s="54" t="s">
        <v>212</v>
      </c>
      <c r="M292" s="54" t="s">
        <v>214</v>
      </c>
      <c r="N292" s="54" t="s">
        <v>214</v>
      </c>
      <c r="O292" s="58" t="n">
        <v>22.2</v>
      </c>
      <c r="P292" s="54" t="s">
        <v>214</v>
      </c>
      <c r="Q292" s="58" t="n">
        <v>23.8</v>
      </c>
    </row>
    <row r="293" customFormat="false" ht="15" hidden="false" customHeight="false" outlineLevel="0" collapsed="false">
      <c r="A293" s="54" t="s">
        <v>27</v>
      </c>
      <c r="B293" s="55" t="n">
        <v>723</v>
      </c>
      <c r="C293" s="56" t="n">
        <v>46302.8699322338</v>
      </c>
      <c r="D293" s="55" t="n">
        <v>20</v>
      </c>
      <c r="E293" s="54" t="s">
        <v>214</v>
      </c>
      <c r="F293" s="54" t="s">
        <v>129</v>
      </c>
      <c r="G293" s="54" t="s">
        <v>118</v>
      </c>
      <c r="H293" s="54" t="s">
        <v>220</v>
      </c>
      <c r="I293" s="54" t="s">
        <v>477</v>
      </c>
      <c r="J293" s="54" t="s">
        <v>864</v>
      </c>
      <c r="K293" s="58" t="n">
        <v>97.3</v>
      </c>
      <c r="L293" s="54" t="s">
        <v>212</v>
      </c>
      <c r="M293" s="54" t="s">
        <v>214</v>
      </c>
      <c r="N293" s="54" t="s">
        <v>214</v>
      </c>
      <c r="O293" s="58" t="n">
        <v>0.6</v>
      </c>
      <c r="P293" s="54" t="s">
        <v>214</v>
      </c>
      <c r="Q293" s="58" t="n">
        <v>3.9</v>
      </c>
    </row>
    <row r="294" customFormat="false" ht="15" hidden="false" customHeight="false" outlineLevel="0" collapsed="false">
      <c r="A294" s="54" t="s">
        <v>27</v>
      </c>
      <c r="B294" s="55" t="n">
        <v>721</v>
      </c>
      <c r="C294" s="56" t="n">
        <v>46302.8872178241</v>
      </c>
      <c r="D294" s="55" t="n">
        <v>21</v>
      </c>
      <c r="E294" s="54" t="s">
        <v>214</v>
      </c>
      <c r="F294" s="54" t="s">
        <v>129</v>
      </c>
      <c r="G294" s="54" t="s">
        <v>118</v>
      </c>
      <c r="H294" s="54" t="s">
        <v>220</v>
      </c>
      <c r="I294" s="54" t="s">
        <v>473</v>
      </c>
      <c r="J294" s="54" t="s">
        <v>865</v>
      </c>
      <c r="K294" s="58" t="n">
        <v>39.3</v>
      </c>
      <c r="L294" s="54" t="s">
        <v>212</v>
      </c>
      <c r="M294" s="54" t="s">
        <v>212</v>
      </c>
      <c r="N294" s="54" t="s">
        <v>214</v>
      </c>
      <c r="O294" s="58" t="n">
        <v>15.3</v>
      </c>
      <c r="P294" s="54" t="s">
        <v>212</v>
      </c>
      <c r="Q294" s="58"/>
    </row>
    <row r="295" customFormat="false" ht="15" hidden="false" customHeight="false" outlineLevel="0" collapsed="false">
      <c r="A295" s="54" t="s">
        <v>27</v>
      </c>
      <c r="B295" s="55" t="n">
        <v>730</v>
      </c>
      <c r="C295" s="56" t="n">
        <v>46302.9046560301</v>
      </c>
      <c r="D295" s="55" t="n">
        <v>21</v>
      </c>
      <c r="E295" s="54" t="s">
        <v>214</v>
      </c>
      <c r="F295" s="54" t="s">
        <v>128</v>
      </c>
      <c r="G295" s="54" t="s">
        <v>118</v>
      </c>
      <c r="H295" s="54" t="s">
        <v>220</v>
      </c>
      <c r="I295" s="54" t="s">
        <v>477</v>
      </c>
      <c r="J295" s="54" t="s">
        <v>864</v>
      </c>
      <c r="K295" s="58" t="n">
        <v>76.7</v>
      </c>
      <c r="L295" s="54" t="s">
        <v>212</v>
      </c>
      <c r="M295" s="54" t="s">
        <v>214</v>
      </c>
      <c r="N295" s="54" t="s">
        <v>212</v>
      </c>
      <c r="O295" s="58"/>
      <c r="P295" s="54" t="s">
        <v>214</v>
      </c>
      <c r="Q295" s="58" t="n">
        <v>3.3</v>
      </c>
    </row>
    <row r="296" customFormat="false" ht="15" hidden="false" customHeight="false" outlineLevel="0" collapsed="false">
      <c r="A296" s="54" t="s">
        <v>27</v>
      </c>
      <c r="B296" s="55" t="n">
        <v>762</v>
      </c>
      <c r="C296" s="56" t="n">
        <v>46303.3155644213</v>
      </c>
      <c r="D296" s="55" t="n">
        <v>7</v>
      </c>
      <c r="E296" s="54" t="s">
        <v>212</v>
      </c>
      <c r="F296" s="54" t="s">
        <v>127</v>
      </c>
      <c r="G296" s="54" t="s">
        <v>118</v>
      </c>
      <c r="H296" s="54" t="s">
        <v>220</v>
      </c>
      <c r="I296" s="54" t="s">
        <v>347</v>
      </c>
      <c r="J296" s="54" t="s">
        <v>862</v>
      </c>
      <c r="K296" s="58" t="n">
        <v>113.3</v>
      </c>
      <c r="L296" s="54" t="s">
        <v>212</v>
      </c>
      <c r="M296" s="54" t="s">
        <v>214</v>
      </c>
      <c r="N296" s="54" t="s">
        <v>214</v>
      </c>
      <c r="O296" s="58" t="n">
        <v>266.6</v>
      </c>
      <c r="P296" s="54" t="s">
        <v>214</v>
      </c>
      <c r="Q296" s="58" t="n">
        <v>268.6</v>
      </c>
    </row>
    <row r="297" customFormat="false" ht="15" hidden="false" customHeight="false" outlineLevel="0" collapsed="false">
      <c r="A297" s="54" t="s">
        <v>27</v>
      </c>
      <c r="B297" s="55" t="n">
        <v>754</v>
      </c>
      <c r="C297" s="56" t="n">
        <v>46303.3183728241</v>
      </c>
      <c r="D297" s="55" t="n">
        <v>7</v>
      </c>
      <c r="E297" s="54" t="s">
        <v>212</v>
      </c>
      <c r="F297" s="54" t="s">
        <v>127</v>
      </c>
      <c r="G297" s="54" t="s">
        <v>118</v>
      </c>
      <c r="H297" s="54" t="s">
        <v>220</v>
      </c>
      <c r="I297" s="54" t="s">
        <v>477</v>
      </c>
      <c r="J297" s="54" t="s">
        <v>864</v>
      </c>
      <c r="K297" s="58" t="n">
        <v>109.4</v>
      </c>
      <c r="L297" s="54" t="s">
        <v>212</v>
      </c>
      <c r="M297" s="54" t="s">
        <v>214</v>
      </c>
      <c r="N297" s="54" t="s">
        <v>214</v>
      </c>
      <c r="O297" s="58" t="n">
        <v>2.6</v>
      </c>
      <c r="P297" s="54" t="s">
        <v>214</v>
      </c>
      <c r="Q297" s="58" t="n">
        <v>6.3</v>
      </c>
    </row>
    <row r="298" customFormat="false" ht="15" hidden="false" customHeight="false" outlineLevel="0" collapsed="false">
      <c r="A298" s="54" t="s">
        <v>27</v>
      </c>
      <c r="B298" s="55" t="n">
        <v>776</v>
      </c>
      <c r="C298" s="56" t="n">
        <v>46303.3343513889</v>
      </c>
      <c r="D298" s="55" t="n">
        <v>8</v>
      </c>
      <c r="E298" s="54" t="s">
        <v>214</v>
      </c>
      <c r="F298" s="54" t="s">
        <v>127</v>
      </c>
      <c r="G298" s="54" t="s">
        <v>118</v>
      </c>
      <c r="H298" s="54" t="s">
        <v>220</v>
      </c>
      <c r="I298" s="54" t="s">
        <v>477</v>
      </c>
      <c r="J298" s="54" t="s">
        <v>864</v>
      </c>
      <c r="K298" s="58" t="n">
        <v>122.1</v>
      </c>
      <c r="L298" s="54" t="s">
        <v>212</v>
      </c>
      <c r="M298" s="54" t="s">
        <v>214</v>
      </c>
      <c r="N298" s="54" t="s">
        <v>214</v>
      </c>
      <c r="O298" s="58" t="n">
        <v>5.1</v>
      </c>
      <c r="P298" s="54" t="s">
        <v>214</v>
      </c>
      <c r="Q298" s="58" t="n">
        <v>20.4</v>
      </c>
    </row>
    <row r="299" customFormat="false" ht="15" hidden="false" customHeight="false" outlineLevel="0" collapsed="false">
      <c r="A299" s="54" t="s">
        <v>27</v>
      </c>
      <c r="B299" s="55" t="n">
        <v>772</v>
      </c>
      <c r="C299" s="56" t="n">
        <v>46303.3395877662</v>
      </c>
      <c r="D299" s="55" t="n">
        <v>8</v>
      </c>
      <c r="E299" s="54" t="s">
        <v>214</v>
      </c>
      <c r="F299" s="54" t="s">
        <v>127</v>
      </c>
      <c r="G299" s="54" t="s">
        <v>118</v>
      </c>
      <c r="H299" s="54" t="s">
        <v>220</v>
      </c>
      <c r="I299" s="54" t="s">
        <v>477</v>
      </c>
      <c r="J299" s="54" t="s">
        <v>864</v>
      </c>
      <c r="K299" s="58" t="n">
        <v>112.6</v>
      </c>
      <c r="L299" s="54" t="s">
        <v>212</v>
      </c>
      <c r="M299" s="54" t="s">
        <v>214</v>
      </c>
      <c r="N299" s="54" t="s">
        <v>214</v>
      </c>
      <c r="O299" s="58" t="n">
        <v>0.5</v>
      </c>
      <c r="P299" s="54" t="s">
        <v>214</v>
      </c>
      <c r="Q299" s="58" t="n">
        <v>5.2</v>
      </c>
    </row>
    <row r="300" customFormat="false" ht="15" hidden="false" customHeight="false" outlineLevel="0" collapsed="false">
      <c r="A300" s="54" t="s">
        <v>27</v>
      </c>
      <c r="B300" s="55" t="n">
        <v>692</v>
      </c>
      <c r="C300" s="56" t="n">
        <v>46303.3750496296</v>
      </c>
      <c r="D300" s="55" t="n">
        <v>9</v>
      </c>
      <c r="E300" s="54" t="s">
        <v>214</v>
      </c>
      <c r="F300" s="54" t="s">
        <v>859</v>
      </c>
      <c r="G300" s="54" t="s">
        <v>860</v>
      </c>
      <c r="H300" s="54" t="s">
        <v>861</v>
      </c>
      <c r="I300" s="54" t="s">
        <v>347</v>
      </c>
      <c r="J300" s="54" t="s">
        <v>862</v>
      </c>
      <c r="K300" s="58" t="n">
        <v>72</v>
      </c>
      <c r="L300" s="54" t="s">
        <v>863</v>
      </c>
      <c r="M300" s="54" t="s">
        <v>212</v>
      </c>
      <c r="N300" s="54" t="s">
        <v>214</v>
      </c>
      <c r="O300" s="58" t="n">
        <v>3136.4</v>
      </c>
      <c r="P300" s="54" t="s">
        <v>212</v>
      </c>
      <c r="Q300" s="58"/>
    </row>
    <row r="301" customFormat="false" ht="15" hidden="false" customHeight="false" outlineLevel="0" collapsed="false">
      <c r="A301" s="54" t="s">
        <v>27</v>
      </c>
      <c r="B301" s="55" t="n">
        <v>710</v>
      </c>
      <c r="C301" s="56" t="n">
        <v>46303.3752148495</v>
      </c>
      <c r="D301" s="55" t="n">
        <v>9</v>
      </c>
      <c r="E301" s="54" t="s">
        <v>214</v>
      </c>
      <c r="F301" s="54" t="s">
        <v>859</v>
      </c>
      <c r="G301" s="54" t="s">
        <v>860</v>
      </c>
      <c r="H301" s="54" t="s">
        <v>861</v>
      </c>
      <c r="I301" s="54" t="s">
        <v>347</v>
      </c>
      <c r="J301" s="54" t="s">
        <v>862</v>
      </c>
      <c r="K301" s="58" t="n">
        <v>72</v>
      </c>
      <c r="L301" s="54" t="s">
        <v>863</v>
      </c>
      <c r="M301" s="54" t="s">
        <v>212</v>
      </c>
      <c r="N301" s="54" t="s">
        <v>212</v>
      </c>
      <c r="O301" s="58"/>
      <c r="P301" s="54" t="s">
        <v>212</v>
      </c>
      <c r="Q301" s="58"/>
    </row>
    <row r="302" customFormat="false" ht="15" hidden="false" customHeight="false" outlineLevel="0" collapsed="false">
      <c r="A302" s="54" t="s">
        <v>27</v>
      </c>
      <c r="B302" s="55" t="n">
        <v>713</v>
      </c>
      <c r="C302" s="56" t="n">
        <v>46303.3752291088</v>
      </c>
      <c r="D302" s="55" t="n">
        <v>9</v>
      </c>
      <c r="E302" s="54" t="s">
        <v>214</v>
      </c>
      <c r="F302" s="54" t="s">
        <v>859</v>
      </c>
      <c r="G302" s="54" t="s">
        <v>860</v>
      </c>
      <c r="H302" s="54" t="s">
        <v>861</v>
      </c>
      <c r="I302" s="54" t="s">
        <v>347</v>
      </c>
      <c r="J302" s="54" t="s">
        <v>862</v>
      </c>
      <c r="K302" s="58" t="n">
        <v>72</v>
      </c>
      <c r="L302" s="54" t="s">
        <v>863</v>
      </c>
      <c r="M302" s="54" t="s">
        <v>212</v>
      </c>
      <c r="N302" s="54" t="s">
        <v>212</v>
      </c>
      <c r="O302" s="58"/>
      <c r="P302" s="54" t="s">
        <v>212</v>
      </c>
      <c r="Q302" s="58"/>
    </row>
    <row r="303" customFormat="false" ht="15" hidden="false" customHeight="false" outlineLevel="0" collapsed="false">
      <c r="A303" s="54" t="s">
        <v>27</v>
      </c>
      <c r="B303" s="55" t="n">
        <v>707</v>
      </c>
      <c r="C303" s="56" t="n">
        <v>46303.3752376852</v>
      </c>
      <c r="D303" s="55" t="n">
        <v>9</v>
      </c>
      <c r="E303" s="54" t="s">
        <v>214</v>
      </c>
      <c r="F303" s="54" t="s">
        <v>859</v>
      </c>
      <c r="G303" s="54" t="s">
        <v>860</v>
      </c>
      <c r="H303" s="54" t="s">
        <v>861</v>
      </c>
      <c r="I303" s="54" t="s">
        <v>347</v>
      </c>
      <c r="J303" s="54" t="s">
        <v>862</v>
      </c>
      <c r="K303" s="58" t="n">
        <v>72</v>
      </c>
      <c r="L303" s="54" t="s">
        <v>863</v>
      </c>
      <c r="M303" s="54" t="s">
        <v>212</v>
      </c>
      <c r="N303" s="54" t="s">
        <v>212</v>
      </c>
      <c r="O303" s="58"/>
      <c r="P303" s="54" t="s">
        <v>212</v>
      </c>
      <c r="Q303" s="58"/>
    </row>
    <row r="304" customFormat="false" ht="15" hidden="false" customHeight="false" outlineLevel="0" collapsed="false">
      <c r="A304" s="54" t="s">
        <v>27</v>
      </c>
      <c r="B304" s="55" t="n">
        <v>741</v>
      </c>
      <c r="C304" s="56" t="n">
        <v>46303.3754203704</v>
      </c>
      <c r="D304" s="55" t="n">
        <v>9</v>
      </c>
      <c r="E304" s="54" t="s">
        <v>214</v>
      </c>
      <c r="F304" s="54" t="s">
        <v>859</v>
      </c>
      <c r="G304" s="54" t="s">
        <v>860</v>
      </c>
      <c r="H304" s="54" t="s">
        <v>861</v>
      </c>
      <c r="I304" s="54" t="s">
        <v>347</v>
      </c>
      <c r="J304" s="54" t="s">
        <v>862</v>
      </c>
      <c r="K304" s="58" t="n">
        <v>72</v>
      </c>
      <c r="L304" s="54" t="s">
        <v>863</v>
      </c>
      <c r="M304" s="54" t="s">
        <v>212</v>
      </c>
      <c r="N304" s="54" t="s">
        <v>214</v>
      </c>
      <c r="O304" s="58" t="n">
        <v>20.4</v>
      </c>
      <c r="P304" s="54" t="s">
        <v>212</v>
      </c>
      <c r="Q304" s="58"/>
    </row>
    <row r="305" customFormat="false" ht="15" hidden="false" customHeight="false" outlineLevel="0" collapsed="false">
      <c r="A305" s="54" t="s">
        <v>27</v>
      </c>
      <c r="B305" s="55" t="n">
        <v>761</v>
      </c>
      <c r="C305" s="56" t="n">
        <v>46303.3755690625</v>
      </c>
      <c r="D305" s="55" t="n">
        <v>9</v>
      </c>
      <c r="E305" s="54" t="s">
        <v>214</v>
      </c>
      <c r="F305" s="54" t="s">
        <v>859</v>
      </c>
      <c r="G305" s="54" t="s">
        <v>860</v>
      </c>
      <c r="H305" s="54" t="s">
        <v>861</v>
      </c>
      <c r="I305" s="54" t="s">
        <v>347</v>
      </c>
      <c r="J305" s="54" t="s">
        <v>862</v>
      </c>
      <c r="K305" s="58" t="n">
        <v>72</v>
      </c>
      <c r="L305" s="54" t="s">
        <v>863</v>
      </c>
      <c r="M305" s="54" t="s">
        <v>212</v>
      </c>
      <c r="N305" s="54" t="s">
        <v>214</v>
      </c>
      <c r="O305" s="58" t="n">
        <v>40.7</v>
      </c>
      <c r="P305" s="54" t="s">
        <v>212</v>
      </c>
      <c r="Q305" s="58"/>
    </row>
    <row r="306" customFormat="false" ht="15" hidden="false" customHeight="false" outlineLevel="0" collapsed="false">
      <c r="A306" s="54" t="s">
        <v>27</v>
      </c>
      <c r="B306" s="55" t="n">
        <v>705</v>
      </c>
      <c r="C306" s="56" t="n">
        <v>46303.3755767361</v>
      </c>
      <c r="D306" s="55" t="n">
        <v>9</v>
      </c>
      <c r="E306" s="54" t="s">
        <v>214</v>
      </c>
      <c r="F306" s="54" t="s">
        <v>859</v>
      </c>
      <c r="G306" s="54" t="s">
        <v>860</v>
      </c>
      <c r="H306" s="54" t="s">
        <v>861</v>
      </c>
      <c r="I306" s="54" t="s">
        <v>347</v>
      </c>
      <c r="J306" s="54" t="s">
        <v>862</v>
      </c>
      <c r="K306" s="58" t="n">
        <v>72</v>
      </c>
      <c r="L306" s="54" t="s">
        <v>863</v>
      </c>
      <c r="M306" s="54" t="s">
        <v>212</v>
      </c>
      <c r="N306" s="54" t="s">
        <v>212</v>
      </c>
      <c r="O306" s="58"/>
      <c r="P306" s="54" t="s">
        <v>212</v>
      </c>
      <c r="Q306" s="58"/>
    </row>
    <row r="307" customFormat="false" ht="15" hidden="false" customHeight="false" outlineLevel="0" collapsed="false">
      <c r="A307" s="54" t="s">
        <v>27</v>
      </c>
      <c r="B307" s="55" t="n">
        <v>702</v>
      </c>
      <c r="C307" s="56" t="n">
        <v>46303.3755777778</v>
      </c>
      <c r="D307" s="55" t="n">
        <v>9</v>
      </c>
      <c r="E307" s="54" t="s">
        <v>214</v>
      </c>
      <c r="F307" s="54" t="s">
        <v>859</v>
      </c>
      <c r="G307" s="54" t="s">
        <v>860</v>
      </c>
      <c r="H307" s="54" t="s">
        <v>861</v>
      </c>
      <c r="I307" s="54" t="s">
        <v>347</v>
      </c>
      <c r="J307" s="54" t="s">
        <v>862</v>
      </c>
      <c r="K307" s="58" t="n">
        <v>72</v>
      </c>
      <c r="L307" s="54" t="s">
        <v>863</v>
      </c>
      <c r="M307" s="54" t="s">
        <v>212</v>
      </c>
      <c r="N307" s="54" t="s">
        <v>212</v>
      </c>
      <c r="O307" s="58"/>
      <c r="P307" s="54" t="s">
        <v>212</v>
      </c>
      <c r="Q307" s="58"/>
    </row>
    <row r="308" customFormat="false" ht="15" hidden="false" customHeight="false" outlineLevel="0" collapsed="false">
      <c r="A308" s="54" t="s">
        <v>27</v>
      </c>
      <c r="B308" s="55" t="n">
        <v>723</v>
      </c>
      <c r="C308" s="56" t="n">
        <v>46303.3755929745</v>
      </c>
      <c r="D308" s="55" t="n">
        <v>9</v>
      </c>
      <c r="E308" s="54" t="s">
        <v>214</v>
      </c>
      <c r="F308" s="54" t="s">
        <v>859</v>
      </c>
      <c r="G308" s="54" t="s">
        <v>860</v>
      </c>
      <c r="H308" s="54" t="s">
        <v>861</v>
      </c>
      <c r="I308" s="54" t="s">
        <v>347</v>
      </c>
      <c r="J308" s="54" t="s">
        <v>862</v>
      </c>
      <c r="K308" s="58" t="n">
        <v>72</v>
      </c>
      <c r="L308" s="54" t="s">
        <v>863</v>
      </c>
      <c r="M308" s="54" t="s">
        <v>212</v>
      </c>
      <c r="N308" s="54" t="s">
        <v>214</v>
      </c>
      <c r="O308" s="58" t="n">
        <v>11.9</v>
      </c>
      <c r="P308" s="54" t="s">
        <v>212</v>
      </c>
      <c r="Q308" s="58"/>
    </row>
    <row r="309" customFormat="false" ht="15" hidden="false" customHeight="false" outlineLevel="0" collapsed="false">
      <c r="A309" s="54" t="s">
        <v>27</v>
      </c>
      <c r="B309" s="55" t="n">
        <v>704</v>
      </c>
      <c r="C309" s="56" t="n">
        <v>46303.3755965972</v>
      </c>
      <c r="D309" s="55" t="n">
        <v>9</v>
      </c>
      <c r="E309" s="54" t="s">
        <v>214</v>
      </c>
      <c r="F309" s="54" t="s">
        <v>859</v>
      </c>
      <c r="G309" s="54" t="s">
        <v>860</v>
      </c>
      <c r="H309" s="54" t="s">
        <v>861</v>
      </c>
      <c r="I309" s="54" t="s">
        <v>347</v>
      </c>
      <c r="J309" s="54" t="s">
        <v>862</v>
      </c>
      <c r="K309" s="58" t="n">
        <v>72</v>
      </c>
      <c r="L309" s="54" t="s">
        <v>863</v>
      </c>
      <c r="M309" s="54" t="s">
        <v>212</v>
      </c>
      <c r="N309" s="54" t="s">
        <v>214</v>
      </c>
      <c r="O309" s="58" t="n">
        <v>7.6</v>
      </c>
      <c r="P309" s="54" t="s">
        <v>212</v>
      </c>
      <c r="Q309" s="58"/>
    </row>
    <row r="310" customFormat="false" ht="15" hidden="false" customHeight="false" outlineLevel="0" collapsed="false">
      <c r="A310" s="54" t="s">
        <v>27</v>
      </c>
      <c r="B310" s="55" t="n">
        <v>721</v>
      </c>
      <c r="C310" s="56" t="n">
        <v>46303.3756089468</v>
      </c>
      <c r="D310" s="55" t="n">
        <v>9</v>
      </c>
      <c r="E310" s="54" t="s">
        <v>214</v>
      </c>
      <c r="F310" s="54" t="s">
        <v>859</v>
      </c>
      <c r="G310" s="54" t="s">
        <v>860</v>
      </c>
      <c r="H310" s="54" t="s">
        <v>861</v>
      </c>
      <c r="I310" s="54" t="s">
        <v>347</v>
      </c>
      <c r="J310" s="54" t="s">
        <v>862</v>
      </c>
      <c r="K310" s="58" t="n">
        <v>72</v>
      </c>
      <c r="L310" s="54" t="s">
        <v>863</v>
      </c>
      <c r="M310" s="54" t="s">
        <v>212</v>
      </c>
      <c r="N310" s="54" t="s">
        <v>214</v>
      </c>
      <c r="O310" s="58" t="n">
        <v>4562.3</v>
      </c>
      <c r="P310" s="54" t="s">
        <v>212</v>
      </c>
      <c r="Q310" s="58"/>
    </row>
    <row r="311" customFormat="false" ht="15" hidden="false" customHeight="false" outlineLevel="0" collapsed="false">
      <c r="A311" s="54" t="s">
        <v>27</v>
      </c>
      <c r="B311" s="55" t="n">
        <v>725</v>
      </c>
      <c r="C311" s="56" t="n">
        <v>46303.3756100347</v>
      </c>
      <c r="D311" s="55" t="n">
        <v>9</v>
      </c>
      <c r="E311" s="54" t="s">
        <v>214</v>
      </c>
      <c r="F311" s="54" t="s">
        <v>859</v>
      </c>
      <c r="G311" s="54" t="s">
        <v>860</v>
      </c>
      <c r="H311" s="54" t="s">
        <v>861</v>
      </c>
      <c r="I311" s="54" t="s">
        <v>347</v>
      </c>
      <c r="J311" s="54" t="s">
        <v>862</v>
      </c>
      <c r="K311" s="58" t="n">
        <v>72</v>
      </c>
      <c r="L311" s="54" t="s">
        <v>863</v>
      </c>
      <c r="M311" s="54" t="s">
        <v>212</v>
      </c>
      <c r="N311" s="54" t="s">
        <v>212</v>
      </c>
      <c r="O311" s="58"/>
      <c r="P311" s="54" t="s">
        <v>212</v>
      </c>
      <c r="Q311" s="58"/>
    </row>
    <row r="312" customFormat="false" ht="15" hidden="false" customHeight="false" outlineLevel="0" collapsed="false">
      <c r="A312" s="54" t="s">
        <v>27</v>
      </c>
      <c r="B312" s="55" t="n">
        <v>720</v>
      </c>
      <c r="C312" s="56" t="n">
        <v>46303.3756140046</v>
      </c>
      <c r="D312" s="55" t="n">
        <v>9</v>
      </c>
      <c r="E312" s="54" t="s">
        <v>214</v>
      </c>
      <c r="F312" s="54" t="s">
        <v>859</v>
      </c>
      <c r="G312" s="54" t="s">
        <v>860</v>
      </c>
      <c r="H312" s="54" t="s">
        <v>861</v>
      </c>
      <c r="I312" s="54" t="s">
        <v>347</v>
      </c>
      <c r="J312" s="54" t="s">
        <v>862</v>
      </c>
      <c r="K312" s="58" t="n">
        <v>72</v>
      </c>
      <c r="L312" s="54" t="s">
        <v>863</v>
      </c>
      <c r="M312" s="54" t="s">
        <v>212</v>
      </c>
      <c r="N312" s="54" t="s">
        <v>214</v>
      </c>
      <c r="O312" s="58" t="n">
        <v>9</v>
      </c>
      <c r="P312" s="54" t="s">
        <v>214</v>
      </c>
      <c r="Q312" s="58" t="n">
        <v>9.9</v>
      </c>
    </row>
    <row r="313" customFormat="false" ht="15" hidden="false" customHeight="false" outlineLevel="0" collapsed="false">
      <c r="A313" s="54" t="s">
        <v>27</v>
      </c>
      <c r="B313" s="55" t="n">
        <v>740</v>
      </c>
      <c r="C313" s="56" t="n">
        <v>46303.3757567477</v>
      </c>
      <c r="D313" s="55" t="n">
        <v>9</v>
      </c>
      <c r="E313" s="54" t="s">
        <v>214</v>
      </c>
      <c r="F313" s="54" t="s">
        <v>859</v>
      </c>
      <c r="G313" s="54" t="s">
        <v>860</v>
      </c>
      <c r="H313" s="54" t="s">
        <v>861</v>
      </c>
      <c r="I313" s="54" t="s">
        <v>347</v>
      </c>
      <c r="J313" s="54" t="s">
        <v>862</v>
      </c>
      <c r="K313" s="58" t="n">
        <v>72</v>
      </c>
      <c r="L313" s="54" t="s">
        <v>863</v>
      </c>
      <c r="M313" s="54" t="s">
        <v>212</v>
      </c>
      <c r="N313" s="54" t="s">
        <v>214</v>
      </c>
      <c r="O313" s="58" t="n">
        <v>31.7</v>
      </c>
      <c r="P313" s="54" t="s">
        <v>214</v>
      </c>
      <c r="Q313" s="58" t="n">
        <v>34.5</v>
      </c>
    </row>
    <row r="314" customFormat="false" ht="15" hidden="false" customHeight="false" outlineLevel="0" collapsed="false">
      <c r="A314" s="54" t="s">
        <v>27</v>
      </c>
      <c r="B314" s="55" t="n">
        <v>651</v>
      </c>
      <c r="C314" s="56" t="n">
        <v>46303.3757637847</v>
      </c>
      <c r="D314" s="55" t="n">
        <v>9</v>
      </c>
      <c r="E314" s="54" t="s">
        <v>214</v>
      </c>
      <c r="F314" s="54" t="s">
        <v>859</v>
      </c>
      <c r="G314" s="54" t="s">
        <v>860</v>
      </c>
      <c r="H314" s="54" t="s">
        <v>861</v>
      </c>
      <c r="I314" s="54" t="s">
        <v>347</v>
      </c>
      <c r="J314" s="54" t="s">
        <v>862</v>
      </c>
      <c r="K314" s="58" t="n">
        <v>72</v>
      </c>
      <c r="L314" s="54" t="s">
        <v>863</v>
      </c>
      <c r="M314" s="54" t="s">
        <v>212</v>
      </c>
      <c r="N314" s="54" t="s">
        <v>214</v>
      </c>
      <c r="O314" s="58" t="n">
        <v>137.9</v>
      </c>
      <c r="P314" s="54" t="s">
        <v>212</v>
      </c>
      <c r="Q314" s="58"/>
    </row>
    <row r="315" customFormat="false" ht="15" hidden="false" customHeight="false" outlineLevel="0" collapsed="false">
      <c r="A315" s="54" t="s">
        <v>27</v>
      </c>
      <c r="B315" s="55" t="n">
        <v>687</v>
      </c>
      <c r="C315" s="56" t="n">
        <v>46303.3757674421</v>
      </c>
      <c r="D315" s="55" t="n">
        <v>9</v>
      </c>
      <c r="E315" s="54" t="s">
        <v>214</v>
      </c>
      <c r="F315" s="54" t="s">
        <v>859</v>
      </c>
      <c r="G315" s="54" t="s">
        <v>860</v>
      </c>
      <c r="H315" s="54" t="s">
        <v>861</v>
      </c>
      <c r="I315" s="54" t="s">
        <v>347</v>
      </c>
      <c r="J315" s="54" t="s">
        <v>862</v>
      </c>
      <c r="K315" s="58" t="n">
        <v>72</v>
      </c>
      <c r="L315" s="54" t="s">
        <v>863</v>
      </c>
      <c r="M315" s="54" t="s">
        <v>212</v>
      </c>
      <c r="N315" s="54" t="s">
        <v>214</v>
      </c>
      <c r="O315" s="58" t="n">
        <v>4471.6</v>
      </c>
      <c r="P315" s="54" t="s">
        <v>212</v>
      </c>
      <c r="Q315" s="58"/>
    </row>
    <row r="316" customFormat="false" ht="15" hidden="false" customHeight="false" outlineLevel="0" collapsed="false">
      <c r="A316" s="54" t="s">
        <v>27</v>
      </c>
      <c r="B316" s="55" t="n">
        <v>740</v>
      </c>
      <c r="C316" s="56" t="n">
        <v>46303.3806837732</v>
      </c>
      <c r="D316" s="55" t="n">
        <v>9</v>
      </c>
      <c r="E316" s="54" t="s">
        <v>214</v>
      </c>
      <c r="F316" s="54" t="s">
        <v>127</v>
      </c>
      <c r="G316" s="54" t="s">
        <v>118</v>
      </c>
      <c r="H316" s="54" t="s">
        <v>220</v>
      </c>
      <c r="I316" s="54" t="s">
        <v>347</v>
      </c>
      <c r="J316" s="54" t="s">
        <v>862</v>
      </c>
      <c r="K316" s="58" t="n">
        <v>107.2</v>
      </c>
      <c r="L316" s="54" t="s">
        <v>212</v>
      </c>
      <c r="M316" s="54" t="s">
        <v>214</v>
      </c>
      <c r="N316" s="54" t="s">
        <v>214</v>
      </c>
      <c r="O316" s="58" t="n">
        <v>24.6</v>
      </c>
      <c r="P316" s="54" t="s">
        <v>214</v>
      </c>
      <c r="Q316" s="58" t="n">
        <v>27.5</v>
      </c>
    </row>
    <row r="317" customFormat="false" ht="15" hidden="false" customHeight="false" outlineLevel="0" collapsed="false">
      <c r="A317" s="54" t="s">
        <v>27</v>
      </c>
      <c r="B317" s="55" t="n">
        <v>742</v>
      </c>
      <c r="C317" s="56" t="n">
        <v>46303.387016794</v>
      </c>
      <c r="D317" s="55" t="n">
        <v>9</v>
      </c>
      <c r="E317" s="54" t="s">
        <v>214</v>
      </c>
      <c r="F317" s="54" t="s">
        <v>859</v>
      </c>
      <c r="G317" s="54" t="s">
        <v>860</v>
      </c>
      <c r="H317" s="54" t="s">
        <v>861</v>
      </c>
      <c r="I317" s="54" t="s">
        <v>347</v>
      </c>
      <c r="J317" s="54" t="s">
        <v>862</v>
      </c>
      <c r="K317" s="58" t="n">
        <v>72</v>
      </c>
      <c r="L317" s="54" t="s">
        <v>863</v>
      </c>
      <c r="M317" s="54" t="s">
        <v>212</v>
      </c>
      <c r="N317" s="54" t="s">
        <v>214</v>
      </c>
      <c r="O317" s="58" t="n">
        <v>48.1</v>
      </c>
      <c r="P317" s="54" t="s">
        <v>214</v>
      </c>
      <c r="Q317" s="58" t="n">
        <v>50.5</v>
      </c>
    </row>
    <row r="318" customFormat="false" ht="15" hidden="false" customHeight="false" outlineLevel="0" collapsed="false">
      <c r="A318" s="54" t="s">
        <v>27</v>
      </c>
      <c r="B318" s="55" t="n">
        <v>467</v>
      </c>
      <c r="C318" s="56" t="n">
        <v>46303.388464375</v>
      </c>
      <c r="D318" s="55" t="n">
        <v>9</v>
      </c>
      <c r="E318" s="54" t="s">
        <v>214</v>
      </c>
      <c r="F318" s="54" t="s">
        <v>130</v>
      </c>
      <c r="G318" s="54" t="s">
        <v>118</v>
      </c>
      <c r="H318" s="54" t="s">
        <v>215</v>
      </c>
      <c r="I318" s="54" t="s">
        <v>347</v>
      </c>
      <c r="J318" s="54" t="s">
        <v>862</v>
      </c>
      <c r="K318" s="58" t="n">
        <v>103.8</v>
      </c>
      <c r="L318" s="54" t="s">
        <v>212</v>
      </c>
      <c r="M318" s="54" t="s">
        <v>212</v>
      </c>
      <c r="N318" s="54" t="s">
        <v>212</v>
      </c>
      <c r="O318" s="58"/>
      <c r="P318" s="54" t="s">
        <v>212</v>
      </c>
      <c r="Q318" s="58"/>
    </row>
    <row r="319" customFormat="false" ht="15" hidden="false" customHeight="false" outlineLevel="0" collapsed="false">
      <c r="A319" s="54" t="s">
        <v>27</v>
      </c>
      <c r="B319" s="55" t="n">
        <v>745</v>
      </c>
      <c r="C319" s="56" t="n">
        <v>46303.3915318634</v>
      </c>
      <c r="D319" s="55" t="n">
        <v>9</v>
      </c>
      <c r="E319" s="54" t="s">
        <v>214</v>
      </c>
      <c r="F319" s="54" t="s">
        <v>859</v>
      </c>
      <c r="G319" s="54" t="s">
        <v>860</v>
      </c>
      <c r="H319" s="54" t="s">
        <v>861</v>
      </c>
      <c r="I319" s="54" t="s">
        <v>347</v>
      </c>
      <c r="J319" s="54" t="s">
        <v>862</v>
      </c>
      <c r="K319" s="58" t="n">
        <v>72</v>
      </c>
      <c r="L319" s="54" t="s">
        <v>863</v>
      </c>
      <c r="M319" s="54" t="s">
        <v>212</v>
      </c>
      <c r="N319" s="54" t="s">
        <v>212</v>
      </c>
      <c r="O319" s="58"/>
      <c r="P319" s="54" t="s">
        <v>212</v>
      </c>
      <c r="Q319" s="58"/>
    </row>
    <row r="320" customFormat="false" ht="15" hidden="false" customHeight="false" outlineLevel="0" collapsed="false">
      <c r="A320" s="54" t="s">
        <v>27</v>
      </c>
      <c r="B320" s="55" t="n">
        <v>752</v>
      </c>
      <c r="C320" s="56" t="n">
        <v>46303.3958706366</v>
      </c>
      <c r="D320" s="55" t="n">
        <v>9</v>
      </c>
      <c r="E320" s="54" t="s">
        <v>214</v>
      </c>
      <c r="F320" s="54" t="s">
        <v>859</v>
      </c>
      <c r="G320" s="54" t="s">
        <v>860</v>
      </c>
      <c r="H320" s="54" t="s">
        <v>861</v>
      </c>
      <c r="I320" s="54" t="s">
        <v>347</v>
      </c>
      <c r="J320" s="54" t="s">
        <v>862</v>
      </c>
      <c r="K320" s="58" t="n">
        <v>72</v>
      </c>
      <c r="L320" s="54" t="s">
        <v>863</v>
      </c>
      <c r="M320" s="54" t="s">
        <v>212</v>
      </c>
      <c r="N320" s="54" t="s">
        <v>214</v>
      </c>
      <c r="O320" s="58" t="n">
        <v>31.2</v>
      </c>
      <c r="P320" s="54" t="s">
        <v>214</v>
      </c>
      <c r="Q320" s="58" t="n">
        <v>34.1</v>
      </c>
    </row>
    <row r="321" customFormat="false" ht="15" hidden="false" customHeight="false" outlineLevel="0" collapsed="false">
      <c r="A321" s="54" t="s">
        <v>27</v>
      </c>
      <c r="B321" s="55" t="n">
        <v>757</v>
      </c>
      <c r="C321" s="56" t="n">
        <v>46303.3967390162</v>
      </c>
      <c r="D321" s="55" t="n">
        <v>9</v>
      </c>
      <c r="E321" s="54" t="s">
        <v>214</v>
      </c>
      <c r="F321" s="54" t="s">
        <v>859</v>
      </c>
      <c r="G321" s="54" t="s">
        <v>860</v>
      </c>
      <c r="H321" s="54" t="s">
        <v>861</v>
      </c>
      <c r="I321" s="54" t="s">
        <v>347</v>
      </c>
      <c r="J321" s="54" t="s">
        <v>862</v>
      </c>
      <c r="K321" s="58" t="n">
        <v>72</v>
      </c>
      <c r="L321" s="54" t="s">
        <v>863</v>
      </c>
      <c r="M321" s="54" t="s">
        <v>212</v>
      </c>
      <c r="N321" s="54" t="s">
        <v>214</v>
      </c>
      <c r="O321" s="58" t="n">
        <v>274.4</v>
      </c>
      <c r="P321" s="54" t="s">
        <v>212</v>
      </c>
      <c r="Q321" s="58"/>
    </row>
    <row r="322" customFormat="false" ht="15" hidden="false" customHeight="false" outlineLevel="0" collapsed="false">
      <c r="A322" s="54" t="s">
        <v>27</v>
      </c>
      <c r="B322" s="55" t="n">
        <v>740</v>
      </c>
      <c r="C322" s="56" t="n">
        <v>46303.4020496528</v>
      </c>
      <c r="D322" s="55" t="n">
        <v>9</v>
      </c>
      <c r="E322" s="54" t="s">
        <v>214</v>
      </c>
      <c r="F322" s="54" t="s">
        <v>127</v>
      </c>
      <c r="G322" s="54" t="s">
        <v>118</v>
      </c>
      <c r="H322" s="54" t="s">
        <v>220</v>
      </c>
      <c r="I322" s="54" t="s">
        <v>347</v>
      </c>
      <c r="J322" s="54" t="s">
        <v>862</v>
      </c>
      <c r="K322" s="58" t="n">
        <v>57</v>
      </c>
      <c r="L322" s="54" t="s">
        <v>214</v>
      </c>
      <c r="M322" s="54" t="s">
        <v>212</v>
      </c>
      <c r="N322" s="54" t="s">
        <v>214</v>
      </c>
      <c r="O322" s="58" t="n">
        <v>5.6</v>
      </c>
      <c r="P322" s="54" t="s">
        <v>214</v>
      </c>
      <c r="Q322" s="58" t="n">
        <v>8.4</v>
      </c>
    </row>
    <row r="323" customFormat="false" ht="15" hidden="false" customHeight="false" outlineLevel="0" collapsed="false">
      <c r="A323" s="54" t="s">
        <v>27</v>
      </c>
      <c r="B323" s="55" t="n">
        <v>767</v>
      </c>
      <c r="C323" s="56" t="n">
        <v>46303.4036440162</v>
      </c>
      <c r="D323" s="55" t="n">
        <v>9</v>
      </c>
      <c r="E323" s="54" t="s">
        <v>214</v>
      </c>
      <c r="F323" s="54" t="s">
        <v>859</v>
      </c>
      <c r="G323" s="54" t="s">
        <v>860</v>
      </c>
      <c r="H323" s="54" t="s">
        <v>861</v>
      </c>
      <c r="I323" s="54" t="s">
        <v>347</v>
      </c>
      <c r="J323" s="54" t="s">
        <v>862</v>
      </c>
      <c r="K323" s="58" t="n">
        <v>72</v>
      </c>
      <c r="L323" s="54" t="s">
        <v>863</v>
      </c>
      <c r="M323" s="54" t="s">
        <v>212</v>
      </c>
      <c r="N323" s="54" t="s">
        <v>214</v>
      </c>
      <c r="O323" s="58" t="n">
        <v>145.5</v>
      </c>
      <c r="P323" s="54" t="s">
        <v>212</v>
      </c>
      <c r="Q323" s="58"/>
    </row>
    <row r="324" customFormat="false" ht="15" hidden="false" customHeight="false" outlineLevel="0" collapsed="false">
      <c r="A324" s="54" t="s">
        <v>27</v>
      </c>
      <c r="B324" s="55" t="n">
        <v>785</v>
      </c>
      <c r="C324" s="56" t="n">
        <v>46303.4442353125</v>
      </c>
      <c r="D324" s="55" t="n">
        <v>10</v>
      </c>
      <c r="E324" s="54" t="s">
        <v>214</v>
      </c>
      <c r="F324" s="54" t="s">
        <v>859</v>
      </c>
      <c r="G324" s="54" t="s">
        <v>860</v>
      </c>
      <c r="H324" s="54" t="s">
        <v>861</v>
      </c>
      <c r="I324" s="54" t="s">
        <v>347</v>
      </c>
      <c r="J324" s="54" t="s">
        <v>862</v>
      </c>
      <c r="K324" s="58" t="n">
        <v>72</v>
      </c>
      <c r="L324" s="54" t="s">
        <v>863</v>
      </c>
      <c r="M324" s="54" t="s">
        <v>212</v>
      </c>
      <c r="N324" s="54" t="s">
        <v>214</v>
      </c>
      <c r="O324" s="58" t="n">
        <v>103.1</v>
      </c>
      <c r="P324" s="54" t="s">
        <v>212</v>
      </c>
      <c r="Q324" s="58"/>
    </row>
    <row r="325" customFormat="false" ht="15" hidden="false" customHeight="false" outlineLevel="0" collapsed="false">
      <c r="A325" s="54" t="s">
        <v>27</v>
      </c>
      <c r="B325" s="55" t="n">
        <v>800</v>
      </c>
      <c r="C325" s="56" t="n">
        <v>46303.4552405556</v>
      </c>
      <c r="D325" s="55" t="n">
        <v>10</v>
      </c>
      <c r="E325" s="54" t="s">
        <v>214</v>
      </c>
      <c r="F325" s="54" t="s">
        <v>130</v>
      </c>
      <c r="G325" s="54" t="s">
        <v>118</v>
      </c>
      <c r="H325" s="54" t="s">
        <v>215</v>
      </c>
      <c r="I325" s="54" t="s">
        <v>477</v>
      </c>
      <c r="J325" s="54" t="s">
        <v>864</v>
      </c>
      <c r="K325" s="58" t="n">
        <v>100.5</v>
      </c>
      <c r="L325" s="54" t="s">
        <v>212</v>
      </c>
      <c r="M325" s="54" t="s">
        <v>214</v>
      </c>
      <c r="N325" s="54" t="s">
        <v>214</v>
      </c>
      <c r="O325" s="58" t="n">
        <v>0.5</v>
      </c>
      <c r="P325" s="54" t="s">
        <v>212</v>
      </c>
      <c r="Q325" s="58"/>
    </row>
    <row r="326" customFormat="false" ht="15" hidden="false" customHeight="false" outlineLevel="0" collapsed="false">
      <c r="A326" s="54" t="s">
        <v>27</v>
      </c>
      <c r="B326" s="55" t="n">
        <v>835</v>
      </c>
      <c r="C326" s="56" t="n">
        <v>46303.4832950579</v>
      </c>
      <c r="D326" s="55" t="n">
        <v>11</v>
      </c>
      <c r="E326" s="54" t="s">
        <v>214</v>
      </c>
      <c r="F326" s="54" t="s">
        <v>127</v>
      </c>
      <c r="G326" s="54" t="s">
        <v>118</v>
      </c>
      <c r="H326" s="54" t="s">
        <v>220</v>
      </c>
      <c r="I326" s="54" t="s">
        <v>477</v>
      </c>
      <c r="J326" s="54" t="s">
        <v>864</v>
      </c>
      <c r="K326" s="58" t="n">
        <v>110.9</v>
      </c>
      <c r="L326" s="54" t="s">
        <v>212</v>
      </c>
      <c r="M326" s="54" t="s">
        <v>214</v>
      </c>
      <c r="N326" s="54" t="s">
        <v>214</v>
      </c>
      <c r="O326" s="58" t="n">
        <v>1.9</v>
      </c>
      <c r="P326" s="54" t="s">
        <v>212</v>
      </c>
      <c r="Q326" s="58"/>
    </row>
    <row r="327" customFormat="false" ht="15" hidden="false" customHeight="false" outlineLevel="0" collapsed="false">
      <c r="A327" s="54" t="s">
        <v>27</v>
      </c>
      <c r="B327" s="55" t="n">
        <v>836</v>
      </c>
      <c r="C327" s="56" t="n">
        <v>46303.4859497338</v>
      </c>
      <c r="D327" s="55" t="n">
        <v>11</v>
      </c>
      <c r="E327" s="54" t="s">
        <v>214</v>
      </c>
      <c r="F327" s="54" t="s">
        <v>127</v>
      </c>
      <c r="G327" s="54" t="s">
        <v>118</v>
      </c>
      <c r="H327" s="54" t="s">
        <v>220</v>
      </c>
      <c r="I327" s="54" t="s">
        <v>477</v>
      </c>
      <c r="J327" s="54" t="s">
        <v>864</v>
      </c>
      <c r="K327" s="58" t="n">
        <v>104</v>
      </c>
      <c r="L327" s="54" t="s">
        <v>212</v>
      </c>
      <c r="M327" s="54" t="s">
        <v>214</v>
      </c>
      <c r="N327" s="54" t="s">
        <v>214</v>
      </c>
      <c r="O327" s="58" t="n">
        <v>12.8</v>
      </c>
      <c r="P327" s="54" t="s">
        <v>214</v>
      </c>
      <c r="Q327" s="58" t="n">
        <v>14.7</v>
      </c>
    </row>
    <row r="328" customFormat="false" ht="15" hidden="false" customHeight="false" outlineLevel="0" collapsed="false">
      <c r="A328" s="54" t="s">
        <v>27</v>
      </c>
      <c r="B328" s="55" t="n">
        <v>762</v>
      </c>
      <c r="C328" s="56" t="n">
        <v>46303.4928477662</v>
      </c>
      <c r="D328" s="55" t="n">
        <v>11</v>
      </c>
      <c r="E328" s="54" t="s">
        <v>214</v>
      </c>
      <c r="F328" s="54" t="s">
        <v>859</v>
      </c>
      <c r="G328" s="54" t="s">
        <v>860</v>
      </c>
      <c r="H328" s="54" t="s">
        <v>861</v>
      </c>
      <c r="I328" s="54" t="s">
        <v>347</v>
      </c>
      <c r="J328" s="54" t="s">
        <v>862</v>
      </c>
      <c r="K328" s="58" t="n">
        <v>72</v>
      </c>
      <c r="L328" s="54" t="s">
        <v>863</v>
      </c>
      <c r="M328" s="54" t="s">
        <v>212</v>
      </c>
      <c r="N328" s="54" t="s">
        <v>214</v>
      </c>
      <c r="O328" s="58" t="n">
        <v>11.3</v>
      </c>
      <c r="P328" s="54" t="s">
        <v>214</v>
      </c>
      <c r="Q328" s="58" t="n">
        <v>13.3</v>
      </c>
    </row>
    <row r="329" customFormat="false" ht="15" hidden="false" customHeight="false" outlineLevel="0" collapsed="false">
      <c r="A329" s="54" t="s">
        <v>27</v>
      </c>
      <c r="B329" s="55" t="n">
        <v>754</v>
      </c>
      <c r="C329" s="56" t="n">
        <v>46303.495625706</v>
      </c>
      <c r="D329" s="55" t="n">
        <v>11</v>
      </c>
      <c r="E329" s="54" t="s">
        <v>214</v>
      </c>
      <c r="F329" s="54" t="s">
        <v>859</v>
      </c>
      <c r="G329" s="54" t="s">
        <v>860</v>
      </c>
      <c r="H329" s="54" t="s">
        <v>861</v>
      </c>
      <c r="I329" s="54" t="s">
        <v>347</v>
      </c>
      <c r="J329" s="54" t="s">
        <v>862</v>
      </c>
      <c r="K329" s="58" t="n">
        <v>72</v>
      </c>
      <c r="L329" s="54" t="s">
        <v>863</v>
      </c>
      <c r="M329" s="54" t="s">
        <v>212</v>
      </c>
      <c r="N329" s="54" t="s">
        <v>214</v>
      </c>
      <c r="O329" s="58" t="n">
        <v>0.2</v>
      </c>
      <c r="P329" s="54" t="s">
        <v>214</v>
      </c>
      <c r="Q329" s="58" t="n">
        <v>67.3</v>
      </c>
    </row>
    <row r="330" customFormat="false" ht="15" hidden="false" customHeight="false" outlineLevel="0" collapsed="false">
      <c r="A330" s="54" t="s">
        <v>27</v>
      </c>
      <c r="B330" s="55" t="n">
        <v>800</v>
      </c>
      <c r="C330" s="56" t="n">
        <v>46303.5046542824</v>
      </c>
      <c r="D330" s="55" t="n">
        <v>12</v>
      </c>
      <c r="E330" s="54" t="s">
        <v>214</v>
      </c>
      <c r="F330" s="54" t="s">
        <v>859</v>
      </c>
      <c r="G330" s="54" t="s">
        <v>860</v>
      </c>
      <c r="H330" s="54" t="s">
        <v>861</v>
      </c>
      <c r="I330" s="54" t="s">
        <v>347</v>
      </c>
      <c r="J330" s="54" t="s">
        <v>862</v>
      </c>
      <c r="K330" s="58" t="n">
        <v>72</v>
      </c>
      <c r="L330" s="54" t="s">
        <v>863</v>
      </c>
      <c r="M330" s="54" t="s">
        <v>212</v>
      </c>
      <c r="N330" s="54" t="s">
        <v>214</v>
      </c>
      <c r="O330" s="58" t="n">
        <v>44.8</v>
      </c>
      <c r="P330" s="54" t="s">
        <v>212</v>
      </c>
      <c r="Q330" s="58"/>
    </row>
    <row r="331" customFormat="false" ht="15" hidden="false" customHeight="false" outlineLevel="0" collapsed="false">
      <c r="A331" s="54" t="s">
        <v>27</v>
      </c>
      <c r="B331" s="55" t="n">
        <v>845</v>
      </c>
      <c r="C331" s="56" t="n">
        <v>46303.5079616551</v>
      </c>
      <c r="D331" s="55" t="n">
        <v>12</v>
      </c>
      <c r="E331" s="54" t="s">
        <v>214</v>
      </c>
      <c r="F331" s="54" t="s">
        <v>130</v>
      </c>
      <c r="G331" s="54" t="s">
        <v>118</v>
      </c>
      <c r="H331" s="54" t="s">
        <v>215</v>
      </c>
      <c r="I331" s="54" t="s">
        <v>477</v>
      </c>
      <c r="J331" s="54" t="s">
        <v>864</v>
      </c>
      <c r="K331" s="58" t="n">
        <v>115</v>
      </c>
      <c r="L331" s="54" t="s">
        <v>212</v>
      </c>
      <c r="M331" s="54" t="s">
        <v>214</v>
      </c>
      <c r="N331" s="54" t="s">
        <v>214</v>
      </c>
      <c r="O331" s="58" t="n">
        <v>6.8</v>
      </c>
      <c r="P331" s="54" t="s">
        <v>212</v>
      </c>
      <c r="Q331" s="58"/>
    </row>
    <row r="332" customFormat="false" ht="15" hidden="false" customHeight="false" outlineLevel="0" collapsed="false">
      <c r="A332" s="54" t="s">
        <v>27</v>
      </c>
      <c r="B332" s="55" t="n">
        <v>803</v>
      </c>
      <c r="C332" s="56" t="n">
        <v>46303.5089941551</v>
      </c>
      <c r="D332" s="55" t="n">
        <v>12</v>
      </c>
      <c r="E332" s="54" t="s">
        <v>214</v>
      </c>
      <c r="F332" s="54" t="s">
        <v>859</v>
      </c>
      <c r="G332" s="54" t="s">
        <v>860</v>
      </c>
      <c r="H332" s="54" t="s">
        <v>861</v>
      </c>
      <c r="I332" s="54" t="s">
        <v>347</v>
      </c>
      <c r="J332" s="54" t="s">
        <v>862</v>
      </c>
      <c r="K332" s="58" t="n">
        <v>72</v>
      </c>
      <c r="L332" s="54" t="s">
        <v>863</v>
      </c>
      <c r="M332" s="54" t="s">
        <v>212</v>
      </c>
      <c r="N332" s="54" t="s">
        <v>214</v>
      </c>
      <c r="O332" s="58" t="n">
        <v>1276.7</v>
      </c>
      <c r="P332" s="54" t="s">
        <v>214</v>
      </c>
      <c r="Q332" s="58" t="n">
        <v>1277.5</v>
      </c>
    </row>
    <row r="333" customFormat="false" ht="15" hidden="false" customHeight="false" outlineLevel="0" collapsed="false">
      <c r="A333" s="54" t="s">
        <v>27</v>
      </c>
      <c r="B333" s="55" t="n">
        <v>806</v>
      </c>
      <c r="C333" s="56" t="n">
        <v>46303.5110789699</v>
      </c>
      <c r="D333" s="55" t="n">
        <v>12</v>
      </c>
      <c r="E333" s="54" t="s">
        <v>214</v>
      </c>
      <c r="F333" s="54" t="s">
        <v>859</v>
      </c>
      <c r="G333" s="54" t="s">
        <v>860</v>
      </c>
      <c r="H333" s="54" t="s">
        <v>861</v>
      </c>
      <c r="I333" s="54" t="s">
        <v>347</v>
      </c>
      <c r="J333" s="54" t="s">
        <v>862</v>
      </c>
      <c r="K333" s="58" t="n">
        <v>72</v>
      </c>
      <c r="L333" s="54" t="s">
        <v>863</v>
      </c>
      <c r="M333" s="54" t="s">
        <v>212</v>
      </c>
      <c r="N333" s="54" t="s">
        <v>212</v>
      </c>
      <c r="O333" s="58"/>
      <c r="P333" s="54" t="s">
        <v>212</v>
      </c>
      <c r="Q333" s="58"/>
    </row>
    <row r="334" customFormat="false" ht="15" hidden="false" customHeight="false" outlineLevel="0" collapsed="false">
      <c r="A334" s="54" t="s">
        <v>27</v>
      </c>
      <c r="B334" s="55" t="n">
        <v>817</v>
      </c>
      <c r="C334" s="56" t="n">
        <v>46303.5157458912</v>
      </c>
      <c r="D334" s="55" t="n">
        <v>12</v>
      </c>
      <c r="E334" s="54" t="s">
        <v>214</v>
      </c>
      <c r="F334" s="54" t="s">
        <v>859</v>
      </c>
      <c r="G334" s="54" t="s">
        <v>860</v>
      </c>
      <c r="H334" s="54" t="s">
        <v>861</v>
      </c>
      <c r="I334" s="54" t="s">
        <v>347</v>
      </c>
      <c r="J334" s="54" t="s">
        <v>862</v>
      </c>
      <c r="K334" s="58" t="n">
        <v>72</v>
      </c>
      <c r="L334" s="54" t="s">
        <v>863</v>
      </c>
      <c r="M334" s="54" t="s">
        <v>212</v>
      </c>
      <c r="N334" s="54" t="s">
        <v>214</v>
      </c>
      <c r="O334" s="58" t="n">
        <v>120.7</v>
      </c>
      <c r="P334" s="54" t="s">
        <v>212</v>
      </c>
      <c r="Q334" s="58"/>
    </row>
    <row r="335" customFormat="false" ht="15" hidden="false" customHeight="false" outlineLevel="0" collapsed="false">
      <c r="A335" s="54" t="s">
        <v>27</v>
      </c>
      <c r="B335" s="55" t="n">
        <v>822</v>
      </c>
      <c r="C335" s="56" t="n">
        <v>46303.5213072338</v>
      </c>
      <c r="D335" s="55" t="n">
        <v>12</v>
      </c>
      <c r="E335" s="54" t="s">
        <v>214</v>
      </c>
      <c r="F335" s="54" t="s">
        <v>859</v>
      </c>
      <c r="G335" s="54" t="s">
        <v>860</v>
      </c>
      <c r="H335" s="54" t="s">
        <v>861</v>
      </c>
      <c r="I335" s="54" t="s">
        <v>347</v>
      </c>
      <c r="J335" s="54" t="s">
        <v>862</v>
      </c>
      <c r="K335" s="58" t="n">
        <v>72</v>
      </c>
      <c r="L335" s="54" t="s">
        <v>863</v>
      </c>
      <c r="M335" s="54" t="s">
        <v>212</v>
      </c>
      <c r="N335" s="54" t="s">
        <v>214</v>
      </c>
      <c r="O335" s="58" t="n">
        <v>59.2</v>
      </c>
      <c r="P335" s="54" t="s">
        <v>214</v>
      </c>
      <c r="Q335" s="58" t="n">
        <v>61.9</v>
      </c>
    </row>
    <row r="336" customFormat="false" ht="15" hidden="false" customHeight="false" outlineLevel="0" collapsed="false">
      <c r="A336" s="54" t="s">
        <v>27</v>
      </c>
      <c r="B336" s="55" t="n">
        <v>825</v>
      </c>
      <c r="C336" s="56" t="n">
        <v>46303.5482318866</v>
      </c>
      <c r="D336" s="55" t="n">
        <v>13</v>
      </c>
      <c r="E336" s="54" t="s">
        <v>214</v>
      </c>
      <c r="F336" s="54" t="s">
        <v>859</v>
      </c>
      <c r="G336" s="54" t="s">
        <v>860</v>
      </c>
      <c r="H336" s="54" t="s">
        <v>861</v>
      </c>
      <c r="I336" s="54" t="s">
        <v>347</v>
      </c>
      <c r="J336" s="54" t="s">
        <v>862</v>
      </c>
      <c r="K336" s="58" t="n">
        <v>72</v>
      </c>
      <c r="L336" s="54" t="s">
        <v>863</v>
      </c>
      <c r="M336" s="54" t="s">
        <v>212</v>
      </c>
      <c r="N336" s="54" t="s">
        <v>214</v>
      </c>
      <c r="O336" s="58" t="n">
        <v>26.6</v>
      </c>
      <c r="P336" s="54" t="s">
        <v>214</v>
      </c>
      <c r="Q336" s="58" t="n">
        <v>29.7</v>
      </c>
    </row>
    <row r="337" customFormat="false" ht="15" hidden="false" customHeight="false" outlineLevel="0" collapsed="false">
      <c r="A337" s="54" t="s">
        <v>27</v>
      </c>
      <c r="B337" s="55" t="n">
        <v>827</v>
      </c>
      <c r="C337" s="56" t="n">
        <v>46303.561649213</v>
      </c>
      <c r="D337" s="55" t="n">
        <v>13</v>
      </c>
      <c r="E337" s="54" t="s">
        <v>214</v>
      </c>
      <c r="F337" s="54" t="s">
        <v>128</v>
      </c>
      <c r="G337" s="54" t="s">
        <v>118</v>
      </c>
      <c r="H337" s="54" t="s">
        <v>220</v>
      </c>
      <c r="I337" s="54" t="s">
        <v>473</v>
      </c>
      <c r="J337" s="54" t="s">
        <v>865</v>
      </c>
      <c r="K337" s="58" t="n">
        <v>86.6</v>
      </c>
      <c r="L337" s="54" t="s">
        <v>212</v>
      </c>
      <c r="M337" s="54" t="s">
        <v>214</v>
      </c>
      <c r="N337" s="54" t="s">
        <v>214</v>
      </c>
      <c r="O337" s="58" t="n">
        <v>27.4</v>
      </c>
      <c r="P337" s="54" t="s">
        <v>214</v>
      </c>
      <c r="Q337" s="58" t="n">
        <v>1114.4</v>
      </c>
    </row>
    <row r="338" customFormat="false" ht="15" hidden="false" customHeight="false" outlineLevel="0" collapsed="false">
      <c r="A338" s="54" t="s">
        <v>27</v>
      </c>
      <c r="B338" s="55" t="n">
        <v>825</v>
      </c>
      <c r="C338" s="56" t="n">
        <v>46303.5718457755</v>
      </c>
      <c r="D338" s="55" t="n">
        <v>13</v>
      </c>
      <c r="E338" s="54" t="s">
        <v>214</v>
      </c>
      <c r="F338" s="54" t="s">
        <v>127</v>
      </c>
      <c r="G338" s="54" t="s">
        <v>118</v>
      </c>
      <c r="H338" s="54" t="s">
        <v>220</v>
      </c>
      <c r="I338" s="54" t="s">
        <v>347</v>
      </c>
      <c r="J338" s="54" t="s">
        <v>862</v>
      </c>
      <c r="K338" s="58" t="n">
        <v>116</v>
      </c>
      <c r="L338" s="54" t="s">
        <v>212</v>
      </c>
      <c r="M338" s="54" t="s">
        <v>214</v>
      </c>
      <c r="N338" s="54" t="s">
        <v>214</v>
      </c>
      <c r="O338" s="58" t="n">
        <v>0.9</v>
      </c>
      <c r="P338" s="54" t="s">
        <v>214</v>
      </c>
      <c r="Q338" s="58" t="n">
        <v>11.1</v>
      </c>
    </row>
    <row r="339" customFormat="false" ht="15" hidden="false" customHeight="false" outlineLevel="0" collapsed="false">
      <c r="A339" s="54" t="s">
        <v>27</v>
      </c>
      <c r="B339" s="55" t="n">
        <v>845</v>
      </c>
      <c r="C339" s="56" t="n">
        <v>46303.5858590972</v>
      </c>
      <c r="D339" s="55" t="n">
        <v>14</v>
      </c>
      <c r="E339" s="54" t="s">
        <v>214</v>
      </c>
      <c r="F339" s="54" t="s">
        <v>859</v>
      </c>
      <c r="G339" s="54" t="s">
        <v>860</v>
      </c>
      <c r="H339" s="54" t="s">
        <v>861</v>
      </c>
      <c r="I339" s="54" t="s">
        <v>347</v>
      </c>
      <c r="J339" s="54" t="s">
        <v>862</v>
      </c>
      <c r="K339" s="58" t="n">
        <v>72</v>
      </c>
      <c r="L339" s="54" t="s">
        <v>863</v>
      </c>
      <c r="M339" s="54" t="s">
        <v>212</v>
      </c>
      <c r="N339" s="54" t="s">
        <v>214</v>
      </c>
      <c r="O339" s="58" t="n">
        <v>5.6</v>
      </c>
      <c r="P339" s="54" t="s">
        <v>212</v>
      </c>
      <c r="Q339" s="58"/>
    </row>
    <row r="340" customFormat="false" ht="15" hidden="false" customHeight="false" outlineLevel="0" collapsed="false">
      <c r="A340" s="54" t="s">
        <v>27</v>
      </c>
      <c r="B340" s="55" t="n">
        <v>851</v>
      </c>
      <c r="C340" s="56" t="n">
        <v>46303.5983587269</v>
      </c>
      <c r="D340" s="55" t="n">
        <v>14</v>
      </c>
      <c r="E340" s="54" t="s">
        <v>214</v>
      </c>
      <c r="F340" s="54" t="s">
        <v>859</v>
      </c>
      <c r="G340" s="54" t="s">
        <v>860</v>
      </c>
      <c r="H340" s="54" t="s">
        <v>861</v>
      </c>
      <c r="I340" s="54" t="s">
        <v>347</v>
      </c>
      <c r="J340" s="54" t="s">
        <v>862</v>
      </c>
      <c r="K340" s="58" t="n">
        <v>72</v>
      </c>
      <c r="L340" s="54" t="s">
        <v>863</v>
      </c>
      <c r="M340" s="54" t="s">
        <v>212</v>
      </c>
      <c r="N340" s="54" t="s">
        <v>212</v>
      </c>
      <c r="O340" s="58"/>
      <c r="P340" s="54" t="s">
        <v>212</v>
      </c>
      <c r="Q340" s="58"/>
    </row>
    <row r="341" customFormat="false" ht="15" hidden="false" customHeight="false" outlineLevel="0" collapsed="false">
      <c r="A341" s="54" t="s">
        <v>27</v>
      </c>
      <c r="B341" s="55" t="n">
        <v>852</v>
      </c>
      <c r="C341" s="56" t="n">
        <v>46303.6032203935</v>
      </c>
      <c r="D341" s="55" t="n">
        <v>14</v>
      </c>
      <c r="E341" s="54" t="s">
        <v>214</v>
      </c>
      <c r="F341" s="54" t="s">
        <v>859</v>
      </c>
      <c r="G341" s="54" t="s">
        <v>860</v>
      </c>
      <c r="H341" s="54" t="s">
        <v>861</v>
      </c>
      <c r="I341" s="54" t="s">
        <v>347</v>
      </c>
      <c r="J341" s="54" t="s">
        <v>862</v>
      </c>
      <c r="K341" s="58" t="n">
        <v>72</v>
      </c>
      <c r="L341" s="54" t="s">
        <v>863</v>
      </c>
      <c r="M341" s="54" t="s">
        <v>212</v>
      </c>
      <c r="N341" s="54" t="s">
        <v>212</v>
      </c>
      <c r="O341" s="58"/>
      <c r="P341" s="54" t="s">
        <v>212</v>
      </c>
      <c r="Q341" s="58"/>
    </row>
    <row r="342" customFormat="false" ht="15" hidden="false" customHeight="false" outlineLevel="0" collapsed="false">
      <c r="A342" s="54" t="s">
        <v>27</v>
      </c>
      <c r="B342" s="55" t="n">
        <v>882</v>
      </c>
      <c r="C342" s="56" t="n">
        <v>46303.6447769676</v>
      </c>
      <c r="D342" s="55" t="n">
        <v>15</v>
      </c>
      <c r="E342" s="54" t="s">
        <v>214</v>
      </c>
      <c r="F342" s="54" t="s">
        <v>127</v>
      </c>
      <c r="G342" s="54" t="s">
        <v>118</v>
      </c>
      <c r="H342" s="54" t="s">
        <v>220</v>
      </c>
      <c r="I342" s="54" t="s">
        <v>477</v>
      </c>
      <c r="J342" s="54" t="s">
        <v>864</v>
      </c>
      <c r="K342" s="58" t="n">
        <v>107.6</v>
      </c>
      <c r="L342" s="54" t="s">
        <v>212</v>
      </c>
      <c r="M342" s="54" t="s">
        <v>214</v>
      </c>
      <c r="N342" s="54" t="s">
        <v>214</v>
      </c>
      <c r="O342" s="58" t="n">
        <v>15.6</v>
      </c>
      <c r="P342" s="54" t="s">
        <v>214</v>
      </c>
      <c r="Q342" s="58" t="n">
        <v>17.5</v>
      </c>
    </row>
    <row r="343" customFormat="false" ht="15" hidden="false" customHeight="false" outlineLevel="0" collapsed="false">
      <c r="A343" s="54" t="s">
        <v>27</v>
      </c>
      <c r="B343" s="55" t="n">
        <v>835</v>
      </c>
      <c r="C343" s="56" t="n">
        <v>46303.6605136227</v>
      </c>
      <c r="D343" s="55" t="n">
        <v>15</v>
      </c>
      <c r="E343" s="54" t="s">
        <v>214</v>
      </c>
      <c r="F343" s="54" t="s">
        <v>859</v>
      </c>
      <c r="G343" s="54" t="s">
        <v>860</v>
      </c>
      <c r="H343" s="54" t="s">
        <v>861</v>
      </c>
      <c r="I343" s="54" t="s">
        <v>347</v>
      </c>
      <c r="J343" s="54" t="s">
        <v>862</v>
      </c>
      <c r="K343" s="58" t="n">
        <v>72</v>
      </c>
      <c r="L343" s="54" t="s">
        <v>863</v>
      </c>
      <c r="M343" s="54" t="s">
        <v>212</v>
      </c>
      <c r="N343" s="54" t="s">
        <v>214</v>
      </c>
      <c r="O343" s="58" t="n">
        <v>288</v>
      </c>
      <c r="P343" s="54" t="s">
        <v>212</v>
      </c>
      <c r="Q343" s="58"/>
    </row>
    <row r="344" customFormat="false" ht="15" hidden="false" customHeight="false" outlineLevel="0" collapsed="false">
      <c r="A344" s="54" t="s">
        <v>27</v>
      </c>
      <c r="B344" s="55" t="n">
        <v>836</v>
      </c>
      <c r="C344" s="56" t="n">
        <v>46303.6631167593</v>
      </c>
      <c r="D344" s="55" t="n">
        <v>15</v>
      </c>
      <c r="E344" s="54" t="s">
        <v>214</v>
      </c>
      <c r="F344" s="54" t="s">
        <v>859</v>
      </c>
      <c r="G344" s="54" t="s">
        <v>860</v>
      </c>
      <c r="H344" s="54" t="s">
        <v>861</v>
      </c>
      <c r="I344" s="54" t="s">
        <v>347</v>
      </c>
      <c r="J344" s="54" t="s">
        <v>862</v>
      </c>
      <c r="K344" s="58" t="n">
        <v>72</v>
      </c>
      <c r="L344" s="54" t="s">
        <v>863</v>
      </c>
      <c r="M344" s="54" t="s">
        <v>212</v>
      </c>
      <c r="N344" s="54" t="s">
        <v>214</v>
      </c>
      <c r="O344" s="58" t="n">
        <v>146.7</v>
      </c>
      <c r="P344" s="54" t="s">
        <v>212</v>
      </c>
      <c r="Q344" s="58"/>
    </row>
    <row r="345" customFormat="false" ht="15" hidden="false" customHeight="false" outlineLevel="0" collapsed="false">
      <c r="A345" s="54" t="s">
        <v>27</v>
      </c>
      <c r="B345" s="55" t="n">
        <v>874</v>
      </c>
      <c r="C345" s="56" t="n">
        <v>46303.6810607755</v>
      </c>
      <c r="D345" s="55" t="n">
        <v>16</v>
      </c>
      <c r="E345" s="54" t="s">
        <v>214</v>
      </c>
      <c r="F345" s="54" t="s">
        <v>859</v>
      </c>
      <c r="G345" s="54" t="s">
        <v>860</v>
      </c>
      <c r="H345" s="54" t="s">
        <v>861</v>
      </c>
      <c r="I345" s="54" t="s">
        <v>347</v>
      </c>
      <c r="J345" s="54" t="s">
        <v>862</v>
      </c>
      <c r="K345" s="58" t="n">
        <v>72</v>
      </c>
      <c r="L345" s="54" t="s">
        <v>863</v>
      </c>
      <c r="M345" s="54" t="s">
        <v>212</v>
      </c>
      <c r="N345" s="54" t="s">
        <v>214</v>
      </c>
      <c r="O345" s="58" t="n">
        <v>103.6</v>
      </c>
      <c r="P345" s="54" t="s">
        <v>212</v>
      </c>
      <c r="Q345" s="58"/>
    </row>
    <row r="346" customFormat="false" ht="15" hidden="false" customHeight="false" outlineLevel="0" collapsed="false">
      <c r="A346" s="54" t="s">
        <v>27</v>
      </c>
      <c r="B346" s="55" t="n">
        <v>880</v>
      </c>
      <c r="C346" s="56" t="n">
        <v>46303.6855134491</v>
      </c>
      <c r="D346" s="55" t="n">
        <v>16</v>
      </c>
      <c r="E346" s="54" t="s">
        <v>214</v>
      </c>
      <c r="F346" s="54" t="s">
        <v>127</v>
      </c>
      <c r="G346" s="54" t="s">
        <v>118</v>
      </c>
      <c r="H346" s="54" t="s">
        <v>220</v>
      </c>
      <c r="I346" s="54" t="s">
        <v>477</v>
      </c>
      <c r="J346" s="54" t="s">
        <v>864</v>
      </c>
      <c r="K346" s="58" t="n">
        <v>105.2</v>
      </c>
      <c r="L346" s="54" t="s">
        <v>212</v>
      </c>
      <c r="M346" s="54" t="s">
        <v>214</v>
      </c>
      <c r="N346" s="54" t="s">
        <v>214</v>
      </c>
      <c r="O346" s="58" t="n">
        <v>55.1</v>
      </c>
      <c r="P346" s="54" t="s">
        <v>214</v>
      </c>
      <c r="Q346" s="58" t="n">
        <v>57.3</v>
      </c>
    </row>
    <row r="347" customFormat="false" ht="15" hidden="false" customHeight="false" outlineLevel="0" collapsed="false">
      <c r="A347" s="54" t="s">
        <v>27</v>
      </c>
      <c r="B347" s="55" t="n">
        <v>827</v>
      </c>
      <c r="C347" s="56" t="n">
        <v>46303.7377711458</v>
      </c>
      <c r="D347" s="55" t="n">
        <v>17</v>
      </c>
      <c r="E347" s="54" t="s">
        <v>214</v>
      </c>
      <c r="F347" s="54" t="s">
        <v>859</v>
      </c>
      <c r="G347" s="54" t="s">
        <v>860</v>
      </c>
      <c r="H347" s="54" t="s">
        <v>861</v>
      </c>
      <c r="I347" s="54" t="s">
        <v>347</v>
      </c>
      <c r="J347" s="54" t="s">
        <v>862</v>
      </c>
      <c r="K347" s="58" t="n">
        <v>72</v>
      </c>
      <c r="L347" s="54" t="s">
        <v>863</v>
      </c>
      <c r="M347" s="54" t="s">
        <v>212</v>
      </c>
      <c r="N347" s="54" t="s">
        <v>214</v>
      </c>
      <c r="O347" s="58" t="n">
        <v>858.6</v>
      </c>
      <c r="P347" s="54" t="s">
        <v>214</v>
      </c>
      <c r="Q347" s="58" t="n">
        <v>860.8</v>
      </c>
    </row>
    <row r="348" customFormat="false" ht="15" hidden="false" customHeight="false" outlineLevel="0" collapsed="false">
      <c r="A348" s="54" t="s">
        <v>27</v>
      </c>
      <c r="B348" s="55" t="n">
        <v>906</v>
      </c>
      <c r="C348" s="56" t="n">
        <v>46303.7447490162</v>
      </c>
      <c r="D348" s="55" t="n">
        <v>17</v>
      </c>
      <c r="E348" s="54" t="s">
        <v>214</v>
      </c>
      <c r="F348" s="54" t="s">
        <v>128</v>
      </c>
      <c r="G348" s="54" t="s">
        <v>118</v>
      </c>
      <c r="H348" s="54" t="s">
        <v>220</v>
      </c>
      <c r="I348" s="54" t="s">
        <v>477</v>
      </c>
      <c r="J348" s="54" t="s">
        <v>864</v>
      </c>
      <c r="K348" s="58" t="n">
        <v>92.9</v>
      </c>
      <c r="L348" s="54" t="s">
        <v>212</v>
      </c>
      <c r="M348" s="54" t="s">
        <v>214</v>
      </c>
      <c r="N348" s="54" t="s">
        <v>214</v>
      </c>
      <c r="O348" s="58" t="n">
        <v>2601</v>
      </c>
      <c r="P348" s="54" t="s">
        <v>212</v>
      </c>
      <c r="Q348" s="58"/>
    </row>
    <row r="349" customFormat="false" ht="15" hidden="false" customHeight="false" outlineLevel="0" collapsed="false">
      <c r="A349" s="54" t="s">
        <v>27</v>
      </c>
      <c r="B349" s="55" t="n">
        <v>887</v>
      </c>
      <c r="C349" s="56" t="n">
        <v>46303.7588299074</v>
      </c>
      <c r="D349" s="55" t="n">
        <v>18</v>
      </c>
      <c r="E349" s="54" t="s">
        <v>214</v>
      </c>
      <c r="F349" s="54" t="s">
        <v>859</v>
      </c>
      <c r="G349" s="54" t="s">
        <v>860</v>
      </c>
      <c r="H349" s="54" t="s">
        <v>861</v>
      </c>
      <c r="I349" s="54" t="s">
        <v>347</v>
      </c>
      <c r="J349" s="54" t="s">
        <v>862</v>
      </c>
      <c r="K349" s="58" t="n">
        <v>72</v>
      </c>
      <c r="L349" s="54" t="s">
        <v>863</v>
      </c>
      <c r="M349" s="54" t="s">
        <v>212</v>
      </c>
      <c r="N349" s="54" t="s">
        <v>214</v>
      </c>
      <c r="O349" s="58" t="n">
        <v>133.7</v>
      </c>
      <c r="P349" s="54" t="s">
        <v>212</v>
      </c>
      <c r="Q349" s="58"/>
    </row>
    <row r="350" customFormat="false" ht="15" hidden="false" customHeight="false" outlineLevel="0" collapsed="false">
      <c r="A350" s="54" t="s">
        <v>27</v>
      </c>
      <c r="B350" s="55" t="n">
        <v>910</v>
      </c>
      <c r="C350" s="56" t="n">
        <v>46303.7604909722</v>
      </c>
      <c r="D350" s="55" t="n">
        <v>18</v>
      </c>
      <c r="E350" s="54" t="s">
        <v>214</v>
      </c>
      <c r="F350" s="54" t="s">
        <v>128</v>
      </c>
      <c r="G350" s="54" t="s">
        <v>118</v>
      </c>
      <c r="H350" s="54" t="s">
        <v>220</v>
      </c>
      <c r="I350" s="54" t="s">
        <v>477</v>
      </c>
      <c r="J350" s="54" t="s">
        <v>864</v>
      </c>
      <c r="K350" s="58" t="n">
        <v>80.2</v>
      </c>
      <c r="L350" s="54" t="s">
        <v>212</v>
      </c>
      <c r="M350" s="54" t="s">
        <v>214</v>
      </c>
      <c r="N350" s="54" t="s">
        <v>214</v>
      </c>
      <c r="O350" s="58" t="n">
        <v>0.7</v>
      </c>
      <c r="P350" s="54" t="s">
        <v>214</v>
      </c>
      <c r="Q350" s="58" t="n">
        <v>6.6</v>
      </c>
    </row>
    <row r="351" customFormat="false" ht="15" hidden="false" customHeight="false" outlineLevel="0" collapsed="false">
      <c r="A351" s="54" t="s">
        <v>27</v>
      </c>
      <c r="B351" s="55" t="n">
        <v>915</v>
      </c>
      <c r="C351" s="56" t="n">
        <v>46303.772847338</v>
      </c>
      <c r="D351" s="55" t="n">
        <v>18</v>
      </c>
      <c r="E351" s="54" t="s">
        <v>214</v>
      </c>
      <c r="F351" s="54" t="s">
        <v>128</v>
      </c>
      <c r="G351" s="54" t="s">
        <v>118</v>
      </c>
      <c r="H351" s="54" t="s">
        <v>220</v>
      </c>
      <c r="I351" s="54" t="s">
        <v>477</v>
      </c>
      <c r="J351" s="54" t="s">
        <v>864</v>
      </c>
      <c r="K351" s="58" t="n">
        <v>96.7</v>
      </c>
      <c r="L351" s="54" t="s">
        <v>212</v>
      </c>
      <c r="M351" s="54" t="s">
        <v>214</v>
      </c>
      <c r="N351" s="54" t="s">
        <v>212</v>
      </c>
      <c r="O351" s="58"/>
      <c r="P351" s="54" t="s">
        <v>214</v>
      </c>
      <c r="Q351" s="58" t="n">
        <v>2.7</v>
      </c>
    </row>
    <row r="352" customFormat="false" ht="15" hidden="false" customHeight="false" outlineLevel="0" collapsed="false">
      <c r="A352" s="54" t="s">
        <v>27</v>
      </c>
      <c r="B352" s="55" t="n">
        <v>891</v>
      </c>
      <c r="C352" s="56" t="n">
        <v>46303.7750770949</v>
      </c>
      <c r="D352" s="55" t="n">
        <v>18</v>
      </c>
      <c r="E352" s="54" t="s">
        <v>214</v>
      </c>
      <c r="F352" s="54" t="s">
        <v>859</v>
      </c>
      <c r="G352" s="54" t="s">
        <v>860</v>
      </c>
      <c r="H352" s="54" t="s">
        <v>861</v>
      </c>
      <c r="I352" s="54" t="s">
        <v>347</v>
      </c>
      <c r="J352" s="54" t="s">
        <v>862</v>
      </c>
      <c r="K352" s="58" t="n">
        <v>72</v>
      </c>
      <c r="L352" s="54" t="s">
        <v>863</v>
      </c>
      <c r="M352" s="54" t="s">
        <v>212</v>
      </c>
      <c r="N352" s="54" t="s">
        <v>212</v>
      </c>
      <c r="O352" s="58"/>
      <c r="P352" s="54" t="s">
        <v>212</v>
      </c>
      <c r="Q352" s="58"/>
    </row>
    <row r="353" customFormat="false" ht="15" hidden="false" customHeight="false" outlineLevel="0" collapsed="false">
      <c r="A353" s="54" t="s">
        <v>27</v>
      </c>
      <c r="B353" s="55" t="n">
        <v>892</v>
      </c>
      <c r="C353" s="56" t="n">
        <v>46303.7791762963</v>
      </c>
      <c r="D353" s="55" t="n">
        <v>18</v>
      </c>
      <c r="E353" s="54" t="s">
        <v>214</v>
      </c>
      <c r="F353" s="54" t="s">
        <v>859</v>
      </c>
      <c r="G353" s="54" t="s">
        <v>860</v>
      </c>
      <c r="H353" s="54" t="s">
        <v>861</v>
      </c>
      <c r="I353" s="54" t="s">
        <v>347</v>
      </c>
      <c r="J353" s="54" t="s">
        <v>862</v>
      </c>
      <c r="K353" s="58" t="n">
        <v>72</v>
      </c>
      <c r="L353" s="54" t="s">
        <v>863</v>
      </c>
      <c r="M353" s="54" t="s">
        <v>212</v>
      </c>
      <c r="N353" s="54" t="s">
        <v>214</v>
      </c>
      <c r="O353" s="58" t="n">
        <v>34.1</v>
      </c>
      <c r="P353" s="54" t="s">
        <v>214</v>
      </c>
      <c r="Q353" s="58" t="n">
        <v>34.8</v>
      </c>
    </row>
    <row r="354" customFormat="false" ht="15" hidden="false" customHeight="false" outlineLevel="0" collapsed="false">
      <c r="A354" s="54" t="s">
        <v>27</v>
      </c>
      <c r="B354" s="55" t="n">
        <v>896</v>
      </c>
      <c r="C354" s="56" t="n">
        <v>46303.7825295023</v>
      </c>
      <c r="D354" s="55" t="n">
        <v>18</v>
      </c>
      <c r="E354" s="54" t="s">
        <v>214</v>
      </c>
      <c r="F354" s="54" t="s">
        <v>859</v>
      </c>
      <c r="G354" s="54" t="s">
        <v>860</v>
      </c>
      <c r="H354" s="54" t="s">
        <v>861</v>
      </c>
      <c r="I354" s="54" t="s">
        <v>347</v>
      </c>
      <c r="J354" s="54" t="s">
        <v>862</v>
      </c>
      <c r="K354" s="58" t="n">
        <v>72</v>
      </c>
      <c r="L354" s="54" t="s">
        <v>863</v>
      </c>
      <c r="M354" s="54" t="s">
        <v>212</v>
      </c>
      <c r="N354" s="54" t="s">
        <v>212</v>
      </c>
      <c r="O354" s="58"/>
      <c r="P354" s="54" t="s">
        <v>212</v>
      </c>
      <c r="Q354" s="58"/>
    </row>
    <row r="355" customFormat="false" ht="15" hidden="false" customHeight="false" outlineLevel="0" collapsed="false">
      <c r="A355" s="54" t="s">
        <v>27</v>
      </c>
      <c r="B355" s="55" t="n">
        <v>901</v>
      </c>
      <c r="C355" s="56" t="n">
        <v>46303.7914937384</v>
      </c>
      <c r="D355" s="55" t="n">
        <v>18</v>
      </c>
      <c r="E355" s="54" t="s">
        <v>214</v>
      </c>
      <c r="F355" s="54" t="s">
        <v>859</v>
      </c>
      <c r="G355" s="54" t="s">
        <v>860</v>
      </c>
      <c r="H355" s="54" t="s">
        <v>861</v>
      </c>
      <c r="I355" s="54" t="s">
        <v>347</v>
      </c>
      <c r="J355" s="54" t="s">
        <v>862</v>
      </c>
      <c r="K355" s="58" t="n">
        <v>72</v>
      </c>
      <c r="L355" s="54" t="s">
        <v>863</v>
      </c>
      <c r="M355" s="54" t="s">
        <v>212</v>
      </c>
      <c r="N355" s="54" t="s">
        <v>214</v>
      </c>
      <c r="O355" s="58" t="n">
        <v>8.1</v>
      </c>
      <c r="P355" s="54" t="s">
        <v>212</v>
      </c>
      <c r="Q355" s="58"/>
    </row>
    <row r="356" customFormat="false" ht="15" hidden="false" customHeight="false" outlineLevel="0" collapsed="false">
      <c r="A356" s="54" t="s">
        <v>27</v>
      </c>
      <c r="B356" s="55" t="n">
        <v>894</v>
      </c>
      <c r="C356" s="56" t="n">
        <v>46303.7973087037</v>
      </c>
      <c r="D356" s="55" t="n">
        <v>19</v>
      </c>
      <c r="E356" s="54" t="s">
        <v>214</v>
      </c>
      <c r="F356" s="54" t="s">
        <v>859</v>
      </c>
      <c r="G356" s="54" t="s">
        <v>860</v>
      </c>
      <c r="H356" s="54" t="s">
        <v>861</v>
      </c>
      <c r="I356" s="54" t="s">
        <v>347</v>
      </c>
      <c r="J356" s="54" t="s">
        <v>862</v>
      </c>
      <c r="K356" s="58" t="n">
        <v>72</v>
      </c>
      <c r="L356" s="54" t="s">
        <v>863</v>
      </c>
      <c r="M356" s="54" t="s">
        <v>212</v>
      </c>
      <c r="N356" s="54" t="s">
        <v>214</v>
      </c>
      <c r="O356" s="58" t="n">
        <v>0.5</v>
      </c>
      <c r="P356" s="54" t="s">
        <v>212</v>
      </c>
      <c r="Q356" s="58"/>
    </row>
    <row r="357" customFormat="false" ht="15" hidden="false" customHeight="false" outlineLevel="0" collapsed="false">
      <c r="A357" s="54" t="s">
        <v>27</v>
      </c>
      <c r="B357" s="55" t="n">
        <v>899</v>
      </c>
      <c r="C357" s="56" t="n">
        <v>46303.8093855671</v>
      </c>
      <c r="D357" s="55" t="n">
        <v>19</v>
      </c>
      <c r="E357" s="54" t="s">
        <v>214</v>
      </c>
      <c r="F357" s="54" t="s">
        <v>859</v>
      </c>
      <c r="G357" s="54" t="s">
        <v>860</v>
      </c>
      <c r="H357" s="54" t="s">
        <v>861</v>
      </c>
      <c r="I357" s="54" t="s">
        <v>347</v>
      </c>
      <c r="J357" s="54" t="s">
        <v>862</v>
      </c>
      <c r="K357" s="58" t="n">
        <v>72</v>
      </c>
      <c r="L357" s="54" t="s">
        <v>863</v>
      </c>
      <c r="M357" s="54" t="s">
        <v>212</v>
      </c>
      <c r="N357" s="54" t="s">
        <v>214</v>
      </c>
      <c r="O357" s="58" t="n">
        <v>4400.6</v>
      </c>
      <c r="P357" s="54" t="s">
        <v>212</v>
      </c>
      <c r="Q357" s="58"/>
    </row>
    <row r="358" customFormat="false" ht="15" hidden="false" customHeight="false" outlineLevel="0" collapsed="false">
      <c r="A358" s="54" t="s">
        <v>27</v>
      </c>
      <c r="B358" s="55" t="n">
        <v>882</v>
      </c>
      <c r="C358" s="56" t="n">
        <v>46303.8219614931</v>
      </c>
      <c r="D358" s="55" t="n">
        <v>19</v>
      </c>
      <c r="E358" s="54" t="s">
        <v>214</v>
      </c>
      <c r="F358" s="54" t="s">
        <v>859</v>
      </c>
      <c r="G358" s="54" t="s">
        <v>860</v>
      </c>
      <c r="H358" s="54" t="s">
        <v>861</v>
      </c>
      <c r="I358" s="54" t="s">
        <v>347</v>
      </c>
      <c r="J358" s="54" t="s">
        <v>862</v>
      </c>
      <c r="K358" s="58" t="n">
        <v>72</v>
      </c>
      <c r="L358" s="54" t="s">
        <v>863</v>
      </c>
      <c r="M358" s="54" t="s">
        <v>212</v>
      </c>
      <c r="N358" s="54" t="s">
        <v>212</v>
      </c>
      <c r="O358" s="58"/>
      <c r="P358" s="54" t="s">
        <v>212</v>
      </c>
      <c r="Q358" s="58"/>
    </row>
    <row r="359" customFormat="false" ht="15" hidden="false" customHeight="false" outlineLevel="0" collapsed="false">
      <c r="A359" s="54" t="s">
        <v>27</v>
      </c>
      <c r="B359" s="55" t="n">
        <v>905</v>
      </c>
      <c r="C359" s="56" t="n">
        <v>46303.8366396528</v>
      </c>
      <c r="D359" s="55" t="n">
        <v>20</v>
      </c>
      <c r="E359" s="54" t="s">
        <v>214</v>
      </c>
      <c r="F359" s="54" t="s">
        <v>859</v>
      </c>
      <c r="G359" s="54" t="s">
        <v>860</v>
      </c>
      <c r="H359" s="54" t="s">
        <v>861</v>
      </c>
      <c r="I359" s="54" t="s">
        <v>347</v>
      </c>
      <c r="J359" s="54" t="s">
        <v>862</v>
      </c>
      <c r="K359" s="58" t="n">
        <v>72</v>
      </c>
      <c r="L359" s="54" t="s">
        <v>863</v>
      </c>
      <c r="M359" s="54" t="s">
        <v>212</v>
      </c>
      <c r="N359" s="54" t="s">
        <v>214</v>
      </c>
      <c r="O359" s="58" t="n">
        <v>0.4</v>
      </c>
      <c r="P359" s="54" t="s">
        <v>212</v>
      </c>
      <c r="Q359" s="58"/>
    </row>
    <row r="360" customFormat="false" ht="15" hidden="false" customHeight="false" outlineLevel="0" collapsed="false">
      <c r="A360" s="54" t="s">
        <v>27</v>
      </c>
      <c r="B360" s="55" t="n">
        <v>880</v>
      </c>
      <c r="C360" s="56" t="n">
        <v>46303.8493127199</v>
      </c>
      <c r="D360" s="55" t="n">
        <v>20</v>
      </c>
      <c r="E360" s="54" t="s">
        <v>214</v>
      </c>
      <c r="F360" s="54" t="s">
        <v>859</v>
      </c>
      <c r="G360" s="54" t="s">
        <v>860</v>
      </c>
      <c r="H360" s="54" t="s">
        <v>861</v>
      </c>
      <c r="I360" s="54" t="s">
        <v>347</v>
      </c>
      <c r="J360" s="54" t="s">
        <v>862</v>
      </c>
      <c r="K360" s="58" t="n">
        <v>72</v>
      </c>
      <c r="L360" s="54" t="s">
        <v>863</v>
      </c>
      <c r="M360" s="54" t="s">
        <v>212</v>
      </c>
      <c r="N360" s="54" t="s">
        <v>214</v>
      </c>
      <c r="O360" s="58" t="n">
        <v>827.6</v>
      </c>
      <c r="P360" s="54" t="s">
        <v>212</v>
      </c>
      <c r="Q360" s="58"/>
    </row>
    <row r="361" customFormat="false" ht="15" hidden="false" customHeight="false" outlineLevel="0" collapsed="false">
      <c r="A361" s="54" t="s">
        <v>27</v>
      </c>
      <c r="B361" s="55" t="n">
        <v>961</v>
      </c>
      <c r="C361" s="56" t="n">
        <v>46304.3060106019</v>
      </c>
      <c r="D361" s="55" t="n">
        <v>7</v>
      </c>
      <c r="E361" s="54" t="s">
        <v>212</v>
      </c>
      <c r="F361" s="54" t="s">
        <v>127</v>
      </c>
      <c r="G361" s="54" t="s">
        <v>118</v>
      </c>
      <c r="H361" s="54" t="s">
        <v>220</v>
      </c>
      <c r="I361" s="54" t="s">
        <v>347</v>
      </c>
      <c r="J361" s="54" t="s">
        <v>862</v>
      </c>
      <c r="K361" s="58" t="n">
        <v>113.3</v>
      </c>
      <c r="L361" s="54" t="s">
        <v>212</v>
      </c>
      <c r="M361" s="54" t="s">
        <v>214</v>
      </c>
      <c r="N361" s="54" t="s">
        <v>214</v>
      </c>
      <c r="O361" s="58" t="n">
        <v>483.9</v>
      </c>
      <c r="P361" s="54" t="s">
        <v>212</v>
      </c>
      <c r="Q361" s="58"/>
    </row>
    <row r="362" customFormat="false" ht="15" hidden="false" customHeight="false" outlineLevel="0" collapsed="false">
      <c r="A362" s="54" t="s">
        <v>27</v>
      </c>
      <c r="B362" s="55" t="n">
        <v>973</v>
      </c>
      <c r="C362" s="56" t="n">
        <v>46304.3358818982</v>
      </c>
      <c r="D362" s="55" t="n">
        <v>8</v>
      </c>
      <c r="E362" s="54" t="s">
        <v>214</v>
      </c>
      <c r="F362" s="54" t="s">
        <v>127</v>
      </c>
      <c r="G362" s="54" t="s">
        <v>118</v>
      </c>
      <c r="H362" s="54" t="s">
        <v>220</v>
      </c>
      <c r="I362" s="54" t="s">
        <v>477</v>
      </c>
      <c r="J362" s="54" t="s">
        <v>864</v>
      </c>
      <c r="K362" s="58" t="n">
        <v>57</v>
      </c>
      <c r="L362" s="54" t="s">
        <v>214</v>
      </c>
      <c r="M362" s="54" t="s">
        <v>214</v>
      </c>
      <c r="N362" s="54" t="s">
        <v>214</v>
      </c>
      <c r="O362" s="58" t="n">
        <v>102.2</v>
      </c>
      <c r="P362" s="54" t="s">
        <v>214</v>
      </c>
      <c r="Q362" s="58" t="n">
        <v>209.3</v>
      </c>
    </row>
    <row r="363" customFormat="false" ht="15" hidden="false" customHeight="false" outlineLevel="0" collapsed="false">
      <c r="A363" s="54" t="s">
        <v>27</v>
      </c>
      <c r="B363" s="55" t="n">
        <v>944</v>
      </c>
      <c r="C363" s="56" t="n">
        <v>46304.3750354167</v>
      </c>
      <c r="D363" s="55" t="n">
        <v>9</v>
      </c>
      <c r="E363" s="54" t="s">
        <v>214</v>
      </c>
      <c r="F363" s="54" t="s">
        <v>859</v>
      </c>
      <c r="G363" s="54" t="s">
        <v>860</v>
      </c>
      <c r="H363" s="54" t="s">
        <v>861</v>
      </c>
      <c r="I363" s="54" t="s">
        <v>347</v>
      </c>
      <c r="J363" s="54" t="s">
        <v>862</v>
      </c>
      <c r="K363" s="58" t="n">
        <v>72</v>
      </c>
      <c r="L363" s="54" t="s">
        <v>863</v>
      </c>
      <c r="M363" s="54" t="s">
        <v>212</v>
      </c>
      <c r="N363" s="54" t="s">
        <v>214</v>
      </c>
      <c r="O363" s="58" t="n">
        <v>361.8</v>
      </c>
      <c r="P363" s="54" t="s">
        <v>212</v>
      </c>
      <c r="Q363" s="58"/>
    </row>
    <row r="364" customFormat="false" ht="15" hidden="false" customHeight="false" outlineLevel="0" collapsed="false">
      <c r="A364" s="54" t="s">
        <v>27</v>
      </c>
      <c r="B364" s="55" t="n">
        <v>938</v>
      </c>
      <c r="C364" s="56" t="n">
        <v>46304.3750404167</v>
      </c>
      <c r="D364" s="55" t="n">
        <v>9</v>
      </c>
      <c r="E364" s="54" t="s">
        <v>214</v>
      </c>
      <c r="F364" s="54" t="s">
        <v>859</v>
      </c>
      <c r="G364" s="54" t="s">
        <v>860</v>
      </c>
      <c r="H364" s="54" t="s">
        <v>861</v>
      </c>
      <c r="I364" s="54" t="s">
        <v>347</v>
      </c>
      <c r="J364" s="54" t="s">
        <v>862</v>
      </c>
      <c r="K364" s="58" t="n">
        <v>72</v>
      </c>
      <c r="L364" s="54" t="s">
        <v>863</v>
      </c>
      <c r="M364" s="54" t="s">
        <v>212</v>
      </c>
      <c r="N364" s="54" t="s">
        <v>212</v>
      </c>
      <c r="O364" s="58"/>
      <c r="P364" s="54" t="s">
        <v>212</v>
      </c>
      <c r="Q364" s="58"/>
    </row>
    <row r="365" customFormat="false" ht="15" hidden="false" customHeight="false" outlineLevel="0" collapsed="false">
      <c r="A365" s="54" t="s">
        <v>27</v>
      </c>
      <c r="B365" s="55" t="n">
        <v>919</v>
      </c>
      <c r="C365" s="56" t="n">
        <v>46304.3750467245</v>
      </c>
      <c r="D365" s="55" t="n">
        <v>9</v>
      </c>
      <c r="E365" s="54" t="s">
        <v>214</v>
      </c>
      <c r="F365" s="54" t="s">
        <v>859</v>
      </c>
      <c r="G365" s="54" t="s">
        <v>860</v>
      </c>
      <c r="H365" s="54" t="s">
        <v>861</v>
      </c>
      <c r="I365" s="54" t="s">
        <v>347</v>
      </c>
      <c r="J365" s="54" t="s">
        <v>862</v>
      </c>
      <c r="K365" s="58" t="n">
        <v>72</v>
      </c>
      <c r="L365" s="54" t="s">
        <v>863</v>
      </c>
      <c r="M365" s="54" t="s">
        <v>212</v>
      </c>
      <c r="N365" s="54" t="s">
        <v>212</v>
      </c>
      <c r="O365" s="58"/>
      <c r="P365" s="54" t="s">
        <v>212</v>
      </c>
      <c r="Q365" s="58"/>
    </row>
    <row r="366" customFormat="false" ht="15" hidden="false" customHeight="false" outlineLevel="0" collapsed="false">
      <c r="A366" s="54" t="s">
        <v>27</v>
      </c>
      <c r="B366" s="55" t="n">
        <v>915</v>
      </c>
      <c r="C366" s="56" t="n">
        <v>46304.3751161574</v>
      </c>
      <c r="D366" s="55" t="n">
        <v>9</v>
      </c>
      <c r="E366" s="54" t="s">
        <v>214</v>
      </c>
      <c r="F366" s="54" t="s">
        <v>859</v>
      </c>
      <c r="G366" s="54" t="s">
        <v>860</v>
      </c>
      <c r="H366" s="54" t="s">
        <v>861</v>
      </c>
      <c r="I366" s="54" t="s">
        <v>347</v>
      </c>
      <c r="J366" s="54" t="s">
        <v>862</v>
      </c>
      <c r="K366" s="58" t="n">
        <v>72</v>
      </c>
      <c r="L366" s="54" t="s">
        <v>863</v>
      </c>
      <c r="M366" s="54" t="s">
        <v>212</v>
      </c>
      <c r="N366" s="54" t="s">
        <v>212</v>
      </c>
      <c r="O366" s="58"/>
      <c r="P366" s="54" t="s">
        <v>212</v>
      </c>
      <c r="Q366" s="58"/>
    </row>
    <row r="367" customFormat="false" ht="15" hidden="false" customHeight="false" outlineLevel="0" collapsed="false">
      <c r="A367" s="54" t="s">
        <v>27</v>
      </c>
      <c r="B367" s="55" t="n">
        <v>906</v>
      </c>
      <c r="C367" s="56" t="n">
        <v>46304.3751359144</v>
      </c>
      <c r="D367" s="55" t="n">
        <v>9</v>
      </c>
      <c r="E367" s="54" t="s">
        <v>214</v>
      </c>
      <c r="F367" s="54" t="s">
        <v>859</v>
      </c>
      <c r="G367" s="54" t="s">
        <v>860</v>
      </c>
      <c r="H367" s="54" t="s">
        <v>861</v>
      </c>
      <c r="I367" s="54" t="s">
        <v>347</v>
      </c>
      <c r="J367" s="54" t="s">
        <v>862</v>
      </c>
      <c r="K367" s="58" t="n">
        <v>72</v>
      </c>
      <c r="L367" s="54" t="s">
        <v>863</v>
      </c>
      <c r="M367" s="54" t="s">
        <v>212</v>
      </c>
      <c r="N367" s="54" t="s">
        <v>214</v>
      </c>
      <c r="O367" s="58" t="n">
        <v>1693.3</v>
      </c>
      <c r="P367" s="54" t="s">
        <v>212</v>
      </c>
      <c r="Q367" s="58"/>
    </row>
    <row r="368" customFormat="false" ht="15" hidden="false" customHeight="false" outlineLevel="0" collapsed="false">
      <c r="A368" s="54" t="s">
        <v>27</v>
      </c>
      <c r="B368" s="55" t="n">
        <v>932</v>
      </c>
      <c r="C368" s="56" t="n">
        <v>46304.3752414236</v>
      </c>
      <c r="D368" s="55" t="n">
        <v>9</v>
      </c>
      <c r="E368" s="54" t="s">
        <v>214</v>
      </c>
      <c r="F368" s="54" t="s">
        <v>859</v>
      </c>
      <c r="G368" s="54" t="s">
        <v>860</v>
      </c>
      <c r="H368" s="54" t="s">
        <v>861</v>
      </c>
      <c r="I368" s="54" t="s">
        <v>347</v>
      </c>
      <c r="J368" s="54" t="s">
        <v>862</v>
      </c>
      <c r="K368" s="58" t="n">
        <v>72</v>
      </c>
      <c r="L368" s="54" t="s">
        <v>863</v>
      </c>
      <c r="M368" s="54" t="s">
        <v>212</v>
      </c>
      <c r="N368" s="54" t="s">
        <v>214</v>
      </c>
      <c r="O368" s="58" t="n">
        <v>5258.4</v>
      </c>
      <c r="P368" s="54" t="s">
        <v>212</v>
      </c>
      <c r="Q368" s="58"/>
    </row>
    <row r="369" customFormat="false" ht="15" hidden="false" customHeight="false" outlineLevel="0" collapsed="false">
      <c r="A369" s="54" t="s">
        <v>27</v>
      </c>
      <c r="B369" s="55" t="n">
        <v>930</v>
      </c>
      <c r="C369" s="56" t="n">
        <v>46304.3754701852</v>
      </c>
      <c r="D369" s="55" t="n">
        <v>9</v>
      </c>
      <c r="E369" s="54" t="s">
        <v>214</v>
      </c>
      <c r="F369" s="54" t="s">
        <v>859</v>
      </c>
      <c r="G369" s="54" t="s">
        <v>860</v>
      </c>
      <c r="H369" s="54" t="s">
        <v>861</v>
      </c>
      <c r="I369" s="54" t="s">
        <v>347</v>
      </c>
      <c r="J369" s="54" t="s">
        <v>862</v>
      </c>
      <c r="K369" s="58" t="n">
        <v>72</v>
      </c>
      <c r="L369" s="54" t="s">
        <v>863</v>
      </c>
      <c r="M369" s="54" t="s">
        <v>212</v>
      </c>
      <c r="N369" s="54" t="s">
        <v>214</v>
      </c>
      <c r="O369" s="58" t="n">
        <v>6.2</v>
      </c>
      <c r="P369" s="54" t="s">
        <v>212</v>
      </c>
      <c r="Q369" s="58"/>
    </row>
    <row r="370" customFormat="false" ht="15" hidden="false" customHeight="false" outlineLevel="0" collapsed="false">
      <c r="A370" s="54" t="s">
        <v>27</v>
      </c>
      <c r="B370" s="55" t="n">
        <v>959</v>
      </c>
      <c r="C370" s="56" t="n">
        <v>46304.3890503935</v>
      </c>
      <c r="D370" s="55" t="n">
        <v>9</v>
      </c>
      <c r="E370" s="54" t="s">
        <v>214</v>
      </c>
      <c r="F370" s="54" t="s">
        <v>859</v>
      </c>
      <c r="G370" s="54" t="s">
        <v>860</v>
      </c>
      <c r="H370" s="54" t="s">
        <v>861</v>
      </c>
      <c r="I370" s="54" t="s">
        <v>347</v>
      </c>
      <c r="J370" s="54" t="s">
        <v>862</v>
      </c>
      <c r="K370" s="58" t="n">
        <v>72</v>
      </c>
      <c r="L370" s="54" t="s">
        <v>863</v>
      </c>
      <c r="M370" s="54" t="s">
        <v>212</v>
      </c>
      <c r="N370" s="54" t="s">
        <v>214</v>
      </c>
      <c r="O370" s="58" t="n">
        <v>5.7</v>
      </c>
      <c r="P370" s="54" t="s">
        <v>212</v>
      </c>
      <c r="Q370" s="58"/>
    </row>
    <row r="371" customFormat="false" ht="15" hidden="false" customHeight="false" outlineLevel="0" collapsed="false">
      <c r="A371" s="54" t="s">
        <v>27</v>
      </c>
      <c r="B371" s="55" t="n">
        <v>973</v>
      </c>
      <c r="C371" s="56" t="n">
        <v>46304.396079213</v>
      </c>
      <c r="D371" s="55" t="n">
        <v>9</v>
      </c>
      <c r="E371" s="54" t="s">
        <v>214</v>
      </c>
      <c r="F371" s="54" t="s">
        <v>859</v>
      </c>
      <c r="G371" s="54" t="s">
        <v>860</v>
      </c>
      <c r="H371" s="54" t="s">
        <v>861</v>
      </c>
      <c r="I371" s="54" t="s">
        <v>347</v>
      </c>
      <c r="J371" s="54" t="s">
        <v>862</v>
      </c>
      <c r="K371" s="58" t="n">
        <v>72</v>
      </c>
      <c r="L371" s="54" t="s">
        <v>863</v>
      </c>
      <c r="M371" s="54" t="s">
        <v>212</v>
      </c>
      <c r="N371" s="54" t="s">
        <v>214</v>
      </c>
      <c r="O371" s="58" t="n">
        <v>15.5</v>
      </c>
      <c r="P371" s="54" t="s">
        <v>214</v>
      </c>
      <c r="Q371" s="58" t="n">
        <v>122.7</v>
      </c>
    </row>
    <row r="372" customFormat="false" ht="15" hidden="false" customHeight="false" outlineLevel="0" collapsed="false">
      <c r="A372" s="54" t="s">
        <v>27</v>
      </c>
      <c r="B372" s="55" t="n">
        <v>991</v>
      </c>
      <c r="C372" s="56" t="n">
        <v>46304.4312565046</v>
      </c>
      <c r="D372" s="55" t="n">
        <v>10</v>
      </c>
      <c r="E372" s="54" t="s">
        <v>214</v>
      </c>
      <c r="F372" s="54" t="s">
        <v>859</v>
      </c>
      <c r="G372" s="54" t="s">
        <v>860</v>
      </c>
      <c r="H372" s="54" t="s">
        <v>861</v>
      </c>
      <c r="I372" s="54" t="s">
        <v>347</v>
      </c>
      <c r="J372" s="54" t="s">
        <v>862</v>
      </c>
      <c r="K372" s="58" t="n">
        <v>72</v>
      </c>
      <c r="L372" s="54" t="s">
        <v>863</v>
      </c>
      <c r="M372" s="54" t="s">
        <v>212</v>
      </c>
      <c r="N372" s="54" t="s">
        <v>212</v>
      </c>
      <c r="O372" s="58"/>
      <c r="P372" s="54" t="s">
        <v>212</v>
      </c>
      <c r="Q372" s="58"/>
    </row>
    <row r="373" customFormat="false" ht="15" hidden="false" customHeight="false" outlineLevel="0" collapsed="false">
      <c r="A373" s="54" t="s">
        <v>27</v>
      </c>
      <c r="B373" s="55" t="n">
        <v>1007</v>
      </c>
      <c r="C373" s="56" t="n">
        <v>46304.4361007755</v>
      </c>
      <c r="D373" s="55" t="n">
        <v>10</v>
      </c>
      <c r="E373" s="54" t="s">
        <v>214</v>
      </c>
      <c r="F373" s="54" t="s">
        <v>130</v>
      </c>
      <c r="G373" s="54" t="s">
        <v>118</v>
      </c>
      <c r="H373" s="54" t="s">
        <v>215</v>
      </c>
      <c r="I373" s="54" t="s">
        <v>477</v>
      </c>
      <c r="J373" s="54" t="s">
        <v>864</v>
      </c>
      <c r="K373" s="58" t="n">
        <v>115</v>
      </c>
      <c r="L373" s="54" t="s">
        <v>212</v>
      </c>
      <c r="M373" s="54" t="s">
        <v>214</v>
      </c>
      <c r="N373" s="54" t="s">
        <v>214</v>
      </c>
      <c r="O373" s="58" t="n">
        <v>72.7</v>
      </c>
      <c r="P373" s="54" t="s">
        <v>214</v>
      </c>
      <c r="Q373" s="58" t="n">
        <v>86.7</v>
      </c>
    </row>
    <row r="374" customFormat="false" ht="15" hidden="false" customHeight="false" outlineLevel="0" collapsed="false">
      <c r="A374" s="54" t="s">
        <v>27</v>
      </c>
      <c r="B374" s="55" t="n">
        <v>1014</v>
      </c>
      <c r="C374" s="56" t="n">
        <v>46304.4600370486</v>
      </c>
      <c r="D374" s="55" t="n">
        <v>11</v>
      </c>
      <c r="E374" s="54" t="s">
        <v>214</v>
      </c>
      <c r="F374" s="54" t="s">
        <v>130</v>
      </c>
      <c r="G374" s="54" t="s">
        <v>118</v>
      </c>
      <c r="H374" s="54" t="s">
        <v>215</v>
      </c>
      <c r="I374" s="54" t="s">
        <v>477</v>
      </c>
      <c r="J374" s="54" t="s">
        <v>864</v>
      </c>
      <c r="K374" s="58" t="n">
        <v>104.2</v>
      </c>
      <c r="L374" s="54" t="s">
        <v>212</v>
      </c>
      <c r="M374" s="54" t="s">
        <v>214</v>
      </c>
      <c r="N374" s="54" t="s">
        <v>214</v>
      </c>
      <c r="O374" s="58" t="n">
        <v>0.1</v>
      </c>
      <c r="P374" s="54" t="s">
        <v>214</v>
      </c>
      <c r="Q374" s="58" t="n">
        <v>4.5</v>
      </c>
    </row>
    <row r="375" customFormat="false" ht="15" hidden="false" customHeight="false" outlineLevel="0" collapsed="false">
      <c r="A375" s="54" t="s">
        <v>27</v>
      </c>
      <c r="B375" s="55" t="n">
        <v>995</v>
      </c>
      <c r="C375" s="56" t="n">
        <v>46304.4612032986</v>
      </c>
      <c r="D375" s="55" t="n">
        <v>11</v>
      </c>
      <c r="E375" s="54" t="s">
        <v>214</v>
      </c>
      <c r="F375" s="54" t="s">
        <v>859</v>
      </c>
      <c r="G375" s="54" t="s">
        <v>860</v>
      </c>
      <c r="H375" s="54" t="s">
        <v>861</v>
      </c>
      <c r="I375" s="54" t="s">
        <v>347</v>
      </c>
      <c r="J375" s="54" t="s">
        <v>862</v>
      </c>
      <c r="K375" s="58" t="n">
        <v>72</v>
      </c>
      <c r="L375" s="54" t="s">
        <v>863</v>
      </c>
      <c r="M375" s="54" t="s">
        <v>212</v>
      </c>
      <c r="N375" s="54" t="s">
        <v>214</v>
      </c>
      <c r="O375" s="58" t="n">
        <v>1.6</v>
      </c>
      <c r="P375" s="54" t="s">
        <v>212</v>
      </c>
      <c r="Q375" s="58"/>
    </row>
    <row r="376" customFormat="false" ht="15" hidden="false" customHeight="false" outlineLevel="0" collapsed="false">
      <c r="A376" s="54" t="s">
        <v>27</v>
      </c>
      <c r="B376" s="55" t="n">
        <v>961</v>
      </c>
      <c r="C376" s="56" t="n">
        <v>46304.4831345255</v>
      </c>
      <c r="D376" s="55" t="n">
        <v>11</v>
      </c>
      <c r="E376" s="54" t="s">
        <v>214</v>
      </c>
      <c r="F376" s="54" t="s">
        <v>859</v>
      </c>
      <c r="G376" s="54" t="s">
        <v>860</v>
      </c>
      <c r="H376" s="54" t="s">
        <v>861</v>
      </c>
      <c r="I376" s="54" t="s">
        <v>347</v>
      </c>
      <c r="J376" s="54" t="s">
        <v>862</v>
      </c>
      <c r="K376" s="58" t="n">
        <v>72</v>
      </c>
      <c r="L376" s="54" t="s">
        <v>863</v>
      </c>
      <c r="M376" s="54" t="s">
        <v>212</v>
      </c>
      <c r="N376" s="54" t="s">
        <v>214</v>
      </c>
      <c r="O376" s="58" t="n">
        <v>228.8</v>
      </c>
      <c r="P376" s="54" t="s">
        <v>212</v>
      </c>
      <c r="Q376" s="58"/>
    </row>
    <row r="377" customFormat="false" ht="15" hidden="false" customHeight="false" outlineLevel="0" collapsed="false">
      <c r="A377" s="54" t="s">
        <v>27</v>
      </c>
      <c r="B377" s="55" t="n">
        <v>1007</v>
      </c>
      <c r="C377" s="56" t="n">
        <v>46304.5136111574</v>
      </c>
      <c r="D377" s="55" t="n">
        <v>12</v>
      </c>
      <c r="E377" s="54" t="s">
        <v>214</v>
      </c>
      <c r="F377" s="54" t="s">
        <v>859</v>
      </c>
      <c r="G377" s="54" t="s">
        <v>860</v>
      </c>
      <c r="H377" s="54" t="s">
        <v>861</v>
      </c>
      <c r="I377" s="54" t="s">
        <v>347</v>
      </c>
      <c r="J377" s="54" t="s">
        <v>862</v>
      </c>
      <c r="K377" s="58" t="n">
        <v>72</v>
      </c>
      <c r="L377" s="54" t="s">
        <v>863</v>
      </c>
      <c r="M377" s="54" t="s">
        <v>212</v>
      </c>
      <c r="N377" s="54" t="s">
        <v>214</v>
      </c>
      <c r="O377" s="58" t="n">
        <v>26.4</v>
      </c>
      <c r="P377" s="54" t="s">
        <v>212</v>
      </c>
      <c r="Q377" s="58"/>
    </row>
    <row r="378" customFormat="false" ht="15" hidden="false" customHeight="false" outlineLevel="0" collapsed="false">
      <c r="A378" s="54" t="s">
        <v>27</v>
      </c>
      <c r="B378" s="55" t="n">
        <v>1014</v>
      </c>
      <c r="C378" s="56" t="n">
        <v>46304.535595544</v>
      </c>
      <c r="D378" s="55" t="n">
        <v>12</v>
      </c>
      <c r="E378" s="54" t="s">
        <v>214</v>
      </c>
      <c r="F378" s="54" t="s">
        <v>859</v>
      </c>
      <c r="G378" s="54" t="s">
        <v>860</v>
      </c>
      <c r="H378" s="54" t="s">
        <v>861</v>
      </c>
      <c r="I378" s="54" t="s">
        <v>347</v>
      </c>
      <c r="J378" s="54" t="s">
        <v>862</v>
      </c>
      <c r="K378" s="58" t="n">
        <v>72</v>
      </c>
      <c r="L378" s="54" t="s">
        <v>863</v>
      </c>
      <c r="M378" s="54" t="s">
        <v>212</v>
      </c>
      <c r="N378" s="54" t="s">
        <v>214</v>
      </c>
      <c r="O378" s="58" t="n">
        <v>0.6</v>
      </c>
      <c r="P378" s="54" t="s">
        <v>212</v>
      </c>
      <c r="Q378" s="58"/>
    </row>
    <row r="379" customFormat="false" ht="15" hidden="false" customHeight="false" outlineLevel="0" collapsed="false">
      <c r="A379" s="54" t="s">
        <v>27</v>
      </c>
      <c r="B379" s="55" t="n">
        <v>1019</v>
      </c>
      <c r="C379" s="56" t="n">
        <v>46304.5533619097</v>
      </c>
      <c r="D379" s="55" t="n">
        <v>13</v>
      </c>
      <c r="E379" s="54" t="s">
        <v>214</v>
      </c>
      <c r="F379" s="54" t="s">
        <v>859</v>
      </c>
      <c r="G379" s="54" t="s">
        <v>860</v>
      </c>
      <c r="H379" s="54" t="s">
        <v>861</v>
      </c>
      <c r="I379" s="54" t="s">
        <v>347</v>
      </c>
      <c r="J379" s="54" t="s">
        <v>862</v>
      </c>
      <c r="K379" s="58" t="n">
        <v>72</v>
      </c>
      <c r="L379" s="54" t="s">
        <v>863</v>
      </c>
      <c r="M379" s="54" t="s">
        <v>212</v>
      </c>
      <c r="N379" s="54" t="s">
        <v>212</v>
      </c>
      <c r="O379" s="58"/>
      <c r="P379" s="54" t="s">
        <v>212</v>
      </c>
      <c r="Q379" s="58"/>
    </row>
    <row r="380" customFormat="false" ht="15" hidden="false" customHeight="false" outlineLevel="0" collapsed="false">
      <c r="A380" s="54" t="s">
        <v>27</v>
      </c>
      <c r="B380" s="55" t="n">
        <v>1043</v>
      </c>
      <c r="C380" s="56" t="n">
        <v>46304.5797840857</v>
      </c>
      <c r="D380" s="55" t="n">
        <v>13</v>
      </c>
      <c r="E380" s="54" t="s">
        <v>214</v>
      </c>
      <c r="F380" s="54" t="s">
        <v>129</v>
      </c>
      <c r="G380" s="54" t="s">
        <v>118</v>
      </c>
      <c r="H380" s="54" t="s">
        <v>220</v>
      </c>
      <c r="I380" s="54" t="s">
        <v>477</v>
      </c>
      <c r="J380" s="54" t="s">
        <v>864</v>
      </c>
      <c r="K380" s="58" t="n">
        <v>105.3</v>
      </c>
      <c r="L380" s="54" t="s">
        <v>212</v>
      </c>
      <c r="M380" s="54" t="s">
        <v>214</v>
      </c>
      <c r="N380" s="54" t="s">
        <v>214</v>
      </c>
      <c r="O380" s="58" t="n">
        <v>6</v>
      </c>
      <c r="P380" s="54" t="s">
        <v>214</v>
      </c>
      <c r="Q380" s="58" t="n">
        <v>6.3</v>
      </c>
    </row>
    <row r="381" customFormat="false" ht="15" hidden="false" customHeight="false" outlineLevel="0" collapsed="false">
      <c r="A381" s="54" t="s">
        <v>27</v>
      </c>
      <c r="B381" s="55" t="n">
        <v>1044</v>
      </c>
      <c r="C381" s="56" t="n">
        <v>46304.6790254282</v>
      </c>
      <c r="D381" s="55" t="n">
        <v>16</v>
      </c>
      <c r="E381" s="54" t="s">
        <v>214</v>
      </c>
      <c r="F381" s="54" t="s">
        <v>859</v>
      </c>
      <c r="G381" s="54" t="s">
        <v>860</v>
      </c>
      <c r="H381" s="54" t="s">
        <v>861</v>
      </c>
      <c r="I381" s="54" t="s">
        <v>347</v>
      </c>
      <c r="J381" s="54" t="s">
        <v>862</v>
      </c>
      <c r="K381" s="58" t="n">
        <v>72</v>
      </c>
      <c r="L381" s="54" t="s">
        <v>863</v>
      </c>
      <c r="M381" s="54" t="s">
        <v>212</v>
      </c>
      <c r="N381" s="54" t="s">
        <v>214</v>
      </c>
      <c r="O381" s="58" t="n">
        <v>1852.8</v>
      </c>
      <c r="P381" s="54" t="s">
        <v>212</v>
      </c>
      <c r="Q381" s="58"/>
    </row>
    <row r="382" customFormat="false" ht="15" hidden="false" customHeight="false" outlineLevel="0" collapsed="false">
      <c r="A382" s="54" t="s">
        <v>27</v>
      </c>
      <c r="B382" s="55" t="n">
        <v>1072</v>
      </c>
      <c r="C382" s="56" t="n">
        <v>46304.6979023611</v>
      </c>
      <c r="D382" s="55" t="n">
        <v>16</v>
      </c>
      <c r="E382" s="54" t="s">
        <v>214</v>
      </c>
      <c r="F382" s="54" t="s">
        <v>129</v>
      </c>
      <c r="G382" s="54" t="s">
        <v>118</v>
      </c>
      <c r="H382" s="54" t="s">
        <v>220</v>
      </c>
      <c r="I382" s="54" t="s">
        <v>477</v>
      </c>
      <c r="J382" s="54" t="s">
        <v>864</v>
      </c>
      <c r="K382" s="58" t="n">
        <v>107.5</v>
      </c>
      <c r="L382" s="54" t="s">
        <v>212</v>
      </c>
      <c r="M382" s="54" t="s">
        <v>214</v>
      </c>
      <c r="N382" s="54" t="s">
        <v>214</v>
      </c>
      <c r="O382" s="58" t="n">
        <v>0.8</v>
      </c>
      <c r="P382" s="54" t="s">
        <v>214</v>
      </c>
      <c r="Q382" s="58" t="n">
        <v>3.2</v>
      </c>
    </row>
    <row r="383" customFormat="false" ht="15" hidden="false" customHeight="false" outlineLevel="0" collapsed="false">
      <c r="A383" s="54" t="s">
        <v>27</v>
      </c>
      <c r="B383" s="55" t="n">
        <v>1043</v>
      </c>
      <c r="C383" s="56" t="n">
        <v>46304.7573898958</v>
      </c>
      <c r="D383" s="55" t="n">
        <v>18</v>
      </c>
      <c r="E383" s="54" t="s">
        <v>214</v>
      </c>
      <c r="F383" s="54" t="s">
        <v>859</v>
      </c>
      <c r="G383" s="54" t="s">
        <v>860</v>
      </c>
      <c r="H383" s="54" t="s">
        <v>861</v>
      </c>
      <c r="I383" s="54" t="s">
        <v>347</v>
      </c>
      <c r="J383" s="54" t="s">
        <v>862</v>
      </c>
      <c r="K383" s="58" t="n">
        <v>72</v>
      </c>
      <c r="L383" s="54" t="s">
        <v>863</v>
      </c>
      <c r="M383" s="54" t="s">
        <v>212</v>
      </c>
      <c r="N383" s="54" t="s">
        <v>214</v>
      </c>
      <c r="O383" s="58" t="n">
        <v>28</v>
      </c>
      <c r="P383" s="54" t="s">
        <v>212</v>
      </c>
      <c r="Q383" s="58"/>
    </row>
    <row r="384" customFormat="false" ht="15" hidden="false" customHeight="false" outlineLevel="0" collapsed="false">
      <c r="A384" s="54" t="s">
        <v>27</v>
      </c>
      <c r="B384" s="55" t="n">
        <v>1073</v>
      </c>
      <c r="C384" s="56" t="n">
        <v>46304.7765370486</v>
      </c>
      <c r="D384" s="55" t="n">
        <v>18</v>
      </c>
      <c r="E384" s="54" t="s">
        <v>214</v>
      </c>
      <c r="F384" s="54" t="s">
        <v>859</v>
      </c>
      <c r="G384" s="54" t="s">
        <v>860</v>
      </c>
      <c r="H384" s="54" t="s">
        <v>861</v>
      </c>
      <c r="I384" s="54" t="s">
        <v>347</v>
      </c>
      <c r="J384" s="54" t="s">
        <v>862</v>
      </c>
      <c r="K384" s="58" t="n">
        <v>72</v>
      </c>
      <c r="L384" s="54" t="s">
        <v>863</v>
      </c>
      <c r="M384" s="54" t="s">
        <v>212</v>
      </c>
      <c r="N384" s="54" t="s">
        <v>214</v>
      </c>
      <c r="O384" s="58" t="n">
        <v>170.9</v>
      </c>
      <c r="P384" s="54" t="s">
        <v>212</v>
      </c>
      <c r="Q384" s="58"/>
    </row>
    <row r="385" customFormat="false" ht="15" hidden="false" customHeight="false" outlineLevel="0" collapsed="false">
      <c r="A385" s="54" t="s">
        <v>27</v>
      </c>
      <c r="B385" s="55" t="n">
        <v>1082</v>
      </c>
      <c r="C385" s="56" t="n">
        <v>46304.7894100463</v>
      </c>
      <c r="D385" s="55" t="n">
        <v>18</v>
      </c>
      <c r="E385" s="54" t="s">
        <v>214</v>
      </c>
      <c r="F385" s="54" t="s">
        <v>129</v>
      </c>
      <c r="G385" s="54" t="s">
        <v>118</v>
      </c>
      <c r="H385" s="54" t="s">
        <v>220</v>
      </c>
      <c r="I385" s="54" t="s">
        <v>477</v>
      </c>
      <c r="J385" s="54" t="s">
        <v>864</v>
      </c>
      <c r="K385" s="58" t="n">
        <v>97.3</v>
      </c>
      <c r="L385" s="54" t="s">
        <v>212</v>
      </c>
      <c r="M385" s="54" t="s">
        <v>214</v>
      </c>
      <c r="N385" s="54" t="s">
        <v>214</v>
      </c>
      <c r="O385" s="58" t="n">
        <v>5257.9</v>
      </c>
      <c r="P385" s="54" t="s">
        <v>212</v>
      </c>
      <c r="Q385" s="58"/>
    </row>
    <row r="386" customFormat="false" ht="15" hidden="false" customHeight="false" outlineLevel="0" collapsed="false">
      <c r="A386" s="54" t="s">
        <v>27</v>
      </c>
      <c r="B386" s="55" t="n">
        <v>1079</v>
      </c>
      <c r="C386" s="56" t="n">
        <v>46304.8200935185</v>
      </c>
      <c r="D386" s="55" t="n">
        <v>19</v>
      </c>
      <c r="E386" s="54" t="s">
        <v>214</v>
      </c>
      <c r="F386" s="54" t="s">
        <v>859</v>
      </c>
      <c r="G386" s="54" t="s">
        <v>860</v>
      </c>
      <c r="H386" s="54" t="s">
        <v>861</v>
      </c>
      <c r="I386" s="54" t="s">
        <v>347</v>
      </c>
      <c r="J386" s="54" t="s">
        <v>862</v>
      </c>
      <c r="K386" s="58" t="n">
        <v>72</v>
      </c>
      <c r="L386" s="54" t="s">
        <v>863</v>
      </c>
      <c r="M386" s="54" t="s">
        <v>212</v>
      </c>
      <c r="N386" s="54" t="s">
        <v>214</v>
      </c>
      <c r="O386" s="58" t="n">
        <v>6.2</v>
      </c>
      <c r="P386" s="54" t="s">
        <v>212</v>
      </c>
      <c r="Q386" s="58"/>
    </row>
    <row r="387" customFormat="false" ht="15" hidden="false" customHeight="false" outlineLevel="0" collapsed="false">
      <c r="A387" s="54" t="s">
        <v>27</v>
      </c>
      <c r="B387" s="55" t="n">
        <v>1106</v>
      </c>
      <c r="C387" s="56" t="n">
        <v>46304.8479208796</v>
      </c>
      <c r="D387" s="55" t="n">
        <v>20</v>
      </c>
      <c r="E387" s="54" t="s">
        <v>214</v>
      </c>
      <c r="F387" s="54" t="s">
        <v>129</v>
      </c>
      <c r="G387" s="54" t="s">
        <v>118</v>
      </c>
      <c r="H387" s="54" t="s">
        <v>220</v>
      </c>
      <c r="I387" s="54" t="s">
        <v>477</v>
      </c>
      <c r="J387" s="54" t="s">
        <v>864</v>
      </c>
      <c r="K387" s="58" t="n">
        <v>96.2</v>
      </c>
      <c r="L387" s="54" t="s">
        <v>212</v>
      </c>
      <c r="M387" s="54" t="s">
        <v>214</v>
      </c>
      <c r="N387" s="54" t="s">
        <v>214</v>
      </c>
      <c r="O387" s="58" t="n">
        <v>35.2</v>
      </c>
      <c r="P387" s="54" t="s">
        <v>212</v>
      </c>
      <c r="Q387" s="58"/>
    </row>
    <row r="388" customFormat="false" ht="15" hidden="false" customHeight="false" outlineLevel="0" collapsed="false">
      <c r="A388" s="54" t="s">
        <v>27</v>
      </c>
      <c r="B388" s="55" t="n">
        <v>1100</v>
      </c>
      <c r="C388" s="56" t="n">
        <v>46304.8634646991</v>
      </c>
      <c r="D388" s="55" t="n">
        <v>20</v>
      </c>
      <c r="E388" s="54" t="s">
        <v>214</v>
      </c>
      <c r="F388" s="54" t="s">
        <v>859</v>
      </c>
      <c r="G388" s="54" t="s">
        <v>860</v>
      </c>
      <c r="H388" s="54" t="s">
        <v>861</v>
      </c>
      <c r="I388" s="54" t="s">
        <v>347</v>
      </c>
      <c r="J388" s="54" t="s">
        <v>862</v>
      </c>
      <c r="K388" s="58" t="n">
        <v>72</v>
      </c>
      <c r="L388" s="54" t="s">
        <v>863</v>
      </c>
      <c r="M388" s="54" t="s">
        <v>212</v>
      </c>
      <c r="N388" s="54" t="s">
        <v>212</v>
      </c>
      <c r="O388" s="58"/>
      <c r="P388" s="54" t="s">
        <v>212</v>
      </c>
      <c r="Q388" s="58"/>
    </row>
    <row r="389" customFormat="false" ht="15" hidden="false" customHeight="false" outlineLevel="0" collapsed="false">
      <c r="A389" s="54" t="s">
        <v>27</v>
      </c>
      <c r="B389" s="55" t="n">
        <v>1072</v>
      </c>
      <c r="C389" s="56" t="n">
        <v>46304.8682998727</v>
      </c>
      <c r="D389" s="55" t="n">
        <v>20</v>
      </c>
      <c r="E389" s="54" t="s">
        <v>214</v>
      </c>
      <c r="F389" s="54" t="s">
        <v>859</v>
      </c>
      <c r="G389" s="54" t="s">
        <v>860</v>
      </c>
      <c r="H389" s="54" t="s">
        <v>861</v>
      </c>
      <c r="I389" s="54" t="s">
        <v>347</v>
      </c>
      <c r="J389" s="54" t="s">
        <v>862</v>
      </c>
      <c r="K389" s="58" t="n">
        <v>72</v>
      </c>
      <c r="L389" s="54" t="s">
        <v>863</v>
      </c>
      <c r="M389" s="54" t="s">
        <v>212</v>
      </c>
      <c r="N389" s="54" t="s">
        <v>214</v>
      </c>
      <c r="O389" s="58" t="n">
        <v>3.5</v>
      </c>
      <c r="P389" s="54" t="s">
        <v>212</v>
      </c>
      <c r="Q389" s="58"/>
    </row>
    <row r="390" customFormat="false" ht="15" hidden="false" customHeight="false" outlineLevel="0" collapsed="false">
      <c r="A390" s="54" t="s">
        <v>27</v>
      </c>
      <c r="B390" s="55" t="n">
        <v>1145</v>
      </c>
      <c r="C390" s="56" t="n">
        <v>46305.3438148032</v>
      </c>
      <c r="D390" s="55" t="n">
        <v>8</v>
      </c>
      <c r="E390" s="54" t="s">
        <v>214</v>
      </c>
      <c r="F390" s="54" t="s">
        <v>130</v>
      </c>
      <c r="G390" s="54" t="s">
        <v>118</v>
      </c>
      <c r="H390" s="54" t="s">
        <v>215</v>
      </c>
      <c r="I390" s="54" t="s">
        <v>477</v>
      </c>
      <c r="J390" s="54" t="s">
        <v>864</v>
      </c>
      <c r="K390" s="58" t="n">
        <v>107</v>
      </c>
      <c r="L390" s="54" t="s">
        <v>212</v>
      </c>
      <c r="M390" s="54" t="s">
        <v>214</v>
      </c>
      <c r="N390" s="54" t="s">
        <v>214</v>
      </c>
      <c r="O390" s="58" t="n">
        <v>6</v>
      </c>
      <c r="P390" s="54" t="s">
        <v>212</v>
      </c>
      <c r="Q390" s="58"/>
    </row>
    <row r="391" customFormat="false" ht="15" hidden="false" customHeight="false" outlineLevel="0" collapsed="false">
      <c r="A391" s="54" t="s">
        <v>27</v>
      </c>
      <c r="B391" s="55" t="n">
        <v>1131</v>
      </c>
      <c r="C391" s="56" t="n">
        <v>46305.3466228935</v>
      </c>
      <c r="D391" s="55" t="n">
        <v>8</v>
      </c>
      <c r="E391" s="54" t="s">
        <v>214</v>
      </c>
      <c r="F391" s="54" t="s">
        <v>130</v>
      </c>
      <c r="G391" s="54" t="s">
        <v>118</v>
      </c>
      <c r="H391" s="54" t="s">
        <v>215</v>
      </c>
      <c r="I391" s="54" t="s">
        <v>477</v>
      </c>
      <c r="J391" s="54" t="s">
        <v>864</v>
      </c>
      <c r="K391" s="58" t="n">
        <v>99</v>
      </c>
      <c r="L391" s="54" t="s">
        <v>212</v>
      </c>
      <c r="M391" s="54" t="s">
        <v>214</v>
      </c>
      <c r="N391" s="54" t="s">
        <v>214</v>
      </c>
      <c r="O391" s="58" t="n">
        <v>0.4</v>
      </c>
      <c r="P391" s="54" t="s">
        <v>214</v>
      </c>
      <c r="Q391" s="58" t="n">
        <v>2</v>
      </c>
    </row>
    <row r="392" customFormat="false" ht="15" hidden="false" customHeight="false" outlineLevel="0" collapsed="false">
      <c r="A392" s="54" t="s">
        <v>27</v>
      </c>
      <c r="B392" s="55" t="n">
        <v>1137</v>
      </c>
      <c r="C392" s="56" t="n">
        <v>46305.358618831</v>
      </c>
      <c r="D392" s="55" t="n">
        <v>8</v>
      </c>
      <c r="E392" s="54" t="s">
        <v>214</v>
      </c>
      <c r="F392" s="54" t="s">
        <v>130</v>
      </c>
      <c r="G392" s="54" t="s">
        <v>118</v>
      </c>
      <c r="H392" s="54" t="s">
        <v>215</v>
      </c>
      <c r="I392" s="54" t="s">
        <v>477</v>
      </c>
      <c r="J392" s="54" t="s">
        <v>864</v>
      </c>
      <c r="K392" s="58" t="n">
        <v>103.2</v>
      </c>
      <c r="L392" s="54" t="s">
        <v>212</v>
      </c>
      <c r="M392" s="54" t="s">
        <v>214</v>
      </c>
      <c r="N392" s="54" t="s">
        <v>212</v>
      </c>
      <c r="O392" s="58"/>
      <c r="P392" s="54" t="s">
        <v>214</v>
      </c>
      <c r="Q392" s="58" t="n">
        <v>3.2</v>
      </c>
    </row>
    <row r="393" customFormat="false" ht="15" hidden="false" customHeight="false" outlineLevel="0" collapsed="false">
      <c r="A393" s="54" t="s">
        <v>27</v>
      </c>
      <c r="B393" s="55" t="n">
        <v>1150</v>
      </c>
      <c r="C393" s="56" t="n">
        <v>46305.3679788542</v>
      </c>
      <c r="D393" s="55" t="n">
        <v>8</v>
      </c>
      <c r="E393" s="54" t="s">
        <v>214</v>
      </c>
      <c r="F393" s="54" t="s">
        <v>130</v>
      </c>
      <c r="G393" s="54" t="s">
        <v>118</v>
      </c>
      <c r="H393" s="54" t="s">
        <v>215</v>
      </c>
      <c r="I393" s="54" t="s">
        <v>477</v>
      </c>
      <c r="J393" s="54" t="s">
        <v>864</v>
      </c>
      <c r="K393" s="58" t="n">
        <v>100.8</v>
      </c>
      <c r="L393" s="54" t="s">
        <v>212</v>
      </c>
      <c r="M393" s="54" t="s">
        <v>214</v>
      </c>
      <c r="N393" s="54" t="s">
        <v>214</v>
      </c>
      <c r="O393" s="58" t="n">
        <v>0.3</v>
      </c>
      <c r="P393" s="54" t="s">
        <v>214</v>
      </c>
      <c r="Q393" s="58" t="n">
        <v>2.1</v>
      </c>
    </row>
    <row r="394" customFormat="false" ht="15" hidden="false" customHeight="false" outlineLevel="0" collapsed="false">
      <c r="A394" s="54" t="s">
        <v>27</v>
      </c>
      <c r="B394" s="55" t="n">
        <v>1109</v>
      </c>
      <c r="C394" s="56" t="n">
        <v>46305.3751115162</v>
      </c>
      <c r="D394" s="55" t="n">
        <v>9</v>
      </c>
      <c r="E394" s="54" t="s">
        <v>214</v>
      </c>
      <c r="F394" s="54" t="s">
        <v>859</v>
      </c>
      <c r="G394" s="54" t="s">
        <v>860</v>
      </c>
      <c r="H394" s="54" t="s">
        <v>861</v>
      </c>
      <c r="I394" s="54" t="s">
        <v>347</v>
      </c>
      <c r="J394" s="54" t="s">
        <v>862</v>
      </c>
      <c r="K394" s="58" t="n">
        <v>72</v>
      </c>
      <c r="L394" s="54" t="s">
        <v>863</v>
      </c>
      <c r="M394" s="54" t="s">
        <v>212</v>
      </c>
      <c r="N394" s="54" t="s">
        <v>214</v>
      </c>
      <c r="O394" s="58" t="n">
        <v>12.6</v>
      </c>
      <c r="P394" s="54" t="s">
        <v>212</v>
      </c>
      <c r="Q394" s="58"/>
    </row>
    <row r="395" customFormat="false" ht="15" hidden="false" customHeight="false" outlineLevel="0" collapsed="false">
      <c r="A395" s="54" t="s">
        <v>27</v>
      </c>
      <c r="B395" s="55" t="n">
        <v>1082</v>
      </c>
      <c r="C395" s="56" t="n">
        <v>46305.3752422338</v>
      </c>
      <c r="D395" s="55" t="n">
        <v>9</v>
      </c>
      <c r="E395" s="54" t="s">
        <v>214</v>
      </c>
      <c r="F395" s="54" t="s">
        <v>859</v>
      </c>
      <c r="G395" s="54" t="s">
        <v>860</v>
      </c>
      <c r="H395" s="54" t="s">
        <v>861</v>
      </c>
      <c r="I395" s="54" t="s">
        <v>347</v>
      </c>
      <c r="J395" s="54" t="s">
        <v>862</v>
      </c>
      <c r="K395" s="58" t="n">
        <v>72</v>
      </c>
      <c r="L395" s="54" t="s">
        <v>863</v>
      </c>
      <c r="M395" s="54" t="s">
        <v>212</v>
      </c>
      <c r="N395" s="54" t="s">
        <v>214</v>
      </c>
      <c r="O395" s="58" t="n">
        <v>4414.3</v>
      </c>
      <c r="P395" s="54" t="s">
        <v>212</v>
      </c>
      <c r="Q395" s="58"/>
    </row>
    <row r="396" customFormat="false" ht="15" hidden="false" customHeight="false" outlineLevel="0" collapsed="false">
      <c r="A396" s="54" t="s">
        <v>27</v>
      </c>
      <c r="B396" s="55" t="n">
        <v>1112</v>
      </c>
      <c r="C396" s="56" t="n">
        <v>46305.3752533565</v>
      </c>
      <c r="D396" s="55" t="n">
        <v>9</v>
      </c>
      <c r="E396" s="54" t="s">
        <v>214</v>
      </c>
      <c r="F396" s="54" t="s">
        <v>859</v>
      </c>
      <c r="G396" s="54" t="s">
        <v>860</v>
      </c>
      <c r="H396" s="54" t="s">
        <v>861</v>
      </c>
      <c r="I396" s="54" t="s">
        <v>347</v>
      </c>
      <c r="J396" s="54" t="s">
        <v>862</v>
      </c>
      <c r="K396" s="58" t="n">
        <v>72</v>
      </c>
      <c r="L396" s="54" t="s">
        <v>863</v>
      </c>
      <c r="M396" s="54" t="s">
        <v>212</v>
      </c>
      <c r="N396" s="54" t="s">
        <v>214</v>
      </c>
      <c r="O396" s="58" t="n">
        <v>153.5</v>
      </c>
      <c r="P396" s="54" t="s">
        <v>214</v>
      </c>
      <c r="Q396" s="58" t="n">
        <v>260.8</v>
      </c>
    </row>
    <row r="397" customFormat="false" ht="15" hidden="false" customHeight="false" outlineLevel="0" collapsed="false">
      <c r="A397" s="54" t="s">
        <v>27</v>
      </c>
      <c r="B397" s="55" t="n">
        <v>1106</v>
      </c>
      <c r="C397" s="56" t="n">
        <v>46305.3754237037</v>
      </c>
      <c r="D397" s="55" t="n">
        <v>9</v>
      </c>
      <c r="E397" s="54" t="s">
        <v>214</v>
      </c>
      <c r="F397" s="54" t="s">
        <v>859</v>
      </c>
      <c r="G397" s="54" t="s">
        <v>860</v>
      </c>
      <c r="H397" s="54" t="s">
        <v>861</v>
      </c>
      <c r="I397" s="54" t="s">
        <v>347</v>
      </c>
      <c r="J397" s="54" t="s">
        <v>862</v>
      </c>
      <c r="K397" s="58" t="n">
        <v>72</v>
      </c>
      <c r="L397" s="54" t="s">
        <v>863</v>
      </c>
      <c r="M397" s="54" t="s">
        <v>212</v>
      </c>
      <c r="N397" s="54" t="s">
        <v>214</v>
      </c>
      <c r="O397" s="58" t="n">
        <v>75.9</v>
      </c>
      <c r="P397" s="54" t="s">
        <v>212</v>
      </c>
      <c r="Q397" s="58"/>
    </row>
    <row r="398" customFormat="false" ht="15" hidden="false" customHeight="false" outlineLevel="0" collapsed="false">
      <c r="A398" s="54" t="s">
        <v>27</v>
      </c>
      <c r="B398" s="55" t="n">
        <v>1143</v>
      </c>
      <c r="C398" s="56" t="n">
        <v>46305.3829888426</v>
      </c>
      <c r="D398" s="55" t="n">
        <v>9</v>
      </c>
      <c r="E398" s="54" t="s">
        <v>214</v>
      </c>
      <c r="F398" s="54" t="s">
        <v>130</v>
      </c>
      <c r="G398" s="54" t="s">
        <v>118</v>
      </c>
      <c r="H398" s="54" t="s">
        <v>215</v>
      </c>
      <c r="I398" s="54" t="s">
        <v>477</v>
      </c>
      <c r="J398" s="54" t="s">
        <v>864</v>
      </c>
      <c r="K398" s="58" t="n">
        <v>99.8</v>
      </c>
      <c r="L398" s="54" t="s">
        <v>212</v>
      </c>
      <c r="M398" s="54" t="s">
        <v>214</v>
      </c>
      <c r="N398" s="54" t="s">
        <v>214</v>
      </c>
      <c r="O398" s="58" t="n">
        <v>6</v>
      </c>
      <c r="P398" s="54" t="s">
        <v>212</v>
      </c>
      <c r="Q398" s="58"/>
    </row>
    <row r="399" customFormat="false" ht="15" hidden="false" customHeight="false" outlineLevel="0" collapsed="false">
      <c r="A399" s="54" t="s">
        <v>27</v>
      </c>
      <c r="B399" s="55" t="n">
        <v>1142</v>
      </c>
      <c r="C399" s="56" t="n">
        <v>46305.415559838</v>
      </c>
      <c r="D399" s="55" t="n">
        <v>9</v>
      </c>
      <c r="E399" s="54" t="s">
        <v>214</v>
      </c>
      <c r="F399" s="54" t="s">
        <v>859</v>
      </c>
      <c r="G399" s="54" t="s">
        <v>860</v>
      </c>
      <c r="H399" s="54" t="s">
        <v>861</v>
      </c>
      <c r="I399" s="54" t="s">
        <v>347</v>
      </c>
      <c r="J399" s="54" t="s">
        <v>862</v>
      </c>
      <c r="K399" s="58" t="n">
        <v>72</v>
      </c>
      <c r="L399" s="54" t="s">
        <v>863</v>
      </c>
      <c r="M399" s="54" t="s">
        <v>212</v>
      </c>
      <c r="N399" s="54" t="s">
        <v>214</v>
      </c>
      <c r="O399" s="58" t="n">
        <v>76.3</v>
      </c>
      <c r="P399" s="54" t="s">
        <v>212</v>
      </c>
      <c r="Q399" s="58"/>
    </row>
    <row r="400" customFormat="false" ht="15" hidden="false" customHeight="false" outlineLevel="0" collapsed="false">
      <c r="A400" s="54" t="s">
        <v>27</v>
      </c>
      <c r="B400" s="55" t="n">
        <v>1176</v>
      </c>
      <c r="C400" s="56" t="n">
        <v>46305.4708237847</v>
      </c>
      <c r="D400" s="55" t="n">
        <v>11</v>
      </c>
      <c r="E400" s="54" t="s">
        <v>214</v>
      </c>
      <c r="F400" s="54" t="s">
        <v>130</v>
      </c>
      <c r="G400" s="54" t="s">
        <v>118</v>
      </c>
      <c r="H400" s="54" t="s">
        <v>215</v>
      </c>
      <c r="I400" s="54" t="s">
        <v>477</v>
      </c>
      <c r="J400" s="54" t="s">
        <v>864</v>
      </c>
      <c r="K400" s="58" t="n">
        <v>117.1</v>
      </c>
      <c r="L400" s="54" t="s">
        <v>212</v>
      </c>
      <c r="M400" s="54" t="s">
        <v>214</v>
      </c>
      <c r="N400" s="54" t="s">
        <v>212</v>
      </c>
      <c r="O400" s="58"/>
      <c r="P400" s="54" t="s">
        <v>212</v>
      </c>
      <c r="Q400" s="58"/>
    </row>
    <row r="401" customFormat="false" ht="15" hidden="false" customHeight="false" outlineLevel="0" collapsed="false">
      <c r="A401" s="54" t="s">
        <v>27</v>
      </c>
      <c r="B401" s="55" t="n">
        <v>1178</v>
      </c>
      <c r="C401" s="56" t="n">
        <v>46305.488738507</v>
      </c>
      <c r="D401" s="55" t="n">
        <v>11</v>
      </c>
      <c r="E401" s="54" t="s">
        <v>214</v>
      </c>
      <c r="F401" s="54" t="s">
        <v>130</v>
      </c>
      <c r="G401" s="54" t="s">
        <v>118</v>
      </c>
      <c r="H401" s="54" t="s">
        <v>215</v>
      </c>
      <c r="I401" s="54" t="s">
        <v>477</v>
      </c>
      <c r="J401" s="54" t="s">
        <v>864</v>
      </c>
      <c r="K401" s="58" t="n">
        <v>106.5</v>
      </c>
      <c r="L401" s="54" t="s">
        <v>212</v>
      </c>
      <c r="M401" s="54" t="s">
        <v>214</v>
      </c>
      <c r="N401" s="54" t="s">
        <v>212</v>
      </c>
      <c r="O401" s="58"/>
      <c r="P401" s="54" t="s">
        <v>214</v>
      </c>
      <c r="Q401" s="58" t="n">
        <v>1.8</v>
      </c>
    </row>
    <row r="402" customFormat="false" ht="15" hidden="false" customHeight="false" outlineLevel="0" collapsed="false">
      <c r="A402" s="54" t="s">
        <v>27</v>
      </c>
      <c r="B402" s="55" t="n">
        <v>1181</v>
      </c>
      <c r="C402" s="56" t="n">
        <v>46305.496550544</v>
      </c>
      <c r="D402" s="55" t="n">
        <v>11</v>
      </c>
      <c r="E402" s="54" t="s">
        <v>214</v>
      </c>
      <c r="F402" s="54" t="s">
        <v>130</v>
      </c>
      <c r="G402" s="54" t="s">
        <v>118</v>
      </c>
      <c r="H402" s="54" t="s">
        <v>215</v>
      </c>
      <c r="I402" s="54" t="s">
        <v>477</v>
      </c>
      <c r="J402" s="54" t="s">
        <v>864</v>
      </c>
      <c r="K402" s="58" t="n">
        <v>105.7</v>
      </c>
      <c r="L402" s="54" t="s">
        <v>212</v>
      </c>
      <c r="M402" s="54" t="s">
        <v>214</v>
      </c>
      <c r="N402" s="54" t="s">
        <v>212</v>
      </c>
      <c r="O402" s="58"/>
      <c r="P402" s="54" t="s">
        <v>214</v>
      </c>
      <c r="Q402" s="58" t="n">
        <v>4.2</v>
      </c>
    </row>
    <row r="403" customFormat="false" ht="15" hidden="false" customHeight="false" outlineLevel="0" collapsed="false">
      <c r="A403" s="54" t="s">
        <v>27</v>
      </c>
      <c r="B403" s="55" t="n">
        <v>1177</v>
      </c>
      <c r="C403" s="56" t="n">
        <v>46305.5000907755</v>
      </c>
      <c r="D403" s="55" t="n">
        <v>12</v>
      </c>
      <c r="E403" s="54" t="s">
        <v>214</v>
      </c>
      <c r="F403" s="54" t="s">
        <v>130</v>
      </c>
      <c r="G403" s="54" t="s">
        <v>118</v>
      </c>
      <c r="H403" s="54" t="s">
        <v>215</v>
      </c>
      <c r="I403" s="54" t="s">
        <v>477</v>
      </c>
      <c r="J403" s="54" t="s">
        <v>864</v>
      </c>
      <c r="K403" s="58" t="n">
        <v>103.2</v>
      </c>
      <c r="L403" s="54" t="s">
        <v>212</v>
      </c>
      <c r="M403" s="54" t="s">
        <v>214</v>
      </c>
      <c r="N403" s="54" t="s">
        <v>214</v>
      </c>
      <c r="O403" s="58" t="n">
        <v>5.5</v>
      </c>
      <c r="P403" s="54" t="s">
        <v>212</v>
      </c>
      <c r="Q403" s="58"/>
    </row>
    <row r="404" customFormat="false" ht="15" hidden="false" customHeight="false" outlineLevel="0" collapsed="false">
      <c r="A404" s="54" t="s">
        <v>27</v>
      </c>
      <c r="B404" s="55" t="n">
        <v>1180</v>
      </c>
      <c r="C404" s="56" t="n">
        <v>46305.5337584954</v>
      </c>
      <c r="D404" s="55" t="n">
        <v>12</v>
      </c>
      <c r="E404" s="54" t="s">
        <v>214</v>
      </c>
      <c r="F404" s="54" t="s">
        <v>130</v>
      </c>
      <c r="G404" s="54" t="s">
        <v>118</v>
      </c>
      <c r="H404" s="54" t="s">
        <v>215</v>
      </c>
      <c r="I404" s="54" t="s">
        <v>477</v>
      </c>
      <c r="J404" s="54" t="s">
        <v>864</v>
      </c>
      <c r="K404" s="58" t="n">
        <v>133.2</v>
      </c>
      <c r="L404" s="54" t="s">
        <v>212</v>
      </c>
      <c r="M404" s="54" t="s">
        <v>214</v>
      </c>
      <c r="N404" s="54" t="s">
        <v>214</v>
      </c>
      <c r="O404" s="58" t="n">
        <v>28.9</v>
      </c>
      <c r="P404" s="54" t="s">
        <v>212</v>
      </c>
      <c r="Q404" s="58"/>
    </row>
    <row r="405" customFormat="false" ht="15" hidden="false" customHeight="false" outlineLevel="0" collapsed="false">
      <c r="A405" s="54" t="s">
        <v>27</v>
      </c>
      <c r="B405" s="55" t="n">
        <v>1185</v>
      </c>
      <c r="C405" s="56" t="n">
        <v>46305.5445362153</v>
      </c>
      <c r="D405" s="55" t="n">
        <v>13</v>
      </c>
      <c r="E405" s="54" t="s">
        <v>214</v>
      </c>
      <c r="F405" s="54" t="s">
        <v>129</v>
      </c>
      <c r="G405" s="54" t="s">
        <v>118</v>
      </c>
      <c r="H405" s="54" t="s">
        <v>220</v>
      </c>
      <c r="I405" s="54" t="s">
        <v>477</v>
      </c>
      <c r="J405" s="54" t="s">
        <v>864</v>
      </c>
      <c r="K405" s="58" t="n">
        <v>112.3</v>
      </c>
      <c r="L405" s="54" t="s">
        <v>212</v>
      </c>
      <c r="M405" s="54" t="s">
        <v>214</v>
      </c>
      <c r="N405" s="54" t="s">
        <v>214</v>
      </c>
      <c r="O405" s="58" t="n">
        <v>3.6</v>
      </c>
      <c r="P405" s="54" t="s">
        <v>214</v>
      </c>
      <c r="Q405" s="58" t="n">
        <v>3.7</v>
      </c>
    </row>
    <row r="406" customFormat="false" ht="15" hidden="false" customHeight="false" outlineLevel="0" collapsed="false">
      <c r="A406" s="54" t="s">
        <v>27</v>
      </c>
      <c r="B406" s="55" t="n">
        <v>1176</v>
      </c>
      <c r="C406" s="56" t="n">
        <v>46305.5507632176</v>
      </c>
      <c r="D406" s="55" t="n">
        <v>13</v>
      </c>
      <c r="E406" s="54" t="s">
        <v>214</v>
      </c>
      <c r="F406" s="54" t="s">
        <v>859</v>
      </c>
      <c r="G406" s="54" t="s">
        <v>860</v>
      </c>
      <c r="H406" s="54" t="s">
        <v>861</v>
      </c>
      <c r="I406" s="54" t="s">
        <v>347</v>
      </c>
      <c r="J406" s="54" t="s">
        <v>862</v>
      </c>
      <c r="K406" s="58" t="n">
        <v>72</v>
      </c>
      <c r="L406" s="54" t="s">
        <v>863</v>
      </c>
      <c r="M406" s="54" t="s">
        <v>212</v>
      </c>
      <c r="N406" s="54" t="s">
        <v>212</v>
      </c>
      <c r="O406" s="58"/>
      <c r="P406" s="54" t="s">
        <v>212</v>
      </c>
      <c r="Q406" s="58"/>
    </row>
    <row r="407" customFormat="false" ht="15" hidden="false" customHeight="false" outlineLevel="0" collapsed="false">
      <c r="A407" s="54" t="s">
        <v>27</v>
      </c>
      <c r="B407" s="55" t="n">
        <v>1177</v>
      </c>
      <c r="C407" s="56" t="n">
        <v>46305.5517859491</v>
      </c>
      <c r="D407" s="55" t="n">
        <v>13</v>
      </c>
      <c r="E407" s="54" t="s">
        <v>214</v>
      </c>
      <c r="F407" s="54" t="s">
        <v>859</v>
      </c>
      <c r="G407" s="54" t="s">
        <v>860</v>
      </c>
      <c r="H407" s="54" t="s">
        <v>861</v>
      </c>
      <c r="I407" s="54" t="s">
        <v>347</v>
      </c>
      <c r="J407" s="54" t="s">
        <v>862</v>
      </c>
      <c r="K407" s="58" t="n">
        <v>72</v>
      </c>
      <c r="L407" s="54" t="s">
        <v>863</v>
      </c>
      <c r="M407" s="54" t="s">
        <v>212</v>
      </c>
      <c r="N407" s="54" t="s">
        <v>214</v>
      </c>
      <c r="O407" s="58" t="n">
        <v>35.2</v>
      </c>
      <c r="P407" s="54" t="s">
        <v>212</v>
      </c>
      <c r="Q407" s="58"/>
    </row>
    <row r="408" customFormat="false" ht="15" hidden="false" customHeight="false" outlineLevel="0" collapsed="false">
      <c r="A408" s="54" t="s">
        <v>27</v>
      </c>
      <c r="B408" s="55" t="n">
        <v>1175</v>
      </c>
      <c r="C408" s="56" t="n">
        <v>46305.5524374653</v>
      </c>
      <c r="D408" s="55" t="n">
        <v>13</v>
      </c>
      <c r="E408" s="54" t="s">
        <v>214</v>
      </c>
      <c r="F408" s="54" t="s">
        <v>859</v>
      </c>
      <c r="G408" s="54" t="s">
        <v>860</v>
      </c>
      <c r="H408" s="54" t="s">
        <v>861</v>
      </c>
      <c r="I408" s="54" t="s">
        <v>347</v>
      </c>
      <c r="J408" s="54" t="s">
        <v>862</v>
      </c>
      <c r="K408" s="58" t="n">
        <v>72</v>
      </c>
      <c r="L408" s="54" t="s">
        <v>863</v>
      </c>
      <c r="M408" s="54" t="s">
        <v>212</v>
      </c>
      <c r="N408" s="54" t="s">
        <v>212</v>
      </c>
      <c r="O408" s="58"/>
      <c r="P408" s="54" t="s">
        <v>212</v>
      </c>
      <c r="Q408" s="58"/>
    </row>
    <row r="409" customFormat="false" ht="15" hidden="false" customHeight="false" outlineLevel="0" collapsed="false">
      <c r="A409" s="54" t="s">
        <v>27</v>
      </c>
      <c r="B409" s="55" t="n">
        <v>1192</v>
      </c>
      <c r="C409" s="56" t="n">
        <v>46305.5668681713</v>
      </c>
      <c r="D409" s="55" t="n">
        <v>13</v>
      </c>
      <c r="E409" s="54" t="s">
        <v>214</v>
      </c>
      <c r="F409" s="54" t="s">
        <v>128</v>
      </c>
      <c r="G409" s="54" t="s">
        <v>118</v>
      </c>
      <c r="H409" s="54" t="s">
        <v>220</v>
      </c>
      <c r="I409" s="54" t="s">
        <v>477</v>
      </c>
      <c r="J409" s="54" t="s">
        <v>864</v>
      </c>
      <c r="K409" s="58" t="n">
        <v>74.9</v>
      </c>
      <c r="L409" s="54" t="s">
        <v>212</v>
      </c>
      <c r="M409" s="54" t="s">
        <v>214</v>
      </c>
      <c r="N409" s="54" t="s">
        <v>212</v>
      </c>
      <c r="O409" s="58"/>
      <c r="P409" s="54" t="s">
        <v>212</v>
      </c>
      <c r="Q409" s="58"/>
    </row>
    <row r="410" customFormat="false" ht="15" hidden="false" customHeight="false" outlineLevel="0" collapsed="false">
      <c r="A410" s="54" t="s">
        <v>27</v>
      </c>
      <c r="B410" s="55" t="n">
        <v>1194</v>
      </c>
      <c r="C410" s="56" t="n">
        <v>46305.5842607755</v>
      </c>
      <c r="D410" s="55" t="n">
        <v>14</v>
      </c>
      <c r="E410" s="54" t="s">
        <v>214</v>
      </c>
      <c r="F410" s="54" t="s">
        <v>128</v>
      </c>
      <c r="G410" s="54" t="s">
        <v>118</v>
      </c>
      <c r="H410" s="54" t="s">
        <v>220</v>
      </c>
      <c r="I410" s="54" t="s">
        <v>473</v>
      </c>
      <c r="J410" s="54" t="s">
        <v>865</v>
      </c>
      <c r="K410" s="58" t="n">
        <v>78.2</v>
      </c>
      <c r="L410" s="54" t="s">
        <v>212</v>
      </c>
      <c r="M410" s="54" t="s">
        <v>214</v>
      </c>
      <c r="N410" s="54" t="s">
        <v>214</v>
      </c>
      <c r="O410" s="58" t="n">
        <v>410.4</v>
      </c>
      <c r="P410" s="54" t="s">
        <v>214</v>
      </c>
      <c r="Q410" s="58" t="n">
        <v>2.7</v>
      </c>
    </row>
    <row r="411" customFormat="false" ht="15" hidden="false" customHeight="false" outlineLevel="0" collapsed="false">
      <c r="A411" s="54" t="s">
        <v>27</v>
      </c>
      <c r="B411" s="55" t="n">
        <v>1180</v>
      </c>
      <c r="C411" s="56" t="n">
        <v>46305.5892646065</v>
      </c>
      <c r="D411" s="55" t="n">
        <v>14</v>
      </c>
      <c r="E411" s="54" t="s">
        <v>214</v>
      </c>
      <c r="F411" s="54" t="s">
        <v>859</v>
      </c>
      <c r="G411" s="54" t="s">
        <v>860</v>
      </c>
      <c r="H411" s="54" t="s">
        <v>861</v>
      </c>
      <c r="I411" s="54" t="s">
        <v>347</v>
      </c>
      <c r="J411" s="54" t="s">
        <v>862</v>
      </c>
      <c r="K411" s="58" t="n">
        <v>72</v>
      </c>
      <c r="L411" s="54" t="s">
        <v>863</v>
      </c>
      <c r="M411" s="54" t="s">
        <v>212</v>
      </c>
      <c r="N411" s="54" t="s">
        <v>214</v>
      </c>
      <c r="O411" s="58" t="n">
        <v>140.6</v>
      </c>
      <c r="P411" s="54" t="s">
        <v>212</v>
      </c>
      <c r="Q411" s="58"/>
    </row>
    <row r="412" customFormat="false" ht="15" hidden="false" customHeight="false" outlineLevel="0" collapsed="false">
      <c r="A412" s="54" t="s">
        <v>27</v>
      </c>
      <c r="B412" s="55" t="n">
        <v>1191</v>
      </c>
      <c r="C412" s="56" t="n">
        <v>46305.5989652778</v>
      </c>
      <c r="D412" s="55" t="n">
        <v>14</v>
      </c>
      <c r="E412" s="54" t="s">
        <v>214</v>
      </c>
      <c r="F412" s="54" t="s">
        <v>128</v>
      </c>
      <c r="G412" s="54" t="s">
        <v>118</v>
      </c>
      <c r="H412" s="54" t="s">
        <v>220</v>
      </c>
      <c r="I412" s="54" t="s">
        <v>473</v>
      </c>
      <c r="J412" s="54" t="s">
        <v>865</v>
      </c>
      <c r="K412" s="58" t="n">
        <v>80.5</v>
      </c>
      <c r="L412" s="54" t="s">
        <v>212</v>
      </c>
      <c r="M412" s="54" t="s">
        <v>214</v>
      </c>
      <c r="N412" s="54" t="s">
        <v>214</v>
      </c>
      <c r="O412" s="58" t="n">
        <v>376.7</v>
      </c>
      <c r="P412" s="54" t="s">
        <v>214</v>
      </c>
      <c r="Q412" s="58" t="n">
        <v>428.1</v>
      </c>
    </row>
    <row r="413" customFormat="false" ht="15" hidden="false" customHeight="false" outlineLevel="0" collapsed="false">
      <c r="A413" s="54" t="s">
        <v>27</v>
      </c>
      <c r="B413" s="55" t="n">
        <v>1189</v>
      </c>
      <c r="C413" s="56" t="n">
        <v>46305.6368753357</v>
      </c>
      <c r="D413" s="55" t="n">
        <v>15</v>
      </c>
      <c r="E413" s="54" t="s">
        <v>214</v>
      </c>
      <c r="F413" s="54" t="s">
        <v>859</v>
      </c>
      <c r="G413" s="54" t="s">
        <v>860</v>
      </c>
      <c r="H413" s="54" t="s">
        <v>861</v>
      </c>
      <c r="I413" s="54" t="s">
        <v>347</v>
      </c>
      <c r="J413" s="54" t="s">
        <v>862</v>
      </c>
      <c r="K413" s="58" t="n">
        <v>72</v>
      </c>
      <c r="L413" s="54" t="s">
        <v>863</v>
      </c>
      <c r="M413" s="54" t="s">
        <v>212</v>
      </c>
      <c r="N413" s="54" t="s">
        <v>212</v>
      </c>
      <c r="O413" s="58"/>
      <c r="P413" s="54" t="s">
        <v>212</v>
      </c>
      <c r="Q413" s="58"/>
    </row>
    <row r="414" customFormat="false" ht="15" hidden="false" customHeight="false" outlineLevel="0" collapsed="false">
      <c r="A414" s="54" t="s">
        <v>27</v>
      </c>
      <c r="B414" s="55" t="n">
        <v>1197</v>
      </c>
      <c r="C414" s="56" t="n">
        <v>46305.6906336806</v>
      </c>
      <c r="D414" s="55" t="n">
        <v>16</v>
      </c>
      <c r="E414" s="54" t="s">
        <v>214</v>
      </c>
      <c r="F414" s="54" t="s">
        <v>859</v>
      </c>
      <c r="G414" s="54" t="s">
        <v>860</v>
      </c>
      <c r="H414" s="54" t="s">
        <v>861</v>
      </c>
      <c r="I414" s="54" t="s">
        <v>347</v>
      </c>
      <c r="J414" s="54" t="s">
        <v>862</v>
      </c>
      <c r="K414" s="58" t="n">
        <v>72</v>
      </c>
      <c r="L414" s="54" t="s">
        <v>863</v>
      </c>
      <c r="M414" s="54" t="s">
        <v>212</v>
      </c>
      <c r="N414" s="54" t="s">
        <v>214</v>
      </c>
      <c r="O414" s="58" t="n">
        <v>0.8</v>
      </c>
      <c r="P414" s="54" t="s">
        <v>212</v>
      </c>
      <c r="Q414" s="58"/>
    </row>
    <row r="415" customFormat="false" ht="15" hidden="false" customHeight="false" outlineLevel="0" collapsed="false">
      <c r="A415" s="54" t="s">
        <v>27</v>
      </c>
      <c r="B415" s="55" t="n">
        <v>1199</v>
      </c>
      <c r="C415" s="56" t="n">
        <v>46305.6977406019</v>
      </c>
      <c r="D415" s="55" t="n">
        <v>16</v>
      </c>
      <c r="E415" s="54" t="s">
        <v>214</v>
      </c>
      <c r="F415" s="54" t="s">
        <v>859</v>
      </c>
      <c r="G415" s="54" t="s">
        <v>860</v>
      </c>
      <c r="H415" s="54" t="s">
        <v>861</v>
      </c>
      <c r="I415" s="54" t="s">
        <v>347</v>
      </c>
      <c r="J415" s="54" t="s">
        <v>862</v>
      </c>
      <c r="K415" s="58" t="n">
        <v>72</v>
      </c>
      <c r="L415" s="54" t="s">
        <v>863</v>
      </c>
      <c r="M415" s="54" t="s">
        <v>212</v>
      </c>
      <c r="N415" s="54" t="s">
        <v>214</v>
      </c>
      <c r="O415" s="58" t="n">
        <v>266.5</v>
      </c>
      <c r="P415" s="54" t="s">
        <v>212</v>
      </c>
      <c r="Q415" s="58"/>
    </row>
    <row r="416" customFormat="false" ht="15" hidden="false" customHeight="false" outlineLevel="0" collapsed="false">
      <c r="A416" s="54" t="s">
        <v>27</v>
      </c>
      <c r="B416" s="55" t="n">
        <v>1185</v>
      </c>
      <c r="C416" s="56" t="n">
        <v>46305.7221279051</v>
      </c>
      <c r="D416" s="55" t="n">
        <v>17</v>
      </c>
      <c r="E416" s="54" t="s">
        <v>214</v>
      </c>
      <c r="F416" s="54" t="s">
        <v>859</v>
      </c>
      <c r="G416" s="54" t="s">
        <v>860</v>
      </c>
      <c r="H416" s="54" t="s">
        <v>861</v>
      </c>
      <c r="I416" s="54" t="s">
        <v>347</v>
      </c>
      <c r="J416" s="54" t="s">
        <v>862</v>
      </c>
      <c r="K416" s="58" t="n">
        <v>72</v>
      </c>
      <c r="L416" s="54" t="s">
        <v>863</v>
      </c>
      <c r="M416" s="54" t="s">
        <v>212</v>
      </c>
      <c r="N416" s="54" t="s">
        <v>214</v>
      </c>
      <c r="O416" s="58" t="n">
        <v>1260.3</v>
      </c>
      <c r="P416" s="54" t="s">
        <v>212</v>
      </c>
      <c r="Q416" s="58"/>
    </row>
    <row r="417" customFormat="false" ht="15" hidden="false" customHeight="false" outlineLevel="0" collapsed="false">
      <c r="A417" s="54" t="s">
        <v>27</v>
      </c>
      <c r="B417" s="55" t="n">
        <v>1213</v>
      </c>
      <c r="C417" s="56" t="n">
        <v>46305.7344111111</v>
      </c>
      <c r="D417" s="55" t="n">
        <v>17</v>
      </c>
      <c r="E417" s="54" t="s">
        <v>214</v>
      </c>
      <c r="F417" s="54" t="s">
        <v>128</v>
      </c>
      <c r="G417" s="54" t="s">
        <v>118</v>
      </c>
      <c r="H417" s="54" t="s">
        <v>220</v>
      </c>
      <c r="I417" s="54" t="s">
        <v>473</v>
      </c>
      <c r="J417" s="54" t="s">
        <v>865</v>
      </c>
      <c r="K417" s="58" t="n">
        <v>103.1</v>
      </c>
      <c r="L417" s="54" t="s">
        <v>212</v>
      </c>
      <c r="M417" s="54" t="s">
        <v>214</v>
      </c>
      <c r="N417" s="54" t="s">
        <v>214</v>
      </c>
      <c r="O417" s="58" t="n">
        <v>3.6</v>
      </c>
      <c r="P417" s="54" t="s">
        <v>214</v>
      </c>
      <c r="Q417" s="58" t="n">
        <v>11</v>
      </c>
    </row>
    <row r="418" customFormat="false" ht="15" hidden="false" customHeight="false" outlineLevel="0" collapsed="false">
      <c r="A418" s="54" t="s">
        <v>27</v>
      </c>
      <c r="B418" s="55" t="n">
        <v>1192</v>
      </c>
      <c r="C418" s="56" t="n">
        <v>46305.7441129514</v>
      </c>
      <c r="D418" s="55" t="n">
        <v>17</v>
      </c>
      <c r="E418" s="54" t="s">
        <v>214</v>
      </c>
      <c r="F418" s="54" t="s">
        <v>859</v>
      </c>
      <c r="G418" s="54" t="s">
        <v>860</v>
      </c>
      <c r="H418" s="54" t="s">
        <v>861</v>
      </c>
      <c r="I418" s="54" t="s">
        <v>347</v>
      </c>
      <c r="J418" s="54" t="s">
        <v>862</v>
      </c>
      <c r="K418" s="58" t="n">
        <v>72</v>
      </c>
      <c r="L418" s="54" t="s">
        <v>863</v>
      </c>
      <c r="M418" s="54" t="s">
        <v>212</v>
      </c>
      <c r="N418" s="54" t="s">
        <v>212</v>
      </c>
      <c r="O418" s="58"/>
      <c r="P418" s="54" t="s">
        <v>212</v>
      </c>
      <c r="Q418" s="58"/>
    </row>
    <row r="419" customFormat="false" ht="15" hidden="false" customHeight="false" outlineLevel="0" collapsed="false">
      <c r="A419" s="54" t="s">
        <v>27</v>
      </c>
      <c r="B419" s="55" t="n">
        <v>1204</v>
      </c>
      <c r="C419" s="56" t="n">
        <v>46305.7529944213</v>
      </c>
      <c r="D419" s="55" t="n">
        <v>18</v>
      </c>
      <c r="E419" s="54" t="s">
        <v>214</v>
      </c>
      <c r="F419" s="54" t="s">
        <v>859</v>
      </c>
      <c r="G419" s="54" t="s">
        <v>860</v>
      </c>
      <c r="H419" s="54" t="s">
        <v>861</v>
      </c>
      <c r="I419" s="54" t="s">
        <v>347</v>
      </c>
      <c r="J419" s="54" t="s">
        <v>862</v>
      </c>
      <c r="K419" s="58" t="n">
        <v>72</v>
      </c>
      <c r="L419" s="54" t="s">
        <v>863</v>
      </c>
      <c r="M419" s="54" t="s">
        <v>212</v>
      </c>
      <c r="N419" s="54" t="s">
        <v>214</v>
      </c>
      <c r="O419" s="58" t="n">
        <v>3812.3</v>
      </c>
      <c r="P419" s="54" t="s">
        <v>212</v>
      </c>
      <c r="Q419" s="58"/>
    </row>
    <row r="420" customFormat="false" ht="15" hidden="false" customHeight="false" outlineLevel="0" collapsed="false">
      <c r="A420" s="54" t="s">
        <v>27</v>
      </c>
      <c r="B420" s="55" t="n">
        <v>1194</v>
      </c>
      <c r="C420" s="56" t="n">
        <v>46305.7629085764</v>
      </c>
      <c r="D420" s="55" t="n">
        <v>18</v>
      </c>
      <c r="E420" s="54" t="s">
        <v>214</v>
      </c>
      <c r="F420" s="54" t="s">
        <v>859</v>
      </c>
      <c r="G420" s="54" t="s">
        <v>860</v>
      </c>
      <c r="H420" s="54" t="s">
        <v>861</v>
      </c>
      <c r="I420" s="54" t="s">
        <v>347</v>
      </c>
      <c r="J420" s="54" t="s">
        <v>862</v>
      </c>
      <c r="K420" s="58" t="n">
        <v>72</v>
      </c>
      <c r="L420" s="54" t="s">
        <v>863</v>
      </c>
      <c r="M420" s="54" t="s">
        <v>212</v>
      </c>
      <c r="N420" s="54" t="s">
        <v>214</v>
      </c>
      <c r="O420" s="58" t="n">
        <v>273.4</v>
      </c>
      <c r="P420" s="54" t="s">
        <v>212</v>
      </c>
      <c r="Q420" s="58"/>
    </row>
    <row r="421" customFormat="false" ht="15" hidden="false" customHeight="false" outlineLevel="0" collapsed="false">
      <c r="A421" s="54" t="s">
        <v>27</v>
      </c>
      <c r="B421" s="55" t="n">
        <v>1202</v>
      </c>
      <c r="C421" s="56" t="n">
        <v>46305.7692991898</v>
      </c>
      <c r="D421" s="55" t="n">
        <v>18</v>
      </c>
      <c r="E421" s="54" t="s">
        <v>214</v>
      </c>
      <c r="F421" s="54" t="s">
        <v>859</v>
      </c>
      <c r="G421" s="54" t="s">
        <v>860</v>
      </c>
      <c r="H421" s="54" t="s">
        <v>861</v>
      </c>
      <c r="I421" s="54" t="s">
        <v>347</v>
      </c>
      <c r="J421" s="54" t="s">
        <v>862</v>
      </c>
      <c r="K421" s="58" t="n">
        <v>72</v>
      </c>
      <c r="L421" s="54" t="s">
        <v>863</v>
      </c>
      <c r="M421" s="54" t="s">
        <v>212</v>
      </c>
      <c r="N421" s="54" t="s">
        <v>212</v>
      </c>
      <c r="O421" s="58"/>
      <c r="P421" s="54" t="s">
        <v>212</v>
      </c>
      <c r="Q421" s="58"/>
    </row>
    <row r="422" customFormat="false" ht="15" hidden="false" customHeight="false" outlineLevel="0" collapsed="false">
      <c r="A422" s="54" t="s">
        <v>27</v>
      </c>
      <c r="B422" s="55" t="n">
        <v>1191</v>
      </c>
      <c r="C422" s="56" t="n">
        <v>46305.7754945486</v>
      </c>
      <c r="D422" s="55" t="n">
        <v>18</v>
      </c>
      <c r="E422" s="54" t="s">
        <v>214</v>
      </c>
      <c r="F422" s="54" t="s">
        <v>859</v>
      </c>
      <c r="G422" s="54" t="s">
        <v>860</v>
      </c>
      <c r="H422" s="54" t="s">
        <v>861</v>
      </c>
      <c r="I422" s="54" t="s">
        <v>347</v>
      </c>
      <c r="J422" s="54" t="s">
        <v>862</v>
      </c>
      <c r="K422" s="58" t="n">
        <v>72</v>
      </c>
      <c r="L422" s="54" t="s">
        <v>863</v>
      </c>
      <c r="M422" s="54" t="s">
        <v>212</v>
      </c>
      <c r="N422" s="54" t="s">
        <v>214</v>
      </c>
      <c r="O422" s="58" t="n">
        <v>122.5</v>
      </c>
      <c r="P422" s="54" t="s">
        <v>214</v>
      </c>
      <c r="Q422" s="58" t="n">
        <v>173.9</v>
      </c>
    </row>
    <row r="423" customFormat="false" ht="15" hidden="false" customHeight="false" outlineLevel="0" collapsed="false">
      <c r="A423" s="54" t="s">
        <v>27</v>
      </c>
      <c r="B423" s="55" t="n">
        <v>1207</v>
      </c>
      <c r="C423" s="56" t="n">
        <v>46305.8014314236</v>
      </c>
      <c r="D423" s="55" t="n">
        <v>19</v>
      </c>
      <c r="E423" s="54" t="s">
        <v>214</v>
      </c>
      <c r="F423" s="54" t="s">
        <v>859</v>
      </c>
      <c r="G423" s="54" t="s">
        <v>860</v>
      </c>
      <c r="H423" s="54" t="s">
        <v>861</v>
      </c>
      <c r="I423" s="54" t="s">
        <v>347</v>
      </c>
      <c r="J423" s="54" t="s">
        <v>862</v>
      </c>
      <c r="K423" s="58" t="n">
        <v>72</v>
      </c>
      <c r="L423" s="54" t="s">
        <v>863</v>
      </c>
      <c r="M423" s="54" t="s">
        <v>212</v>
      </c>
      <c r="N423" s="54" t="s">
        <v>214</v>
      </c>
      <c r="O423" s="58" t="n">
        <v>950.3</v>
      </c>
      <c r="P423" s="54" t="s">
        <v>212</v>
      </c>
      <c r="Q423" s="58"/>
    </row>
    <row r="424" customFormat="false" ht="15" hidden="false" customHeight="false" outlineLevel="0" collapsed="false">
      <c r="A424" s="54" t="s">
        <v>27</v>
      </c>
      <c r="B424" s="55" t="n">
        <v>1210</v>
      </c>
      <c r="C424" s="56" t="n">
        <v>46305.8108880208</v>
      </c>
      <c r="D424" s="55" t="n">
        <v>19</v>
      </c>
      <c r="E424" s="54" t="s">
        <v>214</v>
      </c>
      <c r="F424" s="54" t="s">
        <v>859</v>
      </c>
      <c r="G424" s="54" t="s">
        <v>860</v>
      </c>
      <c r="H424" s="54" t="s">
        <v>861</v>
      </c>
      <c r="I424" s="54" t="s">
        <v>347</v>
      </c>
      <c r="J424" s="54" t="s">
        <v>862</v>
      </c>
      <c r="K424" s="58" t="n">
        <v>72</v>
      </c>
      <c r="L424" s="54" t="s">
        <v>863</v>
      </c>
      <c r="M424" s="54" t="s">
        <v>212</v>
      </c>
      <c r="N424" s="54" t="s">
        <v>212</v>
      </c>
      <c r="O424" s="58"/>
      <c r="P424" s="54" t="s">
        <v>212</v>
      </c>
      <c r="Q424" s="58"/>
    </row>
    <row r="425" customFormat="false" ht="15" hidden="false" customHeight="false" outlineLevel="0" collapsed="false">
      <c r="A425" s="54" t="s">
        <v>27</v>
      </c>
      <c r="B425" s="55" t="n">
        <v>1151</v>
      </c>
      <c r="C425" s="56" t="n">
        <v>46305.8140671759</v>
      </c>
      <c r="D425" s="55" t="n">
        <v>19</v>
      </c>
      <c r="E425" s="54" t="s">
        <v>214</v>
      </c>
      <c r="F425" s="54" t="s">
        <v>128</v>
      </c>
      <c r="G425" s="54" t="s">
        <v>118</v>
      </c>
      <c r="H425" s="54" t="s">
        <v>220</v>
      </c>
      <c r="I425" s="54" t="s">
        <v>477</v>
      </c>
      <c r="J425" s="54" t="s">
        <v>864</v>
      </c>
      <c r="K425" s="58" t="n">
        <v>90.1</v>
      </c>
      <c r="L425" s="54" t="s">
        <v>212</v>
      </c>
      <c r="M425" s="54" t="s">
        <v>214</v>
      </c>
      <c r="N425" s="54" t="s">
        <v>214</v>
      </c>
      <c r="O425" s="58" t="n">
        <v>2262.9</v>
      </c>
      <c r="P425" s="54" t="s">
        <v>212</v>
      </c>
      <c r="Q425" s="58"/>
    </row>
    <row r="426" customFormat="false" ht="15" hidden="false" customHeight="false" outlineLevel="0" collapsed="false">
      <c r="A426" s="54" t="s">
        <v>27</v>
      </c>
      <c r="B426" s="55" t="n">
        <v>1234</v>
      </c>
      <c r="C426" s="56" t="n">
        <v>46305.8224028241</v>
      </c>
      <c r="D426" s="55" t="n">
        <v>19</v>
      </c>
      <c r="E426" s="54" t="s">
        <v>214</v>
      </c>
      <c r="F426" s="54" t="s">
        <v>128</v>
      </c>
      <c r="G426" s="54" t="s">
        <v>118</v>
      </c>
      <c r="H426" s="54" t="s">
        <v>220</v>
      </c>
      <c r="I426" s="54" t="s">
        <v>477</v>
      </c>
      <c r="J426" s="54" t="s">
        <v>864</v>
      </c>
      <c r="K426" s="58" t="n">
        <v>89.8</v>
      </c>
      <c r="L426" s="54" t="s">
        <v>212</v>
      </c>
      <c r="M426" s="54" t="s">
        <v>214</v>
      </c>
      <c r="N426" s="54" t="s">
        <v>212</v>
      </c>
      <c r="O426" s="58"/>
      <c r="P426" s="54" t="s">
        <v>214</v>
      </c>
      <c r="Q426" s="58" t="n">
        <v>12.7</v>
      </c>
    </row>
    <row r="427" customFormat="false" ht="15" hidden="false" customHeight="false" outlineLevel="0" collapsed="false">
      <c r="A427" s="54" t="s">
        <v>27</v>
      </c>
      <c r="B427" s="55" t="n">
        <v>1233</v>
      </c>
      <c r="C427" s="56" t="n">
        <v>46305.8248940278</v>
      </c>
      <c r="D427" s="55" t="n">
        <v>19</v>
      </c>
      <c r="E427" s="54" t="s">
        <v>214</v>
      </c>
      <c r="F427" s="54" t="s">
        <v>128</v>
      </c>
      <c r="G427" s="54" t="s">
        <v>118</v>
      </c>
      <c r="H427" s="54" t="s">
        <v>220</v>
      </c>
      <c r="I427" s="54" t="s">
        <v>477</v>
      </c>
      <c r="J427" s="54" t="s">
        <v>864</v>
      </c>
      <c r="K427" s="58" t="n">
        <v>75.3</v>
      </c>
      <c r="L427" s="54" t="s">
        <v>212</v>
      </c>
      <c r="M427" s="54" t="s">
        <v>214</v>
      </c>
      <c r="N427" s="54" t="s">
        <v>214</v>
      </c>
      <c r="O427" s="58" t="n">
        <v>0.1</v>
      </c>
      <c r="P427" s="54" t="s">
        <v>214</v>
      </c>
      <c r="Q427" s="58" t="n">
        <v>8.8</v>
      </c>
    </row>
    <row r="428" customFormat="false" ht="15" hidden="false" customHeight="false" outlineLevel="0" collapsed="false">
      <c r="A428" s="54" t="s">
        <v>27</v>
      </c>
      <c r="B428" s="55" t="n">
        <v>1221</v>
      </c>
      <c r="C428" s="56" t="n">
        <v>46305.8619353472</v>
      </c>
      <c r="D428" s="55" t="n">
        <v>20</v>
      </c>
      <c r="E428" s="54" t="s">
        <v>214</v>
      </c>
      <c r="F428" s="54" t="s">
        <v>859</v>
      </c>
      <c r="G428" s="54" t="s">
        <v>860</v>
      </c>
      <c r="H428" s="54" t="s">
        <v>861</v>
      </c>
      <c r="I428" s="54" t="s">
        <v>347</v>
      </c>
      <c r="J428" s="54" t="s">
        <v>862</v>
      </c>
      <c r="K428" s="58" t="n">
        <v>72</v>
      </c>
      <c r="L428" s="54" t="s">
        <v>863</v>
      </c>
      <c r="M428" s="54" t="s">
        <v>212</v>
      </c>
      <c r="N428" s="54" t="s">
        <v>214</v>
      </c>
      <c r="O428" s="58" t="n">
        <v>779.6</v>
      </c>
      <c r="P428" s="54" t="s">
        <v>212</v>
      </c>
      <c r="Q428" s="58"/>
    </row>
    <row r="429" customFormat="false" ht="15" hidden="false" customHeight="false" outlineLevel="0" collapsed="false">
      <c r="A429" s="54" t="s">
        <v>27</v>
      </c>
      <c r="B429" s="55" t="n">
        <v>1213</v>
      </c>
      <c r="C429" s="56" t="n">
        <v>46306.3750210069</v>
      </c>
      <c r="D429" s="55" t="n">
        <v>9</v>
      </c>
      <c r="E429" s="54" t="s">
        <v>214</v>
      </c>
      <c r="F429" s="54" t="s">
        <v>859</v>
      </c>
      <c r="G429" s="54" t="s">
        <v>860</v>
      </c>
      <c r="H429" s="54" t="s">
        <v>861</v>
      </c>
      <c r="I429" s="54" t="s">
        <v>347</v>
      </c>
      <c r="J429" s="54" t="s">
        <v>862</v>
      </c>
      <c r="K429" s="58" t="n">
        <v>72</v>
      </c>
      <c r="L429" s="54" t="s">
        <v>863</v>
      </c>
      <c r="M429" s="54" t="s">
        <v>212</v>
      </c>
      <c r="N429" s="54" t="s">
        <v>214</v>
      </c>
      <c r="O429" s="58" t="n">
        <v>768.4</v>
      </c>
      <c r="P429" s="54" t="s">
        <v>212</v>
      </c>
      <c r="Q429" s="58"/>
    </row>
    <row r="430" customFormat="false" ht="15" hidden="false" customHeight="false" outlineLevel="0" collapsed="false">
      <c r="A430" s="54" t="s">
        <v>27</v>
      </c>
      <c r="B430" s="55" t="n">
        <v>1237</v>
      </c>
      <c r="C430" s="56" t="n">
        <v>46306.3753347569</v>
      </c>
      <c r="D430" s="55" t="n">
        <v>9</v>
      </c>
      <c r="E430" s="54" t="s">
        <v>214</v>
      </c>
      <c r="F430" s="54" t="s">
        <v>859</v>
      </c>
      <c r="G430" s="54" t="s">
        <v>860</v>
      </c>
      <c r="H430" s="54" t="s">
        <v>861</v>
      </c>
      <c r="I430" s="54" t="s">
        <v>347</v>
      </c>
      <c r="J430" s="54" t="s">
        <v>862</v>
      </c>
      <c r="K430" s="58" t="n">
        <v>72</v>
      </c>
      <c r="L430" s="54" t="s">
        <v>863</v>
      </c>
      <c r="M430" s="54" t="s">
        <v>212</v>
      </c>
      <c r="N430" s="54" t="s">
        <v>214</v>
      </c>
      <c r="O430" s="58" t="n">
        <v>3.2</v>
      </c>
      <c r="P430" s="54" t="s">
        <v>212</v>
      </c>
      <c r="Q430" s="58"/>
    </row>
    <row r="431" customFormat="false" ht="15" hidden="false" customHeight="false" outlineLevel="0" collapsed="false">
      <c r="A431" s="54" t="s">
        <v>27</v>
      </c>
      <c r="B431" s="55" t="n">
        <v>1240</v>
      </c>
      <c r="C431" s="56" t="n">
        <v>46306.3753607292</v>
      </c>
      <c r="D431" s="55" t="n">
        <v>9</v>
      </c>
      <c r="E431" s="54" t="s">
        <v>214</v>
      </c>
      <c r="F431" s="54" t="s">
        <v>859</v>
      </c>
      <c r="G431" s="54" t="s">
        <v>860</v>
      </c>
      <c r="H431" s="54" t="s">
        <v>861</v>
      </c>
      <c r="I431" s="54" t="s">
        <v>347</v>
      </c>
      <c r="J431" s="54" t="s">
        <v>862</v>
      </c>
      <c r="K431" s="58" t="n">
        <v>72</v>
      </c>
      <c r="L431" s="54" t="s">
        <v>863</v>
      </c>
      <c r="M431" s="54" t="s">
        <v>212</v>
      </c>
      <c r="N431" s="54" t="s">
        <v>212</v>
      </c>
      <c r="O431" s="58"/>
      <c r="P431" s="54" t="s">
        <v>212</v>
      </c>
      <c r="Q431" s="58"/>
    </row>
    <row r="432" customFormat="false" ht="15" hidden="false" customHeight="false" outlineLevel="0" collapsed="false">
      <c r="A432" s="54" t="s">
        <v>27</v>
      </c>
      <c r="B432" s="55" t="n">
        <v>1243</v>
      </c>
      <c r="C432" s="56" t="n">
        <v>46306.3754479745</v>
      </c>
      <c r="D432" s="55" t="n">
        <v>9</v>
      </c>
      <c r="E432" s="54" t="s">
        <v>214</v>
      </c>
      <c r="F432" s="54" t="s">
        <v>859</v>
      </c>
      <c r="G432" s="54" t="s">
        <v>860</v>
      </c>
      <c r="H432" s="54" t="s">
        <v>861</v>
      </c>
      <c r="I432" s="54" t="s">
        <v>347</v>
      </c>
      <c r="J432" s="54" t="s">
        <v>862</v>
      </c>
      <c r="K432" s="58" t="n">
        <v>72</v>
      </c>
      <c r="L432" s="54" t="s">
        <v>863</v>
      </c>
      <c r="M432" s="54" t="s">
        <v>212</v>
      </c>
      <c r="N432" s="54" t="s">
        <v>214</v>
      </c>
      <c r="O432" s="58" t="n">
        <v>22.6</v>
      </c>
      <c r="P432" s="54" t="s">
        <v>212</v>
      </c>
      <c r="Q432" s="58"/>
    </row>
    <row r="433" customFormat="false" ht="15" hidden="false" customHeight="false" outlineLevel="0" collapsed="false">
      <c r="A433" s="54" t="s">
        <v>27</v>
      </c>
      <c r="B433" s="55" t="n">
        <v>1242</v>
      </c>
      <c r="C433" s="56" t="n">
        <v>46306.3755945255</v>
      </c>
      <c r="D433" s="55" t="n">
        <v>9</v>
      </c>
      <c r="E433" s="54" t="s">
        <v>214</v>
      </c>
      <c r="F433" s="54" t="s">
        <v>859</v>
      </c>
      <c r="G433" s="54" t="s">
        <v>860</v>
      </c>
      <c r="H433" s="54" t="s">
        <v>861</v>
      </c>
      <c r="I433" s="54" t="s">
        <v>347</v>
      </c>
      <c r="J433" s="54" t="s">
        <v>862</v>
      </c>
      <c r="K433" s="58" t="n">
        <v>72</v>
      </c>
      <c r="L433" s="54" t="s">
        <v>863</v>
      </c>
      <c r="M433" s="54" t="s">
        <v>212</v>
      </c>
      <c r="N433" s="54" t="s">
        <v>214</v>
      </c>
      <c r="O433" s="58" t="n">
        <v>1536.4</v>
      </c>
      <c r="P433" s="54" t="s">
        <v>212</v>
      </c>
      <c r="Q433" s="58"/>
    </row>
    <row r="434" customFormat="false" ht="15" hidden="false" customHeight="false" outlineLevel="0" collapsed="false">
      <c r="A434" s="54" t="s">
        <v>27</v>
      </c>
      <c r="B434" s="55" t="n">
        <v>1249</v>
      </c>
      <c r="C434" s="56" t="n">
        <v>46306.3756270602</v>
      </c>
      <c r="D434" s="55" t="n">
        <v>9</v>
      </c>
      <c r="E434" s="54" t="s">
        <v>214</v>
      </c>
      <c r="F434" s="54" t="s">
        <v>859</v>
      </c>
      <c r="G434" s="54" t="s">
        <v>860</v>
      </c>
      <c r="H434" s="54" t="s">
        <v>861</v>
      </c>
      <c r="I434" s="54" t="s">
        <v>347</v>
      </c>
      <c r="J434" s="54" t="s">
        <v>862</v>
      </c>
      <c r="K434" s="58" t="n">
        <v>72</v>
      </c>
      <c r="L434" s="54" t="s">
        <v>863</v>
      </c>
      <c r="M434" s="54" t="s">
        <v>212</v>
      </c>
      <c r="N434" s="54" t="s">
        <v>214</v>
      </c>
      <c r="O434" s="58" t="n">
        <v>109.8</v>
      </c>
      <c r="P434" s="54" t="s">
        <v>212</v>
      </c>
      <c r="Q434" s="58"/>
    </row>
    <row r="435" customFormat="false" ht="15" hidden="false" customHeight="false" outlineLevel="0" collapsed="false">
      <c r="A435" s="54" t="s">
        <v>27</v>
      </c>
      <c r="B435" s="55" t="n">
        <v>1257</v>
      </c>
      <c r="C435" s="56" t="n">
        <v>46306.3799161921</v>
      </c>
      <c r="D435" s="55" t="n">
        <v>9</v>
      </c>
      <c r="E435" s="54" t="s">
        <v>214</v>
      </c>
      <c r="F435" s="54" t="s">
        <v>859</v>
      </c>
      <c r="G435" s="54" t="s">
        <v>860</v>
      </c>
      <c r="H435" s="54" t="s">
        <v>861</v>
      </c>
      <c r="I435" s="54" t="s">
        <v>347</v>
      </c>
      <c r="J435" s="54" t="s">
        <v>862</v>
      </c>
      <c r="K435" s="58" t="n">
        <v>72</v>
      </c>
      <c r="L435" s="54" t="s">
        <v>863</v>
      </c>
      <c r="M435" s="54" t="s">
        <v>212</v>
      </c>
      <c r="N435" s="54" t="s">
        <v>214</v>
      </c>
      <c r="O435" s="58" t="n">
        <v>122.1</v>
      </c>
      <c r="P435" s="54" t="s">
        <v>212</v>
      </c>
      <c r="Q435" s="58"/>
    </row>
    <row r="436" customFormat="false" ht="15" hidden="false" customHeight="false" outlineLevel="0" collapsed="false">
      <c r="A436" s="54" t="s">
        <v>27</v>
      </c>
      <c r="B436" s="55" t="n">
        <v>1260</v>
      </c>
      <c r="C436" s="56" t="n">
        <v>46306.3875041551</v>
      </c>
      <c r="D436" s="55" t="n">
        <v>9</v>
      </c>
      <c r="E436" s="54" t="s">
        <v>214</v>
      </c>
      <c r="F436" s="54" t="s">
        <v>859</v>
      </c>
      <c r="G436" s="54" t="s">
        <v>860</v>
      </c>
      <c r="H436" s="54" t="s">
        <v>861</v>
      </c>
      <c r="I436" s="54" t="s">
        <v>347</v>
      </c>
      <c r="J436" s="54" t="s">
        <v>862</v>
      </c>
      <c r="K436" s="58" t="n">
        <v>72</v>
      </c>
      <c r="L436" s="54" t="s">
        <v>863</v>
      </c>
      <c r="M436" s="54" t="s">
        <v>212</v>
      </c>
      <c r="N436" s="54" t="s">
        <v>214</v>
      </c>
      <c r="O436" s="58" t="n">
        <v>2.3</v>
      </c>
      <c r="P436" s="54" t="s">
        <v>214</v>
      </c>
      <c r="Q436" s="58" t="n">
        <v>1425.6</v>
      </c>
    </row>
    <row r="437" customFormat="false" ht="15" hidden="false" customHeight="false" outlineLevel="0" collapsed="false">
      <c r="A437" s="54" t="s">
        <v>27</v>
      </c>
      <c r="B437" s="55" t="n">
        <v>1263</v>
      </c>
      <c r="C437" s="56" t="n">
        <v>46306.4066489352</v>
      </c>
      <c r="D437" s="55" t="n">
        <v>9</v>
      </c>
      <c r="E437" s="54" t="s">
        <v>214</v>
      </c>
      <c r="F437" s="54" t="s">
        <v>859</v>
      </c>
      <c r="G437" s="54" t="s">
        <v>860</v>
      </c>
      <c r="H437" s="54" t="s">
        <v>861</v>
      </c>
      <c r="I437" s="54" t="s">
        <v>347</v>
      </c>
      <c r="J437" s="54" t="s">
        <v>862</v>
      </c>
      <c r="K437" s="58" t="n">
        <v>72</v>
      </c>
      <c r="L437" s="54" t="s">
        <v>863</v>
      </c>
      <c r="M437" s="54" t="s">
        <v>212</v>
      </c>
      <c r="N437" s="54" t="s">
        <v>214</v>
      </c>
      <c r="O437" s="58" t="n">
        <v>38.2</v>
      </c>
      <c r="P437" s="54" t="s">
        <v>214</v>
      </c>
      <c r="Q437" s="58" t="n">
        <v>41</v>
      </c>
    </row>
    <row r="438" customFormat="false" ht="15" hidden="false" customHeight="false" outlineLevel="0" collapsed="false">
      <c r="A438" s="54" t="s">
        <v>27</v>
      </c>
      <c r="B438" s="55" t="n">
        <v>1137</v>
      </c>
      <c r="C438" s="56" t="n">
        <v>46306.4068229282</v>
      </c>
      <c r="D438" s="55" t="n">
        <v>9</v>
      </c>
      <c r="E438" s="54" t="s">
        <v>214</v>
      </c>
      <c r="F438" s="54" t="s">
        <v>859</v>
      </c>
      <c r="G438" s="54" t="s">
        <v>860</v>
      </c>
      <c r="H438" s="54" t="s">
        <v>861</v>
      </c>
      <c r="I438" s="54" t="s">
        <v>347</v>
      </c>
      <c r="J438" s="54" t="s">
        <v>862</v>
      </c>
      <c r="K438" s="58" t="n">
        <v>72</v>
      </c>
      <c r="L438" s="54" t="s">
        <v>863</v>
      </c>
      <c r="M438" s="54" t="s">
        <v>212</v>
      </c>
      <c r="N438" s="54" t="s">
        <v>212</v>
      </c>
      <c r="O438" s="58"/>
      <c r="P438" s="54" t="s">
        <v>212</v>
      </c>
      <c r="Q438" s="58"/>
    </row>
    <row r="439" customFormat="false" ht="15" hidden="false" customHeight="false" outlineLevel="0" collapsed="false">
      <c r="A439" s="54" t="s">
        <v>27</v>
      </c>
      <c r="B439" s="55" t="n">
        <v>1270</v>
      </c>
      <c r="C439" s="56" t="n">
        <v>46306.4526609144</v>
      </c>
      <c r="D439" s="55" t="n">
        <v>10</v>
      </c>
      <c r="E439" s="54" t="s">
        <v>214</v>
      </c>
      <c r="F439" s="54" t="s">
        <v>859</v>
      </c>
      <c r="G439" s="54" t="s">
        <v>860</v>
      </c>
      <c r="H439" s="54" t="s">
        <v>861</v>
      </c>
      <c r="I439" s="54" t="s">
        <v>347</v>
      </c>
      <c r="J439" s="54" t="s">
        <v>862</v>
      </c>
      <c r="K439" s="58" t="n">
        <v>72</v>
      </c>
      <c r="L439" s="54" t="s">
        <v>863</v>
      </c>
      <c r="M439" s="54" t="s">
        <v>212</v>
      </c>
      <c r="N439" s="54" t="s">
        <v>214</v>
      </c>
      <c r="O439" s="58" t="n">
        <v>32.5</v>
      </c>
      <c r="P439" s="54" t="s">
        <v>214</v>
      </c>
      <c r="Q439" s="58" t="n">
        <v>444.9</v>
      </c>
    </row>
    <row r="440" customFormat="false" ht="15" hidden="false" customHeight="false" outlineLevel="0" collapsed="false">
      <c r="A440" s="54" t="s">
        <v>27</v>
      </c>
      <c r="B440" s="55" t="n">
        <v>1282</v>
      </c>
      <c r="C440" s="56" t="n">
        <v>46306.4631914931</v>
      </c>
      <c r="D440" s="55" t="n">
        <v>11</v>
      </c>
      <c r="E440" s="54" t="s">
        <v>214</v>
      </c>
      <c r="F440" s="54" t="s">
        <v>127</v>
      </c>
      <c r="G440" s="54" t="s">
        <v>118</v>
      </c>
      <c r="H440" s="54" t="s">
        <v>220</v>
      </c>
      <c r="I440" s="54" t="s">
        <v>477</v>
      </c>
      <c r="J440" s="54" t="s">
        <v>864</v>
      </c>
      <c r="K440" s="58" t="n">
        <v>113.6</v>
      </c>
      <c r="L440" s="54" t="s">
        <v>212</v>
      </c>
      <c r="M440" s="54" t="s">
        <v>214</v>
      </c>
      <c r="N440" s="54" t="s">
        <v>214</v>
      </c>
      <c r="O440" s="58" t="n">
        <v>21.5</v>
      </c>
      <c r="P440" s="54" t="s">
        <v>214</v>
      </c>
      <c r="Q440" s="58" t="n">
        <v>24.4</v>
      </c>
    </row>
    <row r="441" customFormat="false" ht="15" hidden="false" customHeight="false" outlineLevel="0" collapsed="false">
      <c r="A441" s="54" t="s">
        <v>27</v>
      </c>
      <c r="B441" s="55" t="n">
        <v>1282</v>
      </c>
      <c r="C441" s="56" t="n">
        <v>46306.4803643982</v>
      </c>
      <c r="D441" s="55" t="n">
        <v>11</v>
      </c>
      <c r="E441" s="54" t="s">
        <v>214</v>
      </c>
      <c r="F441" s="54" t="s">
        <v>127</v>
      </c>
      <c r="G441" s="54" t="s">
        <v>118</v>
      </c>
      <c r="H441" s="54" t="s">
        <v>220</v>
      </c>
      <c r="I441" s="54" t="s">
        <v>473</v>
      </c>
      <c r="J441" s="54" t="s">
        <v>865</v>
      </c>
      <c r="K441" s="58" t="n">
        <v>57</v>
      </c>
      <c r="L441" s="54" t="s">
        <v>214</v>
      </c>
      <c r="M441" s="54" t="s">
        <v>212</v>
      </c>
      <c r="N441" s="54" t="s">
        <v>214</v>
      </c>
      <c r="O441" s="58" t="n">
        <v>0.2</v>
      </c>
      <c r="P441" s="54" t="s">
        <v>214</v>
      </c>
      <c r="Q441" s="58" t="n">
        <v>1.8</v>
      </c>
    </row>
    <row r="442" customFormat="false" ht="15" hidden="false" customHeight="false" outlineLevel="0" collapsed="false">
      <c r="A442" s="54" t="s">
        <v>27</v>
      </c>
      <c r="B442" s="55" t="n">
        <v>1272</v>
      </c>
      <c r="C442" s="56" t="n">
        <v>46306.4863365162</v>
      </c>
      <c r="D442" s="55" t="n">
        <v>11</v>
      </c>
      <c r="E442" s="54" t="s">
        <v>214</v>
      </c>
      <c r="F442" s="54" t="s">
        <v>859</v>
      </c>
      <c r="G442" s="54" t="s">
        <v>860</v>
      </c>
      <c r="H442" s="54" t="s">
        <v>861</v>
      </c>
      <c r="I442" s="54" t="s">
        <v>347</v>
      </c>
      <c r="J442" s="54" t="s">
        <v>862</v>
      </c>
      <c r="K442" s="58" t="n">
        <v>72</v>
      </c>
      <c r="L442" s="54" t="s">
        <v>863</v>
      </c>
      <c r="M442" s="54" t="s">
        <v>212</v>
      </c>
      <c r="N442" s="54" t="s">
        <v>212</v>
      </c>
      <c r="O442" s="58"/>
      <c r="P442" s="54" t="s">
        <v>212</v>
      </c>
      <c r="Q442" s="58"/>
    </row>
    <row r="443" customFormat="false" ht="15" hidden="false" customHeight="false" outlineLevel="0" collapsed="false">
      <c r="A443" s="54" t="s">
        <v>27</v>
      </c>
      <c r="B443" s="55" t="n">
        <v>1288</v>
      </c>
      <c r="C443" s="56" t="n">
        <v>46306.5005577894</v>
      </c>
      <c r="D443" s="55" t="n">
        <v>12</v>
      </c>
      <c r="E443" s="54" t="s">
        <v>214</v>
      </c>
      <c r="F443" s="54" t="s">
        <v>127</v>
      </c>
      <c r="G443" s="54" t="s">
        <v>118</v>
      </c>
      <c r="H443" s="54" t="s">
        <v>220</v>
      </c>
      <c r="I443" s="54" t="s">
        <v>477</v>
      </c>
      <c r="J443" s="54" t="s">
        <v>864</v>
      </c>
      <c r="K443" s="58" t="n">
        <v>107.6</v>
      </c>
      <c r="L443" s="54" t="s">
        <v>212</v>
      </c>
      <c r="M443" s="54" t="s">
        <v>214</v>
      </c>
      <c r="N443" s="54" t="s">
        <v>214</v>
      </c>
      <c r="O443" s="58" t="n">
        <v>10.2</v>
      </c>
      <c r="P443" s="54" t="s">
        <v>214</v>
      </c>
      <c r="Q443" s="58" t="n">
        <v>11.1</v>
      </c>
    </row>
    <row r="444" customFormat="false" ht="15" hidden="false" customHeight="false" outlineLevel="0" collapsed="false">
      <c r="A444" s="54" t="s">
        <v>27</v>
      </c>
      <c r="B444" s="55" t="n">
        <v>1279</v>
      </c>
      <c r="C444" s="56" t="n">
        <v>46306.5251630903</v>
      </c>
      <c r="D444" s="55" t="n">
        <v>12</v>
      </c>
      <c r="E444" s="54" t="s">
        <v>214</v>
      </c>
      <c r="F444" s="54" t="s">
        <v>859</v>
      </c>
      <c r="G444" s="54" t="s">
        <v>860</v>
      </c>
      <c r="H444" s="54" t="s">
        <v>861</v>
      </c>
      <c r="I444" s="54" t="s">
        <v>347</v>
      </c>
      <c r="J444" s="54" t="s">
        <v>862</v>
      </c>
      <c r="K444" s="58" t="n">
        <v>72</v>
      </c>
      <c r="L444" s="54" t="s">
        <v>863</v>
      </c>
      <c r="M444" s="54" t="s">
        <v>212</v>
      </c>
      <c r="N444" s="54" t="s">
        <v>214</v>
      </c>
      <c r="O444" s="58" t="n">
        <v>2536.8</v>
      </c>
      <c r="P444" s="54" t="s">
        <v>212</v>
      </c>
      <c r="Q444" s="58"/>
    </row>
    <row r="445" customFormat="false" ht="15" hidden="false" customHeight="false" outlineLevel="0" collapsed="false">
      <c r="A445" s="54" t="s">
        <v>27</v>
      </c>
      <c r="B445" s="55" t="n">
        <v>1298</v>
      </c>
      <c r="C445" s="56" t="n">
        <v>46306.5255234259</v>
      </c>
      <c r="D445" s="55" t="n">
        <v>12</v>
      </c>
      <c r="E445" s="54" t="s">
        <v>214</v>
      </c>
      <c r="F445" s="54" t="s">
        <v>127</v>
      </c>
      <c r="G445" s="54" t="s">
        <v>118</v>
      </c>
      <c r="H445" s="54" t="s">
        <v>220</v>
      </c>
      <c r="I445" s="54" t="s">
        <v>477</v>
      </c>
      <c r="J445" s="54" t="s">
        <v>864</v>
      </c>
      <c r="K445" s="58" t="n">
        <v>109.6</v>
      </c>
      <c r="L445" s="54" t="s">
        <v>212</v>
      </c>
      <c r="M445" s="54" t="s">
        <v>214</v>
      </c>
      <c r="N445" s="54" t="s">
        <v>214</v>
      </c>
      <c r="O445" s="58" t="n">
        <v>0.2</v>
      </c>
      <c r="P445" s="54" t="s">
        <v>214</v>
      </c>
      <c r="Q445" s="58" t="n">
        <v>10.4</v>
      </c>
    </row>
    <row r="446" customFormat="false" ht="15" hidden="false" customHeight="false" outlineLevel="0" collapsed="false">
      <c r="A446" s="54" t="s">
        <v>27</v>
      </c>
      <c r="B446" s="55" t="n">
        <v>1280</v>
      </c>
      <c r="C446" s="56" t="n">
        <v>46306.5296230787</v>
      </c>
      <c r="D446" s="55" t="n">
        <v>12</v>
      </c>
      <c r="E446" s="54" t="s">
        <v>214</v>
      </c>
      <c r="F446" s="54" t="s">
        <v>859</v>
      </c>
      <c r="G446" s="54" t="s">
        <v>860</v>
      </c>
      <c r="H446" s="54" t="s">
        <v>861</v>
      </c>
      <c r="I446" s="54" t="s">
        <v>347</v>
      </c>
      <c r="J446" s="54" t="s">
        <v>862</v>
      </c>
      <c r="K446" s="58" t="n">
        <v>72</v>
      </c>
      <c r="L446" s="54" t="s">
        <v>863</v>
      </c>
      <c r="M446" s="54" t="s">
        <v>212</v>
      </c>
      <c r="N446" s="54" t="s">
        <v>212</v>
      </c>
      <c r="O446" s="58"/>
      <c r="P446" s="54" t="s">
        <v>214</v>
      </c>
      <c r="Q446" s="58" t="n">
        <v>21.7</v>
      </c>
    </row>
    <row r="447" customFormat="false" ht="15" hidden="false" customHeight="false" outlineLevel="0" collapsed="false">
      <c r="A447" s="54" t="s">
        <v>27</v>
      </c>
      <c r="B447" s="55" t="n">
        <v>1301</v>
      </c>
      <c r="C447" s="56" t="n">
        <v>46306.5595028704</v>
      </c>
      <c r="D447" s="55" t="n">
        <v>13</v>
      </c>
      <c r="E447" s="54" t="s">
        <v>214</v>
      </c>
      <c r="F447" s="54" t="s">
        <v>859</v>
      </c>
      <c r="G447" s="54" t="s">
        <v>860</v>
      </c>
      <c r="H447" s="54" t="s">
        <v>861</v>
      </c>
      <c r="I447" s="54" t="s">
        <v>347</v>
      </c>
      <c r="J447" s="54" t="s">
        <v>862</v>
      </c>
      <c r="K447" s="58" t="n">
        <v>72</v>
      </c>
      <c r="L447" s="54" t="s">
        <v>863</v>
      </c>
      <c r="M447" s="54" t="s">
        <v>212</v>
      </c>
      <c r="N447" s="54" t="s">
        <v>214</v>
      </c>
      <c r="O447" s="58" t="n">
        <v>0</v>
      </c>
      <c r="P447" s="54" t="s">
        <v>214</v>
      </c>
      <c r="Q447" s="58" t="n">
        <v>71.4</v>
      </c>
    </row>
    <row r="448" customFormat="false" ht="15" hidden="false" customHeight="false" outlineLevel="0" collapsed="false">
      <c r="A448" s="54" t="s">
        <v>27</v>
      </c>
      <c r="B448" s="55" t="n">
        <v>1299</v>
      </c>
      <c r="C448" s="56" t="n">
        <v>46306.6061798843</v>
      </c>
      <c r="D448" s="55" t="n">
        <v>14</v>
      </c>
      <c r="E448" s="54" t="s">
        <v>214</v>
      </c>
      <c r="F448" s="54" t="s">
        <v>859</v>
      </c>
      <c r="G448" s="54" t="s">
        <v>860</v>
      </c>
      <c r="H448" s="54" t="s">
        <v>861</v>
      </c>
      <c r="I448" s="54" t="s">
        <v>347</v>
      </c>
      <c r="J448" s="54" t="s">
        <v>862</v>
      </c>
      <c r="K448" s="58" t="n">
        <v>72</v>
      </c>
      <c r="L448" s="54" t="s">
        <v>863</v>
      </c>
      <c r="M448" s="54" t="s">
        <v>212</v>
      </c>
      <c r="N448" s="54" t="s">
        <v>214</v>
      </c>
      <c r="O448" s="58" t="n">
        <v>72.6</v>
      </c>
      <c r="P448" s="54" t="s">
        <v>214</v>
      </c>
      <c r="Q448" s="58" t="n">
        <v>73.1</v>
      </c>
    </row>
    <row r="449" customFormat="false" ht="15" hidden="false" customHeight="false" outlineLevel="0" collapsed="false">
      <c r="A449" s="54" t="s">
        <v>27</v>
      </c>
      <c r="B449" s="55" t="n">
        <v>1301</v>
      </c>
      <c r="C449" s="56" t="n">
        <v>46306.6123735069</v>
      </c>
      <c r="D449" s="55" t="n">
        <v>14</v>
      </c>
      <c r="E449" s="54" t="s">
        <v>214</v>
      </c>
      <c r="F449" s="54" t="s">
        <v>127</v>
      </c>
      <c r="G449" s="54" t="s">
        <v>118</v>
      </c>
      <c r="H449" s="54" t="s">
        <v>220</v>
      </c>
      <c r="I449" s="54" t="s">
        <v>347</v>
      </c>
      <c r="J449" s="54" t="s">
        <v>862</v>
      </c>
      <c r="K449" s="58" t="n">
        <v>102.9</v>
      </c>
      <c r="L449" s="54" t="s">
        <v>212</v>
      </c>
      <c r="M449" s="54" t="s">
        <v>212</v>
      </c>
      <c r="N449" s="54" t="s">
        <v>214</v>
      </c>
      <c r="O449" s="58" t="n">
        <v>283.8</v>
      </c>
      <c r="P449" s="54" t="s">
        <v>212</v>
      </c>
      <c r="Q449" s="58"/>
    </row>
    <row r="450" customFormat="false" ht="15" hidden="false" customHeight="false" outlineLevel="0" collapsed="false">
      <c r="A450" s="54" t="s">
        <v>27</v>
      </c>
      <c r="B450" s="55" t="n">
        <v>1296</v>
      </c>
      <c r="C450" s="56" t="n">
        <v>46306.6141356482</v>
      </c>
      <c r="D450" s="55" t="n">
        <v>14</v>
      </c>
      <c r="E450" s="54" t="s">
        <v>214</v>
      </c>
      <c r="F450" s="54" t="s">
        <v>859</v>
      </c>
      <c r="G450" s="54" t="s">
        <v>860</v>
      </c>
      <c r="H450" s="54" t="s">
        <v>861</v>
      </c>
      <c r="I450" s="54" t="s">
        <v>347</v>
      </c>
      <c r="J450" s="54" t="s">
        <v>862</v>
      </c>
      <c r="K450" s="58" t="n">
        <v>72</v>
      </c>
      <c r="L450" s="54" t="s">
        <v>863</v>
      </c>
      <c r="M450" s="54" t="s">
        <v>212</v>
      </c>
      <c r="N450" s="54" t="s">
        <v>214</v>
      </c>
      <c r="O450" s="58" t="n">
        <v>107.5</v>
      </c>
      <c r="P450" s="54" t="s">
        <v>214</v>
      </c>
      <c r="Q450" s="58" t="n">
        <v>1201.2</v>
      </c>
    </row>
    <row r="451" customFormat="false" ht="15" hidden="false" customHeight="false" outlineLevel="0" collapsed="false">
      <c r="A451" s="54" t="s">
        <v>27</v>
      </c>
      <c r="B451" s="55" t="n">
        <v>1282</v>
      </c>
      <c r="C451" s="56" t="n">
        <v>46306.640322581</v>
      </c>
      <c r="D451" s="55" t="n">
        <v>15</v>
      </c>
      <c r="E451" s="54" t="s">
        <v>214</v>
      </c>
      <c r="F451" s="54" t="s">
        <v>859</v>
      </c>
      <c r="G451" s="54" t="s">
        <v>860</v>
      </c>
      <c r="H451" s="54" t="s">
        <v>861</v>
      </c>
      <c r="I451" s="54" t="s">
        <v>347</v>
      </c>
      <c r="J451" s="54" t="s">
        <v>862</v>
      </c>
      <c r="K451" s="58" t="n">
        <v>72</v>
      </c>
      <c r="L451" s="54" t="s">
        <v>863</v>
      </c>
      <c r="M451" s="54" t="s">
        <v>212</v>
      </c>
      <c r="N451" s="54" t="s">
        <v>214</v>
      </c>
      <c r="O451" s="58" t="n">
        <v>1668.9</v>
      </c>
      <c r="P451" s="54" t="s">
        <v>212</v>
      </c>
      <c r="Q451" s="58"/>
    </row>
    <row r="452" customFormat="false" ht="15" hidden="false" customHeight="false" outlineLevel="0" collapsed="false">
      <c r="A452" s="54" t="s">
        <v>27</v>
      </c>
      <c r="B452" s="55" t="n">
        <v>1305</v>
      </c>
      <c r="C452" s="56" t="n">
        <v>46306.661041794</v>
      </c>
      <c r="D452" s="55" t="n">
        <v>15</v>
      </c>
      <c r="E452" s="54" t="s">
        <v>214</v>
      </c>
      <c r="F452" s="54" t="s">
        <v>859</v>
      </c>
      <c r="G452" s="54" t="s">
        <v>860</v>
      </c>
      <c r="H452" s="54" t="s">
        <v>861</v>
      </c>
      <c r="I452" s="54" t="s">
        <v>347</v>
      </c>
      <c r="J452" s="54" t="s">
        <v>862</v>
      </c>
      <c r="K452" s="58" t="n">
        <v>72</v>
      </c>
      <c r="L452" s="54" t="s">
        <v>863</v>
      </c>
      <c r="M452" s="54" t="s">
        <v>212</v>
      </c>
      <c r="N452" s="54" t="s">
        <v>214</v>
      </c>
      <c r="O452" s="58" t="n">
        <v>235.3</v>
      </c>
      <c r="P452" s="54" t="s">
        <v>212</v>
      </c>
      <c r="Q452" s="58"/>
    </row>
    <row r="453" customFormat="false" ht="15" hidden="false" customHeight="false" outlineLevel="0" collapsed="false">
      <c r="A453" s="54" t="s">
        <v>27</v>
      </c>
      <c r="B453" s="55" t="n">
        <v>1299</v>
      </c>
      <c r="C453" s="56" t="n">
        <v>46306.6611586227</v>
      </c>
      <c r="D453" s="55" t="n">
        <v>15</v>
      </c>
      <c r="E453" s="54" t="s">
        <v>214</v>
      </c>
      <c r="F453" s="54" t="s">
        <v>127</v>
      </c>
      <c r="G453" s="54" t="s">
        <v>118</v>
      </c>
      <c r="H453" s="54" t="s">
        <v>220</v>
      </c>
      <c r="I453" s="54" t="s">
        <v>347</v>
      </c>
      <c r="J453" s="54" t="s">
        <v>862</v>
      </c>
      <c r="K453" s="58" t="n">
        <v>96.8</v>
      </c>
      <c r="L453" s="54" t="s">
        <v>212</v>
      </c>
      <c r="M453" s="54" t="s">
        <v>214</v>
      </c>
      <c r="N453" s="54" t="s">
        <v>214</v>
      </c>
      <c r="O453" s="58" t="n">
        <v>18.8</v>
      </c>
      <c r="P453" s="54" t="s">
        <v>212</v>
      </c>
      <c r="Q453" s="58"/>
    </row>
    <row r="454" customFormat="false" ht="15" hidden="false" customHeight="false" outlineLevel="0" collapsed="false">
      <c r="A454" s="54" t="s">
        <v>27</v>
      </c>
      <c r="B454" s="55" t="n">
        <v>1288</v>
      </c>
      <c r="C454" s="56" t="n">
        <v>46306.6776871181</v>
      </c>
      <c r="D454" s="55" t="n">
        <v>16</v>
      </c>
      <c r="E454" s="54" t="s">
        <v>214</v>
      </c>
      <c r="F454" s="54" t="s">
        <v>859</v>
      </c>
      <c r="G454" s="54" t="s">
        <v>860</v>
      </c>
      <c r="H454" s="54" t="s">
        <v>861</v>
      </c>
      <c r="I454" s="54" t="s">
        <v>347</v>
      </c>
      <c r="J454" s="54" t="s">
        <v>862</v>
      </c>
      <c r="K454" s="58" t="n">
        <v>72</v>
      </c>
      <c r="L454" s="54" t="s">
        <v>863</v>
      </c>
      <c r="M454" s="54" t="s">
        <v>212</v>
      </c>
      <c r="N454" s="54" t="s">
        <v>212</v>
      </c>
      <c r="O454" s="58"/>
      <c r="P454" s="54" t="s">
        <v>212</v>
      </c>
      <c r="Q454" s="58"/>
    </row>
    <row r="455" customFormat="false" ht="15" hidden="false" customHeight="false" outlineLevel="0" collapsed="false">
      <c r="A455" s="54" t="s">
        <v>27</v>
      </c>
      <c r="B455" s="55" t="n">
        <v>1312</v>
      </c>
      <c r="C455" s="56" t="n">
        <v>46306.7265997454</v>
      </c>
      <c r="D455" s="55" t="n">
        <v>17</v>
      </c>
      <c r="E455" s="54" t="s">
        <v>214</v>
      </c>
      <c r="F455" s="54" t="s">
        <v>859</v>
      </c>
      <c r="G455" s="54" t="s">
        <v>860</v>
      </c>
      <c r="H455" s="54" t="s">
        <v>861</v>
      </c>
      <c r="I455" s="54" t="s">
        <v>347</v>
      </c>
      <c r="J455" s="54" t="s">
        <v>862</v>
      </c>
      <c r="K455" s="58" t="n">
        <v>72</v>
      </c>
      <c r="L455" s="54" t="s">
        <v>863</v>
      </c>
      <c r="M455" s="54" t="s">
        <v>212</v>
      </c>
      <c r="N455" s="54" t="s">
        <v>214</v>
      </c>
      <c r="O455" s="58" t="n">
        <v>55.5</v>
      </c>
      <c r="P455" s="54" t="s">
        <v>212</v>
      </c>
      <c r="Q455" s="58"/>
    </row>
    <row r="456" customFormat="false" ht="15" hidden="false" customHeight="false" outlineLevel="0" collapsed="false">
      <c r="A456" s="54" t="s">
        <v>27</v>
      </c>
      <c r="B456" s="55" t="n">
        <v>1334</v>
      </c>
      <c r="C456" s="56" t="n">
        <v>46306.7286265857</v>
      </c>
      <c r="D456" s="55" t="n">
        <v>17</v>
      </c>
      <c r="E456" s="54" t="s">
        <v>214</v>
      </c>
      <c r="F456" s="54" t="s">
        <v>129</v>
      </c>
      <c r="G456" s="54" t="s">
        <v>118</v>
      </c>
      <c r="H456" s="54" t="s">
        <v>220</v>
      </c>
      <c r="I456" s="54" t="s">
        <v>477</v>
      </c>
      <c r="J456" s="54" t="s">
        <v>864</v>
      </c>
      <c r="K456" s="58" t="n">
        <v>95.1</v>
      </c>
      <c r="L456" s="54" t="s">
        <v>212</v>
      </c>
      <c r="M456" s="54" t="s">
        <v>214</v>
      </c>
      <c r="N456" s="54" t="s">
        <v>214</v>
      </c>
      <c r="O456" s="58" t="n">
        <v>23.3</v>
      </c>
      <c r="P456" s="54" t="s">
        <v>212</v>
      </c>
      <c r="Q456" s="58"/>
    </row>
    <row r="457" customFormat="false" ht="15" hidden="false" customHeight="false" outlineLevel="0" collapsed="false">
      <c r="A457" s="54" t="s">
        <v>27</v>
      </c>
      <c r="B457" s="55" t="n">
        <v>1298</v>
      </c>
      <c r="C457" s="56" t="n">
        <v>46306.7430752662</v>
      </c>
      <c r="D457" s="55" t="n">
        <v>17</v>
      </c>
      <c r="E457" s="54" t="s">
        <v>214</v>
      </c>
      <c r="F457" s="54" t="s">
        <v>859</v>
      </c>
      <c r="G457" s="54" t="s">
        <v>860</v>
      </c>
      <c r="H457" s="54" t="s">
        <v>861</v>
      </c>
      <c r="I457" s="54" t="s">
        <v>347</v>
      </c>
      <c r="J457" s="54" t="s">
        <v>862</v>
      </c>
      <c r="K457" s="58" t="n">
        <v>72</v>
      </c>
      <c r="L457" s="54" t="s">
        <v>863</v>
      </c>
      <c r="M457" s="54" t="s">
        <v>212</v>
      </c>
      <c r="N457" s="54" t="s">
        <v>214</v>
      </c>
      <c r="O457" s="58" t="n">
        <v>35.8</v>
      </c>
      <c r="P457" s="54" t="s">
        <v>212</v>
      </c>
      <c r="Q457" s="58"/>
    </row>
    <row r="458" customFormat="false" ht="15" hidden="false" customHeight="false" outlineLevel="0" collapsed="false">
      <c r="A458" s="54" t="s">
        <v>27</v>
      </c>
      <c r="B458" s="55" t="n">
        <v>1320</v>
      </c>
      <c r="C458" s="56" t="n">
        <v>46306.7728163773</v>
      </c>
      <c r="D458" s="55" t="n">
        <v>18</v>
      </c>
      <c r="E458" s="54" t="s">
        <v>214</v>
      </c>
      <c r="F458" s="54" t="s">
        <v>859</v>
      </c>
      <c r="G458" s="54" t="s">
        <v>860</v>
      </c>
      <c r="H458" s="54" t="s">
        <v>861</v>
      </c>
      <c r="I458" s="54" t="s">
        <v>347</v>
      </c>
      <c r="J458" s="54" t="s">
        <v>862</v>
      </c>
      <c r="K458" s="58" t="n">
        <v>72</v>
      </c>
      <c r="L458" s="54" t="s">
        <v>863</v>
      </c>
      <c r="M458" s="54" t="s">
        <v>212</v>
      </c>
      <c r="N458" s="54" t="s">
        <v>214</v>
      </c>
      <c r="O458" s="58" t="n">
        <v>1138.2</v>
      </c>
      <c r="P458" s="54" t="s">
        <v>212</v>
      </c>
      <c r="Q458" s="58"/>
    </row>
    <row r="459" customFormat="false" ht="15" hidden="false" customHeight="false" outlineLevel="0" collapsed="false">
      <c r="A459" s="54" t="s">
        <v>27</v>
      </c>
      <c r="B459" s="55" t="n">
        <v>1324</v>
      </c>
      <c r="C459" s="56" t="n">
        <v>46306.7883387847</v>
      </c>
      <c r="D459" s="55" t="n">
        <v>18</v>
      </c>
      <c r="E459" s="54" t="s">
        <v>214</v>
      </c>
      <c r="F459" s="54" t="s">
        <v>859</v>
      </c>
      <c r="G459" s="54" t="s">
        <v>860</v>
      </c>
      <c r="H459" s="54" t="s">
        <v>861</v>
      </c>
      <c r="I459" s="54" t="s">
        <v>347</v>
      </c>
      <c r="J459" s="54" t="s">
        <v>862</v>
      </c>
      <c r="K459" s="58" t="n">
        <v>72</v>
      </c>
      <c r="L459" s="54" t="s">
        <v>863</v>
      </c>
      <c r="M459" s="54" t="s">
        <v>212</v>
      </c>
      <c r="N459" s="54" t="s">
        <v>214</v>
      </c>
      <c r="O459" s="58" t="n">
        <v>156.3</v>
      </c>
      <c r="P459" s="54" t="s">
        <v>214</v>
      </c>
      <c r="Q459" s="58" t="n">
        <v>160.3</v>
      </c>
    </row>
    <row r="460" customFormat="false" ht="15" hidden="false" customHeight="false" outlineLevel="0" collapsed="false">
      <c r="A460" s="54" t="s">
        <v>27</v>
      </c>
      <c r="B460" s="55" t="n">
        <v>1330</v>
      </c>
      <c r="C460" s="56" t="n">
        <v>46306.7890986921</v>
      </c>
      <c r="D460" s="55" t="n">
        <v>18</v>
      </c>
      <c r="E460" s="54" t="s">
        <v>214</v>
      </c>
      <c r="F460" s="54" t="s">
        <v>859</v>
      </c>
      <c r="G460" s="54" t="s">
        <v>860</v>
      </c>
      <c r="H460" s="54" t="s">
        <v>861</v>
      </c>
      <c r="I460" s="54" t="s">
        <v>347</v>
      </c>
      <c r="J460" s="54" t="s">
        <v>862</v>
      </c>
      <c r="K460" s="58" t="n">
        <v>72</v>
      </c>
      <c r="L460" s="54" t="s">
        <v>863</v>
      </c>
      <c r="M460" s="54" t="s">
        <v>212</v>
      </c>
      <c r="N460" s="54" t="s">
        <v>214</v>
      </c>
      <c r="O460" s="58" t="n">
        <v>23.6</v>
      </c>
      <c r="P460" s="54" t="s">
        <v>212</v>
      </c>
      <c r="Q460" s="58"/>
    </row>
    <row r="461" customFormat="false" ht="15" hidden="false" customHeight="false" outlineLevel="0" collapsed="false">
      <c r="A461" s="54" t="s">
        <v>27</v>
      </c>
      <c r="B461" s="55" t="n">
        <v>1343</v>
      </c>
      <c r="C461" s="56" t="n">
        <v>46306.8008305556</v>
      </c>
      <c r="D461" s="55" t="n">
        <v>19</v>
      </c>
      <c r="E461" s="54" t="s">
        <v>214</v>
      </c>
      <c r="F461" s="54" t="s">
        <v>129</v>
      </c>
      <c r="G461" s="54" t="s">
        <v>118</v>
      </c>
      <c r="H461" s="54" t="s">
        <v>220</v>
      </c>
      <c r="I461" s="54" t="s">
        <v>477</v>
      </c>
      <c r="J461" s="54" t="s">
        <v>864</v>
      </c>
      <c r="K461" s="58" t="n">
        <v>93.4</v>
      </c>
      <c r="L461" s="54" t="s">
        <v>212</v>
      </c>
      <c r="M461" s="54" t="s">
        <v>214</v>
      </c>
      <c r="N461" s="54" t="s">
        <v>214</v>
      </c>
      <c r="O461" s="58" t="n">
        <v>3.5</v>
      </c>
      <c r="P461" s="54" t="s">
        <v>212</v>
      </c>
      <c r="Q461" s="58"/>
    </row>
    <row r="462" customFormat="false" ht="15" hidden="false" customHeight="false" outlineLevel="0" collapsed="false">
      <c r="A462" s="54" t="s">
        <v>27</v>
      </c>
      <c r="B462" s="55" t="n">
        <v>1338</v>
      </c>
      <c r="C462" s="56" t="n">
        <v>46306.8294285995</v>
      </c>
      <c r="D462" s="55" t="n">
        <v>19</v>
      </c>
      <c r="E462" s="54" t="s">
        <v>214</v>
      </c>
      <c r="F462" s="54" t="s">
        <v>859</v>
      </c>
      <c r="G462" s="54" t="s">
        <v>860</v>
      </c>
      <c r="H462" s="54" t="s">
        <v>861</v>
      </c>
      <c r="I462" s="54" t="s">
        <v>347</v>
      </c>
      <c r="J462" s="54" t="s">
        <v>862</v>
      </c>
      <c r="K462" s="58" t="n">
        <v>72</v>
      </c>
      <c r="L462" s="54" t="s">
        <v>863</v>
      </c>
      <c r="M462" s="54" t="s">
        <v>212</v>
      </c>
      <c r="N462" s="54" t="s">
        <v>214</v>
      </c>
      <c r="O462" s="58" t="n">
        <v>2.2</v>
      </c>
      <c r="P462" s="54" t="s">
        <v>212</v>
      </c>
      <c r="Q462" s="58"/>
    </row>
    <row r="463" customFormat="false" ht="15" hidden="false" customHeight="false" outlineLevel="0" collapsed="false">
      <c r="A463" s="54" t="s">
        <v>27</v>
      </c>
      <c r="B463" s="55" t="n">
        <v>1340</v>
      </c>
      <c r="C463" s="56" t="n">
        <v>46306.8495195139</v>
      </c>
      <c r="D463" s="55" t="n">
        <v>20</v>
      </c>
      <c r="E463" s="54" t="s">
        <v>214</v>
      </c>
      <c r="F463" s="54" t="s">
        <v>859</v>
      </c>
      <c r="G463" s="54" t="s">
        <v>860</v>
      </c>
      <c r="H463" s="54" t="s">
        <v>861</v>
      </c>
      <c r="I463" s="54" t="s">
        <v>347</v>
      </c>
      <c r="J463" s="54" t="s">
        <v>862</v>
      </c>
      <c r="K463" s="58" t="n">
        <v>72</v>
      </c>
      <c r="L463" s="54" t="s">
        <v>863</v>
      </c>
      <c r="M463" s="54" t="s">
        <v>212</v>
      </c>
      <c r="N463" s="54" t="s">
        <v>214</v>
      </c>
      <c r="O463" s="58" t="n">
        <v>98.5</v>
      </c>
      <c r="P463" s="54" t="s">
        <v>212</v>
      </c>
      <c r="Q463" s="58"/>
    </row>
    <row r="464" customFormat="false" ht="15" hidden="false" customHeight="false" outlineLevel="0" collapsed="false">
      <c r="A464" s="54" t="s">
        <v>27</v>
      </c>
      <c r="B464" s="55" t="n">
        <v>1368</v>
      </c>
      <c r="C464" s="56" t="n">
        <v>46306.8977303241</v>
      </c>
      <c r="D464" s="55" t="n">
        <v>21</v>
      </c>
      <c r="E464" s="54" t="s">
        <v>214</v>
      </c>
      <c r="F464" s="54" t="s">
        <v>129</v>
      </c>
      <c r="G464" s="54" t="s">
        <v>118</v>
      </c>
      <c r="H464" s="54" t="s">
        <v>220</v>
      </c>
      <c r="I464" s="54" t="s">
        <v>477</v>
      </c>
      <c r="J464" s="54" t="s">
        <v>864</v>
      </c>
      <c r="K464" s="58" t="n">
        <v>100.9</v>
      </c>
      <c r="L464" s="54" t="s">
        <v>212</v>
      </c>
      <c r="M464" s="54" t="s">
        <v>214</v>
      </c>
      <c r="N464" s="54" t="s">
        <v>214</v>
      </c>
      <c r="O464" s="58" t="n">
        <v>0.3</v>
      </c>
      <c r="P464" s="54" t="s">
        <v>214</v>
      </c>
      <c r="Q464" s="58" t="n">
        <v>930.6</v>
      </c>
    </row>
    <row r="465" customFormat="false" ht="15" hidden="false" customHeight="false" outlineLevel="0" collapsed="false">
      <c r="A465" s="54" t="s">
        <v>27</v>
      </c>
      <c r="B465" s="55" t="n">
        <v>1324</v>
      </c>
      <c r="C465" s="56" t="n">
        <v>46306.9037187963</v>
      </c>
      <c r="D465" s="55" t="n">
        <v>21</v>
      </c>
      <c r="E465" s="54" t="s">
        <v>214</v>
      </c>
      <c r="F465" s="54" t="s">
        <v>129</v>
      </c>
      <c r="G465" s="54" t="s">
        <v>118</v>
      </c>
      <c r="H465" s="54" t="s">
        <v>220</v>
      </c>
      <c r="I465" s="54" t="s">
        <v>347</v>
      </c>
      <c r="J465" s="54" t="s">
        <v>862</v>
      </c>
      <c r="K465" s="58" t="n">
        <v>107.8</v>
      </c>
      <c r="L465" s="54" t="s">
        <v>212</v>
      </c>
      <c r="M465" s="54" t="s">
        <v>214</v>
      </c>
      <c r="N465" s="54" t="s">
        <v>214</v>
      </c>
      <c r="O465" s="58" t="n">
        <v>3.4</v>
      </c>
      <c r="P465" s="54" t="s">
        <v>214</v>
      </c>
      <c r="Q465" s="58" t="n">
        <v>7</v>
      </c>
    </row>
    <row r="466" customFormat="false" ht="15" hidden="false" customHeight="false" outlineLevel="0" collapsed="false">
      <c r="A466" s="54" t="s">
        <v>27</v>
      </c>
      <c r="B466" s="55" t="n">
        <v>1403</v>
      </c>
      <c r="C466" s="56" t="n">
        <v>46307.3082132639</v>
      </c>
      <c r="D466" s="55" t="n">
        <v>7</v>
      </c>
      <c r="E466" s="54" t="s">
        <v>212</v>
      </c>
      <c r="F466" s="54" t="s">
        <v>127</v>
      </c>
      <c r="G466" s="54" t="s">
        <v>118</v>
      </c>
      <c r="H466" s="54" t="s">
        <v>220</v>
      </c>
      <c r="I466" s="54" t="s">
        <v>477</v>
      </c>
      <c r="J466" s="54" t="s">
        <v>864</v>
      </c>
      <c r="K466" s="58" t="n">
        <v>125.3</v>
      </c>
      <c r="L466" s="54" t="s">
        <v>212</v>
      </c>
      <c r="M466" s="54" t="s">
        <v>214</v>
      </c>
      <c r="N466" s="54" t="s">
        <v>214</v>
      </c>
      <c r="O466" s="58" t="n">
        <v>0.2</v>
      </c>
      <c r="P466" s="54" t="s">
        <v>214</v>
      </c>
      <c r="Q466" s="58" t="n">
        <v>4.2</v>
      </c>
    </row>
    <row r="467" customFormat="false" ht="15" hidden="false" customHeight="false" outlineLevel="0" collapsed="false">
      <c r="A467" s="54" t="s">
        <v>27</v>
      </c>
      <c r="B467" s="55" t="n">
        <v>1403</v>
      </c>
      <c r="C467" s="56" t="n">
        <v>46307.3112700347</v>
      </c>
      <c r="D467" s="55" t="n">
        <v>7</v>
      </c>
      <c r="E467" s="54" t="s">
        <v>212</v>
      </c>
      <c r="F467" s="54" t="s">
        <v>127</v>
      </c>
      <c r="G467" s="54" t="s">
        <v>118</v>
      </c>
      <c r="H467" s="54" t="s">
        <v>220</v>
      </c>
      <c r="I467" s="54" t="s">
        <v>473</v>
      </c>
      <c r="J467" s="54" t="s">
        <v>865</v>
      </c>
      <c r="K467" s="58" t="n">
        <v>57</v>
      </c>
      <c r="L467" s="54" t="s">
        <v>214</v>
      </c>
      <c r="M467" s="54" t="s">
        <v>212</v>
      </c>
      <c r="N467" s="54" t="s">
        <v>214</v>
      </c>
      <c r="O467" s="58" t="n">
        <v>0.3</v>
      </c>
      <c r="P467" s="54" t="s">
        <v>214</v>
      </c>
      <c r="Q467" s="58" t="n">
        <v>3.2</v>
      </c>
    </row>
    <row r="468" customFormat="false" ht="15" hidden="false" customHeight="false" outlineLevel="0" collapsed="false">
      <c r="A468" s="54" t="s">
        <v>27</v>
      </c>
      <c r="B468" s="55" t="n">
        <v>1381</v>
      </c>
      <c r="C468" s="56" t="n">
        <v>46307.3751236343</v>
      </c>
      <c r="D468" s="55" t="n">
        <v>9</v>
      </c>
      <c r="E468" s="54" t="s">
        <v>214</v>
      </c>
      <c r="F468" s="54" t="s">
        <v>859</v>
      </c>
      <c r="G468" s="54" t="s">
        <v>860</v>
      </c>
      <c r="H468" s="54" t="s">
        <v>861</v>
      </c>
      <c r="I468" s="54" t="s">
        <v>347</v>
      </c>
      <c r="J468" s="54" t="s">
        <v>862</v>
      </c>
      <c r="K468" s="58" t="n">
        <v>72</v>
      </c>
      <c r="L468" s="54" t="s">
        <v>863</v>
      </c>
      <c r="M468" s="54" t="s">
        <v>212</v>
      </c>
      <c r="N468" s="54" t="s">
        <v>212</v>
      </c>
      <c r="O468" s="58"/>
      <c r="P468" s="54" t="s">
        <v>212</v>
      </c>
      <c r="Q468" s="58"/>
    </row>
    <row r="469" customFormat="false" ht="15" hidden="false" customHeight="false" outlineLevel="0" collapsed="false">
      <c r="A469" s="54" t="s">
        <v>27</v>
      </c>
      <c r="B469" s="55" t="n">
        <v>1334</v>
      </c>
      <c r="C469" s="56" t="n">
        <v>46307.3751270602</v>
      </c>
      <c r="D469" s="55" t="n">
        <v>9</v>
      </c>
      <c r="E469" s="54" t="s">
        <v>214</v>
      </c>
      <c r="F469" s="54" t="s">
        <v>859</v>
      </c>
      <c r="G469" s="54" t="s">
        <v>860</v>
      </c>
      <c r="H469" s="54" t="s">
        <v>861</v>
      </c>
      <c r="I469" s="54" t="s">
        <v>347</v>
      </c>
      <c r="J469" s="54" t="s">
        <v>862</v>
      </c>
      <c r="K469" s="58" t="n">
        <v>72</v>
      </c>
      <c r="L469" s="54" t="s">
        <v>863</v>
      </c>
      <c r="M469" s="54" t="s">
        <v>212</v>
      </c>
      <c r="N469" s="54" t="s">
        <v>214</v>
      </c>
      <c r="O469" s="58" t="n">
        <v>84.2</v>
      </c>
      <c r="P469" s="54" t="s">
        <v>212</v>
      </c>
      <c r="Q469" s="58"/>
    </row>
    <row r="470" customFormat="false" ht="15" hidden="false" customHeight="false" outlineLevel="0" collapsed="false">
      <c r="A470" s="54" t="s">
        <v>27</v>
      </c>
      <c r="B470" s="55" t="n">
        <v>1368</v>
      </c>
      <c r="C470" s="56" t="n">
        <v>46307.375201794</v>
      </c>
      <c r="D470" s="55" t="n">
        <v>9</v>
      </c>
      <c r="E470" s="54" t="s">
        <v>214</v>
      </c>
      <c r="F470" s="54" t="s">
        <v>859</v>
      </c>
      <c r="G470" s="54" t="s">
        <v>860</v>
      </c>
      <c r="H470" s="54" t="s">
        <v>861</v>
      </c>
      <c r="I470" s="54" t="s">
        <v>347</v>
      </c>
      <c r="J470" s="54" t="s">
        <v>862</v>
      </c>
      <c r="K470" s="58" t="n">
        <v>72</v>
      </c>
      <c r="L470" s="54" t="s">
        <v>863</v>
      </c>
      <c r="M470" s="54" t="s">
        <v>212</v>
      </c>
      <c r="N470" s="54" t="s">
        <v>214</v>
      </c>
      <c r="O470" s="58" t="n">
        <v>4.1</v>
      </c>
      <c r="P470" s="54" t="s">
        <v>214</v>
      </c>
      <c r="Q470" s="58" t="n">
        <v>243.1</v>
      </c>
    </row>
    <row r="471" customFormat="false" ht="15" hidden="false" customHeight="false" outlineLevel="0" collapsed="false">
      <c r="A471" s="54" t="s">
        <v>27</v>
      </c>
      <c r="B471" s="55" t="n">
        <v>1393</v>
      </c>
      <c r="C471" s="56" t="n">
        <v>46307.3754164815</v>
      </c>
      <c r="D471" s="55" t="n">
        <v>9</v>
      </c>
      <c r="E471" s="54" t="s">
        <v>214</v>
      </c>
      <c r="F471" s="54" t="s">
        <v>859</v>
      </c>
      <c r="G471" s="54" t="s">
        <v>860</v>
      </c>
      <c r="H471" s="54" t="s">
        <v>861</v>
      </c>
      <c r="I471" s="54" t="s">
        <v>347</v>
      </c>
      <c r="J471" s="54" t="s">
        <v>862</v>
      </c>
      <c r="K471" s="58" t="n">
        <v>72</v>
      </c>
      <c r="L471" s="54" t="s">
        <v>863</v>
      </c>
      <c r="M471" s="54" t="s">
        <v>212</v>
      </c>
      <c r="N471" s="54" t="s">
        <v>214</v>
      </c>
      <c r="O471" s="58" t="n">
        <v>1928.8</v>
      </c>
      <c r="P471" s="54" t="s">
        <v>212</v>
      </c>
      <c r="Q471" s="58"/>
    </row>
    <row r="472" customFormat="false" ht="15" hidden="false" customHeight="false" outlineLevel="0" collapsed="false">
      <c r="A472" s="54" t="s">
        <v>27</v>
      </c>
      <c r="B472" s="55" t="n">
        <v>1388</v>
      </c>
      <c r="C472" s="56" t="n">
        <v>46307.3754783681</v>
      </c>
      <c r="D472" s="55" t="n">
        <v>9</v>
      </c>
      <c r="E472" s="54" t="s">
        <v>214</v>
      </c>
      <c r="F472" s="54" t="s">
        <v>859</v>
      </c>
      <c r="G472" s="54" t="s">
        <v>860</v>
      </c>
      <c r="H472" s="54" t="s">
        <v>861</v>
      </c>
      <c r="I472" s="54" t="s">
        <v>347</v>
      </c>
      <c r="J472" s="54" t="s">
        <v>862</v>
      </c>
      <c r="K472" s="58" t="n">
        <v>72</v>
      </c>
      <c r="L472" s="54" t="s">
        <v>863</v>
      </c>
      <c r="M472" s="54" t="s">
        <v>212</v>
      </c>
      <c r="N472" s="54" t="s">
        <v>212</v>
      </c>
      <c r="O472" s="58"/>
      <c r="P472" s="54" t="s">
        <v>212</v>
      </c>
      <c r="Q472" s="58"/>
    </row>
    <row r="473" customFormat="false" ht="15" hidden="false" customHeight="false" outlineLevel="0" collapsed="false">
      <c r="A473" s="54" t="s">
        <v>27</v>
      </c>
      <c r="B473" s="55" t="n">
        <v>1390</v>
      </c>
      <c r="C473" s="56" t="n">
        <v>46307.3754800926</v>
      </c>
      <c r="D473" s="55" t="n">
        <v>9</v>
      </c>
      <c r="E473" s="54" t="s">
        <v>214</v>
      </c>
      <c r="F473" s="54" t="s">
        <v>859</v>
      </c>
      <c r="G473" s="54" t="s">
        <v>860</v>
      </c>
      <c r="H473" s="54" t="s">
        <v>861</v>
      </c>
      <c r="I473" s="54" t="s">
        <v>347</v>
      </c>
      <c r="J473" s="54" t="s">
        <v>862</v>
      </c>
      <c r="K473" s="58" t="n">
        <v>72</v>
      </c>
      <c r="L473" s="54" t="s">
        <v>863</v>
      </c>
      <c r="M473" s="54" t="s">
        <v>212</v>
      </c>
      <c r="N473" s="54" t="s">
        <v>212</v>
      </c>
      <c r="O473" s="58"/>
      <c r="P473" s="54" t="s">
        <v>212</v>
      </c>
      <c r="Q473" s="58"/>
    </row>
    <row r="474" customFormat="false" ht="15" hidden="false" customHeight="false" outlineLevel="0" collapsed="false">
      <c r="A474" s="54" t="s">
        <v>27</v>
      </c>
      <c r="B474" s="55" t="n">
        <v>1343</v>
      </c>
      <c r="C474" s="56" t="n">
        <v>46307.3755156829</v>
      </c>
      <c r="D474" s="55" t="n">
        <v>9</v>
      </c>
      <c r="E474" s="54" t="s">
        <v>214</v>
      </c>
      <c r="F474" s="54" t="s">
        <v>859</v>
      </c>
      <c r="G474" s="54" t="s">
        <v>860</v>
      </c>
      <c r="H474" s="54" t="s">
        <v>861</v>
      </c>
      <c r="I474" s="54" t="s">
        <v>347</v>
      </c>
      <c r="J474" s="54" t="s">
        <v>862</v>
      </c>
      <c r="K474" s="58" t="n">
        <v>72</v>
      </c>
      <c r="L474" s="54" t="s">
        <v>863</v>
      </c>
      <c r="M474" s="54" t="s">
        <v>212</v>
      </c>
      <c r="N474" s="54" t="s">
        <v>214</v>
      </c>
      <c r="O474" s="58" t="n">
        <v>42.9</v>
      </c>
      <c r="P474" s="54" t="s">
        <v>212</v>
      </c>
      <c r="Q474" s="58"/>
    </row>
    <row r="475" customFormat="false" ht="15" hidden="false" customHeight="false" outlineLevel="0" collapsed="false">
      <c r="A475" s="54" t="s">
        <v>27</v>
      </c>
      <c r="B475" s="55" t="n">
        <v>1347</v>
      </c>
      <c r="C475" s="56" t="n">
        <v>46307.3755653241</v>
      </c>
      <c r="D475" s="55" t="n">
        <v>9</v>
      </c>
      <c r="E475" s="54" t="s">
        <v>214</v>
      </c>
      <c r="F475" s="54" t="s">
        <v>859</v>
      </c>
      <c r="G475" s="54" t="s">
        <v>860</v>
      </c>
      <c r="H475" s="54" t="s">
        <v>861</v>
      </c>
      <c r="I475" s="54" t="s">
        <v>347</v>
      </c>
      <c r="J475" s="54" t="s">
        <v>862</v>
      </c>
      <c r="K475" s="58" t="n">
        <v>72</v>
      </c>
      <c r="L475" s="54" t="s">
        <v>863</v>
      </c>
      <c r="M475" s="54" t="s">
        <v>212</v>
      </c>
      <c r="N475" s="54" t="s">
        <v>214</v>
      </c>
      <c r="O475" s="58" t="n">
        <v>120.6</v>
      </c>
      <c r="P475" s="54" t="s">
        <v>212</v>
      </c>
      <c r="Q475" s="58"/>
    </row>
    <row r="476" customFormat="false" ht="15" hidden="false" customHeight="false" outlineLevel="0" collapsed="false">
      <c r="A476" s="54" t="s">
        <v>27</v>
      </c>
      <c r="B476" s="55" t="n">
        <v>1386</v>
      </c>
      <c r="C476" s="56" t="n">
        <v>46307.3756073032</v>
      </c>
      <c r="D476" s="55" t="n">
        <v>9</v>
      </c>
      <c r="E476" s="54" t="s">
        <v>214</v>
      </c>
      <c r="F476" s="54" t="s">
        <v>859</v>
      </c>
      <c r="G476" s="54" t="s">
        <v>860</v>
      </c>
      <c r="H476" s="54" t="s">
        <v>861</v>
      </c>
      <c r="I476" s="54" t="s">
        <v>347</v>
      </c>
      <c r="J476" s="54" t="s">
        <v>862</v>
      </c>
      <c r="K476" s="58" t="n">
        <v>72</v>
      </c>
      <c r="L476" s="54" t="s">
        <v>863</v>
      </c>
      <c r="M476" s="54" t="s">
        <v>212</v>
      </c>
      <c r="N476" s="54" t="s">
        <v>214</v>
      </c>
      <c r="O476" s="58" t="n">
        <v>993.7</v>
      </c>
      <c r="P476" s="54" t="s">
        <v>212</v>
      </c>
      <c r="Q476" s="58"/>
    </row>
    <row r="477" customFormat="false" ht="15" hidden="false" customHeight="false" outlineLevel="0" collapsed="false">
      <c r="A477" s="54" t="s">
        <v>27</v>
      </c>
      <c r="B477" s="55" t="n">
        <v>1377</v>
      </c>
      <c r="C477" s="56" t="n">
        <v>46307.3792675116</v>
      </c>
      <c r="D477" s="55" t="n">
        <v>9</v>
      </c>
      <c r="E477" s="54" t="s">
        <v>214</v>
      </c>
      <c r="F477" s="54" t="s">
        <v>859</v>
      </c>
      <c r="G477" s="54" t="s">
        <v>860</v>
      </c>
      <c r="H477" s="54" t="s">
        <v>861</v>
      </c>
      <c r="I477" s="54" t="s">
        <v>347</v>
      </c>
      <c r="J477" s="54" t="s">
        <v>862</v>
      </c>
      <c r="K477" s="58" t="n">
        <v>72</v>
      </c>
      <c r="L477" s="54" t="s">
        <v>863</v>
      </c>
      <c r="M477" s="54" t="s">
        <v>212</v>
      </c>
      <c r="N477" s="54" t="s">
        <v>214</v>
      </c>
      <c r="O477" s="58" t="n">
        <v>15</v>
      </c>
      <c r="P477" s="54" t="s">
        <v>212</v>
      </c>
      <c r="Q477" s="58"/>
    </row>
    <row r="478" customFormat="false" ht="15" hidden="false" customHeight="false" outlineLevel="0" collapsed="false">
      <c r="A478" s="54" t="s">
        <v>27</v>
      </c>
      <c r="B478" s="55" t="n">
        <v>1385</v>
      </c>
      <c r="C478" s="56" t="n">
        <v>46307.3826266319</v>
      </c>
      <c r="D478" s="55" t="n">
        <v>9</v>
      </c>
      <c r="E478" s="54" t="s">
        <v>214</v>
      </c>
      <c r="F478" s="54" t="s">
        <v>859</v>
      </c>
      <c r="G478" s="54" t="s">
        <v>860</v>
      </c>
      <c r="H478" s="54" t="s">
        <v>861</v>
      </c>
      <c r="I478" s="54" t="s">
        <v>347</v>
      </c>
      <c r="J478" s="54" t="s">
        <v>862</v>
      </c>
      <c r="K478" s="58" t="n">
        <v>72</v>
      </c>
      <c r="L478" s="54" t="s">
        <v>863</v>
      </c>
      <c r="M478" s="54" t="s">
        <v>212</v>
      </c>
      <c r="N478" s="54" t="s">
        <v>214</v>
      </c>
      <c r="O478" s="58" t="n">
        <v>18.5</v>
      </c>
      <c r="P478" s="54" t="s">
        <v>212</v>
      </c>
      <c r="Q478" s="58"/>
    </row>
    <row r="479" customFormat="false" ht="15" hidden="false" customHeight="false" outlineLevel="0" collapsed="false">
      <c r="A479" s="54" t="s">
        <v>27</v>
      </c>
      <c r="B479" s="55" t="n">
        <v>1402</v>
      </c>
      <c r="C479" s="56" t="n">
        <v>46307.387973287</v>
      </c>
      <c r="D479" s="55" t="n">
        <v>9</v>
      </c>
      <c r="E479" s="54" t="s">
        <v>214</v>
      </c>
      <c r="F479" s="54" t="s">
        <v>859</v>
      </c>
      <c r="G479" s="54" t="s">
        <v>860</v>
      </c>
      <c r="H479" s="54" t="s">
        <v>861</v>
      </c>
      <c r="I479" s="54" t="s">
        <v>347</v>
      </c>
      <c r="J479" s="54" t="s">
        <v>862</v>
      </c>
      <c r="K479" s="58" t="n">
        <v>72</v>
      </c>
      <c r="L479" s="54" t="s">
        <v>863</v>
      </c>
      <c r="M479" s="54" t="s">
        <v>212</v>
      </c>
      <c r="N479" s="54" t="s">
        <v>214</v>
      </c>
      <c r="O479" s="58" t="n">
        <v>0.2</v>
      </c>
      <c r="P479" s="54" t="s">
        <v>212</v>
      </c>
      <c r="Q479" s="58"/>
    </row>
    <row r="480" customFormat="false" ht="15" hidden="false" customHeight="false" outlineLevel="0" collapsed="false">
      <c r="A480" s="54" t="s">
        <v>27</v>
      </c>
      <c r="B480" s="55" t="n">
        <v>1405</v>
      </c>
      <c r="C480" s="56" t="n">
        <v>46307.4092502546</v>
      </c>
      <c r="D480" s="55" t="n">
        <v>9</v>
      </c>
      <c r="E480" s="54" t="s">
        <v>214</v>
      </c>
      <c r="F480" s="54" t="s">
        <v>859</v>
      </c>
      <c r="G480" s="54" t="s">
        <v>860</v>
      </c>
      <c r="H480" s="54" t="s">
        <v>861</v>
      </c>
      <c r="I480" s="54" t="s">
        <v>347</v>
      </c>
      <c r="J480" s="54" t="s">
        <v>862</v>
      </c>
      <c r="K480" s="58" t="n">
        <v>72</v>
      </c>
      <c r="L480" s="54" t="s">
        <v>863</v>
      </c>
      <c r="M480" s="54" t="s">
        <v>212</v>
      </c>
      <c r="N480" s="54" t="s">
        <v>214</v>
      </c>
      <c r="O480" s="58" t="n">
        <v>198.9</v>
      </c>
      <c r="P480" s="54" t="s">
        <v>214</v>
      </c>
      <c r="Q480" s="58" t="n">
        <v>201</v>
      </c>
    </row>
    <row r="481" customFormat="false" ht="15" hidden="false" customHeight="false" outlineLevel="0" collapsed="false">
      <c r="A481" s="54" t="s">
        <v>27</v>
      </c>
      <c r="B481" s="55" t="n">
        <v>1412</v>
      </c>
      <c r="C481" s="56" t="n">
        <v>46307.4175671644</v>
      </c>
      <c r="D481" s="55" t="n">
        <v>10</v>
      </c>
      <c r="E481" s="54" t="s">
        <v>214</v>
      </c>
      <c r="F481" s="54" t="s">
        <v>127</v>
      </c>
      <c r="G481" s="54" t="s">
        <v>118</v>
      </c>
      <c r="H481" s="54" t="s">
        <v>220</v>
      </c>
      <c r="I481" s="54" t="s">
        <v>477</v>
      </c>
      <c r="J481" s="54" t="s">
        <v>864</v>
      </c>
      <c r="K481" s="58" t="n">
        <v>125.6</v>
      </c>
      <c r="L481" s="54" t="s">
        <v>212</v>
      </c>
      <c r="M481" s="54" t="s">
        <v>214</v>
      </c>
      <c r="N481" s="54" t="s">
        <v>212</v>
      </c>
      <c r="O481" s="58"/>
      <c r="P481" s="54" t="s">
        <v>214</v>
      </c>
      <c r="Q481" s="58" t="n">
        <v>0.6</v>
      </c>
    </row>
    <row r="482" customFormat="false" ht="15" hidden="false" customHeight="false" outlineLevel="0" collapsed="false">
      <c r="A482" s="54" t="s">
        <v>27</v>
      </c>
      <c r="B482" s="55" t="n">
        <v>1407</v>
      </c>
      <c r="C482" s="56" t="n">
        <v>46307.4245254977</v>
      </c>
      <c r="D482" s="55" t="n">
        <v>10</v>
      </c>
      <c r="E482" s="54" t="s">
        <v>214</v>
      </c>
      <c r="F482" s="54" t="s">
        <v>859</v>
      </c>
      <c r="G482" s="54" t="s">
        <v>860</v>
      </c>
      <c r="H482" s="54" t="s">
        <v>861</v>
      </c>
      <c r="I482" s="54" t="s">
        <v>347</v>
      </c>
      <c r="J482" s="54" t="s">
        <v>862</v>
      </c>
      <c r="K482" s="58" t="n">
        <v>72</v>
      </c>
      <c r="L482" s="54" t="s">
        <v>863</v>
      </c>
      <c r="M482" s="54" t="s">
        <v>212</v>
      </c>
      <c r="N482" s="54" t="s">
        <v>214</v>
      </c>
      <c r="O482" s="58" t="n">
        <v>0.4</v>
      </c>
      <c r="P482" s="54" t="s">
        <v>212</v>
      </c>
      <c r="Q482" s="58"/>
    </row>
    <row r="483" customFormat="false" ht="15" hidden="false" customHeight="false" outlineLevel="0" collapsed="false">
      <c r="A483" s="54" t="s">
        <v>27</v>
      </c>
      <c r="B483" s="55" t="n">
        <v>1439</v>
      </c>
      <c r="C483" s="56" t="n">
        <v>46307.4441597454</v>
      </c>
      <c r="D483" s="55" t="n">
        <v>10</v>
      </c>
      <c r="E483" s="54" t="s">
        <v>214</v>
      </c>
      <c r="F483" s="54" t="s">
        <v>130</v>
      </c>
      <c r="G483" s="54" t="s">
        <v>118</v>
      </c>
      <c r="H483" s="54" t="s">
        <v>215</v>
      </c>
      <c r="I483" s="54" t="s">
        <v>477</v>
      </c>
      <c r="J483" s="54" t="s">
        <v>864</v>
      </c>
      <c r="K483" s="58" t="n">
        <v>142.7</v>
      </c>
      <c r="L483" s="54" t="s">
        <v>212</v>
      </c>
      <c r="M483" s="54" t="s">
        <v>214</v>
      </c>
      <c r="N483" s="54" t="s">
        <v>214</v>
      </c>
      <c r="O483" s="58" t="n">
        <v>4.6</v>
      </c>
      <c r="P483" s="54" t="s">
        <v>214</v>
      </c>
      <c r="Q483" s="58" t="n">
        <v>7.3</v>
      </c>
    </row>
    <row r="484" customFormat="false" ht="15" hidden="false" customHeight="false" outlineLevel="0" collapsed="false">
      <c r="A484" s="54" t="s">
        <v>27</v>
      </c>
      <c r="B484" s="55" t="n">
        <v>1423</v>
      </c>
      <c r="C484" s="56" t="n">
        <v>46307.4642328704</v>
      </c>
      <c r="D484" s="55" t="n">
        <v>11</v>
      </c>
      <c r="E484" s="54" t="s">
        <v>214</v>
      </c>
      <c r="F484" s="54" t="s">
        <v>127</v>
      </c>
      <c r="G484" s="54" t="s">
        <v>118</v>
      </c>
      <c r="H484" s="54" t="s">
        <v>220</v>
      </c>
      <c r="I484" s="54" t="s">
        <v>477</v>
      </c>
      <c r="J484" s="54" t="s">
        <v>864</v>
      </c>
      <c r="K484" s="58" t="n">
        <v>108.2</v>
      </c>
      <c r="L484" s="54" t="s">
        <v>212</v>
      </c>
      <c r="M484" s="54" t="s">
        <v>214</v>
      </c>
      <c r="N484" s="54" t="s">
        <v>214</v>
      </c>
      <c r="O484" s="58" t="n">
        <v>62.7</v>
      </c>
      <c r="P484" s="54" t="s">
        <v>214</v>
      </c>
      <c r="Q484" s="58" t="n">
        <v>106.1</v>
      </c>
    </row>
    <row r="485" customFormat="false" ht="15" hidden="false" customHeight="false" outlineLevel="0" collapsed="false">
      <c r="A485" s="54" t="s">
        <v>27</v>
      </c>
      <c r="B485" s="55" t="n">
        <v>1403</v>
      </c>
      <c r="C485" s="56" t="n">
        <v>46307.485418287</v>
      </c>
      <c r="D485" s="55" t="n">
        <v>11</v>
      </c>
      <c r="E485" s="54" t="s">
        <v>214</v>
      </c>
      <c r="F485" s="54" t="s">
        <v>859</v>
      </c>
      <c r="G485" s="54" t="s">
        <v>860</v>
      </c>
      <c r="H485" s="54" t="s">
        <v>861</v>
      </c>
      <c r="I485" s="54" t="s">
        <v>347</v>
      </c>
      <c r="J485" s="54" t="s">
        <v>862</v>
      </c>
      <c r="K485" s="58" t="n">
        <v>72</v>
      </c>
      <c r="L485" s="54" t="s">
        <v>863</v>
      </c>
      <c r="M485" s="54" t="s">
        <v>212</v>
      </c>
      <c r="N485" s="54" t="s">
        <v>214</v>
      </c>
      <c r="O485" s="58" t="n">
        <v>286.1</v>
      </c>
      <c r="P485" s="54" t="s">
        <v>212</v>
      </c>
      <c r="Q485" s="58"/>
    </row>
    <row r="486" customFormat="false" ht="15" hidden="false" customHeight="false" outlineLevel="0" collapsed="false">
      <c r="A486" s="54" t="s">
        <v>27</v>
      </c>
      <c r="B486" s="55" t="n">
        <v>1456</v>
      </c>
      <c r="C486" s="56" t="n">
        <v>46307.4888199306</v>
      </c>
      <c r="D486" s="55" t="n">
        <v>11</v>
      </c>
      <c r="E486" s="54" t="s">
        <v>214</v>
      </c>
      <c r="F486" s="54" t="s">
        <v>127</v>
      </c>
      <c r="G486" s="54" t="s">
        <v>118</v>
      </c>
      <c r="H486" s="54" t="s">
        <v>220</v>
      </c>
      <c r="I486" s="54" t="s">
        <v>477</v>
      </c>
      <c r="J486" s="54" t="s">
        <v>864</v>
      </c>
      <c r="K486" s="58" t="n">
        <v>119.5</v>
      </c>
      <c r="L486" s="54" t="s">
        <v>212</v>
      </c>
      <c r="M486" s="54" t="s">
        <v>214</v>
      </c>
      <c r="N486" s="54" t="s">
        <v>212</v>
      </c>
      <c r="O486" s="58"/>
      <c r="P486" s="54" t="s">
        <v>214</v>
      </c>
      <c r="Q486" s="58" t="n">
        <v>11.4</v>
      </c>
    </row>
    <row r="487" customFormat="false" ht="15" hidden="false" customHeight="false" outlineLevel="0" collapsed="false">
      <c r="A487" s="54" t="s">
        <v>27</v>
      </c>
      <c r="B487" s="55" t="n">
        <v>1439</v>
      </c>
      <c r="C487" s="56" t="n">
        <v>46307.5128690278</v>
      </c>
      <c r="D487" s="55" t="n">
        <v>12</v>
      </c>
      <c r="E487" s="54" t="s">
        <v>214</v>
      </c>
      <c r="F487" s="54" t="s">
        <v>859</v>
      </c>
      <c r="G487" s="54" t="s">
        <v>860</v>
      </c>
      <c r="H487" s="54" t="s">
        <v>861</v>
      </c>
      <c r="I487" s="54" t="s">
        <v>347</v>
      </c>
      <c r="J487" s="54" t="s">
        <v>862</v>
      </c>
      <c r="K487" s="58" t="n">
        <v>72</v>
      </c>
      <c r="L487" s="54" t="s">
        <v>863</v>
      </c>
      <c r="M487" s="54" t="s">
        <v>212</v>
      </c>
      <c r="N487" s="54" t="s">
        <v>214</v>
      </c>
      <c r="O487" s="58" t="n">
        <v>3.6</v>
      </c>
      <c r="P487" s="54" t="s">
        <v>212</v>
      </c>
      <c r="Q487" s="58"/>
    </row>
    <row r="488" customFormat="false" ht="15" hidden="false" customHeight="false" outlineLevel="0" collapsed="false">
      <c r="A488" s="54" t="s">
        <v>27</v>
      </c>
      <c r="B488" s="55" t="n">
        <v>1443</v>
      </c>
      <c r="C488" s="56" t="n">
        <v>46307.5213638426</v>
      </c>
      <c r="D488" s="55" t="n">
        <v>12</v>
      </c>
      <c r="E488" s="54" t="s">
        <v>214</v>
      </c>
      <c r="F488" s="54" t="s">
        <v>859</v>
      </c>
      <c r="G488" s="54" t="s">
        <v>860</v>
      </c>
      <c r="H488" s="54" t="s">
        <v>861</v>
      </c>
      <c r="I488" s="54" t="s">
        <v>347</v>
      </c>
      <c r="J488" s="54" t="s">
        <v>862</v>
      </c>
      <c r="K488" s="58" t="n">
        <v>72</v>
      </c>
      <c r="L488" s="54" t="s">
        <v>863</v>
      </c>
      <c r="M488" s="54" t="s">
        <v>212</v>
      </c>
      <c r="N488" s="54" t="s">
        <v>212</v>
      </c>
      <c r="O488" s="58"/>
      <c r="P488" s="54" t="s">
        <v>212</v>
      </c>
      <c r="Q488" s="58"/>
    </row>
    <row r="489" customFormat="false" ht="15" hidden="false" customHeight="false" outlineLevel="0" collapsed="false">
      <c r="A489" s="54" t="s">
        <v>27</v>
      </c>
      <c r="B489" s="55" t="n">
        <v>1431</v>
      </c>
      <c r="C489" s="56" t="n">
        <v>46307.5245017014</v>
      </c>
      <c r="D489" s="55" t="n">
        <v>12</v>
      </c>
      <c r="E489" s="54" t="s">
        <v>214</v>
      </c>
      <c r="F489" s="54" t="s">
        <v>859</v>
      </c>
      <c r="G489" s="54" t="s">
        <v>860</v>
      </c>
      <c r="H489" s="54" t="s">
        <v>861</v>
      </c>
      <c r="I489" s="54" t="s">
        <v>347</v>
      </c>
      <c r="J489" s="54" t="s">
        <v>862</v>
      </c>
      <c r="K489" s="58" t="n">
        <v>72</v>
      </c>
      <c r="L489" s="54" t="s">
        <v>863</v>
      </c>
      <c r="M489" s="54" t="s">
        <v>212</v>
      </c>
      <c r="N489" s="54" t="s">
        <v>214</v>
      </c>
      <c r="O489" s="58" t="n">
        <v>613.9</v>
      </c>
      <c r="P489" s="54" t="s">
        <v>212</v>
      </c>
      <c r="Q489" s="58"/>
    </row>
    <row r="490" customFormat="false" ht="15" hidden="false" customHeight="false" outlineLevel="0" collapsed="false">
      <c r="A490" s="54" t="s">
        <v>27</v>
      </c>
      <c r="B490" s="55" t="n">
        <v>1471</v>
      </c>
      <c r="C490" s="56" t="n">
        <v>46307.5441573032</v>
      </c>
      <c r="D490" s="55" t="n">
        <v>13</v>
      </c>
      <c r="E490" s="54" t="s">
        <v>214</v>
      </c>
      <c r="F490" s="54" t="s">
        <v>127</v>
      </c>
      <c r="G490" s="54" t="s">
        <v>118</v>
      </c>
      <c r="H490" s="54" t="s">
        <v>220</v>
      </c>
      <c r="I490" s="54" t="s">
        <v>477</v>
      </c>
      <c r="J490" s="54" t="s">
        <v>864</v>
      </c>
      <c r="K490" s="58" t="n">
        <v>110.1</v>
      </c>
      <c r="L490" s="54" t="s">
        <v>212</v>
      </c>
      <c r="M490" s="54" t="s">
        <v>214</v>
      </c>
      <c r="N490" s="54" t="s">
        <v>214</v>
      </c>
      <c r="O490" s="58" t="n">
        <v>0.1</v>
      </c>
      <c r="P490" s="54" t="s">
        <v>214</v>
      </c>
      <c r="Q490" s="58" t="n">
        <v>1.3</v>
      </c>
    </row>
    <row r="491" customFormat="false" ht="15" hidden="false" customHeight="false" outlineLevel="0" collapsed="false">
      <c r="A491" s="54" t="s">
        <v>27</v>
      </c>
      <c r="B491" s="55" t="n">
        <v>1451</v>
      </c>
      <c r="C491" s="56" t="n">
        <v>46307.5694086458</v>
      </c>
      <c r="D491" s="55" t="n">
        <v>13</v>
      </c>
      <c r="E491" s="54" t="s">
        <v>214</v>
      </c>
      <c r="F491" s="54" t="s">
        <v>859</v>
      </c>
      <c r="G491" s="54" t="s">
        <v>860</v>
      </c>
      <c r="H491" s="54" t="s">
        <v>861</v>
      </c>
      <c r="I491" s="54" t="s">
        <v>347</v>
      </c>
      <c r="J491" s="54" t="s">
        <v>862</v>
      </c>
      <c r="K491" s="58" t="n">
        <v>72</v>
      </c>
      <c r="L491" s="54" t="s">
        <v>863</v>
      </c>
      <c r="M491" s="54" t="s">
        <v>212</v>
      </c>
      <c r="N491" s="54" t="s">
        <v>212</v>
      </c>
      <c r="O491" s="58"/>
      <c r="P491" s="54" t="s">
        <v>212</v>
      </c>
      <c r="Q491" s="58"/>
    </row>
    <row r="492" customFormat="false" ht="15" hidden="false" customHeight="false" outlineLevel="0" collapsed="false">
      <c r="A492" s="54" t="s">
        <v>27</v>
      </c>
      <c r="B492" s="55" t="n">
        <v>1485</v>
      </c>
      <c r="C492" s="56" t="n">
        <v>46307.5954265394</v>
      </c>
      <c r="D492" s="55" t="n">
        <v>14</v>
      </c>
      <c r="E492" s="54" t="s">
        <v>214</v>
      </c>
      <c r="F492" s="54" t="s">
        <v>127</v>
      </c>
      <c r="G492" s="54" t="s">
        <v>118</v>
      </c>
      <c r="H492" s="54" t="s">
        <v>220</v>
      </c>
      <c r="I492" s="54" t="s">
        <v>477</v>
      </c>
      <c r="J492" s="54" t="s">
        <v>864</v>
      </c>
      <c r="K492" s="58" t="n">
        <v>112.2</v>
      </c>
      <c r="L492" s="54" t="s">
        <v>212</v>
      </c>
      <c r="M492" s="54" t="s">
        <v>214</v>
      </c>
      <c r="N492" s="54" t="s">
        <v>214</v>
      </c>
      <c r="O492" s="58" t="n">
        <v>2.1</v>
      </c>
      <c r="P492" s="54" t="s">
        <v>214</v>
      </c>
      <c r="Q492" s="58" t="n">
        <v>5.4</v>
      </c>
    </row>
    <row r="493" customFormat="false" ht="15" hidden="false" customHeight="false" outlineLevel="0" collapsed="false">
      <c r="A493" s="54" t="s">
        <v>27</v>
      </c>
      <c r="B493" s="55" t="n">
        <v>1493</v>
      </c>
      <c r="C493" s="56" t="n">
        <v>46307.6172189352</v>
      </c>
      <c r="D493" s="55" t="n">
        <v>14</v>
      </c>
      <c r="E493" s="54" t="s">
        <v>214</v>
      </c>
      <c r="F493" s="54" t="s">
        <v>128</v>
      </c>
      <c r="G493" s="54" t="s">
        <v>118</v>
      </c>
      <c r="H493" s="54" t="s">
        <v>220</v>
      </c>
      <c r="I493" s="54" t="s">
        <v>473</v>
      </c>
      <c r="J493" s="54" t="s">
        <v>865</v>
      </c>
      <c r="K493" s="58" t="n">
        <v>97.4</v>
      </c>
      <c r="L493" s="54" t="s">
        <v>212</v>
      </c>
      <c r="M493" s="54" t="s">
        <v>214</v>
      </c>
      <c r="N493" s="54" t="s">
        <v>214</v>
      </c>
      <c r="O493" s="58" t="n">
        <v>0.3</v>
      </c>
      <c r="P493" s="54" t="s">
        <v>212</v>
      </c>
      <c r="Q493" s="58"/>
    </row>
    <row r="494" customFormat="false" ht="15" hidden="false" customHeight="false" outlineLevel="0" collapsed="false">
      <c r="A494" s="54" t="s">
        <v>27</v>
      </c>
      <c r="B494" s="55" t="n">
        <v>1498</v>
      </c>
      <c r="C494" s="56" t="n">
        <v>46307.6296949537</v>
      </c>
      <c r="D494" s="55" t="n">
        <v>15</v>
      </c>
      <c r="E494" s="54" t="s">
        <v>214</v>
      </c>
      <c r="F494" s="54" t="s">
        <v>128</v>
      </c>
      <c r="G494" s="54" t="s">
        <v>118</v>
      </c>
      <c r="H494" s="54" t="s">
        <v>220</v>
      </c>
      <c r="I494" s="54" t="s">
        <v>473</v>
      </c>
      <c r="J494" s="54" t="s">
        <v>865</v>
      </c>
      <c r="K494" s="58" t="n">
        <v>89</v>
      </c>
      <c r="L494" s="54" t="s">
        <v>212</v>
      </c>
      <c r="M494" s="54" t="s">
        <v>214</v>
      </c>
      <c r="N494" s="54" t="s">
        <v>214</v>
      </c>
      <c r="O494" s="58" t="n">
        <v>0.2</v>
      </c>
      <c r="P494" s="54" t="s">
        <v>214</v>
      </c>
      <c r="Q494" s="58" t="n">
        <v>2.2</v>
      </c>
    </row>
    <row r="495" customFormat="false" ht="15" hidden="false" customHeight="false" outlineLevel="0" collapsed="false">
      <c r="A495" s="54" t="s">
        <v>27</v>
      </c>
      <c r="B495" s="55" t="n">
        <v>1501</v>
      </c>
      <c r="C495" s="56" t="n">
        <v>46307.6370546644</v>
      </c>
      <c r="D495" s="55" t="n">
        <v>15</v>
      </c>
      <c r="E495" s="54" t="s">
        <v>214</v>
      </c>
      <c r="F495" s="54" t="s">
        <v>127</v>
      </c>
      <c r="G495" s="54" t="s">
        <v>118</v>
      </c>
      <c r="H495" s="54" t="s">
        <v>220</v>
      </c>
      <c r="I495" s="54" t="s">
        <v>477</v>
      </c>
      <c r="J495" s="54" t="s">
        <v>864</v>
      </c>
      <c r="K495" s="58" t="n">
        <v>103.7</v>
      </c>
      <c r="L495" s="54" t="s">
        <v>212</v>
      </c>
      <c r="M495" s="54" t="s">
        <v>214</v>
      </c>
      <c r="N495" s="54" t="s">
        <v>212</v>
      </c>
      <c r="O495" s="58"/>
      <c r="P495" s="54" t="s">
        <v>214</v>
      </c>
      <c r="Q495" s="58" t="n">
        <v>5.2</v>
      </c>
    </row>
    <row r="496" customFormat="false" ht="15" hidden="false" customHeight="false" outlineLevel="0" collapsed="false">
      <c r="A496" s="54" t="s">
        <v>27</v>
      </c>
      <c r="B496" s="55" t="n">
        <v>1473</v>
      </c>
      <c r="C496" s="56" t="n">
        <v>46307.6389422569</v>
      </c>
      <c r="D496" s="55" t="n">
        <v>15</v>
      </c>
      <c r="E496" s="54" t="s">
        <v>214</v>
      </c>
      <c r="F496" s="54" t="s">
        <v>859</v>
      </c>
      <c r="G496" s="54" t="s">
        <v>860</v>
      </c>
      <c r="H496" s="54" t="s">
        <v>861</v>
      </c>
      <c r="I496" s="54" t="s">
        <v>347</v>
      </c>
      <c r="J496" s="54" t="s">
        <v>862</v>
      </c>
      <c r="K496" s="58" t="n">
        <v>72</v>
      </c>
      <c r="L496" s="54" t="s">
        <v>863</v>
      </c>
      <c r="M496" s="54" t="s">
        <v>212</v>
      </c>
      <c r="N496" s="54" t="s">
        <v>214</v>
      </c>
      <c r="O496" s="58" t="n">
        <v>0.5</v>
      </c>
      <c r="P496" s="54" t="s">
        <v>212</v>
      </c>
      <c r="Q496" s="58"/>
    </row>
    <row r="497" customFormat="false" ht="15" hidden="false" customHeight="false" outlineLevel="0" collapsed="false">
      <c r="A497" s="54" t="s">
        <v>27</v>
      </c>
      <c r="B497" s="55" t="n">
        <v>1423</v>
      </c>
      <c r="C497" s="56" t="n">
        <v>46307.6415113773</v>
      </c>
      <c r="D497" s="55" t="n">
        <v>15</v>
      </c>
      <c r="E497" s="54" t="s">
        <v>214</v>
      </c>
      <c r="F497" s="54" t="s">
        <v>859</v>
      </c>
      <c r="G497" s="54" t="s">
        <v>860</v>
      </c>
      <c r="H497" s="54" t="s">
        <v>861</v>
      </c>
      <c r="I497" s="54" t="s">
        <v>347</v>
      </c>
      <c r="J497" s="54" t="s">
        <v>862</v>
      </c>
      <c r="K497" s="58" t="n">
        <v>72</v>
      </c>
      <c r="L497" s="54" t="s">
        <v>863</v>
      </c>
      <c r="M497" s="54" t="s">
        <v>212</v>
      </c>
      <c r="N497" s="54" t="s">
        <v>214</v>
      </c>
      <c r="O497" s="58" t="n">
        <v>1.6</v>
      </c>
      <c r="P497" s="54" t="s">
        <v>212</v>
      </c>
      <c r="Q497" s="58"/>
    </row>
    <row r="498" customFormat="false" ht="15" hidden="false" customHeight="false" outlineLevel="0" collapsed="false">
      <c r="A498" s="54" t="s">
        <v>27</v>
      </c>
      <c r="B498" s="55" t="n">
        <v>1456</v>
      </c>
      <c r="C498" s="56" t="n">
        <v>46307.6661127778</v>
      </c>
      <c r="D498" s="55" t="n">
        <v>15</v>
      </c>
      <c r="E498" s="54" t="s">
        <v>214</v>
      </c>
      <c r="F498" s="54" t="s">
        <v>859</v>
      </c>
      <c r="G498" s="54" t="s">
        <v>860</v>
      </c>
      <c r="H498" s="54" t="s">
        <v>861</v>
      </c>
      <c r="I498" s="54" t="s">
        <v>347</v>
      </c>
      <c r="J498" s="54" t="s">
        <v>862</v>
      </c>
      <c r="K498" s="58" t="n">
        <v>72</v>
      </c>
      <c r="L498" s="54" t="s">
        <v>863</v>
      </c>
      <c r="M498" s="54" t="s">
        <v>212</v>
      </c>
      <c r="N498" s="54" t="s">
        <v>212</v>
      </c>
      <c r="O498" s="58"/>
      <c r="P498" s="54" t="s">
        <v>212</v>
      </c>
      <c r="Q498" s="58"/>
    </row>
    <row r="499" customFormat="false" ht="15" hidden="false" customHeight="false" outlineLevel="0" collapsed="false">
      <c r="A499" s="54" t="s">
        <v>27</v>
      </c>
      <c r="B499" s="55" t="n">
        <v>1480</v>
      </c>
      <c r="C499" s="56" t="n">
        <v>46307.6733559607</v>
      </c>
      <c r="D499" s="55" t="n">
        <v>16</v>
      </c>
      <c r="E499" s="54" t="s">
        <v>214</v>
      </c>
      <c r="F499" s="54" t="s">
        <v>859</v>
      </c>
      <c r="G499" s="54" t="s">
        <v>860</v>
      </c>
      <c r="H499" s="54" t="s">
        <v>861</v>
      </c>
      <c r="I499" s="54" t="s">
        <v>347</v>
      </c>
      <c r="J499" s="54" t="s">
        <v>862</v>
      </c>
      <c r="K499" s="58" t="n">
        <v>72</v>
      </c>
      <c r="L499" s="54" t="s">
        <v>863</v>
      </c>
      <c r="M499" s="54" t="s">
        <v>212</v>
      </c>
      <c r="N499" s="54" t="s">
        <v>212</v>
      </c>
      <c r="O499" s="58"/>
      <c r="P499" s="54" t="s">
        <v>212</v>
      </c>
      <c r="Q499" s="58"/>
    </row>
    <row r="500" customFormat="false" ht="15" hidden="false" customHeight="false" outlineLevel="0" collapsed="false">
      <c r="A500" s="54" t="s">
        <v>27</v>
      </c>
      <c r="B500" s="55" t="n">
        <v>1509</v>
      </c>
      <c r="C500" s="56" t="n">
        <v>46307.6775284375</v>
      </c>
      <c r="D500" s="55" t="n">
        <v>16</v>
      </c>
      <c r="E500" s="54" t="s">
        <v>214</v>
      </c>
      <c r="F500" s="54" t="s">
        <v>129</v>
      </c>
      <c r="G500" s="54" t="s">
        <v>118</v>
      </c>
      <c r="H500" s="54" t="s">
        <v>220</v>
      </c>
      <c r="I500" s="54" t="s">
        <v>477</v>
      </c>
      <c r="J500" s="54" t="s">
        <v>864</v>
      </c>
      <c r="K500" s="58" t="n">
        <v>96.7</v>
      </c>
      <c r="L500" s="54" t="s">
        <v>212</v>
      </c>
      <c r="M500" s="54" t="s">
        <v>214</v>
      </c>
      <c r="N500" s="54" t="s">
        <v>214</v>
      </c>
      <c r="O500" s="58" t="n">
        <v>6.9</v>
      </c>
      <c r="P500" s="54" t="s">
        <v>214</v>
      </c>
      <c r="Q500" s="58" t="n">
        <v>1326.6</v>
      </c>
    </row>
    <row r="501" customFormat="false" ht="15" hidden="false" customHeight="false" outlineLevel="0" collapsed="false">
      <c r="A501" s="54" t="s">
        <v>27</v>
      </c>
      <c r="B501" s="55" t="n">
        <v>1484</v>
      </c>
      <c r="C501" s="56" t="n">
        <v>46307.683226331</v>
      </c>
      <c r="D501" s="55" t="n">
        <v>16</v>
      </c>
      <c r="E501" s="54" t="s">
        <v>214</v>
      </c>
      <c r="F501" s="54" t="s">
        <v>859</v>
      </c>
      <c r="G501" s="54" t="s">
        <v>860</v>
      </c>
      <c r="H501" s="54" t="s">
        <v>861</v>
      </c>
      <c r="I501" s="54" t="s">
        <v>288</v>
      </c>
      <c r="J501" s="54" t="s">
        <v>862</v>
      </c>
      <c r="K501" s="58" t="n">
        <v>76.7</v>
      </c>
      <c r="L501" s="54" t="s">
        <v>863</v>
      </c>
      <c r="M501" s="54" t="s">
        <v>212</v>
      </c>
      <c r="N501" s="54" t="s">
        <v>214</v>
      </c>
      <c r="O501" s="58" t="n">
        <v>24.8</v>
      </c>
      <c r="P501" s="54" t="s">
        <v>214</v>
      </c>
      <c r="Q501" s="58" t="n">
        <v>27</v>
      </c>
    </row>
    <row r="502" customFormat="false" ht="15" hidden="false" customHeight="false" outlineLevel="0" collapsed="false">
      <c r="A502" s="54" t="s">
        <v>27</v>
      </c>
      <c r="B502" s="55" t="n">
        <v>1491</v>
      </c>
      <c r="C502" s="56" t="n">
        <v>46307.6865779282</v>
      </c>
      <c r="D502" s="55" t="n">
        <v>16</v>
      </c>
      <c r="E502" s="54" t="s">
        <v>214</v>
      </c>
      <c r="F502" s="54" t="s">
        <v>859</v>
      </c>
      <c r="G502" s="54" t="s">
        <v>860</v>
      </c>
      <c r="H502" s="54" t="s">
        <v>861</v>
      </c>
      <c r="I502" s="54" t="s">
        <v>347</v>
      </c>
      <c r="J502" s="54" t="s">
        <v>862</v>
      </c>
      <c r="K502" s="58" t="n">
        <v>72</v>
      </c>
      <c r="L502" s="54" t="s">
        <v>863</v>
      </c>
      <c r="M502" s="54" t="s">
        <v>212</v>
      </c>
      <c r="N502" s="54" t="s">
        <v>214</v>
      </c>
      <c r="O502" s="58" t="n">
        <v>434.9</v>
      </c>
      <c r="P502" s="54" t="s">
        <v>212</v>
      </c>
      <c r="Q502" s="58"/>
    </row>
    <row r="503" customFormat="false" ht="15" hidden="false" customHeight="false" outlineLevel="0" collapsed="false">
      <c r="A503" s="54" t="s">
        <v>27</v>
      </c>
      <c r="B503" s="55" t="n">
        <v>1492</v>
      </c>
      <c r="C503" s="56" t="n">
        <v>46307.6884680324</v>
      </c>
      <c r="D503" s="55" t="n">
        <v>16</v>
      </c>
      <c r="E503" s="54" t="s">
        <v>214</v>
      </c>
      <c r="F503" s="54" t="s">
        <v>859</v>
      </c>
      <c r="G503" s="54" t="s">
        <v>860</v>
      </c>
      <c r="H503" s="54" t="s">
        <v>861</v>
      </c>
      <c r="I503" s="54" t="s">
        <v>347</v>
      </c>
      <c r="J503" s="54" t="s">
        <v>862</v>
      </c>
      <c r="K503" s="58" t="n">
        <v>72</v>
      </c>
      <c r="L503" s="54" t="s">
        <v>863</v>
      </c>
      <c r="M503" s="54" t="s">
        <v>212</v>
      </c>
      <c r="N503" s="54" t="s">
        <v>214</v>
      </c>
      <c r="O503" s="58" t="n">
        <v>2539.8</v>
      </c>
      <c r="P503" s="54" t="s">
        <v>212</v>
      </c>
      <c r="Q503" s="58"/>
    </row>
    <row r="504" customFormat="false" ht="15" hidden="false" customHeight="false" outlineLevel="0" collapsed="false">
      <c r="A504" s="54" t="s">
        <v>27</v>
      </c>
      <c r="B504" s="55" t="n">
        <v>1508</v>
      </c>
      <c r="C504" s="56" t="n">
        <v>46307.7370100463</v>
      </c>
      <c r="D504" s="55" t="n">
        <v>17</v>
      </c>
      <c r="E504" s="54" t="s">
        <v>214</v>
      </c>
      <c r="F504" s="54" t="s">
        <v>859</v>
      </c>
      <c r="G504" s="54" t="s">
        <v>860</v>
      </c>
      <c r="H504" s="54" t="s">
        <v>861</v>
      </c>
      <c r="I504" s="54" t="s">
        <v>347</v>
      </c>
      <c r="J504" s="54" t="s">
        <v>862</v>
      </c>
      <c r="K504" s="58" t="n">
        <v>72</v>
      </c>
      <c r="L504" s="54" t="s">
        <v>863</v>
      </c>
      <c r="M504" s="54" t="s">
        <v>212</v>
      </c>
      <c r="N504" s="54" t="s">
        <v>212</v>
      </c>
      <c r="O504" s="58"/>
      <c r="P504" s="54" t="s">
        <v>212</v>
      </c>
      <c r="Q504" s="58"/>
    </row>
    <row r="505" customFormat="false" ht="15" hidden="false" customHeight="false" outlineLevel="0" collapsed="false">
      <c r="A505" s="54" t="s">
        <v>27</v>
      </c>
      <c r="B505" s="55" t="n">
        <v>1502</v>
      </c>
      <c r="C505" s="56" t="n">
        <v>46307.7425474884</v>
      </c>
      <c r="D505" s="55" t="n">
        <v>17</v>
      </c>
      <c r="E505" s="54" t="s">
        <v>214</v>
      </c>
      <c r="F505" s="54" t="s">
        <v>859</v>
      </c>
      <c r="G505" s="54" t="s">
        <v>860</v>
      </c>
      <c r="H505" s="54" t="s">
        <v>861</v>
      </c>
      <c r="I505" s="54" t="s">
        <v>347</v>
      </c>
      <c r="J505" s="54" t="s">
        <v>862</v>
      </c>
      <c r="K505" s="58" t="n">
        <v>72</v>
      </c>
      <c r="L505" s="54" t="s">
        <v>863</v>
      </c>
      <c r="M505" s="54" t="s">
        <v>212</v>
      </c>
      <c r="N505" s="54" t="s">
        <v>214</v>
      </c>
      <c r="O505" s="58" t="n">
        <v>128.3</v>
      </c>
      <c r="P505" s="54" t="s">
        <v>212</v>
      </c>
      <c r="Q505" s="58"/>
    </row>
    <row r="506" customFormat="false" ht="15" hidden="false" customHeight="false" outlineLevel="0" collapsed="false">
      <c r="A506" s="54" t="s">
        <v>27</v>
      </c>
      <c r="B506" s="55" t="n">
        <v>1505</v>
      </c>
      <c r="C506" s="56" t="n">
        <v>46307.7460699537</v>
      </c>
      <c r="D506" s="55" t="n">
        <v>17</v>
      </c>
      <c r="E506" s="54" t="s">
        <v>214</v>
      </c>
      <c r="F506" s="54" t="s">
        <v>859</v>
      </c>
      <c r="G506" s="54" t="s">
        <v>860</v>
      </c>
      <c r="H506" s="54" t="s">
        <v>861</v>
      </c>
      <c r="I506" s="54" t="s">
        <v>347</v>
      </c>
      <c r="J506" s="54" t="s">
        <v>862</v>
      </c>
      <c r="K506" s="58" t="n">
        <v>72</v>
      </c>
      <c r="L506" s="54" t="s">
        <v>863</v>
      </c>
      <c r="M506" s="54" t="s">
        <v>212</v>
      </c>
      <c r="N506" s="54" t="s">
        <v>214</v>
      </c>
      <c r="O506" s="58" t="n">
        <v>62.1</v>
      </c>
      <c r="P506" s="54" t="s">
        <v>212</v>
      </c>
      <c r="Q506" s="58"/>
    </row>
    <row r="507" customFormat="false" ht="15" hidden="false" customHeight="false" outlineLevel="0" collapsed="false">
      <c r="A507" s="54" t="s">
        <v>27</v>
      </c>
      <c r="B507" s="55" t="n">
        <v>1529</v>
      </c>
      <c r="C507" s="56" t="n">
        <v>46307.7552090278</v>
      </c>
      <c r="D507" s="55" t="n">
        <v>18</v>
      </c>
      <c r="E507" s="54" t="s">
        <v>214</v>
      </c>
      <c r="F507" s="54" t="s">
        <v>128</v>
      </c>
      <c r="G507" s="54" t="s">
        <v>118</v>
      </c>
      <c r="H507" s="54" t="s">
        <v>220</v>
      </c>
      <c r="I507" s="54" t="s">
        <v>675</v>
      </c>
      <c r="J507" s="54" t="s">
        <v>865</v>
      </c>
      <c r="K507" s="58" t="n">
        <v>84.6</v>
      </c>
      <c r="L507" s="54" t="s">
        <v>212</v>
      </c>
      <c r="M507" s="54" t="s">
        <v>214</v>
      </c>
      <c r="N507" s="54" t="s">
        <v>214</v>
      </c>
      <c r="O507" s="58" t="n">
        <v>69.1</v>
      </c>
      <c r="P507" s="54" t="s">
        <v>212</v>
      </c>
      <c r="Q507" s="58"/>
    </row>
    <row r="508" customFormat="false" ht="15" hidden="false" customHeight="false" outlineLevel="0" collapsed="false">
      <c r="A508" s="54" t="s">
        <v>27</v>
      </c>
      <c r="B508" s="55" t="n">
        <v>1509</v>
      </c>
      <c r="C508" s="56" t="n">
        <v>46307.7572915625</v>
      </c>
      <c r="D508" s="55" t="n">
        <v>18</v>
      </c>
      <c r="E508" s="54" t="s">
        <v>214</v>
      </c>
      <c r="F508" s="54" t="s">
        <v>859</v>
      </c>
      <c r="G508" s="54" t="s">
        <v>860</v>
      </c>
      <c r="H508" s="54" t="s">
        <v>861</v>
      </c>
      <c r="I508" s="54" t="s">
        <v>347</v>
      </c>
      <c r="J508" s="54" t="s">
        <v>862</v>
      </c>
      <c r="K508" s="58" t="n">
        <v>72</v>
      </c>
      <c r="L508" s="54" t="s">
        <v>863</v>
      </c>
      <c r="M508" s="54" t="s">
        <v>212</v>
      </c>
      <c r="N508" s="54" t="s">
        <v>214</v>
      </c>
      <c r="O508" s="58" t="n">
        <v>1211.3</v>
      </c>
      <c r="P508" s="54" t="s">
        <v>214</v>
      </c>
      <c r="Q508" s="58" t="n">
        <v>1211.8</v>
      </c>
    </row>
    <row r="509" customFormat="false" ht="15" hidden="false" customHeight="false" outlineLevel="0" collapsed="false">
      <c r="A509" s="54" t="s">
        <v>27</v>
      </c>
      <c r="B509" s="55" t="n">
        <v>1518</v>
      </c>
      <c r="C509" s="56" t="n">
        <v>46307.7639752546</v>
      </c>
      <c r="D509" s="55" t="n">
        <v>18</v>
      </c>
      <c r="E509" s="54" t="s">
        <v>214</v>
      </c>
      <c r="F509" s="54" t="s">
        <v>859</v>
      </c>
      <c r="G509" s="54" t="s">
        <v>860</v>
      </c>
      <c r="H509" s="54" t="s">
        <v>861</v>
      </c>
      <c r="I509" s="54" t="s">
        <v>347</v>
      </c>
      <c r="J509" s="54" t="s">
        <v>862</v>
      </c>
      <c r="K509" s="58" t="n">
        <v>72</v>
      </c>
      <c r="L509" s="54" t="s">
        <v>863</v>
      </c>
      <c r="M509" s="54" t="s">
        <v>212</v>
      </c>
      <c r="N509" s="54" t="s">
        <v>212</v>
      </c>
      <c r="O509" s="58"/>
      <c r="P509" s="54" t="s">
        <v>212</v>
      </c>
      <c r="Q509" s="58"/>
    </row>
    <row r="510" customFormat="false" ht="15" hidden="false" customHeight="false" outlineLevel="0" collapsed="false">
      <c r="A510" s="54" t="s">
        <v>27</v>
      </c>
      <c r="B510" s="55" t="n">
        <v>1513</v>
      </c>
      <c r="C510" s="56" t="n">
        <v>46307.770489375</v>
      </c>
      <c r="D510" s="55" t="n">
        <v>18</v>
      </c>
      <c r="E510" s="54" t="s">
        <v>214</v>
      </c>
      <c r="F510" s="54" t="s">
        <v>859</v>
      </c>
      <c r="G510" s="54" t="s">
        <v>860</v>
      </c>
      <c r="H510" s="54" t="s">
        <v>861</v>
      </c>
      <c r="I510" s="54" t="s">
        <v>347</v>
      </c>
      <c r="J510" s="54" t="s">
        <v>862</v>
      </c>
      <c r="K510" s="58" t="n">
        <v>72</v>
      </c>
      <c r="L510" s="54" t="s">
        <v>863</v>
      </c>
      <c r="M510" s="54" t="s">
        <v>212</v>
      </c>
      <c r="N510" s="54" t="s">
        <v>212</v>
      </c>
      <c r="O510" s="58"/>
      <c r="P510" s="54" t="s">
        <v>212</v>
      </c>
      <c r="Q510" s="58"/>
    </row>
    <row r="511" customFormat="false" ht="15" hidden="false" customHeight="false" outlineLevel="0" collapsed="false">
      <c r="A511" s="54" t="s">
        <v>27</v>
      </c>
      <c r="B511" s="55" t="n">
        <v>1519</v>
      </c>
      <c r="C511" s="56" t="n">
        <v>46307.7720589352</v>
      </c>
      <c r="D511" s="55" t="n">
        <v>18</v>
      </c>
      <c r="E511" s="54" t="s">
        <v>214</v>
      </c>
      <c r="F511" s="54" t="s">
        <v>859</v>
      </c>
      <c r="G511" s="54" t="s">
        <v>860</v>
      </c>
      <c r="H511" s="54" t="s">
        <v>861</v>
      </c>
      <c r="I511" s="54" t="s">
        <v>347</v>
      </c>
      <c r="J511" s="54" t="s">
        <v>862</v>
      </c>
      <c r="K511" s="58" t="n">
        <v>72</v>
      </c>
      <c r="L511" s="54" t="s">
        <v>863</v>
      </c>
      <c r="M511" s="54" t="s">
        <v>212</v>
      </c>
      <c r="N511" s="54" t="s">
        <v>212</v>
      </c>
      <c r="O511" s="58"/>
      <c r="P511" s="54" t="s">
        <v>212</v>
      </c>
      <c r="Q511" s="58"/>
    </row>
    <row r="512" customFormat="false" ht="15" hidden="false" customHeight="false" outlineLevel="0" collapsed="false">
      <c r="A512" s="54" t="s">
        <v>27</v>
      </c>
      <c r="B512" s="55" t="n">
        <v>1485</v>
      </c>
      <c r="C512" s="56" t="n">
        <v>46307.7725895833</v>
      </c>
      <c r="D512" s="55" t="n">
        <v>18</v>
      </c>
      <c r="E512" s="54" t="s">
        <v>214</v>
      </c>
      <c r="F512" s="54" t="s">
        <v>859</v>
      </c>
      <c r="G512" s="54" t="s">
        <v>860</v>
      </c>
      <c r="H512" s="54" t="s">
        <v>861</v>
      </c>
      <c r="I512" s="54" t="s">
        <v>347</v>
      </c>
      <c r="J512" s="54" t="s">
        <v>862</v>
      </c>
      <c r="K512" s="58" t="n">
        <v>72</v>
      </c>
      <c r="L512" s="54" t="s">
        <v>863</v>
      </c>
      <c r="M512" s="54" t="s">
        <v>212</v>
      </c>
      <c r="N512" s="54" t="s">
        <v>214</v>
      </c>
      <c r="O512" s="58" t="n">
        <v>164.9</v>
      </c>
      <c r="P512" s="54" t="s">
        <v>212</v>
      </c>
      <c r="Q512" s="58"/>
    </row>
    <row r="513" customFormat="false" ht="15" hidden="false" customHeight="false" outlineLevel="0" collapsed="false">
      <c r="A513" s="54" t="s">
        <v>27</v>
      </c>
      <c r="B513" s="55" t="n">
        <v>1493</v>
      </c>
      <c r="C513" s="56" t="n">
        <v>46307.7938112384</v>
      </c>
      <c r="D513" s="55" t="n">
        <v>19</v>
      </c>
      <c r="E513" s="54" t="s">
        <v>214</v>
      </c>
      <c r="F513" s="54" t="s">
        <v>859</v>
      </c>
      <c r="G513" s="54" t="s">
        <v>860</v>
      </c>
      <c r="H513" s="54" t="s">
        <v>861</v>
      </c>
      <c r="I513" s="54" t="s">
        <v>347</v>
      </c>
      <c r="J513" s="54" t="s">
        <v>862</v>
      </c>
      <c r="K513" s="58" t="n">
        <v>72</v>
      </c>
      <c r="L513" s="54" t="s">
        <v>863</v>
      </c>
      <c r="M513" s="54" t="s">
        <v>212</v>
      </c>
      <c r="N513" s="54" t="s">
        <v>214</v>
      </c>
      <c r="O513" s="58" t="n">
        <v>30</v>
      </c>
      <c r="P513" s="54" t="s">
        <v>212</v>
      </c>
      <c r="Q513" s="58"/>
    </row>
    <row r="514" customFormat="false" ht="15" hidden="false" customHeight="false" outlineLevel="0" collapsed="false">
      <c r="A514" s="54" t="s">
        <v>27</v>
      </c>
      <c r="B514" s="55" t="n">
        <v>1525</v>
      </c>
      <c r="C514" s="56" t="n">
        <v>46307.808580081</v>
      </c>
      <c r="D514" s="55" t="n">
        <v>19</v>
      </c>
      <c r="E514" s="54" t="s">
        <v>214</v>
      </c>
      <c r="F514" s="54" t="s">
        <v>859</v>
      </c>
      <c r="G514" s="54" t="s">
        <v>860</v>
      </c>
      <c r="H514" s="54" t="s">
        <v>861</v>
      </c>
      <c r="I514" s="54" t="s">
        <v>347</v>
      </c>
      <c r="J514" s="54" t="s">
        <v>862</v>
      </c>
      <c r="K514" s="58" t="n">
        <v>72</v>
      </c>
      <c r="L514" s="54" t="s">
        <v>863</v>
      </c>
      <c r="M514" s="54" t="s">
        <v>212</v>
      </c>
      <c r="N514" s="54" t="s">
        <v>214</v>
      </c>
      <c r="O514" s="58" t="n">
        <v>0.2</v>
      </c>
      <c r="P514" s="54" t="s">
        <v>212</v>
      </c>
      <c r="Q514" s="58"/>
    </row>
    <row r="515" customFormat="false" ht="15" hidden="false" customHeight="false" outlineLevel="0" collapsed="false">
      <c r="A515" s="54" t="s">
        <v>27</v>
      </c>
      <c r="B515" s="55" t="n">
        <v>1550</v>
      </c>
      <c r="C515" s="56" t="n">
        <v>46307.8112977662</v>
      </c>
      <c r="D515" s="55" t="n">
        <v>19</v>
      </c>
      <c r="E515" s="54" t="s">
        <v>214</v>
      </c>
      <c r="F515" s="54" t="s">
        <v>128</v>
      </c>
      <c r="G515" s="54" t="s">
        <v>118</v>
      </c>
      <c r="H515" s="54" t="s">
        <v>220</v>
      </c>
      <c r="I515" s="54" t="s">
        <v>473</v>
      </c>
      <c r="J515" s="54" t="s">
        <v>865</v>
      </c>
      <c r="K515" s="58" t="n">
        <v>82.3</v>
      </c>
      <c r="L515" s="54" t="s">
        <v>212</v>
      </c>
      <c r="M515" s="54" t="s">
        <v>214</v>
      </c>
      <c r="N515" s="54" t="s">
        <v>214</v>
      </c>
      <c r="O515" s="58" t="n">
        <v>0.4</v>
      </c>
      <c r="P515" s="54" t="s">
        <v>214</v>
      </c>
      <c r="Q515" s="58" t="n">
        <v>7.8</v>
      </c>
    </row>
    <row r="516" customFormat="false" ht="15" hidden="false" customHeight="false" outlineLevel="0" collapsed="false">
      <c r="A516" s="54" t="s">
        <v>27</v>
      </c>
      <c r="B516" s="55" t="n">
        <v>1501</v>
      </c>
      <c r="C516" s="56" t="n">
        <v>46307.814197882</v>
      </c>
      <c r="D516" s="55" t="n">
        <v>19</v>
      </c>
      <c r="E516" s="54" t="s">
        <v>214</v>
      </c>
      <c r="F516" s="54" t="s">
        <v>859</v>
      </c>
      <c r="G516" s="54" t="s">
        <v>860</v>
      </c>
      <c r="H516" s="54" t="s">
        <v>861</v>
      </c>
      <c r="I516" s="54" t="s">
        <v>347</v>
      </c>
      <c r="J516" s="54" t="s">
        <v>862</v>
      </c>
      <c r="K516" s="58" t="n">
        <v>72</v>
      </c>
      <c r="L516" s="54" t="s">
        <v>863</v>
      </c>
      <c r="M516" s="54" t="s">
        <v>212</v>
      </c>
      <c r="N516" s="54" t="s">
        <v>212</v>
      </c>
      <c r="O516" s="58"/>
      <c r="P516" s="54" t="s">
        <v>212</v>
      </c>
      <c r="Q516" s="58"/>
    </row>
    <row r="517" customFormat="false" ht="15" hidden="false" customHeight="false" outlineLevel="0" collapsed="false">
      <c r="A517" s="54" t="s">
        <v>27</v>
      </c>
      <c r="B517" s="55" t="n">
        <v>1533</v>
      </c>
      <c r="C517" s="56" t="n">
        <v>46307.8410278009</v>
      </c>
      <c r="D517" s="55" t="n">
        <v>20</v>
      </c>
      <c r="E517" s="54" t="s">
        <v>214</v>
      </c>
      <c r="F517" s="54" t="s">
        <v>859</v>
      </c>
      <c r="G517" s="54" t="s">
        <v>860</v>
      </c>
      <c r="H517" s="54" t="s">
        <v>861</v>
      </c>
      <c r="I517" s="54" t="s">
        <v>347</v>
      </c>
      <c r="J517" s="54" t="s">
        <v>862</v>
      </c>
      <c r="K517" s="58" t="n">
        <v>72</v>
      </c>
      <c r="L517" s="54" t="s">
        <v>863</v>
      </c>
      <c r="M517" s="54" t="s">
        <v>212</v>
      </c>
      <c r="N517" s="54" t="s">
        <v>214</v>
      </c>
      <c r="O517" s="58" t="n">
        <v>694.3</v>
      </c>
      <c r="P517" s="54" t="s">
        <v>214</v>
      </c>
      <c r="Q517" s="58" t="n">
        <v>812.6</v>
      </c>
    </row>
    <row r="518" customFormat="false" ht="15" hidden="false" customHeight="false" outlineLevel="0" collapsed="false">
      <c r="A518" s="54" t="s">
        <v>27</v>
      </c>
      <c r="B518" s="55" t="n">
        <v>1546</v>
      </c>
      <c r="C518" s="56" t="n">
        <v>46307.8559967477</v>
      </c>
      <c r="D518" s="55" t="n">
        <v>20</v>
      </c>
      <c r="E518" s="54" t="s">
        <v>214</v>
      </c>
      <c r="F518" s="54" t="s">
        <v>129</v>
      </c>
      <c r="G518" s="54" t="s">
        <v>118</v>
      </c>
      <c r="H518" s="54" t="s">
        <v>220</v>
      </c>
      <c r="I518" s="54" t="s">
        <v>477</v>
      </c>
      <c r="J518" s="54" t="s">
        <v>864</v>
      </c>
      <c r="K518" s="58" t="n">
        <v>110.8</v>
      </c>
      <c r="L518" s="54" t="s">
        <v>212</v>
      </c>
      <c r="M518" s="54" t="s">
        <v>214</v>
      </c>
      <c r="N518" s="54" t="s">
        <v>212</v>
      </c>
      <c r="O518" s="58"/>
      <c r="P518" s="54" t="s">
        <v>212</v>
      </c>
      <c r="Q518" s="58"/>
    </row>
    <row r="519" customFormat="false" ht="15" hidden="false" customHeight="false" outlineLevel="0" collapsed="false">
      <c r="A519" s="54" t="s">
        <v>27</v>
      </c>
      <c r="B519" s="55" t="n">
        <v>1532</v>
      </c>
      <c r="C519" s="56" t="n">
        <v>46307.8606410417</v>
      </c>
      <c r="D519" s="55" t="n">
        <v>20</v>
      </c>
      <c r="E519" s="54" t="s">
        <v>214</v>
      </c>
      <c r="F519" s="54" t="s">
        <v>859</v>
      </c>
      <c r="G519" s="54" t="s">
        <v>860</v>
      </c>
      <c r="H519" s="54" t="s">
        <v>861</v>
      </c>
      <c r="I519" s="54" t="s">
        <v>347</v>
      </c>
      <c r="J519" s="54" t="s">
        <v>862</v>
      </c>
      <c r="K519" s="58" t="n">
        <v>72</v>
      </c>
      <c r="L519" s="54" t="s">
        <v>863</v>
      </c>
      <c r="M519" s="54" t="s">
        <v>212</v>
      </c>
      <c r="N519" s="54" t="s">
        <v>212</v>
      </c>
      <c r="O519" s="58"/>
      <c r="P519" s="54" t="s">
        <v>214</v>
      </c>
      <c r="Q519" s="58" t="n">
        <v>792.9</v>
      </c>
    </row>
    <row r="520" customFormat="false" ht="15" hidden="false" customHeight="false" outlineLevel="0" collapsed="false">
      <c r="A520" s="54" t="s">
        <v>27</v>
      </c>
      <c r="B520" s="55" t="n">
        <v>1534</v>
      </c>
      <c r="C520" s="56" t="n">
        <v>46307.8649068171</v>
      </c>
      <c r="D520" s="55" t="n">
        <v>20</v>
      </c>
      <c r="E520" s="54" t="s">
        <v>214</v>
      </c>
      <c r="F520" s="54" t="s">
        <v>859</v>
      </c>
      <c r="G520" s="54" t="s">
        <v>860</v>
      </c>
      <c r="H520" s="54" t="s">
        <v>861</v>
      </c>
      <c r="I520" s="54" t="s">
        <v>347</v>
      </c>
      <c r="J520" s="54" t="s">
        <v>862</v>
      </c>
      <c r="K520" s="58" t="n">
        <v>72</v>
      </c>
      <c r="L520" s="54" t="s">
        <v>863</v>
      </c>
      <c r="M520" s="54" t="s">
        <v>212</v>
      </c>
      <c r="N520" s="54" t="s">
        <v>212</v>
      </c>
      <c r="O520" s="58"/>
      <c r="P520" s="54" t="s">
        <v>212</v>
      </c>
      <c r="Q520" s="58"/>
    </row>
    <row r="521" customFormat="false" ht="15" hidden="false" customHeight="false" outlineLevel="0" collapsed="false">
      <c r="A521" s="54" t="s">
        <v>27</v>
      </c>
      <c r="B521" s="55" t="n">
        <v>1567</v>
      </c>
      <c r="C521" s="56" t="n">
        <v>46307.8801671528</v>
      </c>
      <c r="D521" s="55" t="n">
        <v>21</v>
      </c>
      <c r="E521" s="54" t="s">
        <v>214</v>
      </c>
      <c r="F521" s="54" t="s">
        <v>128</v>
      </c>
      <c r="G521" s="54" t="s">
        <v>118</v>
      </c>
      <c r="H521" s="54" t="s">
        <v>220</v>
      </c>
      <c r="I521" s="54" t="s">
        <v>477</v>
      </c>
      <c r="J521" s="54" t="s">
        <v>864</v>
      </c>
      <c r="K521" s="58" t="n">
        <v>79.4</v>
      </c>
      <c r="L521" s="54" t="s">
        <v>212</v>
      </c>
      <c r="M521" s="54" t="s">
        <v>214</v>
      </c>
      <c r="N521" s="54" t="s">
        <v>212</v>
      </c>
      <c r="O521" s="58"/>
      <c r="P521" s="54" t="s">
        <v>212</v>
      </c>
      <c r="Q521" s="58"/>
    </row>
    <row r="522" customFormat="false" ht="15" hidden="false" customHeight="false" outlineLevel="0" collapsed="false">
      <c r="A522" s="54" t="s">
        <v>27</v>
      </c>
      <c r="B522" s="55" t="n">
        <v>1586</v>
      </c>
      <c r="C522" s="56" t="n">
        <v>46308.2992216782</v>
      </c>
      <c r="D522" s="55" t="n">
        <v>7</v>
      </c>
      <c r="E522" s="54" t="s">
        <v>212</v>
      </c>
      <c r="F522" s="54" t="s">
        <v>127</v>
      </c>
      <c r="G522" s="54" t="s">
        <v>118</v>
      </c>
      <c r="H522" s="54" t="s">
        <v>220</v>
      </c>
      <c r="I522" s="54" t="s">
        <v>347</v>
      </c>
      <c r="J522" s="54" t="s">
        <v>862</v>
      </c>
      <c r="K522" s="58" t="n">
        <v>112.6</v>
      </c>
      <c r="L522" s="54" t="s">
        <v>212</v>
      </c>
      <c r="M522" s="54" t="s">
        <v>214</v>
      </c>
      <c r="N522" s="54" t="s">
        <v>214</v>
      </c>
      <c r="O522" s="58" t="n">
        <v>16.7</v>
      </c>
      <c r="P522" s="54" t="s">
        <v>212</v>
      </c>
      <c r="Q522" s="58"/>
    </row>
    <row r="523" customFormat="false" ht="15" hidden="false" customHeight="false" outlineLevel="0" collapsed="false">
      <c r="A523" s="54" t="s">
        <v>27</v>
      </c>
      <c r="B523" s="55" t="n">
        <v>1551</v>
      </c>
      <c r="C523" s="56" t="n">
        <v>46308.3750265972</v>
      </c>
      <c r="D523" s="55" t="n">
        <v>9</v>
      </c>
      <c r="E523" s="54" t="s">
        <v>214</v>
      </c>
      <c r="F523" s="54" t="s">
        <v>859</v>
      </c>
      <c r="G523" s="54" t="s">
        <v>860</v>
      </c>
      <c r="H523" s="54" t="s">
        <v>861</v>
      </c>
      <c r="I523" s="54" t="s">
        <v>347</v>
      </c>
      <c r="J523" s="54" t="s">
        <v>862</v>
      </c>
      <c r="K523" s="58" t="n">
        <v>72</v>
      </c>
      <c r="L523" s="54" t="s">
        <v>863</v>
      </c>
      <c r="M523" s="54" t="s">
        <v>212</v>
      </c>
      <c r="N523" s="54" t="s">
        <v>212</v>
      </c>
      <c r="O523" s="58"/>
      <c r="P523" s="54" t="s">
        <v>212</v>
      </c>
      <c r="Q523" s="58"/>
    </row>
    <row r="524" customFormat="false" ht="15" hidden="false" customHeight="false" outlineLevel="0" collapsed="false">
      <c r="A524" s="54" t="s">
        <v>27</v>
      </c>
      <c r="B524" s="55" t="n">
        <v>1546</v>
      </c>
      <c r="C524" s="56" t="n">
        <v>46308.3750876389</v>
      </c>
      <c r="D524" s="55" t="n">
        <v>9</v>
      </c>
      <c r="E524" s="54" t="s">
        <v>214</v>
      </c>
      <c r="F524" s="54" t="s">
        <v>859</v>
      </c>
      <c r="G524" s="54" t="s">
        <v>860</v>
      </c>
      <c r="H524" s="54" t="s">
        <v>861</v>
      </c>
      <c r="I524" s="54" t="s">
        <v>347</v>
      </c>
      <c r="J524" s="54" t="s">
        <v>862</v>
      </c>
      <c r="K524" s="58" t="n">
        <v>72</v>
      </c>
      <c r="L524" s="54" t="s">
        <v>863</v>
      </c>
      <c r="M524" s="54" t="s">
        <v>212</v>
      </c>
      <c r="N524" s="54" t="s">
        <v>212</v>
      </c>
      <c r="O524" s="58"/>
      <c r="P524" s="54" t="s">
        <v>212</v>
      </c>
      <c r="Q524" s="58"/>
    </row>
    <row r="525" customFormat="false" ht="15" hidden="false" customHeight="false" outlineLevel="0" collapsed="false">
      <c r="A525" s="54" t="s">
        <v>27</v>
      </c>
      <c r="B525" s="55" t="n">
        <v>1591</v>
      </c>
      <c r="C525" s="56" t="n">
        <v>46308.3751683796</v>
      </c>
      <c r="D525" s="55" t="n">
        <v>9</v>
      </c>
      <c r="E525" s="54" t="s">
        <v>214</v>
      </c>
      <c r="F525" s="54" t="s">
        <v>859</v>
      </c>
      <c r="G525" s="54" t="s">
        <v>860</v>
      </c>
      <c r="H525" s="54" t="s">
        <v>861</v>
      </c>
      <c r="I525" s="54" t="s">
        <v>347</v>
      </c>
      <c r="J525" s="54" t="s">
        <v>862</v>
      </c>
      <c r="K525" s="58" t="n">
        <v>72</v>
      </c>
      <c r="L525" s="54" t="s">
        <v>863</v>
      </c>
      <c r="M525" s="54" t="s">
        <v>212</v>
      </c>
      <c r="N525" s="54" t="s">
        <v>212</v>
      </c>
      <c r="O525" s="58"/>
      <c r="P525" s="54" t="s">
        <v>214</v>
      </c>
      <c r="Q525" s="58" t="n">
        <v>181.1</v>
      </c>
    </row>
    <row r="526" customFormat="false" ht="15" hidden="false" customHeight="false" outlineLevel="0" collapsed="false">
      <c r="A526" s="54" t="s">
        <v>27</v>
      </c>
      <c r="B526" s="55" t="n">
        <v>1567</v>
      </c>
      <c r="C526" s="56" t="n">
        <v>46308.3752161806</v>
      </c>
      <c r="D526" s="55" t="n">
        <v>9</v>
      </c>
      <c r="E526" s="54" t="s">
        <v>214</v>
      </c>
      <c r="F526" s="54" t="s">
        <v>859</v>
      </c>
      <c r="G526" s="54" t="s">
        <v>860</v>
      </c>
      <c r="H526" s="54" t="s">
        <v>861</v>
      </c>
      <c r="I526" s="54" t="s">
        <v>347</v>
      </c>
      <c r="J526" s="54" t="s">
        <v>862</v>
      </c>
      <c r="K526" s="58" t="n">
        <v>72</v>
      </c>
      <c r="L526" s="54" t="s">
        <v>863</v>
      </c>
      <c r="M526" s="54" t="s">
        <v>212</v>
      </c>
      <c r="N526" s="54" t="s">
        <v>212</v>
      </c>
      <c r="O526" s="58"/>
      <c r="P526" s="54" t="s">
        <v>212</v>
      </c>
      <c r="Q526" s="58"/>
    </row>
    <row r="527" customFormat="false" ht="15" hidden="false" customHeight="false" outlineLevel="0" collapsed="false">
      <c r="A527" s="54" t="s">
        <v>27</v>
      </c>
      <c r="B527" s="55" t="n">
        <v>1550</v>
      </c>
      <c r="C527" s="56" t="n">
        <v>46308.3752252199</v>
      </c>
      <c r="D527" s="55" t="n">
        <v>9</v>
      </c>
      <c r="E527" s="54" t="s">
        <v>214</v>
      </c>
      <c r="F527" s="54" t="s">
        <v>859</v>
      </c>
      <c r="G527" s="54" t="s">
        <v>860</v>
      </c>
      <c r="H527" s="54" t="s">
        <v>861</v>
      </c>
      <c r="I527" s="54" t="s">
        <v>347</v>
      </c>
      <c r="J527" s="54" t="s">
        <v>862</v>
      </c>
      <c r="K527" s="58" t="n">
        <v>72</v>
      </c>
      <c r="L527" s="54" t="s">
        <v>863</v>
      </c>
      <c r="M527" s="54" t="s">
        <v>212</v>
      </c>
      <c r="N527" s="54" t="s">
        <v>214</v>
      </c>
      <c r="O527" s="58" t="n">
        <v>1586.7</v>
      </c>
      <c r="P527" s="54" t="s">
        <v>212</v>
      </c>
      <c r="Q527" s="58"/>
    </row>
    <row r="528" customFormat="false" ht="15" hidden="false" customHeight="false" outlineLevel="0" collapsed="false">
      <c r="A528" s="54" t="s">
        <v>27</v>
      </c>
      <c r="B528" s="55" t="n">
        <v>1588</v>
      </c>
      <c r="C528" s="56" t="n">
        <v>46308.3752470023</v>
      </c>
      <c r="D528" s="55" t="n">
        <v>9</v>
      </c>
      <c r="E528" s="54" t="s">
        <v>214</v>
      </c>
      <c r="F528" s="54" t="s">
        <v>859</v>
      </c>
      <c r="G528" s="54" t="s">
        <v>860</v>
      </c>
      <c r="H528" s="54" t="s">
        <v>861</v>
      </c>
      <c r="I528" s="54" t="s">
        <v>347</v>
      </c>
      <c r="J528" s="54" t="s">
        <v>862</v>
      </c>
      <c r="K528" s="58" t="n">
        <v>72</v>
      </c>
      <c r="L528" s="54" t="s">
        <v>863</v>
      </c>
      <c r="M528" s="54" t="s">
        <v>212</v>
      </c>
      <c r="N528" s="54" t="s">
        <v>212</v>
      </c>
      <c r="O528" s="58"/>
      <c r="P528" s="54" t="s">
        <v>212</v>
      </c>
      <c r="Q528" s="58"/>
    </row>
    <row r="529" customFormat="false" ht="15" hidden="false" customHeight="false" outlineLevel="0" collapsed="false">
      <c r="A529" s="54" t="s">
        <v>27</v>
      </c>
      <c r="B529" s="55" t="n">
        <v>1571</v>
      </c>
      <c r="C529" s="56" t="n">
        <v>46308.3753042361</v>
      </c>
      <c r="D529" s="55" t="n">
        <v>9</v>
      </c>
      <c r="E529" s="54" t="s">
        <v>214</v>
      </c>
      <c r="F529" s="54" t="s">
        <v>859</v>
      </c>
      <c r="G529" s="54" t="s">
        <v>860</v>
      </c>
      <c r="H529" s="54" t="s">
        <v>861</v>
      </c>
      <c r="I529" s="54" t="s">
        <v>347</v>
      </c>
      <c r="J529" s="54" t="s">
        <v>862</v>
      </c>
      <c r="K529" s="58" t="n">
        <v>72</v>
      </c>
      <c r="L529" s="54" t="s">
        <v>863</v>
      </c>
      <c r="M529" s="54" t="s">
        <v>212</v>
      </c>
      <c r="N529" s="54" t="s">
        <v>214</v>
      </c>
      <c r="O529" s="58" t="n">
        <v>1470.6</v>
      </c>
      <c r="P529" s="54" t="s">
        <v>212</v>
      </c>
      <c r="Q529" s="58"/>
    </row>
    <row r="530" customFormat="false" ht="15" hidden="false" customHeight="false" outlineLevel="0" collapsed="false">
      <c r="A530" s="54" t="s">
        <v>27</v>
      </c>
      <c r="B530" s="55" t="n">
        <v>1553</v>
      </c>
      <c r="C530" s="56" t="n">
        <v>46308.3753120718</v>
      </c>
      <c r="D530" s="55" t="n">
        <v>9</v>
      </c>
      <c r="E530" s="54" t="s">
        <v>214</v>
      </c>
      <c r="F530" s="54" t="s">
        <v>859</v>
      </c>
      <c r="G530" s="54" t="s">
        <v>860</v>
      </c>
      <c r="H530" s="54" t="s">
        <v>861</v>
      </c>
      <c r="I530" s="54" t="s">
        <v>347</v>
      </c>
      <c r="J530" s="54" t="s">
        <v>862</v>
      </c>
      <c r="K530" s="58" t="n">
        <v>72</v>
      </c>
      <c r="L530" s="54" t="s">
        <v>863</v>
      </c>
      <c r="M530" s="54" t="s">
        <v>212</v>
      </c>
      <c r="N530" s="54" t="s">
        <v>212</v>
      </c>
      <c r="O530" s="58"/>
      <c r="P530" s="54" t="s">
        <v>212</v>
      </c>
      <c r="Q530" s="58"/>
    </row>
    <row r="531" customFormat="false" ht="15" hidden="false" customHeight="false" outlineLevel="0" collapsed="false">
      <c r="A531" s="54" t="s">
        <v>27</v>
      </c>
      <c r="B531" s="55" t="n">
        <v>1599</v>
      </c>
      <c r="C531" s="56" t="n">
        <v>46308.3755122569</v>
      </c>
      <c r="D531" s="55" t="n">
        <v>9</v>
      </c>
      <c r="E531" s="54" t="s">
        <v>214</v>
      </c>
      <c r="F531" s="54" t="s">
        <v>859</v>
      </c>
      <c r="G531" s="54" t="s">
        <v>860</v>
      </c>
      <c r="H531" s="54" t="s">
        <v>861</v>
      </c>
      <c r="I531" s="54" t="s">
        <v>347</v>
      </c>
      <c r="J531" s="54" t="s">
        <v>862</v>
      </c>
      <c r="K531" s="58" t="n">
        <v>72</v>
      </c>
      <c r="L531" s="54" t="s">
        <v>863</v>
      </c>
      <c r="M531" s="54" t="s">
        <v>212</v>
      </c>
      <c r="N531" s="54" t="s">
        <v>212</v>
      </c>
      <c r="O531" s="58"/>
      <c r="P531" s="54" t="s">
        <v>212</v>
      </c>
      <c r="Q531" s="58"/>
    </row>
    <row r="532" customFormat="false" ht="15" hidden="false" customHeight="false" outlineLevel="0" collapsed="false">
      <c r="A532" s="54" t="s">
        <v>27</v>
      </c>
      <c r="B532" s="55" t="n">
        <v>1529</v>
      </c>
      <c r="C532" s="56" t="n">
        <v>46308.3756393519</v>
      </c>
      <c r="D532" s="55" t="n">
        <v>9</v>
      </c>
      <c r="E532" s="54" t="s">
        <v>214</v>
      </c>
      <c r="F532" s="54" t="s">
        <v>859</v>
      </c>
      <c r="G532" s="54" t="s">
        <v>860</v>
      </c>
      <c r="H532" s="54" t="s">
        <v>861</v>
      </c>
      <c r="I532" s="54" t="s">
        <v>347</v>
      </c>
      <c r="J532" s="54" t="s">
        <v>862</v>
      </c>
      <c r="K532" s="58" t="n">
        <v>72</v>
      </c>
      <c r="L532" s="54" t="s">
        <v>863</v>
      </c>
      <c r="M532" s="54" t="s">
        <v>212</v>
      </c>
      <c r="N532" s="54" t="s">
        <v>214</v>
      </c>
      <c r="O532" s="58" t="n">
        <v>6.2</v>
      </c>
      <c r="P532" s="54" t="s">
        <v>212</v>
      </c>
      <c r="Q532" s="58"/>
    </row>
    <row r="533" customFormat="false" ht="15" hidden="false" customHeight="false" outlineLevel="0" collapsed="false">
      <c r="A533" s="54" t="s">
        <v>27</v>
      </c>
      <c r="B533" s="55" t="n">
        <v>1597</v>
      </c>
      <c r="C533" s="56" t="n">
        <v>46308.3916657986</v>
      </c>
      <c r="D533" s="55" t="n">
        <v>9</v>
      </c>
      <c r="E533" s="54" t="s">
        <v>214</v>
      </c>
      <c r="F533" s="54" t="s">
        <v>859</v>
      </c>
      <c r="G533" s="54" t="s">
        <v>860</v>
      </c>
      <c r="H533" s="54" t="s">
        <v>861</v>
      </c>
      <c r="I533" s="54" t="s">
        <v>347</v>
      </c>
      <c r="J533" s="54" t="s">
        <v>862</v>
      </c>
      <c r="K533" s="58" t="n">
        <v>72</v>
      </c>
      <c r="L533" s="54" t="s">
        <v>863</v>
      </c>
      <c r="M533" s="54" t="s">
        <v>212</v>
      </c>
      <c r="N533" s="54" t="s">
        <v>212</v>
      </c>
      <c r="O533" s="58"/>
      <c r="P533" s="54" t="s">
        <v>212</v>
      </c>
      <c r="Q533" s="58"/>
    </row>
    <row r="534" customFormat="false" ht="15" hidden="false" customHeight="false" outlineLevel="0" collapsed="false">
      <c r="A534" s="54" t="s">
        <v>27</v>
      </c>
      <c r="B534" s="55" t="n">
        <v>1608</v>
      </c>
      <c r="C534" s="56" t="n">
        <v>46308.4136100232</v>
      </c>
      <c r="D534" s="55" t="n">
        <v>9</v>
      </c>
      <c r="E534" s="54" t="s">
        <v>214</v>
      </c>
      <c r="F534" s="54" t="s">
        <v>859</v>
      </c>
      <c r="G534" s="54" t="s">
        <v>860</v>
      </c>
      <c r="H534" s="54" t="s">
        <v>861</v>
      </c>
      <c r="I534" s="54" t="s">
        <v>347</v>
      </c>
      <c r="J534" s="54" t="s">
        <v>862</v>
      </c>
      <c r="K534" s="58" t="n">
        <v>72</v>
      </c>
      <c r="L534" s="54" t="s">
        <v>863</v>
      </c>
      <c r="M534" s="54" t="s">
        <v>212</v>
      </c>
      <c r="N534" s="54" t="s">
        <v>214</v>
      </c>
      <c r="O534" s="58" t="n">
        <v>129.2</v>
      </c>
      <c r="P534" s="54" t="s">
        <v>212</v>
      </c>
      <c r="Q534" s="58"/>
    </row>
    <row r="535" customFormat="false" ht="15" hidden="false" customHeight="false" outlineLevel="0" collapsed="false">
      <c r="A535" s="54" t="s">
        <v>27</v>
      </c>
      <c r="B535" s="55" t="n">
        <v>1586</v>
      </c>
      <c r="C535" s="56" t="n">
        <v>46308.4763383102</v>
      </c>
      <c r="D535" s="55" t="n">
        <v>11</v>
      </c>
      <c r="E535" s="54" t="s">
        <v>214</v>
      </c>
      <c r="F535" s="54" t="s">
        <v>859</v>
      </c>
      <c r="G535" s="54" t="s">
        <v>860</v>
      </c>
      <c r="H535" s="54" t="s">
        <v>861</v>
      </c>
      <c r="I535" s="54" t="s">
        <v>347</v>
      </c>
      <c r="J535" s="54" t="s">
        <v>862</v>
      </c>
      <c r="K535" s="58" t="n">
        <v>72</v>
      </c>
      <c r="L535" s="54" t="s">
        <v>863</v>
      </c>
      <c r="M535" s="54" t="s">
        <v>212</v>
      </c>
      <c r="N535" s="54" t="s">
        <v>214</v>
      </c>
      <c r="O535" s="58" t="n">
        <v>14.3</v>
      </c>
      <c r="P535" s="54" t="s">
        <v>212</v>
      </c>
      <c r="Q535" s="58"/>
    </row>
    <row r="536" customFormat="false" ht="15" hidden="false" customHeight="false" outlineLevel="0" collapsed="false">
      <c r="A536" s="54" t="s">
        <v>27</v>
      </c>
      <c r="B536" s="55" t="n">
        <v>1628</v>
      </c>
      <c r="C536" s="56" t="n">
        <v>46308.5004378009</v>
      </c>
      <c r="D536" s="55" t="n">
        <v>12</v>
      </c>
      <c r="E536" s="54" t="s">
        <v>214</v>
      </c>
      <c r="F536" s="54" t="s">
        <v>859</v>
      </c>
      <c r="G536" s="54" t="s">
        <v>860</v>
      </c>
      <c r="H536" s="54" t="s">
        <v>861</v>
      </c>
      <c r="I536" s="54" t="s">
        <v>347</v>
      </c>
      <c r="J536" s="54" t="s">
        <v>862</v>
      </c>
      <c r="K536" s="58" t="n">
        <v>72</v>
      </c>
      <c r="L536" s="54" t="s">
        <v>863</v>
      </c>
      <c r="M536" s="54" t="s">
        <v>212</v>
      </c>
      <c r="N536" s="54" t="s">
        <v>214</v>
      </c>
      <c r="O536" s="58" t="n">
        <v>236.3</v>
      </c>
      <c r="P536" s="54" t="s">
        <v>212</v>
      </c>
      <c r="Q536" s="58"/>
    </row>
    <row r="537" customFormat="false" ht="15" hidden="false" customHeight="false" outlineLevel="0" collapsed="false">
      <c r="A537" s="54" t="s">
        <v>27</v>
      </c>
      <c r="B537" s="55" t="n">
        <v>1532</v>
      </c>
      <c r="C537" s="56" t="n">
        <v>46308.5028198148</v>
      </c>
      <c r="D537" s="55" t="n">
        <v>12</v>
      </c>
      <c r="E537" s="54" t="s">
        <v>214</v>
      </c>
      <c r="F537" s="54" t="s">
        <v>127</v>
      </c>
      <c r="G537" s="54" t="s">
        <v>118</v>
      </c>
      <c r="H537" s="54" t="s">
        <v>220</v>
      </c>
      <c r="I537" s="54" t="s">
        <v>347</v>
      </c>
      <c r="J537" s="54" t="s">
        <v>862</v>
      </c>
      <c r="K537" s="58" t="n">
        <v>57</v>
      </c>
      <c r="L537" s="54" t="s">
        <v>214</v>
      </c>
      <c r="M537" s="54" t="s">
        <v>214</v>
      </c>
      <c r="N537" s="54" t="s">
        <v>212</v>
      </c>
      <c r="O537" s="58"/>
      <c r="P537" s="54" t="s">
        <v>212</v>
      </c>
      <c r="Q537" s="58"/>
    </row>
    <row r="538" customFormat="false" ht="15" hidden="false" customHeight="false" outlineLevel="0" collapsed="false">
      <c r="A538" s="54" t="s">
        <v>27</v>
      </c>
      <c r="B538" s="55" t="n">
        <v>1623</v>
      </c>
      <c r="C538" s="56" t="n">
        <v>46308.5106995486</v>
      </c>
      <c r="D538" s="55" t="n">
        <v>12</v>
      </c>
      <c r="E538" s="54" t="s">
        <v>214</v>
      </c>
      <c r="F538" s="54" t="s">
        <v>859</v>
      </c>
      <c r="G538" s="54" t="s">
        <v>860</v>
      </c>
      <c r="H538" s="54" t="s">
        <v>861</v>
      </c>
      <c r="I538" s="54" t="s">
        <v>347</v>
      </c>
      <c r="J538" s="54" t="s">
        <v>862</v>
      </c>
      <c r="K538" s="58" t="n">
        <v>72</v>
      </c>
      <c r="L538" s="54" t="s">
        <v>863</v>
      </c>
      <c r="M538" s="54" t="s">
        <v>212</v>
      </c>
      <c r="N538" s="54" t="s">
        <v>214</v>
      </c>
      <c r="O538" s="58" t="n">
        <v>126</v>
      </c>
      <c r="P538" s="54" t="s">
        <v>212</v>
      </c>
      <c r="Q538" s="58"/>
    </row>
    <row r="539" customFormat="false" ht="15" hidden="false" customHeight="false" outlineLevel="0" collapsed="false">
      <c r="A539" s="54" t="s">
        <v>27</v>
      </c>
      <c r="B539" s="55" t="n">
        <v>1625</v>
      </c>
      <c r="C539" s="56" t="n">
        <v>46308.5141677662</v>
      </c>
      <c r="D539" s="55" t="n">
        <v>12</v>
      </c>
      <c r="E539" s="54" t="s">
        <v>214</v>
      </c>
      <c r="F539" s="54" t="s">
        <v>859</v>
      </c>
      <c r="G539" s="54" t="s">
        <v>860</v>
      </c>
      <c r="H539" s="54" t="s">
        <v>861</v>
      </c>
      <c r="I539" s="54" t="s">
        <v>347</v>
      </c>
      <c r="J539" s="54" t="s">
        <v>862</v>
      </c>
      <c r="K539" s="58" t="n">
        <v>72</v>
      </c>
      <c r="L539" s="54" t="s">
        <v>863</v>
      </c>
      <c r="M539" s="54" t="s">
        <v>212</v>
      </c>
      <c r="N539" s="54" t="s">
        <v>212</v>
      </c>
      <c r="O539" s="58"/>
      <c r="P539" s="54" t="s">
        <v>212</v>
      </c>
      <c r="Q539" s="58"/>
    </row>
    <row r="540" customFormat="false" ht="15" hidden="false" customHeight="false" outlineLevel="0" collapsed="false">
      <c r="A540" s="54" t="s">
        <v>27</v>
      </c>
      <c r="B540" s="55" t="n">
        <v>1632</v>
      </c>
      <c r="C540" s="56" t="n">
        <v>46308.5205477315</v>
      </c>
      <c r="D540" s="55" t="n">
        <v>12</v>
      </c>
      <c r="E540" s="54" t="s">
        <v>214</v>
      </c>
      <c r="F540" s="54" t="s">
        <v>859</v>
      </c>
      <c r="G540" s="54" t="s">
        <v>860</v>
      </c>
      <c r="H540" s="54" t="s">
        <v>861</v>
      </c>
      <c r="I540" s="54" t="s">
        <v>347</v>
      </c>
      <c r="J540" s="54" t="s">
        <v>862</v>
      </c>
      <c r="K540" s="58" t="n">
        <v>72</v>
      </c>
      <c r="L540" s="54" t="s">
        <v>863</v>
      </c>
      <c r="M540" s="54" t="s">
        <v>212</v>
      </c>
      <c r="N540" s="54" t="s">
        <v>212</v>
      </c>
      <c r="O540" s="58"/>
      <c r="P540" s="54" t="s">
        <v>212</v>
      </c>
      <c r="Q540" s="58"/>
    </row>
    <row r="541" customFormat="false" ht="15" hidden="false" customHeight="false" outlineLevel="0" collapsed="false">
      <c r="A541" s="54" t="s">
        <v>27</v>
      </c>
      <c r="B541" s="55" t="n">
        <v>1651</v>
      </c>
      <c r="C541" s="56" t="n">
        <v>46308.5285004282</v>
      </c>
      <c r="D541" s="55" t="n">
        <v>12</v>
      </c>
      <c r="E541" s="54" t="s">
        <v>214</v>
      </c>
      <c r="F541" s="54" t="s">
        <v>127</v>
      </c>
      <c r="G541" s="54" t="s">
        <v>118</v>
      </c>
      <c r="H541" s="54" t="s">
        <v>220</v>
      </c>
      <c r="I541" s="54" t="s">
        <v>477</v>
      </c>
      <c r="J541" s="54" t="s">
        <v>864</v>
      </c>
      <c r="K541" s="58" t="n">
        <v>117.1</v>
      </c>
      <c r="L541" s="54" t="s">
        <v>212</v>
      </c>
      <c r="M541" s="54" t="s">
        <v>214</v>
      </c>
      <c r="N541" s="54" t="s">
        <v>212</v>
      </c>
      <c r="O541" s="58"/>
      <c r="P541" s="54" t="s">
        <v>214</v>
      </c>
      <c r="Q541" s="58" t="n">
        <v>17.7</v>
      </c>
    </row>
    <row r="542" customFormat="false" ht="15" hidden="false" customHeight="false" outlineLevel="0" collapsed="false">
      <c r="A542" s="54" t="s">
        <v>27</v>
      </c>
      <c r="B542" s="55" t="n">
        <v>1630</v>
      </c>
      <c r="C542" s="56" t="n">
        <v>46308.5328471296</v>
      </c>
      <c r="D542" s="55" t="n">
        <v>12</v>
      </c>
      <c r="E542" s="54" t="s">
        <v>214</v>
      </c>
      <c r="F542" s="54" t="s">
        <v>859</v>
      </c>
      <c r="G542" s="54" t="s">
        <v>860</v>
      </c>
      <c r="H542" s="54" t="s">
        <v>861</v>
      </c>
      <c r="I542" s="54" t="s">
        <v>347</v>
      </c>
      <c r="J542" s="54" t="s">
        <v>862</v>
      </c>
      <c r="K542" s="58" t="n">
        <v>72</v>
      </c>
      <c r="L542" s="54" t="s">
        <v>863</v>
      </c>
      <c r="M542" s="54" t="s">
        <v>212</v>
      </c>
      <c r="N542" s="54" t="s">
        <v>214</v>
      </c>
      <c r="O542" s="58" t="n">
        <v>30.5</v>
      </c>
      <c r="P542" s="54" t="s">
        <v>212</v>
      </c>
      <c r="Q542" s="58"/>
    </row>
    <row r="543" customFormat="false" ht="15" hidden="false" customHeight="false" outlineLevel="0" collapsed="false">
      <c r="A543" s="54" t="s">
        <v>27</v>
      </c>
      <c r="B543" s="55" t="n">
        <v>1633</v>
      </c>
      <c r="C543" s="56" t="n">
        <v>46308.5425240394</v>
      </c>
      <c r="D543" s="55" t="n">
        <v>13</v>
      </c>
      <c r="E543" s="54" t="s">
        <v>214</v>
      </c>
      <c r="F543" s="54" t="s">
        <v>859</v>
      </c>
      <c r="G543" s="54" t="s">
        <v>860</v>
      </c>
      <c r="H543" s="54" t="s">
        <v>861</v>
      </c>
      <c r="I543" s="54" t="s">
        <v>347</v>
      </c>
      <c r="J543" s="54" t="s">
        <v>862</v>
      </c>
      <c r="K543" s="58" t="n">
        <v>72</v>
      </c>
      <c r="L543" s="54" t="s">
        <v>863</v>
      </c>
      <c r="M543" s="54" t="s">
        <v>212</v>
      </c>
      <c r="N543" s="54" t="s">
        <v>212</v>
      </c>
      <c r="O543" s="58"/>
      <c r="P543" s="54" t="s">
        <v>212</v>
      </c>
      <c r="Q543" s="58"/>
    </row>
    <row r="544" customFormat="false" ht="15" hidden="false" customHeight="false" outlineLevel="0" collapsed="false">
      <c r="A544" s="54" t="s">
        <v>27</v>
      </c>
      <c r="B544" s="55" t="n">
        <v>1635</v>
      </c>
      <c r="C544" s="56" t="n">
        <v>46308.5482638079</v>
      </c>
      <c r="D544" s="55" t="n">
        <v>13</v>
      </c>
      <c r="E544" s="54" t="s">
        <v>214</v>
      </c>
      <c r="F544" s="54" t="s">
        <v>859</v>
      </c>
      <c r="G544" s="54" t="s">
        <v>860</v>
      </c>
      <c r="H544" s="54" t="s">
        <v>861</v>
      </c>
      <c r="I544" s="54" t="s">
        <v>347</v>
      </c>
      <c r="J544" s="54" t="s">
        <v>862</v>
      </c>
      <c r="K544" s="58" t="n">
        <v>72</v>
      </c>
      <c r="L544" s="54" t="s">
        <v>863</v>
      </c>
      <c r="M544" s="54" t="s">
        <v>212</v>
      </c>
      <c r="N544" s="54" t="s">
        <v>212</v>
      </c>
      <c r="O544" s="58"/>
      <c r="P544" s="54" t="s">
        <v>214</v>
      </c>
      <c r="Q544" s="58" t="n">
        <v>55.2</v>
      </c>
    </row>
    <row r="545" customFormat="false" ht="15" hidden="false" customHeight="false" outlineLevel="0" collapsed="false">
      <c r="A545" s="54" t="s">
        <v>27</v>
      </c>
      <c r="B545" s="55" t="n">
        <v>1641</v>
      </c>
      <c r="C545" s="56" t="n">
        <v>46308.5566154745</v>
      </c>
      <c r="D545" s="55" t="n">
        <v>13</v>
      </c>
      <c r="E545" s="54" t="s">
        <v>214</v>
      </c>
      <c r="F545" s="54" t="s">
        <v>859</v>
      </c>
      <c r="G545" s="54" t="s">
        <v>860</v>
      </c>
      <c r="H545" s="54" t="s">
        <v>861</v>
      </c>
      <c r="I545" s="54" t="s">
        <v>347</v>
      </c>
      <c r="J545" s="54" t="s">
        <v>862</v>
      </c>
      <c r="K545" s="58" t="n">
        <v>72</v>
      </c>
      <c r="L545" s="54" t="s">
        <v>863</v>
      </c>
      <c r="M545" s="54" t="s">
        <v>212</v>
      </c>
      <c r="N545" s="54" t="s">
        <v>212</v>
      </c>
      <c r="O545" s="58"/>
      <c r="P545" s="54" t="s">
        <v>212</v>
      </c>
      <c r="Q545" s="58"/>
    </row>
    <row r="546" customFormat="false" ht="15" hidden="false" customHeight="false" outlineLevel="0" collapsed="false">
      <c r="A546" s="54" t="s">
        <v>27</v>
      </c>
      <c r="B546" s="55" t="n">
        <v>1640</v>
      </c>
      <c r="C546" s="56" t="n">
        <v>46308.5651352778</v>
      </c>
      <c r="D546" s="55" t="n">
        <v>13</v>
      </c>
      <c r="E546" s="54" t="s">
        <v>214</v>
      </c>
      <c r="F546" s="54" t="s">
        <v>859</v>
      </c>
      <c r="G546" s="54" t="s">
        <v>860</v>
      </c>
      <c r="H546" s="54" t="s">
        <v>861</v>
      </c>
      <c r="I546" s="54" t="s">
        <v>347</v>
      </c>
      <c r="J546" s="54" t="s">
        <v>862</v>
      </c>
      <c r="K546" s="58" t="n">
        <v>72</v>
      </c>
      <c r="L546" s="54" t="s">
        <v>863</v>
      </c>
      <c r="M546" s="54" t="s">
        <v>212</v>
      </c>
      <c r="N546" s="54" t="s">
        <v>212</v>
      </c>
      <c r="O546" s="58"/>
      <c r="P546" s="54" t="s">
        <v>212</v>
      </c>
      <c r="Q546" s="58"/>
    </row>
    <row r="547" customFormat="false" ht="15" hidden="false" customHeight="false" outlineLevel="0" collapsed="false">
      <c r="A547" s="54" t="s">
        <v>27</v>
      </c>
      <c r="B547" s="55" t="n">
        <v>1661</v>
      </c>
      <c r="C547" s="56" t="n">
        <v>46308.5775090046</v>
      </c>
      <c r="D547" s="55" t="n">
        <v>13</v>
      </c>
      <c r="E547" s="54" t="s">
        <v>214</v>
      </c>
      <c r="F547" s="54" t="s">
        <v>129</v>
      </c>
      <c r="G547" s="54" t="s">
        <v>118</v>
      </c>
      <c r="H547" s="54" t="s">
        <v>220</v>
      </c>
      <c r="I547" s="54" t="s">
        <v>477</v>
      </c>
      <c r="J547" s="54" t="s">
        <v>864</v>
      </c>
      <c r="K547" s="58" t="n">
        <v>116.6</v>
      </c>
      <c r="L547" s="54" t="s">
        <v>212</v>
      </c>
      <c r="M547" s="54" t="s">
        <v>214</v>
      </c>
      <c r="N547" s="54" t="s">
        <v>214</v>
      </c>
      <c r="O547" s="58" t="n">
        <v>112.7</v>
      </c>
      <c r="P547" s="54" t="s">
        <v>214</v>
      </c>
      <c r="Q547" s="58" t="n">
        <v>391.2</v>
      </c>
    </row>
    <row r="548" customFormat="false" ht="15" hidden="false" customHeight="false" outlineLevel="0" collapsed="false">
      <c r="A548" s="54" t="s">
        <v>27</v>
      </c>
      <c r="B548" s="55" t="n">
        <v>1644</v>
      </c>
      <c r="C548" s="56" t="n">
        <v>46308.5816335185</v>
      </c>
      <c r="D548" s="55" t="n">
        <v>13</v>
      </c>
      <c r="E548" s="54" t="s">
        <v>214</v>
      </c>
      <c r="F548" s="54" t="s">
        <v>859</v>
      </c>
      <c r="G548" s="54" t="s">
        <v>860</v>
      </c>
      <c r="H548" s="54" t="s">
        <v>861</v>
      </c>
      <c r="I548" s="54" t="s">
        <v>347</v>
      </c>
      <c r="J548" s="54" t="s">
        <v>862</v>
      </c>
      <c r="K548" s="58" t="n">
        <v>72</v>
      </c>
      <c r="L548" s="54" t="s">
        <v>863</v>
      </c>
      <c r="M548" s="54" t="s">
        <v>212</v>
      </c>
      <c r="N548" s="54" t="s">
        <v>212</v>
      </c>
      <c r="O548" s="58"/>
      <c r="P548" s="54" t="s">
        <v>212</v>
      </c>
      <c r="Q548" s="58"/>
    </row>
    <row r="549" customFormat="false" ht="15" hidden="false" customHeight="false" outlineLevel="0" collapsed="false">
      <c r="A549" s="54" t="s">
        <v>27</v>
      </c>
      <c r="B549" s="55" t="n">
        <v>1551</v>
      </c>
      <c r="C549" s="56" t="n">
        <v>46308.6407350926</v>
      </c>
      <c r="D549" s="55" t="n">
        <v>15</v>
      </c>
      <c r="E549" s="54" t="s">
        <v>214</v>
      </c>
      <c r="F549" s="54" t="s">
        <v>128</v>
      </c>
      <c r="G549" s="54" t="s">
        <v>118</v>
      </c>
      <c r="H549" s="54" t="s">
        <v>220</v>
      </c>
      <c r="I549" s="54" t="s">
        <v>347</v>
      </c>
      <c r="J549" s="54" t="s">
        <v>862</v>
      </c>
      <c r="K549" s="58" t="n">
        <v>73.1</v>
      </c>
      <c r="L549" s="54" t="s">
        <v>212</v>
      </c>
      <c r="M549" s="54" t="s">
        <v>214</v>
      </c>
      <c r="N549" s="54" t="s">
        <v>212</v>
      </c>
      <c r="O549" s="58"/>
      <c r="P549" s="54" t="s">
        <v>212</v>
      </c>
      <c r="Q549" s="58"/>
    </row>
    <row r="550" customFormat="false" ht="15" hidden="false" customHeight="false" outlineLevel="0" collapsed="false">
      <c r="A550" s="54" t="s">
        <v>27</v>
      </c>
      <c r="B550" s="55" t="n">
        <v>1677</v>
      </c>
      <c r="C550" s="56" t="n">
        <v>46308.6527750694</v>
      </c>
      <c r="D550" s="55" t="n">
        <v>15</v>
      </c>
      <c r="E550" s="54" t="s">
        <v>214</v>
      </c>
      <c r="F550" s="54" t="s">
        <v>127</v>
      </c>
      <c r="G550" s="54" t="s">
        <v>118</v>
      </c>
      <c r="H550" s="54" t="s">
        <v>220</v>
      </c>
      <c r="I550" s="54" t="s">
        <v>477</v>
      </c>
      <c r="J550" s="54" t="s">
        <v>864</v>
      </c>
      <c r="K550" s="58" t="n">
        <v>108.1</v>
      </c>
      <c r="L550" s="54" t="s">
        <v>212</v>
      </c>
      <c r="M550" s="54" t="s">
        <v>214</v>
      </c>
      <c r="N550" s="54" t="s">
        <v>214</v>
      </c>
      <c r="O550" s="58" t="n">
        <v>11.5</v>
      </c>
      <c r="P550" s="54" t="s">
        <v>212</v>
      </c>
      <c r="Q550" s="58"/>
    </row>
    <row r="551" customFormat="false" ht="15" hidden="false" customHeight="false" outlineLevel="0" collapsed="false">
      <c r="A551" s="54" t="s">
        <v>27</v>
      </c>
      <c r="B551" s="55" t="n">
        <v>1682</v>
      </c>
      <c r="C551" s="56" t="n">
        <v>46308.6771580903</v>
      </c>
      <c r="D551" s="55" t="n">
        <v>16</v>
      </c>
      <c r="E551" s="54" t="s">
        <v>214</v>
      </c>
      <c r="F551" s="54" t="s">
        <v>127</v>
      </c>
      <c r="G551" s="54" t="s">
        <v>118</v>
      </c>
      <c r="H551" s="54" t="s">
        <v>220</v>
      </c>
      <c r="I551" s="54" t="s">
        <v>477</v>
      </c>
      <c r="J551" s="54" t="s">
        <v>864</v>
      </c>
      <c r="K551" s="58" t="n">
        <v>106.2</v>
      </c>
      <c r="L551" s="54" t="s">
        <v>212</v>
      </c>
      <c r="M551" s="54" t="s">
        <v>214</v>
      </c>
      <c r="N551" s="54" t="s">
        <v>214</v>
      </c>
      <c r="O551" s="58" t="n">
        <v>17.6</v>
      </c>
      <c r="P551" s="54" t="s">
        <v>214</v>
      </c>
      <c r="Q551" s="58" t="n">
        <v>17.9</v>
      </c>
    </row>
    <row r="552" customFormat="false" ht="15" hidden="false" customHeight="false" outlineLevel="0" collapsed="false">
      <c r="A552" s="54" t="s">
        <v>27</v>
      </c>
      <c r="B552" s="55" t="n">
        <v>1668</v>
      </c>
      <c r="C552" s="56" t="n">
        <v>46308.6960535069</v>
      </c>
      <c r="D552" s="55" t="n">
        <v>16</v>
      </c>
      <c r="E552" s="54" t="s">
        <v>214</v>
      </c>
      <c r="F552" s="54" t="s">
        <v>859</v>
      </c>
      <c r="G552" s="54" t="s">
        <v>860</v>
      </c>
      <c r="H552" s="54" t="s">
        <v>861</v>
      </c>
      <c r="I552" s="54" t="s">
        <v>347</v>
      </c>
      <c r="J552" s="54" t="s">
        <v>862</v>
      </c>
      <c r="K552" s="58" t="n">
        <v>72</v>
      </c>
      <c r="L552" s="54" t="s">
        <v>863</v>
      </c>
      <c r="M552" s="54" t="s">
        <v>212</v>
      </c>
      <c r="N552" s="54" t="s">
        <v>214</v>
      </c>
      <c r="O552" s="58" t="n">
        <v>59.3</v>
      </c>
      <c r="P552" s="54" t="s">
        <v>214</v>
      </c>
      <c r="Q552" s="58" t="n">
        <v>137.3</v>
      </c>
    </row>
    <row r="553" customFormat="false" ht="15" hidden="false" customHeight="false" outlineLevel="0" collapsed="false">
      <c r="A553" s="54" t="s">
        <v>27</v>
      </c>
      <c r="B553" s="55" t="n">
        <v>1651</v>
      </c>
      <c r="C553" s="56" t="n">
        <v>46308.7056494676</v>
      </c>
      <c r="D553" s="55" t="n">
        <v>16</v>
      </c>
      <c r="E553" s="54" t="s">
        <v>214</v>
      </c>
      <c r="F553" s="54" t="s">
        <v>859</v>
      </c>
      <c r="G553" s="54" t="s">
        <v>860</v>
      </c>
      <c r="H553" s="54" t="s">
        <v>861</v>
      </c>
      <c r="I553" s="54" t="s">
        <v>347</v>
      </c>
      <c r="J553" s="54" t="s">
        <v>862</v>
      </c>
      <c r="K553" s="58" t="n">
        <v>72</v>
      </c>
      <c r="L553" s="54" t="s">
        <v>863</v>
      </c>
      <c r="M553" s="54" t="s">
        <v>212</v>
      </c>
      <c r="N553" s="54" t="s">
        <v>212</v>
      </c>
      <c r="O553" s="58"/>
      <c r="P553" s="54" t="s">
        <v>212</v>
      </c>
      <c r="Q553" s="58"/>
    </row>
    <row r="554" customFormat="false" ht="15" hidden="false" customHeight="false" outlineLevel="0" collapsed="false">
      <c r="A554" s="54" t="s">
        <v>27</v>
      </c>
      <c r="B554" s="55" t="n">
        <v>1670</v>
      </c>
      <c r="C554" s="56" t="n">
        <v>46308.7080921991</v>
      </c>
      <c r="D554" s="55" t="n">
        <v>16</v>
      </c>
      <c r="E554" s="54" t="s">
        <v>214</v>
      </c>
      <c r="F554" s="54" t="s">
        <v>859</v>
      </c>
      <c r="G554" s="54" t="s">
        <v>860</v>
      </c>
      <c r="H554" s="54" t="s">
        <v>861</v>
      </c>
      <c r="I554" s="54" t="s">
        <v>347</v>
      </c>
      <c r="J554" s="54" t="s">
        <v>862</v>
      </c>
      <c r="K554" s="58" t="n">
        <v>72</v>
      </c>
      <c r="L554" s="54" t="s">
        <v>863</v>
      </c>
      <c r="M554" s="54" t="s">
        <v>212</v>
      </c>
      <c r="N554" s="54" t="s">
        <v>212</v>
      </c>
      <c r="O554" s="58"/>
      <c r="P554" s="54" t="s">
        <v>212</v>
      </c>
      <c r="Q554" s="58"/>
    </row>
    <row r="555" customFormat="false" ht="15" hidden="false" customHeight="false" outlineLevel="0" collapsed="false">
      <c r="A555" s="54" t="s">
        <v>27</v>
      </c>
      <c r="B555" s="55" t="n">
        <v>1691</v>
      </c>
      <c r="C555" s="56" t="n">
        <v>46308.7309952431</v>
      </c>
      <c r="D555" s="55" t="n">
        <v>17</v>
      </c>
      <c r="E555" s="54" t="s">
        <v>214</v>
      </c>
      <c r="F555" s="54" t="s">
        <v>128</v>
      </c>
      <c r="G555" s="54" t="s">
        <v>118</v>
      </c>
      <c r="H555" s="54" t="s">
        <v>220</v>
      </c>
      <c r="I555" s="54" t="s">
        <v>477</v>
      </c>
      <c r="J555" s="54" t="s">
        <v>864</v>
      </c>
      <c r="K555" s="58" t="n">
        <v>84.1</v>
      </c>
      <c r="L555" s="54" t="s">
        <v>212</v>
      </c>
      <c r="M555" s="54" t="s">
        <v>214</v>
      </c>
      <c r="N555" s="54" t="s">
        <v>214</v>
      </c>
      <c r="O555" s="58" t="n">
        <v>0.7</v>
      </c>
      <c r="P555" s="54" t="s">
        <v>212</v>
      </c>
      <c r="Q555" s="58"/>
    </row>
    <row r="556" customFormat="false" ht="15" hidden="false" customHeight="false" outlineLevel="0" collapsed="false">
      <c r="A556" s="54" t="s">
        <v>27</v>
      </c>
      <c r="B556" s="55" t="n">
        <v>1675</v>
      </c>
      <c r="C556" s="56" t="n">
        <v>46308.7324544792</v>
      </c>
      <c r="D556" s="55" t="n">
        <v>17</v>
      </c>
      <c r="E556" s="54" t="s">
        <v>214</v>
      </c>
      <c r="F556" s="54" t="s">
        <v>859</v>
      </c>
      <c r="G556" s="54" t="s">
        <v>860</v>
      </c>
      <c r="H556" s="54" t="s">
        <v>861</v>
      </c>
      <c r="I556" s="54" t="s">
        <v>347</v>
      </c>
      <c r="J556" s="54" t="s">
        <v>862</v>
      </c>
      <c r="K556" s="58" t="n">
        <v>72</v>
      </c>
      <c r="L556" s="54" t="s">
        <v>863</v>
      </c>
      <c r="M556" s="54" t="s">
        <v>212</v>
      </c>
      <c r="N556" s="54" t="s">
        <v>212</v>
      </c>
      <c r="O556" s="58"/>
      <c r="P556" s="54" t="s">
        <v>212</v>
      </c>
      <c r="Q556" s="58"/>
    </row>
    <row r="557" customFormat="false" ht="15" hidden="false" customHeight="false" outlineLevel="0" collapsed="false">
      <c r="A557" s="54" t="s">
        <v>27</v>
      </c>
      <c r="B557" s="55" t="n">
        <v>1679</v>
      </c>
      <c r="C557" s="56" t="n">
        <v>46308.7325320602</v>
      </c>
      <c r="D557" s="55" t="n">
        <v>17</v>
      </c>
      <c r="E557" s="54" t="s">
        <v>214</v>
      </c>
      <c r="F557" s="54" t="s">
        <v>859</v>
      </c>
      <c r="G557" s="54" t="s">
        <v>860</v>
      </c>
      <c r="H557" s="54" t="s">
        <v>861</v>
      </c>
      <c r="I557" s="54" t="s">
        <v>347</v>
      </c>
      <c r="J557" s="54" t="s">
        <v>862</v>
      </c>
      <c r="K557" s="58" t="n">
        <v>72</v>
      </c>
      <c r="L557" s="54" t="s">
        <v>863</v>
      </c>
      <c r="M557" s="54" t="s">
        <v>212</v>
      </c>
      <c r="N557" s="54" t="s">
        <v>214</v>
      </c>
      <c r="O557" s="58" t="n">
        <v>3.6</v>
      </c>
      <c r="P557" s="54" t="s">
        <v>212</v>
      </c>
      <c r="Q557" s="58"/>
    </row>
    <row r="558" customFormat="false" ht="15" hidden="false" customHeight="false" outlineLevel="0" collapsed="false">
      <c r="A558" s="54" t="s">
        <v>27</v>
      </c>
      <c r="B558" s="55" t="n">
        <v>1661</v>
      </c>
      <c r="C558" s="56" t="n">
        <v>46308.7549133449</v>
      </c>
      <c r="D558" s="55" t="n">
        <v>18</v>
      </c>
      <c r="E558" s="54" t="s">
        <v>214</v>
      </c>
      <c r="F558" s="54" t="s">
        <v>859</v>
      </c>
      <c r="G558" s="54" t="s">
        <v>860</v>
      </c>
      <c r="H558" s="54" t="s">
        <v>861</v>
      </c>
      <c r="I558" s="54" t="s">
        <v>347</v>
      </c>
      <c r="J558" s="54" t="s">
        <v>862</v>
      </c>
      <c r="K558" s="58" t="n">
        <v>72</v>
      </c>
      <c r="L558" s="54" t="s">
        <v>863</v>
      </c>
      <c r="M558" s="54" t="s">
        <v>212</v>
      </c>
      <c r="N558" s="54" t="s">
        <v>214</v>
      </c>
      <c r="O558" s="58" t="n">
        <v>7.6</v>
      </c>
      <c r="P558" s="54" t="s">
        <v>214</v>
      </c>
      <c r="Q558" s="58" t="n">
        <v>135.7</v>
      </c>
    </row>
    <row r="559" customFormat="false" ht="15" hidden="false" customHeight="false" outlineLevel="0" collapsed="false">
      <c r="A559" s="54" t="s">
        <v>27</v>
      </c>
      <c r="B559" s="55" t="n">
        <v>1690</v>
      </c>
      <c r="C559" s="56" t="n">
        <v>46308.7737107407</v>
      </c>
      <c r="D559" s="55" t="n">
        <v>18</v>
      </c>
      <c r="E559" s="54" t="s">
        <v>214</v>
      </c>
      <c r="F559" s="54" t="s">
        <v>859</v>
      </c>
      <c r="G559" s="54" t="s">
        <v>860</v>
      </c>
      <c r="H559" s="54" t="s">
        <v>861</v>
      </c>
      <c r="I559" s="54" t="s">
        <v>347</v>
      </c>
      <c r="J559" s="54" t="s">
        <v>862</v>
      </c>
      <c r="K559" s="58" t="n">
        <v>72</v>
      </c>
      <c r="L559" s="54" t="s">
        <v>863</v>
      </c>
      <c r="M559" s="54" t="s">
        <v>212</v>
      </c>
      <c r="N559" s="54" t="s">
        <v>212</v>
      </c>
      <c r="O559" s="58"/>
      <c r="P559" s="54" t="s">
        <v>212</v>
      </c>
      <c r="Q559" s="58"/>
    </row>
    <row r="560" customFormat="false" ht="15" hidden="false" customHeight="false" outlineLevel="0" collapsed="false">
      <c r="A560" s="54" t="s">
        <v>27</v>
      </c>
      <c r="B560" s="55" t="n">
        <v>1709</v>
      </c>
      <c r="C560" s="56" t="n">
        <v>46308.7758070486</v>
      </c>
      <c r="D560" s="55" t="n">
        <v>18</v>
      </c>
      <c r="E560" s="54" t="s">
        <v>214</v>
      </c>
      <c r="F560" s="54" t="s">
        <v>128</v>
      </c>
      <c r="G560" s="54" t="s">
        <v>118</v>
      </c>
      <c r="H560" s="54" t="s">
        <v>220</v>
      </c>
      <c r="I560" s="54" t="s">
        <v>477</v>
      </c>
      <c r="J560" s="54" t="s">
        <v>864</v>
      </c>
      <c r="K560" s="58" t="n">
        <v>79.1</v>
      </c>
      <c r="L560" s="54" t="s">
        <v>212</v>
      </c>
      <c r="M560" s="54" t="s">
        <v>214</v>
      </c>
      <c r="N560" s="54" t="s">
        <v>214</v>
      </c>
      <c r="O560" s="58" t="n">
        <v>1.8</v>
      </c>
      <c r="P560" s="54" t="s">
        <v>212</v>
      </c>
      <c r="Q560" s="58"/>
    </row>
    <row r="561" customFormat="false" ht="15" hidden="false" customHeight="false" outlineLevel="0" collapsed="false">
      <c r="A561" s="54" t="s">
        <v>27</v>
      </c>
      <c r="B561" s="55" t="n">
        <v>1683</v>
      </c>
      <c r="C561" s="56" t="n">
        <v>46308.7778268171</v>
      </c>
      <c r="D561" s="55" t="n">
        <v>18</v>
      </c>
      <c r="E561" s="54" t="s">
        <v>214</v>
      </c>
      <c r="F561" s="54" t="s">
        <v>859</v>
      </c>
      <c r="G561" s="54" t="s">
        <v>860</v>
      </c>
      <c r="H561" s="54" t="s">
        <v>861</v>
      </c>
      <c r="I561" s="54" t="s">
        <v>347</v>
      </c>
      <c r="J561" s="54" t="s">
        <v>862</v>
      </c>
      <c r="K561" s="58" t="n">
        <v>72</v>
      </c>
      <c r="L561" s="54" t="s">
        <v>863</v>
      </c>
      <c r="M561" s="54" t="s">
        <v>212</v>
      </c>
      <c r="N561" s="54" t="s">
        <v>214</v>
      </c>
      <c r="O561" s="58" t="n">
        <v>0.4</v>
      </c>
      <c r="P561" s="54" t="s">
        <v>212</v>
      </c>
      <c r="Q561" s="58"/>
    </row>
    <row r="562" customFormat="false" ht="15" hidden="false" customHeight="false" outlineLevel="0" collapsed="false">
      <c r="A562" s="54" t="s">
        <v>27</v>
      </c>
      <c r="B562" s="55" t="n">
        <v>1686</v>
      </c>
      <c r="C562" s="56" t="n">
        <v>46308.7857305671</v>
      </c>
      <c r="D562" s="55" t="n">
        <v>18</v>
      </c>
      <c r="E562" s="54" t="s">
        <v>214</v>
      </c>
      <c r="F562" s="54" t="s">
        <v>859</v>
      </c>
      <c r="G562" s="54" t="s">
        <v>860</v>
      </c>
      <c r="H562" s="54" t="s">
        <v>861</v>
      </c>
      <c r="I562" s="54" t="s">
        <v>347</v>
      </c>
      <c r="J562" s="54" t="s">
        <v>862</v>
      </c>
      <c r="K562" s="58" t="n">
        <v>72</v>
      </c>
      <c r="L562" s="54" t="s">
        <v>863</v>
      </c>
      <c r="M562" s="54" t="s">
        <v>212</v>
      </c>
      <c r="N562" s="54" t="s">
        <v>212</v>
      </c>
      <c r="O562" s="58"/>
      <c r="P562" s="54" t="s">
        <v>212</v>
      </c>
      <c r="Q562" s="58"/>
    </row>
    <row r="563" customFormat="false" ht="15" hidden="false" customHeight="false" outlineLevel="0" collapsed="false">
      <c r="A563" s="54" t="s">
        <v>27</v>
      </c>
      <c r="B563" s="55" t="n">
        <v>1668</v>
      </c>
      <c r="C563" s="56" t="n">
        <v>46308.7942847569</v>
      </c>
      <c r="D563" s="55" t="n">
        <v>19</v>
      </c>
      <c r="E563" s="54" t="s">
        <v>214</v>
      </c>
      <c r="F563" s="54" t="s">
        <v>129</v>
      </c>
      <c r="G563" s="54" t="s">
        <v>118</v>
      </c>
      <c r="H563" s="54" t="s">
        <v>220</v>
      </c>
      <c r="I563" s="54" t="s">
        <v>347</v>
      </c>
      <c r="J563" s="54" t="s">
        <v>862</v>
      </c>
      <c r="K563" s="58" t="n">
        <v>106</v>
      </c>
      <c r="L563" s="54" t="s">
        <v>212</v>
      </c>
      <c r="M563" s="54" t="s">
        <v>214</v>
      </c>
      <c r="N563" s="54" t="s">
        <v>214</v>
      </c>
      <c r="O563" s="58" t="n">
        <v>7.2</v>
      </c>
      <c r="P563" s="54" t="s">
        <v>214</v>
      </c>
      <c r="Q563" s="58" t="n">
        <v>8.8</v>
      </c>
    </row>
    <row r="564" customFormat="false" ht="15" hidden="false" customHeight="false" outlineLevel="0" collapsed="false">
      <c r="A564" s="54" t="s">
        <v>27</v>
      </c>
      <c r="B564" s="55" t="n">
        <v>1692</v>
      </c>
      <c r="C564" s="56" t="n">
        <v>46308.7944159028</v>
      </c>
      <c r="D564" s="55" t="n">
        <v>19</v>
      </c>
      <c r="E564" s="54" t="s">
        <v>214</v>
      </c>
      <c r="F564" s="54" t="s">
        <v>859</v>
      </c>
      <c r="G564" s="54" t="s">
        <v>860</v>
      </c>
      <c r="H564" s="54" t="s">
        <v>861</v>
      </c>
      <c r="I564" s="54" t="s">
        <v>347</v>
      </c>
      <c r="J564" s="54" t="s">
        <v>862</v>
      </c>
      <c r="K564" s="58" t="n">
        <v>72</v>
      </c>
      <c r="L564" s="54" t="s">
        <v>863</v>
      </c>
      <c r="M564" s="54" t="s">
        <v>212</v>
      </c>
      <c r="N564" s="54" t="s">
        <v>214</v>
      </c>
      <c r="O564" s="58" t="n">
        <v>2497.8</v>
      </c>
      <c r="P564" s="54" t="s">
        <v>212</v>
      </c>
      <c r="Q564" s="58"/>
    </row>
    <row r="565" customFormat="false" ht="15" hidden="false" customHeight="false" outlineLevel="0" collapsed="false">
      <c r="A565" s="54" t="s">
        <v>27</v>
      </c>
      <c r="B565" s="55" t="n">
        <v>1714</v>
      </c>
      <c r="C565" s="56" t="n">
        <v>46308.8039596181</v>
      </c>
      <c r="D565" s="55" t="n">
        <v>19</v>
      </c>
      <c r="E565" s="54" t="s">
        <v>214</v>
      </c>
      <c r="F565" s="54" t="s">
        <v>128</v>
      </c>
      <c r="G565" s="54" t="s">
        <v>118</v>
      </c>
      <c r="H565" s="54" t="s">
        <v>220</v>
      </c>
      <c r="I565" s="54" t="s">
        <v>473</v>
      </c>
      <c r="J565" s="54" t="s">
        <v>865</v>
      </c>
      <c r="K565" s="58" t="n">
        <v>79</v>
      </c>
      <c r="L565" s="54" t="s">
        <v>212</v>
      </c>
      <c r="M565" s="54" t="s">
        <v>214</v>
      </c>
      <c r="N565" s="54" t="s">
        <v>214</v>
      </c>
      <c r="O565" s="58" t="n">
        <v>16.4</v>
      </c>
      <c r="P565" s="54" t="s">
        <v>214</v>
      </c>
      <c r="Q565" s="58" t="n">
        <v>16.7</v>
      </c>
    </row>
    <row r="566" customFormat="false" ht="15" hidden="false" customHeight="false" outlineLevel="0" collapsed="false">
      <c r="A566" s="54" t="s">
        <v>27</v>
      </c>
      <c r="B566" s="55" t="n">
        <v>1696</v>
      </c>
      <c r="C566" s="56" t="n">
        <v>46308.8092975579</v>
      </c>
      <c r="D566" s="55" t="n">
        <v>19</v>
      </c>
      <c r="E566" s="54" t="s">
        <v>214</v>
      </c>
      <c r="F566" s="54" t="s">
        <v>859</v>
      </c>
      <c r="G566" s="54" t="s">
        <v>860</v>
      </c>
      <c r="H566" s="54" t="s">
        <v>861</v>
      </c>
      <c r="I566" s="54" t="s">
        <v>347</v>
      </c>
      <c r="J566" s="54" t="s">
        <v>862</v>
      </c>
      <c r="K566" s="58" t="n">
        <v>72</v>
      </c>
      <c r="L566" s="54" t="s">
        <v>863</v>
      </c>
      <c r="M566" s="54" t="s">
        <v>212</v>
      </c>
      <c r="N566" s="54" t="s">
        <v>214</v>
      </c>
      <c r="O566" s="58" t="n">
        <v>67.8</v>
      </c>
      <c r="P566" s="54" t="s">
        <v>212</v>
      </c>
      <c r="Q566" s="58"/>
    </row>
    <row r="567" customFormat="false" ht="15" hidden="false" customHeight="false" outlineLevel="0" collapsed="false">
      <c r="A567" s="54" t="s">
        <v>27</v>
      </c>
      <c r="B567" s="55" t="n">
        <v>1702</v>
      </c>
      <c r="C567" s="56" t="n">
        <v>46308.8109135764</v>
      </c>
      <c r="D567" s="55" t="n">
        <v>19</v>
      </c>
      <c r="E567" s="54" t="s">
        <v>214</v>
      </c>
      <c r="F567" s="54" t="s">
        <v>859</v>
      </c>
      <c r="G567" s="54" t="s">
        <v>860</v>
      </c>
      <c r="H567" s="54" t="s">
        <v>861</v>
      </c>
      <c r="I567" s="54" t="s">
        <v>347</v>
      </c>
      <c r="J567" s="54" t="s">
        <v>862</v>
      </c>
      <c r="K567" s="58" t="n">
        <v>72</v>
      </c>
      <c r="L567" s="54" t="s">
        <v>863</v>
      </c>
      <c r="M567" s="54" t="s">
        <v>212</v>
      </c>
      <c r="N567" s="54" t="s">
        <v>214</v>
      </c>
      <c r="O567" s="58" t="n">
        <v>0.3</v>
      </c>
      <c r="P567" s="54" t="s">
        <v>212</v>
      </c>
      <c r="Q567" s="58"/>
    </row>
    <row r="568" customFormat="false" ht="15" hidden="false" customHeight="false" outlineLevel="0" collapsed="false">
      <c r="A568" s="54" t="s">
        <v>27</v>
      </c>
      <c r="B568" s="55" t="n">
        <v>1705</v>
      </c>
      <c r="C568" s="56" t="n">
        <v>46308.8288631829</v>
      </c>
      <c r="D568" s="55" t="n">
        <v>19</v>
      </c>
      <c r="E568" s="54" t="s">
        <v>214</v>
      </c>
      <c r="F568" s="54" t="s">
        <v>859</v>
      </c>
      <c r="G568" s="54" t="s">
        <v>860</v>
      </c>
      <c r="H568" s="54" t="s">
        <v>861</v>
      </c>
      <c r="I568" s="54" t="s">
        <v>347</v>
      </c>
      <c r="J568" s="54" t="s">
        <v>862</v>
      </c>
      <c r="K568" s="58" t="n">
        <v>72</v>
      </c>
      <c r="L568" s="54" t="s">
        <v>863</v>
      </c>
      <c r="M568" s="54" t="s">
        <v>212</v>
      </c>
      <c r="N568" s="54" t="s">
        <v>214</v>
      </c>
      <c r="O568" s="58" t="n">
        <v>2426</v>
      </c>
      <c r="P568" s="54" t="s">
        <v>212</v>
      </c>
      <c r="Q568" s="58"/>
    </row>
    <row r="569" customFormat="false" ht="15" hidden="false" customHeight="false" outlineLevel="0" collapsed="false">
      <c r="A569" s="54" t="s">
        <v>27</v>
      </c>
      <c r="B569" s="55" t="n">
        <v>1677</v>
      </c>
      <c r="C569" s="56" t="n">
        <v>46308.8300495255</v>
      </c>
      <c r="D569" s="55" t="n">
        <v>19</v>
      </c>
      <c r="E569" s="54" t="s">
        <v>214</v>
      </c>
      <c r="F569" s="54" t="s">
        <v>859</v>
      </c>
      <c r="G569" s="54" t="s">
        <v>860</v>
      </c>
      <c r="H569" s="54" t="s">
        <v>861</v>
      </c>
      <c r="I569" s="54" t="s">
        <v>347</v>
      </c>
      <c r="J569" s="54" t="s">
        <v>862</v>
      </c>
      <c r="K569" s="58" t="n">
        <v>72</v>
      </c>
      <c r="L569" s="54" t="s">
        <v>863</v>
      </c>
      <c r="M569" s="54" t="s">
        <v>212</v>
      </c>
      <c r="N569" s="54" t="s">
        <v>214</v>
      </c>
      <c r="O569" s="58" t="n">
        <v>14.9</v>
      </c>
      <c r="P569" s="54" t="s">
        <v>212</v>
      </c>
      <c r="Q569" s="58"/>
    </row>
    <row r="570" customFormat="false" ht="15" hidden="false" customHeight="false" outlineLevel="0" collapsed="false">
      <c r="A570" s="54" t="s">
        <v>27</v>
      </c>
      <c r="B570" s="55" t="n">
        <v>1732</v>
      </c>
      <c r="C570" s="56" t="n">
        <v>46308.851203669</v>
      </c>
      <c r="D570" s="55" t="n">
        <v>20</v>
      </c>
      <c r="E570" s="54" t="s">
        <v>214</v>
      </c>
      <c r="F570" s="54" t="s">
        <v>129</v>
      </c>
      <c r="G570" s="54" t="s">
        <v>118</v>
      </c>
      <c r="H570" s="54" t="s">
        <v>220</v>
      </c>
      <c r="I570" s="54" t="s">
        <v>477</v>
      </c>
      <c r="J570" s="54" t="s">
        <v>864</v>
      </c>
      <c r="K570" s="58" t="n">
        <v>93.2</v>
      </c>
      <c r="L570" s="54" t="s">
        <v>212</v>
      </c>
      <c r="M570" s="54" t="s">
        <v>214</v>
      </c>
      <c r="N570" s="54" t="s">
        <v>214</v>
      </c>
      <c r="O570" s="58" t="n">
        <v>0.2</v>
      </c>
      <c r="P570" s="54" t="s">
        <v>212</v>
      </c>
      <c r="Q570" s="58"/>
    </row>
    <row r="571" customFormat="false" ht="15" hidden="false" customHeight="false" outlineLevel="0" collapsed="false">
      <c r="A571" s="54" t="s">
        <v>27</v>
      </c>
      <c r="B571" s="55" t="n">
        <v>1732</v>
      </c>
      <c r="C571" s="56" t="n">
        <v>46308.8519380787</v>
      </c>
      <c r="D571" s="55" t="n">
        <v>20</v>
      </c>
      <c r="E571" s="54" t="s">
        <v>214</v>
      </c>
      <c r="F571" s="54" t="s">
        <v>129</v>
      </c>
      <c r="G571" s="54" t="s">
        <v>118</v>
      </c>
      <c r="H571" s="54" t="s">
        <v>220</v>
      </c>
      <c r="I571" s="54" t="s">
        <v>477</v>
      </c>
      <c r="J571" s="54" t="s">
        <v>864</v>
      </c>
      <c r="K571" s="58" t="n">
        <v>15.4</v>
      </c>
      <c r="L571" s="54" t="s">
        <v>212</v>
      </c>
      <c r="M571" s="54" t="s">
        <v>212</v>
      </c>
      <c r="N571" s="54" t="s">
        <v>214</v>
      </c>
      <c r="O571" s="58" t="n">
        <v>0</v>
      </c>
      <c r="P571" s="54" t="s">
        <v>212</v>
      </c>
      <c r="Q571" s="58"/>
    </row>
    <row r="572" customFormat="false" ht="15" hidden="false" customHeight="false" outlineLevel="0" collapsed="false">
      <c r="A572" s="54" t="s">
        <v>27</v>
      </c>
      <c r="B572" s="55" t="n">
        <v>1682</v>
      </c>
      <c r="C572" s="56" t="n">
        <v>46308.8544275</v>
      </c>
      <c r="D572" s="55" t="n">
        <v>20</v>
      </c>
      <c r="E572" s="54" t="s">
        <v>214</v>
      </c>
      <c r="F572" s="54" t="s">
        <v>859</v>
      </c>
      <c r="G572" s="54" t="s">
        <v>860</v>
      </c>
      <c r="H572" s="54" t="s">
        <v>861</v>
      </c>
      <c r="I572" s="54" t="s">
        <v>347</v>
      </c>
      <c r="J572" s="54" t="s">
        <v>862</v>
      </c>
      <c r="K572" s="58" t="n">
        <v>72</v>
      </c>
      <c r="L572" s="54" t="s">
        <v>863</v>
      </c>
      <c r="M572" s="54" t="s">
        <v>212</v>
      </c>
      <c r="N572" s="54" t="s">
        <v>214</v>
      </c>
      <c r="O572" s="58" t="n">
        <v>39.1</v>
      </c>
      <c r="P572" s="54" t="s">
        <v>212</v>
      </c>
      <c r="Q572" s="58"/>
    </row>
    <row r="573" customFormat="false" ht="15" hidden="false" customHeight="false" outlineLevel="0" collapsed="false">
      <c r="A573" s="54" t="s">
        <v>27</v>
      </c>
      <c r="B573" s="55" t="n">
        <v>1739</v>
      </c>
      <c r="C573" s="56" t="n">
        <v>46308.8661199074</v>
      </c>
      <c r="D573" s="55" t="n">
        <v>20</v>
      </c>
      <c r="E573" s="54" t="s">
        <v>214</v>
      </c>
      <c r="F573" s="54" t="s">
        <v>129</v>
      </c>
      <c r="G573" s="54" t="s">
        <v>118</v>
      </c>
      <c r="H573" s="54" t="s">
        <v>220</v>
      </c>
      <c r="I573" s="54" t="s">
        <v>477</v>
      </c>
      <c r="J573" s="54" t="s">
        <v>864</v>
      </c>
      <c r="K573" s="58" t="n">
        <v>91.4</v>
      </c>
      <c r="L573" s="54" t="s">
        <v>212</v>
      </c>
      <c r="M573" s="54" t="s">
        <v>214</v>
      </c>
      <c r="N573" s="54" t="s">
        <v>214</v>
      </c>
      <c r="O573" s="58" t="n">
        <v>4.1</v>
      </c>
      <c r="P573" s="54" t="s">
        <v>214</v>
      </c>
      <c r="Q573" s="58" t="n">
        <v>7.1</v>
      </c>
    </row>
    <row r="574" customFormat="false" ht="15" hidden="false" customHeight="false" outlineLevel="0" collapsed="false">
      <c r="A574" s="54" t="s">
        <v>27</v>
      </c>
      <c r="B574" s="55" t="n">
        <v>1740</v>
      </c>
      <c r="C574" s="56" t="n">
        <v>46308.869704838</v>
      </c>
      <c r="D574" s="55" t="n">
        <v>20</v>
      </c>
      <c r="E574" s="54" t="s">
        <v>214</v>
      </c>
      <c r="F574" s="54" t="s">
        <v>129</v>
      </c>
      <c r="G574" s="54" t="s">
        <v>118</v>
      </c>
      <c r="H574" s="54" t="s">
        <v>220</v>
      </c>
      <c r="I574" s="54" t="s">
        <v>477</v>
      </c>
      <c r="J574" s="54" t="s">
        <v>864</v>
      </c>
      <c r="K574" s="58" t="n">
        <v>85.7</v>
      </c>
      <c r="L574" s="54" t="s">
        <v>212</v>
      </c>
      <c r="M574" s="54" t="s">
        <v>214</v>
      </c>
      <c r="N574" s="54" t="s">
        <v>212</v>
      </c>
      <c r="O574" s="58"/>
      <c r="P574" s="54" t="s">
        <v>214</v>
      </c>
      <c r="Q574" s="58" t="n">
        <v>30.2</v>
      </c>
    </row>
    <row r="575" customFormat="false" ht="15" hidden="false" customHeight="false" outlineLevel="0" collapsed="false">
      <c r="A575" s="54" t="s">
        <v>27</v>
      </c>
      <c r="B575" s="55" t="n">
        <v>1735</v>
      </c>
      <c r="C575" s="56" t="n">
        <v>46308.8711681829</v>
      </c>
      <c r="D575" s="55" t="n">
        <v>20</v>
      </c>
      <c r="E575" s="54" t="s">
        <v>214</v>
      </c>
      <c r="F575" s="54" t="s">
        <v>129</v>
      </c>
      <c r="G575" s="54" t="s">
        <v>118</v>
      </c>
      <c r="H575" s="54" t="s">
        <v>220</v>
      </c>
      <c r="I575" s="54" t="s">
        <v>477</v>
      </c>
      <c r="J575" s="54" t="s">
        <v>864</v>
      </c>
      <c r="K575" s="58" t="n">
        <v>82.5</v>
      </c>
      <c r="L575" s="54" t="s">
        <v>212</v>
      </c>
      <c r="M575" s="54" t="s">
        <v>214</v>
      </c>
      <c r="N575" s="54" t="s">
        <v>214</v>
      </c>
      <c r="O575" s="58" t="n">
        <v>0.3</v>
      </c>
      <c r="P575" s="54" t="s">
        <v>212</v>
      </c>
      <c r="Q575" s="58"/>
    </row>
    <row r="576" customFormat="false" ht="15" hidden="false" customHeight="false" outlineLevel="0" collapsed="false">
      <c r="A576" s="54" t="s">
        <v>27</v>
      </c>
      <c r="B576" s="55" t="n">
        <v>1750</v>
      </c>
      <c r="C576" s="56" t="n">
        <v>46308.9103826505</v>
      </c>
      <c r="D576" s="55" t="n">
        <v>21</v>
      </c>
      <c r="E576" s="54" t="s">
        <v>214</v>
      </c>
      <c r="F576" s="54" t="s">
        <v>129</v>
      </c>
      <c r="G576" s="54" t="s">
        <v>118</v>
      </c>
      <c r="H576" s="54" t="s">
        <v>220</v>
      </c>
      <c r="I576" s="54" t="s">
        <v>477</v>
      </c>
      <c r="J576" s="54" t="s">
        <v>864</v>
      </c>
      <c r="K576" s="58" t="n">
        <v>86.9</v>
      </c>
      <c r="L576" s="54" t="s">
        <v>212</v>
      </c>
      <c r="M576" s="54" t="s">
        <v>214</v>
      </c>
      <c r="N576" s="54" t="s">
        <v>214</v>
      </c>
      <c r="O576" s="58" t="n">
        <v>6.3</v>
      </c>
      <c r="P576" s="54" t="s">
        <v>214</v>
      </c>
      <c r="Q576" s="58" t="n">
        <v>16.3</v>
      </c>
    </row>
    <row r="577" customFormat="false" ht="15" hidden="false" customHeight="false" outlineLevel="0" collapsed="false">
      <c r="A577" s="54" t="s">
        <v>27</v>
      </c>
      <c r="B577" s="55" t="n">
        <v>1750</v>
      </c>
      <c r="C577" s="56" t="n">
        <v>46308.9130415857</v>
      </c>
      <c r="D577" s="55" t="n">
        <v>21</v>
      </c>
      <c r="E577" s="54" t="s">
        <v>214</v>
      </c>
      <c r="F577" s="54" t="s">
        <v>129</v>
      </c>
      <c r="G577" s="54" t="s">
        <v>118</v>
      </c>
      <c r="H577" s="54" t="s">
        <v>220</v>
      </c>
      <c r="I577" s="54" t="s">
        <v>473</v>
      </c>
      <c r="J577" s="54" t="s">
        <v>865</v>
      </c>
      <c r="K577" s="58" t="n">
        <v>22.9</v>
      </c>
      <c r="L577" s="54" t="s">
        <v>212</v>
      </c>
      <c r="M577" s="54" t="s">
        <v>212</v>
      </c>
      <c r="N577" s="54" t="s">
        <v>214</v>
      </c>
      <c r="O577" s="58" t="n">
        <v>2.5</v>
      </c>
      <c r="P577" s="54" t="s">
        <v>214</v>
      </c>
      <c r="Q577" s="58" t="n">
        <v>12.5</v>
      </c>
    </row>
    <row r="578" customFormat="false" ht="15" hidden="false" customHeight="false" outlineLevel="0" collapsed="false">
      <c r="A578" s="54" t="s">
        <v>27</v>
      </c>
      <c r="B578" s="55" t="n">
        <v>1786</v>
      </c>
      <c r="C578" s="56" t="n">
        <v>46309.3155908796</v>
      </c>
      <c r="D578" s="55" t="n">
        <v>7</v>
      </c>
      <c r="E578" s="54" t="s">
        <v>212</v>
      </c>
      <c r="F578" s="54" t="s">
        <v>127</v>
      </c>
      <c r="G578" s="54" t="s">
        <v>118</v>
      </c>
      <c r="H578" s="54" t="s">
        <v>220</v>
      </c>
      <c r="I578" s="54" t="s">
        <v>477</v>
      </c>
      <c r="J578" s="54" t="s">
        <v>864</v>
      </c>
      <c r="K578" s="58" t="n">
        <v>121.1</v>
      </c>
      <c r="L578" s="54" t="s">
        <v>212</v>
      </c>
      <c r="M578" s="54" t="s">
        <v>214</v>
      </c>
      <c r="N578" s="54" t="s">
        <v>214</v>
      </c>
      <c r="O578" s="58" t="n">
        <v>436.2</v>
      </c>
      <c r="P578" s="54" t="s">
        <v>214</v>
      </c>
      <c r="Q578" s="58" t="n">
        <v>440</v>
      </c>
    </row>
    <row r="579" customFormat="false" ht="15" hidden="false" customHeight="false" outlineLevel="0" collapsed="false">
      <c r="A579" s="54" t="s">
        <v>27</v>
      </c>
      <c r="B579" s="55" t="n">
        <v>1777</v>
      </c>
      <c r="C579" s="56" t="n">
        <v>46309.3198763542</v>
      </c>
      <c r="D579" s="55" t="n">
        <v>7</v>
      </c>
      <c r="E579" s="54" t="s">
        <v>212</v>
      </c>
      <c r="F579" s="54" t="s">
        <v>127</v>
      </c>
      <c r="G579" s="54" t="s">
        <v>118</v>
      </c>
      <c r="H579" s="54" t="s">
        <v>220</v>
      </c>
      <c r="I579" s="54" t="s">
        <v>477</v>
      </c>
      <c r="J579" s="54" t="s">
        <v>864</v>
      </c>
      <c r="K579" s="58" t="n">
        <v>117.4</v>
      </c>
      <c r="L579" s="54" t="s">
        <v>212</v>
      </c>
      <c r="M579" s="54" t="s">
        <v>214</v>
      </c>
      <c r="N579" s="54" t="s">
        <v>214</v>
      </c>
      <c r="O579" s="58" t="n">
        <v>5.3</v>
      </c>
      <c r="P579" s="54" t="s">
        <v>214</v>
      </c>
      <c r="Q579" s="58" t="n">
        <v>45.4</v>
      </c>
    </row>
    <row r="580" customFormat="false" ht="15" hidden="false" customHeight="false" outlineLevel="0" collapsed="false">
      <c r="A580" s="54" t="s">
        <v>27</v>
      </c>
      <c r="B580" s="55" t="n">
        <v>1789</v>
      </c>
      <c r="C580" s="56" t="n">
        <v>46309.323491875</v>
      </c>
      <c r="D580" s="55" t="n">
        <v>7</v>
      </c>
      <c r="E580" s="54" t="s">
        <v>212</v>
      </c>
      <c r="F580" s="54" t="s">
        <v>127</v>
      </c>
      <c r="G580" s="54" t="s">
        <v>118</v>
      </c>
      <c r="H580" s="54" t="s">
        <v>220</v>
      </c>
      <c r="I580" s="54" t="s">
        <v>477</v>
      </c>
      <c r="J580" s="54" t="s">
        <v>864</v>
      </c>
      <c r="K580" s="58" t="n">
        <v>107.2</v>
      </c>
      <c r="L580" s="54" t="s">
        <v>212</v>
      </c>
      <c r="M580" s="54" t="s">
        <v>214</v>
      </c>
      <c r="N580" s="54" t="s">
        <v>214</v>
      </c>
      <c r="O580" s="58" t="n">
        <v>255.7</v>
      </c>
      <c r="P580" s="54" t="s">
        <v>214</v>
      </c>
      <c r="Q580" s="58" t="n">
        <v>256.2</v>
      </c>
    </row>
    <row r="581" customFormat="false" ht="15" hidden="false" customHeight="false" outlineLevel="0" collapsed="false">
      <c r="A581" s="54" t="s">
        <v>27</v>
      </c>
      <c r="B581" s="55" t="n">
        <v>1778</v>
      </c>
      <c r="C581" s="56" t="n">
        <v>46309.3398677199</v>
      </c>
      <c r="D581" s="55" t="n">
        <v>8</v>
      </c>
      <c r="E581" s="54" t="s">
        <v>214</v>
      </c>
      <c r="F581" s="54" t="s">
        <v>127</v>
      </c>
      <c r="G581" s="54" t="s">
        <v>118</v>
      </c>
      <c r="H581" s="54" t="s">
        <v>220</v>
      </c>
      <c r="I581" s="54" t="s">
        <v>477</v>
      </c>
      <c r="J581" s="54" t="s">
        <v>864</v>
      </c>
      <c r="K581" s="58" t="n">
        <v>115.5</v>
      </c>
      <c r="L581" s="54" t="s">
        <v>212</v>
      </c>
      <c r="M581" s="54" t="s">
        <v>214</v>
      </c>
      <c r="N581" s="54" t="s">
        <v>214</v>
      </c>
      <c r="O581" s="58" t="n">
        <v>0.9</v>
      </c>
      <c r="P581" s="54" t="s">
        <v>214</v>
      </c>
      <c r="Q581" s="58" t="n">
        <v>2.8</v>
      </c>
    </row>
    <row r="582" customFormat="false" ht="15" hidden="false" customHeight="false" outlineLevel="0" collapsed="false">
      <c r="A582" s="54" t="s">
        <v>27</v>
      </c>
      <c r="B582" s="55" t="n">
        <v>1748</v>
      </c>
      <c r="C582" s="56" t="n">
        <v>46309.3750532523</v>
      </c>
      <c r="D582" s="55" t="n">
        <v>9</v>
      </c>
      <c r="E582" s="54" t="s">
        <v>214</v>
      </c>
      <c r="F582" s="54" t="s">
        <v>859</v>
      </c>
      <c r="G582" s="54" t="s">
        <v>860</v>
      </c>
      <c r="H582" s="54" t="s">
        <v>861</v>
      </c>
      <c r="I582" s="54" t="s">
        <v>347</v>
      </c>
      <c r="J582" s="54" t="s">
        <v>862</v>
      </c>
      <c r="K582" s="58" t="n">
        <v>72</v>
      </c>
      <c r="L582" s="54" t="s">
        <v>863</v>
      </c>
      <c r="M582" s="54" t="s">
        <v>212</v>
      </c>
      <c r="N582" s="54" t="s">
        <v>214</v>
      </c>
      <c r="O582" s="58" t="n">
        <v>1604.1</v>
      </c>
      <c r="P582" s="54" t="s">
        <v>212</v>
      </c>
      <c r="Q582" s="58"/>
    </row>
    <row r="583" customFormat="false" ht="15" hidden="false" customHeight="false" outlineLevel="0" collapsed="false">
      <c r="A583" s="54" t="s">
        <v>27</v>
      </c>
      <c r="B583" s="55" t="n">
        <v>1739</v>
      </c>
      <c r="C583" s="56" t="n">
        <v>46309.3750598264</v>
      </c>
      <c r="D583" s="55" t="n">
        <v>9</v>
      </c>
      <c r="E583" s="54" t="s">
        <v>214</v>
      </c>
      <c r="F583" s="54" t="s">
        <v>859</v>
      </c>
      <c r="G583" s="54" t="s">
        <v>860</v>
      </c>
      <c r="H583" s="54" t="s">
        <v>861</v>
      </c>
      <c r="I583" s="54" t="s">
        <v>347</v>
      </c>
      <c r="J583" s="54" t="s">
        <v>862</v>
      </c>
      <c r="K583" s="58" t="n">
        <v>72</v>
      </c>
      <c r="L583" s="54" t="s">
        <v>863</v>
      </c>
      <c r="M583" s="54" t="s">
        <v>212</v>
      </c>
      <c r="N583" s="54" t="s">
        <v>214</v>
      </c>
      <c r="O583" s="58" t="n">
        <v>13</v>
      </c>
      <c r="P583" s="54" t="s">
        <v>212</v>
      </c>
      <c r="Q583" s="58"/>
    </row>
    <row r="584" customFormat="false" ht="15" hidden="false" customHeight="false" outlineLevel="0" collapsed="false">
      <c r="A584" s="54" t="s">
        <v>27</v>
      </c>
      <c r="B584" s="55" t="n">
        <v>1722</v>
      </c>
      <c r="C584" s="56" t="n">
        <v>46309.3751231482</v>
      </c>
      <c r="D584" s="55" t="n">
        <v>9</v>
      </c>
      <c r="E584" s="54" t="s">
        <v>214</v>
      </c>
      <c r="F584" s="54" t="s">
        <v>859</v>
      </c>
      <c r="G584" s="54" t="s">
        <v>860</v>
      </c>
      <c r="H584" s="54" t="s">
        <v>861</v>
      </c>
      <c r="I584" s="54" t="s">
        <v>347</v>
      </c>
      <c r="J584" s="54" t="s">
        <v>862</v>
      </c>
      <c r="K584" s="58" t="n">
        <v>72</v>
      </c>
      <c r="L584" s="54" t="s">
        <v>863</v>
      </c>
      <c r="M584" s="54" t="s">
        <v>212</v>
      </c>
      <c r="N584" s="54" t="s">
        <v>214</v>
      </c>
      <c r="O584" s="58" t="n">
        <v>75</v>
      </c>
      <c r="P584" s="54" t="s">
        <v>212</v>
      </c>
      <c r="Q584" s="58"/>
    </row>
    <row r="585" customFormat="false" ht="15" hidden="false" customHeight="false" outlineLevel="0" collapsed="false">
      <c r="A585" s="54" t="s">
        <v>27</v>
      </c>
      <c r="B585" s="55" t="n">
        <v>1735</v>
      </c>
      <c r="C585" s="56" t="n">
        <v>46309.3751376273</v>
      </c>
      <c r="D585" s="55" t="n">
        <v>9</v>
      </c>
      <c r="E585" s="54" t="s">
        <v>214</v>
      </c>
      <c r="F585" s="54" t="s">
        <v>859</v>
      </c>
      <c r="G585" s="54" t="s">
        <v>860</v>
      </c>
      <c r="H585" s="54" t="s">
        <v>861</v>
      </c>
      <c r="I585" s="54" t="s">
        <v>347</v>
      </c>
      <c r="J585" s="54" t="s">
        <v>862</v>
      </c>
      <c r="K585" s="58" t="n">
        <v>72</v>
      </c>
      <c r="L585" s="54" t="s">
        <v>863</v>
      </c>
      <c r="M585" s="54" t="s">
        <v>212</v>
      </c>
      <c r="N585" s="54" t="s">
        <v>214</v>
      </c>
      <c r="O585" s="58" t="n">
        <v>5.9</v>
      </c>
      <c r="P585" s="54" t="s">
        <v>212</v>
      </c>
      <c r="Q585" s="58"/>
    </row>
    <row r="586" customFormat="false" ht="15" hidden="false" customHeight="false" outlineLevel="0" collapsed="false">
      <c r="A586" s="54" t="s">
        <v>27</v>
      </c>
      <c r="B586" s="55" t="n">
        <v>1750</v>
      </c>
      <c r="C586" s="56" t="n">
        <v>46309.375232419</v>
      </c>
      <c r="D586" s="55" t="n">
        <v>9</v>
      </c>
      <c r="E586" s="54" t="s">
        <v>214</v>
      </c>
      <c r="F586" s="54" t="s">
        <v>859</v>
      </c>
      <c r="G586" s="54" t="s">
        <v>860</v>
      </c>
      <c r="H586" s="54" t="s">
        <v>861</v>
      </c>
      <c r="I586" s="54" t="s">
        <v>347</v>
      </c>
      <c r="J586" s="54" t="s">
        <v>862</v>
      </c>
      <c r="K586" s="58" t="n">
        <v>72</v>
      </c>
      <c r="L586" s="54" t="s">
        <v>863</v>
      </c>
      <c r="M586" s="54" t="s">
        <v>212</v>
      </c>
      <c r="N586" s="54" t="s">
        <v>214</v>
      </c>
      <c r="O586" s="58" t="n">
        <v>2243.7</v>
      </c>
      <c r="P586" s="54" t="s">
        <v>212</v>
      </c>
      <c r="Q586" s="58"/>
    </row>
    <row r="587" customFormat="false" ht="15" hidden="false" customHeight="false" outlineLevel="0" collapsed="false">
      <c r="A587" s="54" t="s">
        <v>27</v>
      </c>
      <c r="B587" s="55" t="n">
        <v>1714</v>
      </c>
      <c r="C587" s="56" t="n">
        <v>46309.375360787</v>
      </c>
      <c r="D587" s="55" t="n">
        <v>9</v>
      </c>
      <c r="E587" s="54" t="s">
        <v>214</v>
      </c>
      <c r="F587" s="54" t="s">
        <v>859</v>
      </c>
      <c r="G587" s="54" t="s">
        <v>860</v>
      </c>
      <c r="H587" s="54" t="s">
        <v>861</v>
      </c>
      <c r="I587" s="54" t="s">
        <v>347</v>
      </c>
      <c r="J587" s="54" t="s">
        <v>862</v>
      </c>
      <c r="K587" s="58" t="n">
        <v>72</v>
      </c>
      <c r="L587" s="54" t="s">
        <v>863</v>
      </c>
      <c r="M587" s="54" t="s">
        <v>212</v>
      </c>
      <c r="N587" s="54" t="s">
        <v>212</v>
      </c>
      <c r="O587" s="58"/>
      <c r="P587" s="54" t="s">
        <v>212</v>
      </c>
      <c r="Q587" s="58"/>
    </row>
    <row r="588" customFormat="false" ht="15" hidden="false" customHeight="false" outlineLevel="0" collapsed="false">
      <c r="A588" s="54" t="s">
        <v>27</v>
      </c>
      <c r="B588" s="55" t="n">
        <v>1691</v>
      </c>
      <c r="C588" s="56" t="n">
        <v>46309.3754150579</v>
      </c>
      <c r="D588" s="55" t="n">
        <v>9</v>
      </c>
      <c r="E588" s="54" t="s">
        <v>214</v>
      </c>
      <c r="F588" s="54" t="s">
        <v>859</v>
      </c>
      <c r="G588" s="54" t="s">
        <v>860</v>
      </c>
      <c r="H588" s="54" t="s">
        <v>861</v>
      </c>
      <c r="I588" s="54" t="s">
        <v>347</v>
      </c>
      <c r="J588" s="54" t="s">
        <v>862</v>
      </c>
      <c r="K588" s="58" t="n">
        <v>72</v>
      </c>
      <c r="L588" s="54" t="s">
        <v>863</v>
      </c>
      <c r="M588" s="54" t="s">
        <v>212</v>
      </c>
      <c r="N588" s="54" t="s">
        <v>214</v>
      </c>
      <c r="O588" s="58" t="n">
        <v>329.8</v>
      </c>
      <c r="P588" s="54" t="s">
        <v>212</v>
      </c>
      <c r="Q588" s="58"/>
    </row>
    <row r="589" customFormat="false" ht="15" hidden="false" customHeight="false" outlineLevel="0" collapsed="false">
      <c r="A589" s="54" t="s">
        <v>27</v>
      </c>
      <c r="B589" s="55" t="n">
        <v>1709</v>
      </c>
      <c r="C589" s="56" t="n">
        <v>46309.3754344329</v>
      </c>
      <c r="D589" s="55" t="n">
        <v>9</v>
      </c>
      <c r="E589" s="54" t="s">
        <v>214</v>
      </c>
      <c r="F589" s="54" t="s">
        <v>859</v>
      </c>
      <c r="G589" s="54" t="s">
        <v>860</v>
      </c>
      <c r="H589" s="54" t="s">
        <v>861</v>
      </c>
      <c r="I589" s="54" t="s">
        <v>347</v>
      </c>
      <c r="J589" s="54" t="s">
        <v>862</v>
      </c>
      <c r="K589" s="58" t="n">
        <v>72</v>
      </c>
      <c r="L589" s="54" t="s">
        <v>863</v>
      </c>
      <c r="M589" s="54" t="s">
        <v>212</v>
      </c>
      <c r="N589" s="54" t="s">
        <v>214</v>
      </c>
      <c r="O589" s="58" t="n">
        <v>95.3</v>
      </c>
      <c r="P589" s="54" t="s">
        <v>212</v>
      </c>
      <c r="Q589" s="58"/>
    </row>
    <row r="590" customFormat="false" ht="15" hidden="false" customHeight="false" outlineLevel="0" collapsed="false">
      <c r="A590" s="54" t="s">
        <v>27</v>
      </c>
      <c r="B590" s="55" t="n">
        <v>1749</v>
      </c>
      <c r="C590" s="56" t="n">
        <v>46309.3754431366</v>
      </c>
      <c r="D590" s="55" t="n">
        <v>9</v>
      </c>
      <c r="E590" s="54" t="s">
        <v>214</v>
      </c>
      <c r="F590" s="54" t="s">
        <v>859</v>
      </c>
      <c r="G590" s="54" t="s">
        <v>860</v>
      </c>
      <c r="H590" s="54" t="s">
        <v>861</v>
      </c>
      <c r="I590" s="54" t="s">
        <v>347</v>
      </c>
      <c r="J590" s="54" t="s">
        <v>862</v>
      </c>
      <c r="K590" s="58" t="n">
        <v>72</v>
      </c>
      <c r="L590" s="54" t="s">
        <v>863</v>
      </c>
      <c r="M590" s="54" t="s">
        <v>212</v>
      </c>
      <c r="N590" s="54" t="s">
        <v>212</v>
      </c>
      <c r="O590" s="58"/>
      <c r="P590" s="54" t="s">
        <v>212</v>
      </c>
      <c r="Q590" s="58"/>
    </row>
    <row r="591" customFormat="false" ht="15" hidden="false" customHeight="false" outlineLevel="0" collapsed="false">
      <c r="A591" s="54" t="s">
        <v>27</v>
      </c>
      <c r="B591" s="55" t="n">
        <v>1754</v>
      </c>
      <c r="C591" s="56" t="n">
        <v>46309.3755507755</v>
      </c>
      <c r="D591" s="55" t="n">
        <v>9</v>
      </c>
      <c r="E591" s="54" t="s">
        <v>214</v>
      </c>
      <c r="F591" s="54" t="s">
        <v>859</v>
      </c>
      <c r="G591" s="54" t="s">
        <v>860</v>
      </c>
      <c r="H591" s="54" t="s">
        <v>861</v>
      </c>
      <c r="I591" s="54" t="s">
        <v>347</v>
      </c>
      <c r="J591" s="54" t="s">
        <v>862</v>
      </c>
      <c r="K591" s="58" t="n">
        <v>72</v>
      </c>
      <c r="L591" s="54" t="s">
        <v>863</v>
      </c>
      <c r="M591" s="54" t="s">
        <v>212</v>
      </c>
      <c r="N591" s="54" t="s">
        <v>214</v>
      </c>
      <c r="O591" s="58" t="n">
        <v>18.4</v>
      </c>
      <c r="P591" s="54" t="s">
        <v>212</v>
      </c>
      <c r="Q591" s="58"/>
    </row>
    <row r="592" customFormat="false" ht="15" hidden="false" customHeight="false" outlineLevel="0" collapsed="false">
      <c r="A592" s="54" t="s">
        <v>27</v>
      </c>
      <c r="B592" s="55" t="n">
        <v>1732</v>
      </c>
      <c r="C592" s="56" t="n">
        <v>46309.3756393287</v>
      </c>
      <c r="D592" s="55" t="n">
        <v>9</v>
      </c>
      <c r="E592" s="54" t="s">
        <v>214</v>
      </c>
      <c r="F592" s="54" t="s">
        <v>859</v>
      </c>
      <c r="G592" s="54" t="s">
        <v>860</v>
      </c>
      <c r="H592" s="54" t="s">
        <v>861</v>
      </c>
      <c r="I592" s="54" t="s">
        <v>347</v>
      </c>
      <c r="J592" s="54" t="s">
        <v>862</v>
      </c>
      <c r="K592" s="58" t="n">
        <v>72</v>
      </c>
      <c r="L592" s="54" t="s">
        <v>863</v>
      </c>
      <c r="M592" s="54" t="s">
        <v>212</v>
      </c>
      <c r="N592" s="54" t="s">
        <v>214</v>
      </c>
      <c r="O592" s="58" t="n">
        <v>14.5</v>
      </c>
      <c r="P592" s="54" t="s">
        <v>212</v>
      </c>
      <c r="Q592" s="58"/>
    </row>
    <row r="593" customFormat="false" ht="15" hidden="false" customHeight="false" outlineLevel="0" collapsed="false">
      <c r="A593" s="54" t="s">
        <v>27</v>
      </c>
      <c r="B593" s="55" t="n">
        <v>1502</v>
      </c>
      <c r="C593" s="56" t="n">
        <v>46309.3767968634</v>
      </c>
      <c r="D593" s="55" t="n">
        <v>9</v>
      </c>
      <c r="E593" s="54" t="s">
        <v>214</v>
      </c>
      <c r="F593" s="54" t="s">
        <v>130</v>
      </c>
      <c r="G593" s="54" t="s">
        <v>118</v>
      </c>
      <c r="H593" s="54" t="s">
        <v>215</v>
      </c>
      <c r="I593" s="54" t="s">
        <v>347</v>
      </c>
      <c r="J593" s="54" t="s">
        <v>862</v>
      </c>
      <c r="K593" s="58" t="n">
        <v>143.1</v>
      </c>
      <c r="L593" s="54" t="s">
        <v>212</v>
      </c>
      <c r="M593" s="54" t="s">
        <v>212</v>
      </c>
      <c r="N593" s="54" t="s">
        <v>214</v>
      </c>
      <c r="O593" s="58" t="n">
        <v>6.7</v>
      </c>
      <c r="P593" s="54" t="s">
        <v>212</v>
      </c>
      <c r="Q593" s="58"/>
    </row>
    <row r="594" customFormat="false" ht="15" hidden="false" customHeight="false" outlineLevel="0" collapsed="false">
      <c r="A594" s="54" t="s">
        <v>27</v>
      </c>
      <c r="B594" s="55" t="n">
        <v>1764</v>
      </c>
      <c r="C594" s="56" t="n">
        <v>46309.3809077546</v>
      </c>
      <c r="D594" s="55" t="n">
        <v>9</v>
      </c>
      <c r="E594" s="54" t="s">
        <v>214</v>
      </c>
      <c r="F594" s="54" t="s">
        <v>859</v>
      </c>
      <c r="G594" s="54" t="s">
        <v>860</v>
      </c>
      <c r="H594" s="54" t="s">
        <v>861</v>
      </c>
      <c r="I594" s="54" t="s">
        <v>347</v>
      </c>
      <c r="J594" s="54" t="s">
        <v>862</v>
      </c>
      <c r="K594" s="58" t="n">
        <v>72</v>
      </c>
      <c r="L594" s="54" t="s">
        <v>863</v>
      </c>
      <c r="M594" s="54" t="s">
        <v>212</v>
      </c>
      <c r="N594" s="54" t="s">
        <v>214</v>
      </c>
      <c r="O594" s="58" t="n">
        <v>142.7</v>
      </c>
      <c r="P594" s="54" t="s">
        <v>212</v>
      </c>
      <c r="Q594" s="58"/>
    </row>
    <row r="595" customFormat="false" ht="15" hidden="false" customHeight="false" outlineLevel="0" collapsed="false">
      <c r="A595" s="54" t="s">
        <v>27</v>
      </c>
      <c r="B595" s="55" t="n">
        <v>1767</v>
      </c>
      <c r="C595" s="56" t="n">
        <v>46309.3811356713</v>
      </c>
      <c r="D595" s="55" t="n">
        <v>9</v>
      </c>
      <c r="E595" s="54" t="s">
        <v>214</v>
      </c>
      <c r="F595" s="54" t="s">
        <v>859</v>
      </c>
      <c r="G595" s="54" t="s">
        <v>860</v>
      </c>
      <c r="H595" s="54" t="s">
        <v>861</v>
      </c>
      <c r="I595" s="54" t="s">
        <v>347</v>
      </c>
      <c r="J595" s="54" t="s">
        <v>862</v>
      </c>
      <c r="K595" s="58" t="n">
        <v>72</v>
      </c>
      <c r="L595" s="54" t="s">
        <v>863</v>
      </c>
      <c r="M595" s="54" t="s">
        <v>212</v>
      </c>
      <c r="N595" s="54" t="s">
        <v>214</v>
      </c>
      <c r="O595" s="58" t="n">
        <v>17.5</v>
      </c>
      <c r="P595" s="54" t="s">
        <v>212</v>
      </c>
      <c r="Q595" s="58"/>
    </row>
    <row r="596" customFormat="false" ht="15" hidden="false" customHeight="false" outlineLevel="0" collapsed="false">
      <c r="A596" s="54" t="s">
        <v>27</v>
      </c>
      <c r="B596" s="55" t="n">
        <v>1769</v>
      </c>
      <c r="C596" s="56" t="n">
        <v>46309.3813449537</v>
      </c>
      <c r="D596" s="55" t="n">
        <v>9</v>
      </c>
      <c r="E596" s="54" t="s">
        <v>214</v>
      </c>
      <c r="F596" s="54" t="s">
        <v>859</v>
      </c>
      <c r="G596" s="54" t="s">
        <v>860</v>
      </c>
      <c r="H596" s="54" t="s">
        <v>861</v>
      </c>
      <c r="I596" s="54" t="s">
        <v>347</v>
      </c>
      <c r="J596" s="54" t="s">
        <v>862</v>
      </c>
      <c r="K596" s="58" t="n">
        <v>72</v>
      </c>
      <c r="L596" s="54" t="s">
        <v>863</v>
      </c>
      <c r="M596" s="54" t="s">
        <v>212</v>
      </c>
      <c r="N596" s="54" t="s">
        <v>212</v>
      </c>
      <c r="O596" s="58"/>
      <c r="P596" s="54" t="s">
        <v>212</v>
      </c>
      <c r="Q596" s="58"/>
    </row>
    <row r="597" customFormat="false" ht="15" hidden="false" customHeight="false" outlineLevel="0" collapsed="false">
      <c r="A597" s="54" t="s">
        <v>27</v>
      </c>
      <c r="B597" s="55" t="n">
        <v>1801</v>
      </c>
      <c r="C597" s="56" t="n">
        <v>46309.3852460764</v>
      </c>
      <c r="D597" s="55" t="n">
        <v>9</v>
      </c>
      <c r="E597" s="54" t="s">
        <v>214</v>
      </c>
      <c r="F597" s="54" t="s">
        <v>130</v>
      </c>
      <c r="G597" s="54" t="s">
        <v>118</v>
      </c>
      <c r="H597" s="54" t="s">
        <v>215</v>
      </c>
      <c r="I597" s="54" t="s">
        <v>477</v>
      </c>
      <c r="J597" s="54" t="s">
        <v>864</v>
      </c>
      <c r="K597" s="58" t="n">
        <v>127.3</v>
      </c>
      <c r="L597" s="54" t="s">
        <v>212</v>
      </c>
      <c r="M597" s="54" t="s">
        <v>214</v>
      </c>
      <c r="N597" s="54" t="s">
        <v>212</v>
      </c>
      <c r="O597" s="58"/>
      <c r="P597" s="54" t="s">
        <v>212</v>
      </c>
      <c r="Q597" s="58"/>
    </row>
    <row r="598" customFormat="false" ht="15" hidden="false" customHeight="false" outlineLevel="0" collapsed="false">
      <c r="A598" s="54" t="s">
        <v>27</v>
      </c>
      <c r="B598" s="55" t="n">
        <v>1773</v>
      </c>
      <c r="C598" s="56" t="n">
        <v>46309.3856546759</v>
      </c>
      <c r="D598" s="55" t="n">
        <v>9</v>
      </c>
      <c r="E598" s="54" t="s">
        <v>214</v>
      </c>
      <c r="F598" s="54" t="s">
        <v>859</v>
      </c>
      <c r="G598" s="54" t="s">
        <v>860</v>
      </c>
      <c r="H598" s="54" t="s">
        <v>861</v>
      </c>
      <c r="I598" s="54" t="s">
        <v>347</v>
      </c>
      <c r="J598" s="54" t="s">
        <v>862</v>
      </c>
      <c r="K598" s="58" t="n">
        <v>72</v>
      </c>
      <c r="L598" s="54" t="s">
        <v>863</v>
      </c>
      <c r="M598" s="54" t="s">
        <v>212</v>
      </c>
      <c r="N598" s="54" t="s">
        <v>212</v>
      </c>
      <c r="O598" s="58"/>
      <c r="P598" s="54" t="s">
        <v>212</v>
      </c>
      <c r="Q598" s="58"/>
    </row>
    <row r="599" customFormat="false" ht="15" hidden="false" customHeight="false" outlineLevel="0" collapsed="false">
      <c r="A599" s="54" t="s">
        <v>27</v>
      </c>
      <c r="B599" s="55" t="n">
        <v>1810</v>
      </c>
      <c r="C599" s="56" t="n">
        <v>46309.4171789468</v>
      </c>
      <c r="D599" s="55" t="n">
        <v>10</v>
      </c>
      <c r="E599" s="54" t="s">
        <v>214</v>
      </c>
      <c r="F599" s="54" t="s">
        <v>127</v>
      </c>
      <c r="G599" s="54" t="s">
        <v>118</v>
      </c>
      <c r="H599" s="54" t="s">
        <v>220</v>
      </c>
      <c r="I599" s="54" t="s">
        <v>477</v>
      </c>
      <c r="J599" s="54" t="s">
        <v>864</v>
      </c>
      <c r="K599" s="58" t="n">
        <v>105.2</v>
      </c>
      <c r="L599" s="54" t="s">
        <v>212</v>
      </c>
      <c r="M599" s="54" t="s">
        <v>214</v>
      </c>
      <c r="N599" s="54" t="s">
        <v>214</v>
      </c>
      <c r="O599" s="58" t="n">
        <v>159.6</v>
      </c>
      <c r="P599" s="54" t="s">
        <v>212</v>
      </c>
      <c r="Q599" s="58"/>
    </row>
    <row r="600" customFormat="false" ht="15" hidden="false" customHeight="false" outlineLevel="0" collapsed="false">
      <c r="A600" s="54" t="s">
        <v>27</v>
      </c>
      <c r="B600" s="55" t="n">
        <v>1819</v>
      </c>
      <c r="C600" s="56" t="n">
        <v>46309.4321818403</v>
      </c>
      <c r="D600" s="55" t="n">
        <v>10</v>
      </c>
      <c r="E600" s="54" t="s">
        <v>214</v>
      </c>
      <c r="F600" s="54" t="s">
        <v>130</v>
      </c>
      <c r="G600" s="54" t="s">
        <v>118</v>
      </c>
      <c r="H600" s="54" t="s">
        <v>215</v>
      </c>
      <c r="I600" s="54" t="s">
        <v>477</v>
      </c>
      <c r="J600" s="54" t="s">
        <v>864</v>
      </c>
      <c r="K600" s="58" t="n">
        <v>106.4</v>
      </c>
      <c r="L600" s="54" t="s">
        <v>212</v>
      </c>
      <c r="M600" s="54" t="s">
        <v>214</v>
      </c>
      <c r="N600" s="54" t="s">
        <v>212</v>
      </c>
      <c r="O600" s="58"/>
      <c r="P600" s="54" t="s">
        <v>214</v>
      </c>
      <c r="Q600" s="58" t="n">
        <v>6.4</v>
      </c>
    </row>
    <row r="601" customFormat="false" ht="15" hidden="false" customHeight="false" outlineLevel="0" collapsed="false">
      <c r="A601" s="54" t="s">
        <v>27</v>
      </c>
      <c r="B601" s="55" t="n">
        <v>1797</v>
      </c>
      <c r="C601" s="56" t="n">
        <v>46309.4457848148</v>
      </c>
      <c r="D601" s="55" t="n">
        <v>10</v>
      </c>
      <c r="E601" s="54" t="s">
        <v>214</v>
      </c>
      <c r="F601" s="54" t="s">
        <v>859</v>
      </c>
      <c r="G601" s="54" t="s">
        <v>860</v>
      </c>
      <c r="H601" s="54" t="s">
        <v>861</v>
      </c>
      <c r="I601" s="54" t="s">
        <v>347</v>
      </c>
      <c r="J601" s="54" t="s">
        <v>862</v>
      </c>
      <c r="K601" s="58" t="n">
        <v>72</v>
      </c>
      <c r="L601" s="54" t="s">
        <v>863</v>
      </c>
      <c r="M601" s="54" t="s">
        <v>212</v>
      </c>
      <c r="N601" s="54" t="s">
        <v>214</v>
      </c>
      <c r="O601" s="58" t="n">
        <v>1585.8</v>
      </c>
      <c r="P601" s="54" t="s">
        <v>212</v>
      </c>
      <c r="Q601" s="58"/>
    </row>
    <row r="602" customFormat="false" ht="15" hidden="false" customHeight="false" outlineLevel="0" collapsed="false">
      <c r="A602" s="54" t="s">
        <v>27</v>
      </c>
      <c r="B602" s="55" t="n">
        <v>1801</v>
      </c>
      <c r="C602" s="56" t="n">
        <v>46309.4613221181</v>
      </c>
      <c r="D602" s="55" t="n">
        <v>11</v>
      </c>
      <c r="E602" s="54" t="s">
        <v>214</v>
      </c>
      <c r="F602" s="54" t="s">
        <v>859</v>
      </c>
      <c r="G602" s="54" t="s">
        <v>860</v>
      </c>
      <c r="H602" s="54" t="s">
        <v>861</v>
      </c>
      <c r="I602" s="54" t="s">
        <v>347</v>
      </c>
      <c r="J602" s="54" t="s">
        <v>862</v>
      </c>
      <c r="K602" s="58" t="n">
        <v>72</v>
      </c>
      <c r="L602" s="54" t="s">
        <v>863</v>
      </c>
      <c r="M602" s="54" t="s">
        <v>212</v>
      </c>
      <c r="N602" s="54" t="s">
        <v>212</v>
      </c>
      <c r="O602" s="58"/>
      <c r="P602" s="54" t="s">
        <v>212</v>
      </c>
      <c r="Q602" s="58"/>
    </row>
    <row r="603" customFormat="false" ht="15" hidden="false" customHeight="false" outlineLevel="0" collapsed="false">
      <c r="A603" s="54" t="s">
        <v>27</v>
      </c>
      <c r="B603" s="55" t="n">
        <v>1533</v>
      </c>
      <c r="C603" s="56" t="n">
        <v>46309.4794775347</v>
      </c>
      <c r="D603" s="55" t="n">
        <v>11</v>
      </c>
      <c r="E603" s="54" t="s">
        <v>214</v>
      </c>
      <c r="F603" s="54" t="s">
        <v>127</v>
      </c>
      <c r="G603" s="54" t="s">
        <v>118</v>
      </c>
      <c r="H603" s="54" t="s">
        <v>220</v>
      </c>
      <c r="I603" s="54" t="s">
        <v>347</v>
      </c>
      <c r="J603" s="54" t="s">
        <v>862</v>
      </c>
      <c r="K603" s="58" t="n">
        <v>57</v>
      </c>
      <c r="L603" s="54" t="s">
        <v>214</v>
      </c>
      <c r="M603" s="54" t="s">
        <v>212</v>
      </c>
      <c r="N603" s="54" t="s">
        <v>214</v>
      </c>
      <c r="O603" s="58" t="n">
        <v>0.2</v>
      </c>
      <c r="P603" s="54" t="s">
        <v>214</v>
      </c>
      <c r="Q603" s="58" t="n">
        <v>2.7</v>
      </c>
    </row>
    <row r="604" customFormat="false" ht="15" hidden="false" customHeight="false" outlineLevel="0" collapsed="false">
      <c r="A604" s="54" t="s">
        <v>27</v>
      </c>
      <c r="B604" s="55" t="n">
        <v>1811</v>
      </c>
      <c r="C604" s="56" t="n">
        <v>46309.4815869792</v>
      </c>
      <c r="D604" s="55" t="n">
        <v>11</v>
      </c>
      <c r="E604" s="54" t="s">
        <v>214</v>
      </c>
      <c r="F604" s="54" t="s">
        <v>859</v>
      </c>
      <c r="G604" s="54" t="s">
        <v>860</v>
      </c>
      <c r="H604" s="54" t="s">
        <v>861</v>
      </c>
      <c r="I604" s="54" t="s">
        <v>347</v>
      </c>
      <c r="J604" s="54" t="s">
        <v>862</v>
      </c>
      <c r="K604" s="58" t="n">
        <v>72</v>
      </c>
      <c r="L604" s="54" t="s">
        <v>863</v>
      </c>
      <c r="M604" s="54" t="s">
        <v>212</v>
      </c>
      <c r="N604" s="54" t="s">
        <v>212</v>
      </c>
      <c r="O604" s="58"/>
      <c r="P604" s="54" t="s">
        <v>212</v>
      </c>
      <c r="Q604" s="58"/>
    </row>
    <row r="605" customFormat="false" ht="15" hidden="false" customHeight="false" outlineLevel="0" collapsed="false">
      <c r="A605" s="54" t="s">
        <v>27</v>
      </c>
      <c r="B605" s="55" t="n">
        <v>1814</v>
      </c>
      <c r="C605" s="56" t="n">
        <v>46309.4892405208</v>
      </c>
      <c r="D605" s="55" t="n">
        <v>11</v>
      </c>
      <c r="E605" s="54" t="s">
        <v>214</v>
      </c>
      <c r="F605" s="54" t="s">
        <v>859</v>
      </c>
      <c r="G605" s="54" t="s">
        <v>860</v>
      </c>
      <c r="H605" s="54" t="s">
        <v>861</v>
      </c>
      <c r="I605" s="54" t="s">
        <v>347</v>
      </c>
      <c r="J605" s="54" t="s">
        <v>862</v>
      </c>
      <c r="K605" s="58" t="n">
        <v>72</v>
      </c>
      <c r="L605" s="54" t="s">
        <v>863</v>
      </c>
      <c r="M605" s="54" t="s">
        <v>212</v>
      </c>
      <c r="N605" s="54" t="s">
        <v>212</v>
      </c>
      <c r="O605" s="58"/>
      <c r="P605" s="54" t="s">
        <v>212</v>
      </c>
      <c r="Q605" s="58"/>
    </row>
    <row r="606" customFormat="false" ht="15" hidden="false" customHeight="false" outlineLevel="0" collapsed="false">
      <c r="A606" s="54" t="s">
        <v>27</v>
      </c>
      <c r="B606" s="55" t="n">
        <v>1786</v>
      </c>
      <c r="C606" s="56" t="n">
        <v>46309.492860625</v>
      </c>
      <c r="D606" s="55" t="n">
        <v>11</v>
      </c>
      <c r="E606" s="54" t="s">
        <v>214</v>
      </c>
      <c r="F606" s="54" t="s">
        <v>859</v>
      </c>
      <c r="G606" s="54" t="s">
        <v>860</v>
      </c>
      <c r="H606" s="54" t="s">
        <v>861</v>
      </c>
      <c r="I606" s="54" t="s">
        <v>347</v>
      </c>
      <c r="J606" s="54" t="s">
        <v>862</v>
      </c>
      <c r="K606" s="58" t="n">
        <v>72</v>
      </c>
      <c r="L606" s="54" t="s">
        <v>863</v>
      </c>
      <c r="M606" s="54" t="s">
        <v>212</v>
      </c>
      <c r="N606" s="54" t="s">
        <v>214</v>
      </c>
      <c r="O606" s="58" t="n">
        <v>180.9</v>
      </c>
      <c r="P606" s="54" t="s">
        <v>214</v>
      </c>
      <c r="Q606" s="58" t="n">
        <v>184.7</v>
      </c>
    </row>
    <row r="607" customFormat="false" ht="15" hidden="false" customHeight="false" outlineLevel="0" collapsed="false">
      <c r="A607" s="54" t="s">
        <v>27</v>
      </c>
      <c r="B607" s="55" t="n">
        <v>1777</v>
      </c>
      <c r="C607" s="56" t="n">
        <v>46309.4970149653</v>
      </c>
      <c r="D607" s="55" t="n">
        <v>11</v>
      </c>
      <c r="E607" s="54" t="s">
        <v>214</v>
      </c>
      <c r="F607" s="54" t="s">
        <v>859</v>
      </c>
      <c r="G607" s="54" t="s">
        <v>860</v>
      </c>
      <c r="H607" s="54" t="s">
        <v>861</v>
      </c>
      <c r="I607" s="54" t="s">
        <v>347</v>
      </c>
      <c r="J607" s="54" t="s">
        <v>862</v>
      </c>
      <c r="K607" s="58" t="n">
        <v>72</v>
      </c>
      <c r="L607" s="54" t="s">
        <v>863</v>
      </c>
      <c r="M607" s="54" t="s">
        <v>212</v>
      </c>
      <c r="N607" s="54" t="s">
        <v>214</v>
      </c>
      <c r="O607" s="58" t="n">
        <v>1.1</v>
      </c>
      <c r="P607" s="54" t="s">
        <v>212</v>
      </c>
      <c r="Q607" s="58"/>
    </row>
    <row r="608" customFormat="false" ht="15" hidden="false" customHeight="false" outlineLevel="0" collapsed="false">
      <c r="A608" s="54" t="s">
        <v>27</v>
      </c>
      <c r="B608" s="55" t="n">
        <v>1789</v>
      </c>
      <c r="C608" s="56" t="n">
        <v>46309.5009228472</v>
      </c>
      <c r="D608" s="55" t="n">
        <v>12</v>
      </c>
      <c r="E608" s="54" t="s">
        <v>214</v>
      </c>
      <c r="F608" s="54" t="s">
        <v>859</v>
      </c>
      <c r="G608" s="54" t="s">
        <v>860</v>
      </c>
      <c r="H608" s="54" t="s">
        <v>861</v>
      </c>
      <c r="I608" s="54" t="s">
        <v>347</v>
      </c>
      <c r="J608" s="54" t="s">
        <v>862</v>
      </c>
      <c r="K608" s="58" t="n">
        <v>72</v>
      </c>
      <c r="L608" s="54" t="s">
        <v>863</v>
      </c>
      <c r="M608" s="54" t="s">
        <v>212</v>
      </c>
      <c r="N608" s="54" t="s">
        <v>214</v>
      </c>
      <c r="O608" s="58" t="n">
        <v>0.2</v>
      </c>
      <c r="P608" s="54" t="s">
        <v>214</v>
      </c>
      <c r="Q608" s="58" t="n">
        <v>0.7</v>
      </c>
    </row>
    <row r="609" customFormat="false" ht="15" hidden="false" customHeight="false" outlineLevel="0" collapsed="false">
      <c r="A609" s="54" t="s">
        <v>27</v>
      </c>
      <c r="B609" s="55" t="n">
        <v>1832</v>
      </c>
      <c r="C609" s="56" t="n">
        <v>46309.506924456</v>
      </c>
      <c r="D609" s="55" t="n">
        <v>12</v>
      </c>
      <c r="E609" s="54" t="s">
        <v>214</v>
      </c>
      <c r="F609" s="54" t="s">
        <v>130</v>
      </c>
      <c r="G609" s="54" t="s">
        <v>118</v>
      </c>
      <c r="H609" s="54" t="s">
        <v>215</v>
      </c>
      <c r="I609" s="54" t="s">
        <v>477</v>
      </c>
      <c r="J609" s="54" t="s">
        <v>864</v>
      </c>
      <c r="K609" s="58" t="n">
        <v>103.1</v>
      </c>
      <c r="L609" s="54" t="s">
        <v>212</v>
      </c>
      <c r="M609" s="54" t="s">
        <v>214</v>
      </c>
      <c r="N609" s="54" t="s">
        <v>212</v>
      </c>
      <c r="O609" s="58"/>
      <c r="P609" s="54" t="s">
        <v>214</v>
      </c>
      <c r="Q609" s="58" t="n">
        <v>75.7</v>
      </c>
    </row>
    <row r="610" customFormat="false" ht="15" hidden="false" customHeight="false" outlineLevel="0" collapsed="false">
      <c r="A610" s="54" t="s">
        <v>27</v>
      </c>
      <c r="B610" s="55" t="n">
        <v>1826</v>
      </c>
      <c r="C610" s="56" t="n">
        <v>46309.5431038889</v>
      </c>
      <c r="D610" s="55" t="n">
        <v>13</v>
      </c>
      <c r="E610" s="54" t="s">
        <v>214</v>
      </c>
      <c r="F610" s="54" t="s">
        <v>859</v>
      </c>
      <c r="G610" s="54" t="s">
        <v>860</v>
      </c>
      <c r="H610" s="54" t="s">
        <v>861</v>
      </c>
      <c r="I610" s="54" t="s">
        <v>347</v>
      </c>
      <c r="J610" s="54" t="s">
        <v>862</v>
      </c>
      <c r="K610" s="58" t="n">
        <v>72</v>
      </c>
      <c r="L610" s="54" t="s">
        <v>863</v>
      </c>
      <c r="M610" s="54" t="s">
        <v>212</v>
      </c>
      <c r="N610" s="54" t="s">
        <v>214</v>
      </c>
      <c r="O610" s="58" t="n">
        <v>0.6</v>
      </c>
      <c r="P610" s="54" t="s">
        <v>214</v>
      </c>
      <c r="Q610" s="58" t="n">
        <v>1.2</v>
      </c>
    </row>
    <row r="611" customFormat="false" ht="15" hidden="false" customHeight="false" outlineLevel="0" collapsed="false">
      <c r="A611" s="54" t="s">
        <v>27</v>
      </c>
      <c r="B611" s="55" t="n">
        <v>1858</v>
      </c>
      <c r="C611" s="56" t="n">
        <v>46309.5573449306</v>
      </c>
      <c r="D611" s="55" t="n">
        <v>13</v>
      </c>
      <c r="E611" s="54" t="s">
        <v>214</v>
      </c>
      <c r="F611" s="54" t="s">
        <v>129</v>
      </c>
      <c r="G611" s="54" t="s">
        <v>118</v>
      </c>
      <c r="H611" s="54" t="s">
        <v>220</v>
      </c>
      <c r="I611" s="54" t="s">
        <v>477</v>
      </c>
      <c r="J611" s="54" t="s">
        <v>864</v>
      </c>
      <c r="K611" s="58" t="n">
        <v>116.9</v>
      </c>
      <c r="L611" s="54" t="s">
        <v>212</v>
      </c>
      <c r="M611" s="54" t="s">
        <v>214</v>
      </c>
      <c r="N611" s="54" t="s">
        <v>214</v>
      </c>
      <c r="O611" s="58" t="n">
        <v>10.6</v>
      </c>
      <c r="P611" s="54" t="s">
        <v>214</v>
      </c>
      <c r="Q611" s="58" t="n">
        <v>17.3</v>
      </c>
    </row>
    <row r="612" customFormat="false" ht="15" hidden="false" customHeight="false" outlineLevel="0" collapsed="false">
      <c r="A612" s="54" t="s">
        <v>27</v>
      </c>
      <c r="B612" s="55" t="n">
        <v>1828</v>
      </c>
      <c r="C612" s="56" t="n">
        <v>46309.5628176852</v>
      </c>
      <c r="D612" s="55" t="n">
        <v>13</v>
      </c>
      <c r="E612" s="54" t="s">
        <v>214</v>
      </c>
      <c r="F612" s="54" t="s">
        <v>859</v>
      </c>
      <c r="G612" s="54" t="s">
        <v>860</v>
      </c>
      <c r="H612" s="54" t="s">
        <v>861</v>
      </c>
      <c r="I612" s="54" t="s">
        <v>347</v>
      </c>
      <c r="J612" s="54" t="s">
        <v>862</v>
      </c>
      <c r="K612" s="58" t="n">
        <v>72</v>
      </c>
      <c r="L612" s="54" t="s">
        <v>863</v>
      </c>
      <c r="M612" s="54" t="s">
        <v>212</v>
      </c>
      <c r="N612" s="54" t="s">
        <v>214</v>
      </c>
      <c r="O612" s="58" t="n">
        <v>47.3</v>
      </c>
      <c r="P612" s="54" t="s">
        <v>212</v>
      </c>
      <c r="Q612" s="58"/>
    </row>
    <row r="613" customFormat="false" ht="15" hidden="false" customHeight="false" outlineLevel="0" collapsed="false">
      <c r="A613" s="54" t="s">
        <v>27</v>
      </c>
      <c r="B613" s="55" t="n">
        <v>1858</v>
      </c>
      <c r="C613" s="56" t="n">
        <v>46309.5741278935</v>
      </c>
      <c r="D613" s="55" t="n">
        <v>13</v>
      </c>
      <c r="E613" s="54" t="s">
        <v>214</v>
      </c>
      <c r="F613" s="54" t="s">
        <v>129</v>
      </c>
      <c r="G613" s="54" t="s">
        <v>118</v>
      </c>
      <c r="H613" s="54" t="s">
        <v>220</v>
      </c>
      <c r="I613" s="54" t="s">
        <v>688</v>
      </c>
      <c r="J613" s="54" t="s">
        <v>868</v>
      </c>
      <c r="K613" s="58" t="n">
        <v>118.7</v>
      </c>
      <c r="L613" s="54" t="s">
        <v>212</v>
      </c>
      <c r="M613" s="54" t="s">
        <v>212</v>
      </c>
      <c r="N613" s="54" t="s">
        <v>214</v>
      </c>
      <c r="O613" s="58" t="n">
        <v>1.2</v>
      </c>
      <c r="P613" s="54" t="s">
        <v>214</v>
      </c>
      <c r="Q613" s="58" t="n">
        <v>4.9</v>
      </c>
    </row>
    <row r="614" customFormat="false" ht="15" hidden="false" customHeight="false" outlineLevel="0" collapsed="false">
      <c r="A614" s="54" t="s">
        <v>27</v>
      </c>
      <c r="B614" s="55" t="n">
        <v>1810</v>
      </c>
      <c r="C614" s="56" t="n">
        <v>46309.5944722801</v>
      </c>
      <c r="D614" s="55" t="n">
        <v>14</v>
      </c>
      <c r="E614" s="54" t="s">
        <v>214</v>
      </c>
      <c r="F614" s="54" t="s">
        <v>859</v>
      </c>
      <c r="G614" s="54" t="s">
        <v>860</v>
      </c>
      <c r="H614" s="54" t="s">
        <v>861</v>
      </c>
      <c r="I614" s="54" t="s">
        <v>347</v>
      </c>
      <c r="J614" s="54" t="s">
        <v>862</v>
      </c>
      <c r="K614" s="58" t="n">
        <v>72</v>
      </c>
      <c r="L614" s="54" t="s">
        <v>863</v>
      </c>
      <c r="M614" s="54" t="s">
        <v>212</v>
      </c>
      <c r="N614" s="54" t="s">
        <v>214</v>
      </c>
      <c r="O614" s="58" t="n">
        <v>113.8</v>
      </c>
      <c r="P614" s="54" t="s">
        <v>212</v>
      </c>
      <c r="Q614" s="58"/>
    </row>
    <row r="615" customFormat="false" ht="15" hidden="false" customHeight="false" outlineLevel="0" collapsed="false">
      <c r="A615" s="54" t="s">
        <v>27</v>
      </c>
      <c r="B615" s="55" t="n">
        <v>1871</v>
      </c>
      <c r="C615" s="56" t="n">
        <v>46309.6097258912</v>
      </c>
      <c r="D615" s="55" t="n">
        <v>14</v>
      </c>
      <c r="E615" s="54" t="s">
        <v>214</v>
      </c>
      <c r="F615" s="54" t="s">
        <v>127</v>
      </c>
      <c r="G615" s="54" t="s">
        <v>118</v>
      </c>
      <c r="H615" s="54" t="s">
        <v>220</v>
      </c>
      <c r="I615" s="54" t="s">
        <v>477</v>
      </c>
      <c r="J615" s="54" t="s">
        <v>864</v>
      </c>
      <c r="K615" s="58" t="n">
        <v>126.5</v>
      </c>
      <c r="L615" s="54" t="s">
        <v>212</v>
      </c>
      <c r="M615" s="54" t="s">
        <v>214</v>
      </c>
      <c r="N615" s="54" t="s">
        <v>214</v>
      </c>
      <c r="O615" s="58" t="n">
        <v>17</v>
      </c>
      <c r="P615" s="54" t="s">
        <v>212</v>
      </c>
      <c r="Q615" s="58"/>
    </row>
    <row r="616" customFormat="false" ht="15" hidden="false" customHeight="false" outlineLevel="0" collapsed="false">
      <c r="A616" s="54" t="s">
        <v>27</v>
      </c>
      <c r="B616" s="55" t="n">
        <v>1857</v>
      </c>
      <c r="C616" s="56" t="n">
        <v>46309.6370993866</v>
      </c>
      <c r="D616" s="55" t="n">
        <v>15</v>
      </c>
      <c r="E616" s="54" t="s">
        <v>214</v>
      </c>
      <c r="F616" s="54" t="s">
        <v>859</v>
      </c>
      <c r="G616" s="54" t="s">
        <v>860</v>
      </c>
      <c r="H616" s="54" t="s">
        <v>861</v>
      </c>
      <c r="I616" s="54" t="s">
        <v>347</v>
      </c>
      <c r="J616" s="54" t="s">
        <v>862</v>
      </c>
      <c r="K616" s="58" t="n">
        <v>72</v>
      </c>
      <c r="L616" s="54" t="s">
        <v>863</v>
      </c>
      <c r="M616" s="54" t="s">
        <v>212</v>
      </c>
      <c r="N616" s="54" t="s">
        <v>214</v>
      </c>
      <c r="O616" s="58" t="n">
        <v>2.9</v>
      </c>
      <c r="P616" s="54" t="s">
        <v>212</v>
      </c>
      <c r="Q616" s="58"/>
    </row>
    <row r="617" customFormat="false" ht="15" hidden="false" customHeight="false" outlineLevel="0" collapsed="false">
      <c r="A617" s="54" t="s">
        <v>27</v>
      </c>
      <c r="B617" s="55" t="n">
        <v>1852</v>
      </c>
      <c r="C617" s="56" t="n">
        <v>46309.6390375347</v>
      </c>
      <c r="D617" s="55" t="n">
        <v>15</v>
      </c>
      <c r="E617" s="54" t="s">
        <v>214</v>
      </c>
      <c r="F617" s="54" t="s">
        <v>859</v>
      </c>
      <c r="G617" s="54" t="s">
        <v>860</v>
      </c>
      <c r="H617" s="54" t="s">
        <v>861</v>
      </c>
      <c r="I617" s="54" t="s">
        <v>347</v>
      </c>
      <c r="J617" s="54" t="s">
        <v>862</v>
      </c>
      <c r="K617" s="58" t="n">
        <v>72</v>
      </c>
      <c r="L617" s="54" t="s">
        <v>863</v>
      </c>
      <c r="M617" s="54" t="s">
        <v>212</v>
      </c>
      <c r="N617" s="54" t="s">
        <v>214</v>
      </c>
      <c r="O617" s="58" t="n">
        <v>1318.4</v>
      </c>
      <c r="P617" s="54" t="s">
        <v>212</v>
      </c>
      <c r="Q617" s="58"/>
    </row>
    <row r="618" customFormat="false" ht="15" hidden="false" customHeight="false" outlineLevel="0" collapsed="false">
      <c r="A618" s="54" t="s">
        <v>27</v>
      </c>
      <c r="B618" s="55" t="n">
        <v>1865</v>
      </c>
      <c r="C618" s="56" t="n">
        <v>46309.6606253357</v>
      </c>
      <c r="D618" s="55" t="n">
        <v>15</v>
      </c>
      <c r="E618" s="54" t="s">
        <v>214</v>
      </c>
      <c r="F618" s="54" t="s">
        <v>859</v>
      </c>
      <c r="G618" s="54" t="s">
        <v>860</v>
      </c>
      <c r="H618" s="54" t="s">
        <v>861</v>
      </c>
      <c r="I618" s="54" t="s">
        <v>347</v>
      </c>
      <c r="J618" s="54" t="s">
        <v>862</v>
      </c>
      <c r="K618" s="58" t="n">
        <v>72</v>
      </c>
      <c r="L618" s="54" t="s">
        <v>863</v>
      </c>
      <c r="M618" s="54" t="s">
        <v>212</v>
      </c>
      <c r="N618" s="54" t="s">
        <v>212</v>
      </c>
      <c r="O618" s="58"/>
      <c r="P618" s="54" t="s">
        <v>212</v>
      </c>
      <c r="Q618" s="58"/>
    </row>
    <row r="619" customFormat="false" ht="15" hidden="false" customHeight="false" outlineLevel="0" collapsed="false">
      <c r="A619" s="54" t="s">
        <v>27</v>
      </c>
      <c r="B619" s="55" t="n">
        <v>1859</v>
      </c>
      <c r="C619" s="56" t="n">
        <v>46309.6611621412</v>
      </c>
      <c r="D619" s="55" t="n">
        <v>15</v>
      </c>
      <c r="E619" s="54" t="s">
        <v>214</v>
      </c>
      <c r="F619" s="54" t="s">
        <v>859</v>
      </c>
      <c r="G619" s="54" t="s">
        <v>860</v>
      </c>
      <c r="H619" s="54" t="s">
        <v>861</v>
      </c>
      <c r="I619" s="54" t="s">
        <v>347</v>
      </c>
      <c r="J619" s="54" t="s">
        <v>862</v>
      </c>
      <c r="K619" s="58" t="n">
        <v>72</v>
      </c>
      <c r="L619" s="54" t="s">
        <v>863</v>
      </c>
      <c r="M619" s="54" t="s">
        <v>212</v>
      </c>
      <c r="N619" s="54" t="s">
        <v>214</v>
      </c>
      <c r="O619" s="58" t="n">
        <v>939.1</v>
      </c>
      <c r="P619" s="54" t="s">
        <v>212</v>
      </c>
      <c r="Q619" s="58"/>
    </row>
    <row r="620" customFormat="false" ht="15" hidden="false" customHeight="false" outlineLevel="0" collapsed="false">
      <c r="A620" s="54" t="s">
        <v>27</v>
      </c>
      <c r="B620" s="55" t="n">
        <v>1883</v>
      </c>
      <c r="C620" s="56" t="n">
        <v>46309.6700504398</v>
      </c>
      <c r="D620" s="55" t="n">
        <v>16</v>
      </c>
      <c r="E620" s="54" t="s">
        <v>214</v>
      </c>
      <c r="F620" s="54" t="s">
        <v>127</v>
      </c>
      <c r="G620" s="54" t="s">
        <v>118</v>
      </c>
      <c r="H620" s="54" t="s">
        <v>220</v>
      </c>
      <c r="I620" s="54" t="s">
        <v>477</v>
      </c>
      <c r="J620" s="54" t="s">
        <v>864</v>
      </c>
      <c r="K620" s="58" t="n">
        <v>111.1</v>
      </c>
      <c r="L620" s="54" t="s">
        <v>212</v>
      </c>
      <c r="M620" s="54" t="s">
        <v>214</v>
      </c>
      <c r="N620" s="54" t="s">
        <v>212</v>
      </c>
      <c r="O620" s="58"/>
      <c r="P620" s="54" t="s">
        <v>214</v>
      </c>
      <c r="Q620" s="58" t="n">
        <v>6</v>
      </c>
    </row>
    <row r="621" customFormat="false" ht="15" hidden="false" customHeight="false" outlineLevel="0" collapsed="false">
      <c r="A621" s="54" t="s">
        <v>27</v>
      </c>
      <c r="B621" s="55" t="n">
        <v>1868</v>
      </c>
      <c r="C621" s="56" t="n">
        <v>46309.6895092014</v>
      </c>
      <c r="D621" s="55" t="n">
        <v>16</v>
      </c>
      <c r="E621" s="54" t="s">
        <v>214</v>
      </c>
      <c r="F621" s="54" t="s">
        <v>859</v>
      </c>
      <c r="G621" s="54" t="s">
        <v>860</v>
      </c>
      <c r="H621" s="54" t="s">
        <v>861</v>
      </c>
      <c r="I621" s="54" t="s">
        <v>347</v>
      </c>
      <c r="J621" s="54" t="s">
        <v>862</v>
      </c>
      <c r="K621" s="58" t="n">
        <v>72</v>
      </c>
      <c r="L621" s="54" t="s">
        <v>863</v>
      </c>
      <c r="M621" s="54" t="s">
        <v>212</v>
      </c>
      <c r="N621" s="54" t="s">
        <v>212</v>
      </c>
      <c r="O621" s="58"/>
      <c r="P621" s="54" t="s">
        <v>212</v>
      </c>
      <c r="Q621" s="58"/>
    </row>
    <row r="622" customFormat="false" ht="15" hidden="false" customHeight="false" outlineLevel="0" collapsed="false">
      <c r="A622" s="54" t="s">
        <v>27</v>
      </c>
      <c r="B622" s="55" t="n">
        <v>1876</v>
      </c>
      <c r="C622" s="56" t="n">
        <v>46309.7175935764</v>
      </c>
      <c r="D622" s="55" t="n">
        <v>17</v>
      </c>
      <c r="E622" s="54" t="s">
        <v>214</v>
      </c>
      <c r="F622" s="54" t="s">
        <v>859</v>
      </c>
      <c r="G622" s="54" t="s">
        <v>860</v>
      </c>
      <c r="H622" s="54" t="s">
        <v>861</v>
      </c>
      <c r="I622" s="54" t="s">
        <v>347</v>
      </c>
      <c r="J622" s="54" t="s">
        <v>862</v>
      </c>
      <c r="K622" s="58" t="n">
        <v>72</v>
      </c>
      <c r="L622" s="54" t="s">
        <v>863</v>
      </c>
      <c r="M622" s="54" t="s">
        <v>212</v>
      </c>
      <c r="N622" s="54" t="s">
        <v>212</v>
      </c>
      <c r="O622" s="58"/>
      <c r="P622" s="54" t="s">
        <v>212</v>
      </c>
      <c r="Q622" s="58"/>
    </row>
    <row r="623" customFormat="false" ht="15" hidden="false" customHeight="false" outlineLevel="0" collapsed="false">
      <c r="A623" s="54" t="s">
        <v>27</v>
      </c>
      <c r="B623" s="55" t="n">
        <v>1880</v>
      </c>
      <c r="C623" s="56" t="n">
        <v>46309.7240326852</v>
      </c>
      <c r="D623" s="55" t="n">
        <v>17</v>
      </c>
      <c r="E623" s="54" t="s">
        <v>214</v>
      </c>
      <c r="F623" s="54" t="s">
        <v>859</v>
      </c>
      <c r="G623" s="54" t="s">
        <v>860</v>
      </c>
      <c r="H623" s="54" t="s">
        <v>861</v>
      </c>
      <c r="I623" s="54" t="s">
        <v>347</v>
      </c>
      <c r="J623" s="54" t="s">
        <v>862</v>
      </c>
      <c r="K623" s="58" t="n">
        <v>72</v>
      </c>
      <c r="L623" s="54" t="s">
        <v>863</v>
      </c>
      <c r="M623" s="54" t="s">
        <v>212</v>
      </c>
      <c r="N623" s="54" t="s">
        <v>212</v>
      </c>
      <c r="O623" s="58"/>
      <c r="P623" s="54" t="s">
        <v>212</v>
      </c>
      <c r="Q623" s="58"/>
    </row>
    <row r="624" customFormat="false" ht="15" hidden="false" customHeight="false" outlineLevel="0" collapsed="false">
      <c r="A624" s="54" t="s">
        <v>27</v>
      </c>
      <c r="B624" s="55" t="n">
        <v>1897</v>
      </c>
      <c r="C624" s="56" t="n">
        <v>46309.7660997685</v>
      </c>
      <c r="D624" s="55" t="n">
        <v>18</v>
      </c>
      <c r="E624" s="54" t="s">
        <v>214</v>
      </c>
      <c r="F624" s="54" t="s">
        <v>128</v>
      </c>
      <c r="G624" s="54" t="s">
        <v>118</v>
      </c>
      <c r="H624" s="54" t="s">
        <v>220</v>
      </c>
      <c r="I624" s="54" t="s">
        <v>477</v>
      </c>
      <c r="J624" s="54" t="s">
        <v>864</v>
      </c>
      <c r="K624" s="58" t="n">
        <v>76.8</v>
      </c>
      <c r="L624" s="54" t="s">
        <v>212</v>
      </c>
      <c r="M624" s="54" t="s">
        <v>214</v>
      </c>
      <c r="N624" s="54" t="s">
        <v>212</v>
      </c>
      <c r="O624" s="58"/>
      <c r="P624" s="54" t="s">
        <v>214</v>
      </c>
      <c r="Q624" s="58" t="n">
        <v>7.3</v>
      </c>
    </row>
    <row r="625" customFormat="false" ht="15" hidden="false" customHeight="false" outlineLevel="0" collapsed="false">
      <c r="A625" s="54" t="s">
        <v>27</v>
      </c>
      <c r="B625" s="55" t="n">
        <v>1871</v>
      </c>
      <c r="C625" s="56" t="n">
        <v>46309.7870288426</v>
      </c>
      <c r="D625" s="55" t="n">
        <v>18</v>
      </c>
      <c r="E625" s="54" t="s">
        <v>214</v>
      </c>
      <c r="F625" s="54" t="s">
        <v>859</v>
      </c>
      <c r="G625" s="54" t="s">
        <v>860</v>
      </c>
      <c r="H625" s="54" t="s">
        <v>861</v>
      </c>
      <c r="I625" s="54" t="s">
        <v>347</v>
      </c>
      <c r="J625" s="54" t="s">
        <v>862</v>
      </c>
      <c r="K625" s="58" t="n">
        <v>72</v>
      </c>
      <c r="L625" s="54" t="s">
        <v>863</v>
      </c>
      <c r="M625" s="54" t="s">
        <v>212</v>
      </c>
      <c r="N625" s="54" t="s">
        <v>212</v>
      </c>
      <c r="O625" s="58"/>
      <c r="P625" s="54" t="s">
        <v>212</v>
      </c>
      <c r="Q625" s="58"/>
    </row>
    <row r="626" customFormat="false" ht="15" hidden="false" customHeight="false" outlineLevel="0" collapsed="false">
      <c r="A626" s="54" t="s">
        <v>27</v>
      </c>
      <c r="B626" s="55" t="n">
        <v>1900</v>
      </c>
      <c r="C626" s="56" t="n">
        <v>46309.8005106713</v>
      </c>
      <c r="D626" s="55" t="n">
        <v>19</v>
      </c>
      <c r="E626" s="54" t="s">
        <v>214</v>
      </c>
      <c r="F626" s="54" t="s">
        <v>128</v>
      </c>
      <c r="G626" s="54" t="s">
        <v>118</v>
      </c>
      <c r="H626" s="54" t="s">
        <v>220</v>
      </c>
      <c r="I626" s="54" t="s">
        <v>477</v>
      </c>
      <c r="J626" s="54" t="s">
        <v>864</v>
      </c>
      <c r="K626" s="58" t="n">
        <v>77.7</v>
      </c>
      <c r="L626" s="54" t="s">
        <v>212</v>
      </c>
      <c r="M626" s="54" t="s">
        <v>214</v>
      </c>
      <c r="N626" s="54" t="s">
        <v>212</v>
      </c>
      <c r="O626" s="58"/>
      <c r="P626" s="54" t="s">
        <v>212</v>
      </c>
      <c r="Q626" s="58"/>
    </row>
    <row r="627" customFormat="false" ht="15" hidden="false" customHeight="false" outlineLevel="0" collapsed="false">
      <c r="A627" s="54" t="s">
        <v>27</v>
      </c>
      <c r="B627" s="55" t="n">
        <v>1883</v>
      </c>
      <c r="C627" s="56" t="n">
        <v>46309.8473365278</v>
      </c>
      <c r="D627" s="55" t="n">
        <v>20</v>
      </c>
      <c r="E627" s="54" t="s">
        <v>214</v>
      </c>
      <c r="F627" s="54" t="s">
        <v>859</v>
      </c>
      <c r="G627" s="54" t="s">
        <v>860</v>
      </c>
      <c r="H627" s="54" t="s">
        <v>861</v>
      </c>
      <c r="I627" s="54" t="s">
        <v>347</v>
      </c>
      <c r="J627" s="54" t="s">
        <v>862</v>
      </c>
      <c r="K627" s="58" t="n">
        <v>72</v>
      </c>
      <c r="L627" s="54" t="s">
        <v>863</v>
      </c>
      <c r="M627" s="54" t="s">
        <v>212</v>
      </c>
      <c r="N627" s="54" t="s">
        <v>212</v>
      </c>
      <c r="O627" s="58"/>
      <c r="P627" s="54" t="s">
        <v>212</v>
      </c>
      <c r="Q627" s="58"/>
    </row>
    <row r="628" customFormat="false" ht="15" hidden="false" customHeight="false" outlineLevel="0" collapsed="false">
      <c r="A628" s="54" t="s">
        <v>27</v>
      </c>
      <c r="B628" s="55" t="n">
        <v>1934</v>
      </c>
      <c r="C628" s="56" t="n">
        <v>46310.3228240162</v>
      </c>
      <c r="D628" s="55" t="n">
        <v>7</v>
      </c>
      <c r="E628" s="54" t="s">
        <v>212</v>
      </c>
      <c r="F628" s="54" t="s">
        <v>127</v>
      </c>
      <c r="G628" s="54" t="s">
        <v>118</v>
      </c>
      <c r="H628" s="54" t="s">
        <v>220</v>
      </c>
      <c r="I628" s="54" t="s">
        <v>477</v>
      </c>
      <c r="J628" s="54" t="s">
        <v>864</v>
      </c>
      <c r="K628" s="58" t="n">
        <v>114.7</v>
      </c>
      <c r="L628" s="54" t="s">
        <v>212</v>
      </c>
      <c r="M628" s="54" t="s">
        <v>214</v>
      </c>
      <c r="N628" s="54" t="s">
        <v>214</v>
      </c>
      <c r="O628" s="58" t="n">
        <v>1.1</v>
      </c>
      <c r="P628" s="54" t="s">
        <v>214</v>
      </c>
      <c r="Q628" s="58" t="n">
        <v>3.2</v>
      </c>
    </row>
    <row r="629" customFormat="false" ht="15" hidden="false" customHeight="false" outlineLevel="0" collapsed="false">
      <c r="A629" s="54" t="s">
        <v>27</v>
      </c>
      <c r="B629" s="55" t="n">
        <v>1944</v>
      </c>
      <c r="C629" s="56" t="n">
        <v>46310.3468745023</v>
      </c>
      <c r="D629" s="55" t="n">
        <v>8</v>
      </c>
      <c r="E629" s="54" t="s">
        <v>214</v>
      </c>
      <c r="F629" s="54" t="s">
        <v>127</v>
      </c>
      <c r="G629" s="54" t="s">
        <v>118</v>
      </c>
      <c r="H629" s="54" t="s">
        <v>220</v>
      </c>
      <c r="I629" s="54" t="s">
        <v>477</v>
      </c>
      <c r="J629" s="54" t="s">
        <v>864</v>
      </c>
      <c r="K629" s="58" t="n">
        <v>112.3</v>
      </c>
      <c r="L629" s="54" t="s">
        <v>212</v>
      </c>
      <c r="M629" s="54" t="s">
        <v>214</v>
      </c>
      <c r="N629" s="54" t="s">
        <v>214</v>
      </c>
      <c r="O629" s="58" t="n">
        <v>8.1</v>
      </c>
      <c r="P629" s="54" t="s">
        <v>212</v>
      </c>
      <c r="Q629" s="58"/>
    </row>
    <row r="630" customFormat="false" ht="15" hidden="false" customHeight="false" outlineLevel="0" collapsed="false">
      <c r="A630" s="54" t="s">
        <v>27</v>
      </c>
      <c r="B630" s="55" t="n">
        <v>1956</v>
      </c>
      <c r="C630" s="56" t="n">
        <v>46310.3583235417</v>
      </c>
      <c r="D630" s="55" t="n">
        <v>8</v>
      </c>
      <c r="E630" s="54" t="s">
        <v>214</v>
      </c>
      <c r="F630" s="54" t="s">
        <v>127</v>
      </c>
      <c r="G630" s="54" t="s">
        <v>118</v>
      </c>
      <c r="H630" s="54" t="s">
        <v>220</v>
      </c>
      <c r="I630" s="54" t="s">
        <v>477</v>
      </c>
      <c r="J630" s="54" t="s">
        <v>864</v>
      </c>
      <c r="K630" s="58" t="n">
        <v>110.7</v>
      </c>
      <c r="L630" s="54" t="s">
        <v>212</v>
      </c>
      <c r="M630" s="54" t="s">
        <v>214</v>
      </c>
      <c r="N630" s="54" t="s">
        <v>214</v>
      </c>
      <c r="O630" s="58" t="n">
        <v>11.3</v>
      </c>
      <c r="P630" s="54" t="s">
        <v>214</v>
      </c>
      <c r="Q630" s="58" t="n">
        <v>32.1</v>
      </c>
    </row>
    <row r="631" customFormat="false" ht="15" hidden="false" customHeight="false" outlineLevel="0" collapsed="false">
      <c r="A631" s="54" t="s">
        <v>27</v>
      </c>
      <c r="B631" s="55" t="n">
        <v>1905</v>
      </c>
      <c r="C631" s="56" t="n">
        <v>46310.3750410417</v>
      </c>
      <c r="D631" s="55" t="n">
        <v>9</v>
      </c>
      <c r="E631" s="54" t="s">
        <v>214</v>
      </c>
      <c r="F631" s="54" t="s">
        <v>859</v>
      </c>
      <c r="G631" s="54" t="s">
        <v>860</v>
      </c>
      <c r="H631" s="54" t="s">
        <v>861</v>
      </c>
      <c r="I631" s="54" t="s">
        <v>347</v>
      </c>
      <c r="J631" s="54" t="s">
        <v>862</v>
      </c>
      <c r="K631" s="58" t="n">
        <v>72</v>
      </c>
      <c r="L631" s="54" t="s">
        <v>863</v>
      </c>
      <c r="M631" s="54" t="s">
        <v>212</v>
      </c>
      <c r="N631" s="54" t="s">
        <v>214</v>
      </c>
      <c r="O631" s="58" t="n">
        <v>2</v>
      </c>
      <c r="P631" s="54" t="s">
        <v>212</v>
      </c>
      <c r="Q631" s="58"/>
    </row>
    <row r="632" customFormat="false" ht="15" hidden="false" customHeight="false" outlineLevel="0" collapsed="false">
      <c r="A632" s="54" t="s">
        <v>27</v>
      </c>
      <c r="B632" s="55" t="n">
        <v>1902</v>
      </c>
      <c r="C632" s="56" t="n">
        <v>46310.3752232176</v>
      </c>
      <c r="D632" s="55" t="n">
        <v>9</v>
      </c>
      <c r="E632" s="54" t="s">
        <v>214</v>
      </c>
      <c r="F632" s="54" t="s">
        <v>859</v>
      </c>
      <c r="G632" s="54" t="s">
        <v>860</v>
      </c>
      <c r="H632" s="54" t="s">
        <v>861</v>
      </c>
      <c r="I632" s="54" t="s">
        <v>347</v>
      </c>
      <c r="J632" s="54" t="s">
        <v>862</v>
      </c>
      <c r="K632" s="58" t="n">
        <v>72</v>
      </c>
      <c r="L632" s="54" t="s">
        <v>863</v>
      </c>
      <c r="M632" s="54" t="s">
        <v>212</v>
      </c>
      <c r="N632" s="54" t="s">
        <v>212</v>
      </c>
      <c r="O632" s="58"/>
      <c r="P632" s="54" t="s">
        <v>212</v>
      </c>
      <c r="Q632" s="58"/>
    </row>
    <row r="633" customFormat="false" ht="15" hidden="false" customHeight="false" outlineLevel="0" collapsed="false">
      <c r="A633" s="54" t="s">
        <v>27</v>
      </c>
      <c r="B633" s="55" t="n">
        <v>1910</v>
      </c>
      <c r="C633" s="56" t="n">
        <v>46310.3753808565</v>
      </c>
      <c r="D633" s="55" t="n">
        <v>9</v>
      </c>
      <c r="E633" s="54" t="s">
        <v>214</v>
      </c>
      <c r="F633" s="54" t="s">
        <v>859</v>
      </c>
      <c r="G633" s="54" t="s">
        <v>860</v>
      </c>
      <c r="H633" s="54" t="s">
        <v>861</v>
      </c>
      <c r="I633" s="54" t="s">
        <v>347</v>
      </c>
      <c r="J633" s="54" t="s">
        <v>862</v>
      </c>
      <c r="K633" s="58" t="n">
        <v>72</v>
      </c>
      <c r="L633" s="54" t="s">
        <v>863</v>
      </c>
      <c r="M633" s="54" t="s">
        <v>212</v>
      </c>
      <c r="N633" s="54" t="s">
        <v>212</v>
      </c>
      <c r="O633" s="58"/>
      <c r="P633" s="54" t="s">
        <v>212</v>
      </c>
      <c r="Q633" s="58"/>
    </row>
    <row r="634" customFormat="false" ht="15" hidden="false" customHeight="false" outlineLevel="0" collapsed="false">
      <c r="A634" s="54" t="s">
        <v>27</v>
      </c>
      <c r="B634" s="55" t="n">
        <v>1900</v>
      </c>
      <c r="C634" s="56" t="n">
        <v>46310.3753968287</v>
      </c>
      <c r="D634" s="55" t="n">
        <v>9</v>
      </c>
      <c r="E634" s="54" t="s">
        <v>214</v>
      </c>
      <c r="F634" s="54" t="s">
        <v>859</v>
      </c>
      <c r="G634" s="54" t="s">
        <v>860</v>
      </c>
      <c r="H634" s="54" t="s">
        <v>861</v>
      </c>
      <c r="I634" s="54" t="s">
        <v>347</v>
      </c>
      <c r="J634" s="54" t="s">
        <v>862</v>
      </c>
      <c r="K634" s="58" t="n">
        <v>72</v>
      </c>
      <c r="L634" s="54" t="s">
        <v>863</v>
      </c>
      <c r="M634" s="54" t="s">
        <v>212</v>
      </c>
      <c r="N634" s="54" t="s">
        <v>212</v>
      </c>
      <c r="O634" s="58"/>
      <c r="P634" s="54" t="s">
        <v>212</v>
      </c>
      <c r="Q634" s="58"/>
    </row>
    <row r="635" customFormat="false" ht="15" hidden="false" customHeight="false" outlineLevel="0" collapsed="false">
      <c r="A635" s="54" t="s">
        <v>27</v>
      </c>
      <c r="B635" s="55" t="n">
        <v>1907</v>
      </c>
      <c r="C635" s="56" t="n">
        <v>46310.375445544</v>
      </c>
      <c r="D635" s="55" t="n">
        <v>9</v>
      </c>
      <c r="E635" s="54" t="s">
        <v>214</v>
      </c>
      <c r="F635" s="54" t="s">
        <v>859</v>
      </c>
      <c r="G635" s="54" t="s">
        <v>860</v>
      </c>
      <c r="H635" s="54" t="s">
        <v>861</v>
      </c>
      <c r="I635" s="54" t="s">
        <v>347</v>
      </c>
      <c r="J635" s="54" t="s">
        <v>862</v>
      </c>
      <c r="K635" s="58" t="n">
        <v>72</v>
      </c>
      <c r="L635" s="54" t="s">
        <v>863</v>
      </c>
      <c r="M635" s="54" t="s">
        <v>212</v>
      </c>
      <c r="N635" s="54" t="s">
        <v>214</v>
      </c>
      <c r="O635" s="58" t="n">
        <v>193.7</v>
      </c>
      <c r="P635" s="54" t="s">
        <v>212</v>
      </c>
      <c r="Q635" s="58"/>
    </row>
    <row r="636" customFormat="false" ht="15" hidden="false" customHeight="false" outlineLevel="0" collapsed="false">
      <c r="A636" s="54" t="s">
        <v>27</v>
      </c>
      <c r="B636" s="55" t="n">
        <v>1939</v>
      </c>
      <c r="C636" s="56" t="n">
        <v>46310.375460463</v>
      </c>
      <c r="D636" s="55" t="n">
        <v>9</v>
      </c>
      <c r="E636" s="54" t="s">
        <v>214</v>
      </c>
      <c r="F636" s="54" t="s">
        <v>859</v>
      </c>
      <c r="G636" s="54" t="s">
        <v>860</v>
      </c>
      <c r="H636" s="54" t="s">
        <v>861</v>
      </c>
      <c r="I636" s="54" t="s">
        <v>347</v>
      </c>
      <c r="J636" s="54" t="s">
        <v>862</v>
      </c>
      <c r="K636" s="58" t="n">
        <v>72</v>
      </c>
      <c r="L636" s="54" t="s">
        <v>863</v>
      </c>
      <c r="M636" s="54" t="s">
        <v>212</v>
      </c>
      <c r="N636" s="54" t="s">
        <v>212</v>
      </c>
      <c r="O636" s="58"/>
      <c r="P636" s="54" t="s">
        <v>212</v>
      </c>
      <c r="Q636" s="58"/>
    </row>
    <row r="637" customFormat="false" ht="15" hidden="false" customHeight="false" outlineLevel="0" collapsed="false">
      <c r="A637" s="54" t="s">
        <v>27</v>
      </c>
      <c r="B637" s="55" t="n">
        <v>1904</v>
      </c>
      <c r="C637" s="56" t="n">
        <v>46310.3755972569</v>
      </c>
      <c r="D637" s="55" t="n">
        <v>9</v>
      </c>
      <c r="E637" s="54" t="s">
        <v>214</v>
      </c>
      <c r="F637" s="54" t="s">
        <v>859</v>
      </c>
      <c r="G637" s="54" t="s">
        <v>860</v>
      </c>
      <c r="H637" s="54" t="s">
        <v>861</v>
      </c>
      <c r="I637" s="54" t="s">
        <v>347</v>
      </c>
      <c r="J637" s="54" t="s">
        <v>862</v>
      </c>
      <c r="K637" s="58" t="n">
        <v>72</v>
      </c>
      <c r="L637" s="54" t="s">
        <v>863</v>
      </c>
      <c r="M637" s="54" t="s">
        <v>212</v>
      </c>
      <c r="N637" s="54" t="s">
        <v>212</v>
      </c>
      <c r="O637" s="58"/>
      <c r="P637" s="54" t="s">
        <v>212</v>
      </c>
      <c r="Q637" s="58"/>
    </row>
    <row r="638" customFormat="false" ht="15" hidden="false" customHeight="false" outlineLevel="0" collapsed="false">
      <c r="A638" s="54" t="s">
        <v>27</v>
      </c>
      <c r="B638" s="55" t="n">
        <v>1931</v>
      </c>
      <c r="C638" s="56" t="n">
        <v>46310.3756927662</v>
      </c>
      <c r="D638" s="55" t="n">
        <v>9</v>
      </c>
      <c r="E638" s="54" t="s">
        <v>214</v>
      </c>
      <c r="F638" s="54" t="s">
        <v>859</v>
      </c>
      <c r="G638" s="54" t="s">
        <v>860</v>
      </c>
      <c r="H638" s="54" t="s">
        <v>861</v>
      </c>
      <c r="I638" s="54" t="s">
        <v>347</v>
      </c>
      <c r="J638" s="54" t="s">
        <v>862</v>
      </c>
      <c r="K638" s="58" t="n">
        <v>72</v>
      </c>
      <c r="L638" s="54" t="s">
        <v>863</v>
      </c>
      <c r="M638" s="54" t="s">
        <v>212</v>
      </c>
      <c r="N638" s="54" t="s">
        <v>212</v>
      </c>
      <c r="O638" s="58"/>
      <c r="P638" s="54" t="s">
        <v>212</v>
      </c>
      <c r="Q638" s="58"/>
    </row>
    <row r="639" customFormat="false" ht="15" hidden="false" customHeight="false" outlineLevel="0" collapsed="false">
      <c r="A639" s="54" t="s">
        <v>27</v>
      </c>
      <c r="B639" s="55" t="n">
        <v>1945</v>
      </c>
      <c r="C639" s="56" t="n">
        <v>46310.3787940162</v>
      </c>
      <c r="D639" s="55" t="n">
        <v>9</v>
      </c>
      <c r="E639" s="54" t="s">
        <v>214</v>
      </c>
      <c r="F639" s="54" t="s">
        <v>859</v>
      </c>
      <c r="G639" s="54" t="s">
        <v>860</v>
      </c>
      <c r="H639" s="54" t="s">
        <v>861</v>
      </c>
      <c r="I639" s="54" t="s">
        <v>347</v>
      </c>
      <c r="J639" s="54" t="s">
        <v>862</v>
      </c>
      <c r="K639" s="58" t="n">
        <v>72</v>
      </c>
      <c r="L639" s="54" t="s">
        <v>863</v>
      </c>
      <c r="M639" s="54" t="s">
        <v>212</v>
      </c>
      <c r="N639" s="54" t="s">
        <v>214</v>
      </c>
      <c r="O639" s="58" t="n">
        <v>5.2</v>
      </c>
      <c r="P639" s="54" t="s">
        <v>212</v>
      </c>
      <c r="Q639" s="58"/>
    </row>
    <row r="640" customFormat="false" ht="15" hidden="false" customHeight="false" outlineLevel="0" collapsed="false">
      <c r="A640" s="54" t="s">
        <v>27</v>
      </c>
      <c r="B640" s="55" t="n">
        <v>1929</v>
      </c>
      <c r="C640" s="56" t="n">
        <v>46310.3793090857</v>
      </c>
      <c r="D640" s="55" t="n">
        <v>9</v>
      </c>
      <c r="E640" s="54" t="s">
        <v>214</v>
      </c>
      <c r="F640" s="54" t="s">
        <v>859</v>
      </c>
      <c r="G640" s="54" t="s">
        <v>860</v>
      </c>
      <c r="H640" s="54" t="s">
        <v>861</v>
      </c>
      <c r="I640" s="54" t="s">
        <v>347</v>
      </c>
      <c r="J640" s="54" t="s">
        <v>862</v>
      </c>
      <c r="K640" s="58" t="n">
        <v>72</v>
      </c>
      <c r="L640" s="54" t="s">
        <v>863</v>
      </c>
      <c r="M640" s="54" t="s">
        <v>212</v>
      </c>
      <c r="N640" s="54" t="s">
        <v>212</v>
      </c>
      <c r="O640" s="58"/>
      <c r="P640" s="54" t="s">
        <v>212</v>
      </c>
      <c r="Q640" s="58"/>
    </row>
    <row r="641" customFormat="false" ht="15" hidden="false" customHeight="false" outlineLevel="0" collapsed="false">
      <c r="A641" s="54" t="s">
        <v>27</v>
      </c>
      <c r="B641" s="55" t="n">
        <v>1930</v>
      </c>
      <c r="C641" s="56" t="n">
        <v>46310.3795298727</v>
      </c>
      <c r="D641" s="55" t="n">
        <v>9</v>
      </c>
      <c r="E641" s="54" t="s">
        <v>214</v>
      </c>
      <c r="F641" s="54" t="s">
        <v>859</v>
      </c>
      <c r="G641" s="54" t="s">
        <v>860</v>
      </c>
      <c r="H641" s="54" t="s">
        <v>861</v>
      </c>
      <c r="I641" s="54" t="s">
        <v>347</v>
      </c>
      <c r="J641" s="54" t="s">
        <v>862</v>
      </c>
      <c r="K641" s="58" t="n">
        <v>72</v>
      </c>
      <c r="L641" s="54" t="s">
        <v>863</v>
      </c>
      <c r="M641" s="54" t="s">
        <v>212</v>
      </c>
      <c r="N641" s="54" t="s">
        <v>214</v>
      </c>
      <c r="O641" s="58" t="n">
        <v>2.5</v>
      </c>
      <c r="P641" s="54" t="s">
        <v>212</v>
      </c>
      <c r="Q641" s="58"/>
    </row>
    <row r="642" customFormat="false" ht="15" hidden="false" customHeight="false" outlineLevel="0" collapsed="false">
      <c r="A642" s="54" t="s">
        <v>27</v>
      </c>
      <c r="B642" s="55" t="n">
        <v>1979</v>
      </c>
      <c r="C642" s="56" t="n">
        <v>46310.4876572338</v>
      </c>
      <c r="D642" s="55" t="n">
        <v>11</v>
      </c>
      <c r="E642" s="54" t="s">
        <v>214</v>
      </c>
      <c r="F642" s="54" t="s">
        <v>127</v>
      </c>
      <c r="G642" s="54" t="s">
        <v>118</v>
      </c>
      <c r="H642" s="54" t="s">
        <v>220</v>
      </c>
      <c r="I642" s="54" t="s">
        <v>477</v>
      </c>
      <c r="J642" s="54" t="s">
        <v>864</v>
      </c>
      <c r="K642" s="58" t="n">
        <v>118.5</v>
      </c>
      <c r="L642" s="54" t="s">
        <v>212</v>
      </c>
      <c r="M642" s="54" t="s">
        <v>214</v>
      </c>
      <c r="N642" s="54" t="s">
        <v>212</v>
      </c>
      <c r="O642" s="58"/>
      <c r="P642" s="54" t="s">
        <v>212</v>
      </c>
      <c r="Q642" s="58"/>
    </row>
    <row r="643" customFormat="false" ht="15" hidden="false" customHeight="false" outlineLevel="0" collapsed="false">
      <c r="A643" s="54" t="s">
        <v>27</v>
      </c>
      <c r="B643" s="55" t="n">
        <v>1965</v>
      </c>
      <c r="C643" s="56" t="n">
        <v>46310.4944703704</v>
      </c>
      <c r="D643" s="55" t="n">
        <v>11</v>
      </c>
      <c r="E643" s="54" t="s">
        <v>214</v>
      </c>
      <c r="F643" s="54" t="s">
        <v>859</v>
      </c>
      <c r="G643" s="54" t="s">
        <v>860</v>
      </c>
      <c r="H643" s="54" t="s">
        <v>861</v>
      </c>
      <c r="I643" s="54" t="s">
        <v>347</v>
      </c>
      <c r="J643" s="54" t="s">
        <v>862</v>
      </c>
      <c r="K643" s="58" t="n">
        <v>72</v>
      </c>
      <c r="L643" s="54" t="s">
        <v>863</v>
      </c>
      <c r="M643" s="54" t="s">
        <v>212</v>
      </c>
      <c r="N643" s="54" t="s">
        <v>214</v>
      </c>
      <c r="O643" s="58" t="n">
        <v>147.8</v>
      </c>
      <c r="P643" s="54" t="s">
        <v>212</v>
      </c>
      <c r="Q643" s="58"/>
    </row>
    <row r="644" customFormat="false" ht="15" hidden="false" customHeight="false" outlineLevel="0" collapsed="false">
      <c r="A644" s="54" t="s">
        <v>27</v>
      </c>
      <c r="B644" s="55" t="n">
        <v>1789</v>
      </c>
      <c r="C644" s="56" t="n">
        <v>46310.496452882</v>
      </c>
      <c r="D644" s="55" t="n">
        <v>11</v>
      </c>
      <c r="E644" s="54" t="s">
        <v>214</v>
      </c>
      <c r="F644" s="54" t="s">
        <v>127</v>
      </c>
      <c r="G644" s="54" t="s">
        <v>118</v>
      </c>
      <c r="H644" s="54" t="s">
        <v>220</v>
      </c>
      <c r="I644" s="54" t="s">
        <v>347</v>
      </c>
      <c r="J644" s="54" t="s">
        <v>862</v>
      </c>
      <c r="K644" s="58" t="n">
        <v>57</v>
      </c>
      <c r="L644" s="54" t="s">
        <v>214</v>
      </c>
      <c r="M644" s="54" t="s">
        <v>212</v>
      </c>
      <c r="N644" s="54" t="s">
        <v>212</v>
      </c>
      <c r="O644" s="58"/>
      <c r="P644" s="54" t="s">
        <v>212</v>
      </c>
      <c r="Q644" s="58"/>
    </row>
    <row r="645" customFormat="false" ht="15" hidden="false" customHeight="false" outlineLevel="0" collapsed="false">
      <c r="A645" s="54" t="s">
        <v>27</v>
      </c>
      <c r="B645" s="55" t="n">
        <v>1990</v>
      </c>
      <c r="C645" s="56" t="n">
        <v>46310.5127673032</v>
      </c>
      <c r="D645" s="55" t="n">
        <v>12</v>
      </c>
      <c r="E645" s="54" t="s">
        <v>214</v>
      </c>
      <c r="F645" s="54" t="s">
        <v>130</v>
      </c>
      <c r="G645" s="54" t="s">
        <v>118</v>
      </c>
      <c r="H645" s="54" t="s">
        <v>215</v>
      </c>
      <c r="I645" s="54" t="s">
        <v>477</v>
      </c>
      <c r="J645" s="54" t="s">
        <v>864</v>
      </c>
      <c r="K645" s="58" t="n">
        <v>118.1</v>
      </c>
      <c r="L645" s="54" t="s">
        <v>212</v>
      </c>
      <c r="M645" s="54" t="s">
        <v>214</v>
      </c>
      <c r="N645" s="54" t="s">
        <v>212</v>
      </c>
      <c r="O645" s="58"/>
      <c r="P645" s="54" t="s">
        <v>212</v>
      </c>
      <c r="Q645" s="58"/>
    </row>
    <row r="646" customFormat="false" ht="15" hidden="false" customHeight="false" outlineLevel="0" collapsed="false">
      <c r="A646" s="54" t="s">
        <v>27</v>
      </c>
      <c r="B646" s="55" t="n">
        <v>1944</v>
      </c>
      <c r="C646" s="56" t="n">
        <v>46310.5240412269</v>
      </c>
      <c r="D646" s="55" t="n">
        <v>12</v>
      </c>
      <c r="E646" s="54" t="s">
        <v>214</v>
      </c>
      <c r="F646" s="54" t="s">
        <v>859</v>
      </c>
      <c r="G646" s="54" t="s">
        <v>860</v>
      </c>
      <c r="H646" s="54" t="s">
        <v>861</v>
      </c>
      <c r="I646" s="54" t="s">
        <v>347</v>
      </c>
      <c r="J646" s="54" t="s">
        <v>862</v>
      </c>
      <c r="K646" s="58" t="n">
        <v>72</v>
      </c>
      <c r="L646" s="54" t="s">
        <v>863</v>
      </c>
      <c r="M646" s="54" t="s">
        <v>212</v>
      </c>
      <c r="N646" s="54" t="s">
        <v>214</v>
      </c>
      <c r="O646" s="58" t="n">
        <v>52.9</v>
      </c>
      <c r="P646" s="54" t="s">
        <v>212</v>
      </c>
      <c r="Q646" s="58"/>
    </row>
    <row r="647" customFormat="false" ht="15" hidden="false" customHeight="false" outlineLevel="0" collapsed="false">
      <c r="A647" s="54" t="s">
        <v>27</v>
      </c>
      <c r="B647" s="55" t="n">
        <v>1956</v>
      </c>
      <c r="C647" s="56" t="n">
        <v>46310.5355935532</v>
      </c>
      <c r="D647" s="55" t="n">
        <v>12</v>
      </c>
      <c r="E647" s="54" t="s">
        <v>214</v>
      </c>
      <c r="F647" s="54" t="s">
        <v>859</v>
      </c>
      <c r="G647" s="54" t="s">
        <v>860</v>
      </c>
      <c r="H647" s="54" t="s">
        <v>861</v>
      </c>
      <c r="I647" s="54" t="s">
        <v>347</v>
      </c>
      <c r="J647" s="54" t="s">
        <v>862</v>
      </c>
      <c r="K647" s="58" t="n">
        <v>72</v>
      </c>
      <c r="L647" s="54" t="s">
        <v>863</v>
      </c>
      <c r="M647" s="54" t="s">
        <v>212</v>
      </c>
      <c r="N647" s="54" t="s">
        <v>214</v>
      </c>
      <c r="O647" s="58" t="n">
        <v>31.4</v>
      </c>
      <c r="P647" s="54" t="s">
        <v>214</v>
      </c>
      <c r="Q647" s="58" t="n">
        <v>33.4</v>
      </c>
    </row>
    <row r="648" customFormat="false" ht="15" hidden="false" customHeight="false" outlineLevel="0" collapsed="false">
      <c r="A648" s="54" t="s">
        <v>27</v>
      </c>
      <c r="B648" s="55" t="n">
        <v>1997</v>
      </c>
      <c r="C648" s="56" t="n">
        <v>46310.5366930324</v>
      </c>
      <c r="D648" s="55" t="n">
        <v>12</v>
      </c>
      <c r="E648" s="54" t="s">
        <v>214</v>
      </c>
      <c r="F648" s="54" t="s">
        <v>127</v>
      </c>
      <c r="G648" s="54" t="s">
        <v>118</v>
      </c>
      <c r="H648" s="54" t="s">
        <v>220</v>
      </c>
      <c r="I648" s="54" t="s">
        <v>477</v>
      </c>
      <c r="J648" s="54" t="s">
        <v>864</v>
      </c>
      <c r="K648" s="58" t="n">
        <v>106.1</v>
      </c>
      <c r="L648" s="54" t="s">
        <v>212</v>
      </c>
      <c r="M648" s="54" t="s">
        <v>214</v>
      </c>
      <c r="N648" s="54" t="s">
        <v>214</v>
      </c>
      <c r="O648" s="58" t="n">
        <v>0.3</v>
      </c>
      <c r="P648" s="54" t="s">
        <v>214</v>
      </c>
      <c r="Q648" s="58" t="n">
        <v>3.5</v>
      </c>
    </row>
    <row r="649" customFormat="false" ht="15" hidden="false" customHeight="false" outlineLevel="0" collapsed="false">
      <c r="A649" s="54" t="s">
        <v>27</v>
      </c>
      <c r="B649" s="55" t="n">
        <v>1981</v>
      </c>
      <c r="C649" s="56" t="n">
        <v>46310.566053044</v>
      </c>
      <c r="D649" s="55" t="n">
        <v>13</v>
      </c>
      <c r="E649" s="54" t="s">
        <v>214</v>
      </c>
      <c r="F649" s="54" t="s">
        <v>859</v>
      </c>
      <c r="G649" s="54" t="s">
        <v>860</v>
      </c>
      <c r="H649" s="54" t="s">
        <v>861</v>
      </c>
      <c r="I649" s="54" t="s">
        <v>347</v>
      </c>
      <c r="J649" s="54" t="s">
        <v>862</v>
      </c>
      <c r="K649" s="58" t="n">
        <v>72</v>
      </c>
      <c r="L649" s="54" t="s">
        <v>863</v>
      </c>
      <c r="M649" s="54" t="s">
        <v>212</v>
      </c>
      <c r="N649" s="54" t="s">
        <v>214</v>
      </c>
      <c r="O649" s="58" t="n">
        <v>371.4</v>
      </c>
      <c r="P649" s="54" t="s">
        <v>212</v>
      </c>
      <c r="Q649" s="58"/>
    </row>
    <row r="650" customFormat="false" ht="15" hidden="false" customHeight="false" outlineLevel="0" collapsed="false">
      <c r="A650" s="54" t="s">
        <v>27</v>
      </c>
      <c r="B650" s="55" t="n">
        <v>1997</v>
      </c>
      <c r="C650" s="56" t="n">
        <v>46310.5837232292</v>
      </c>
      <c r="D650" s="55" t="n">
        <v>14</v>
      </c>
      <c r="E650" s="54" t="s">
        <v>214</v>
      </c>
      <c r="F650" s="54" t="s">
        <v>127</v>
      </c>
      <c r="G650" s="54" t="s">
        <v>118</v>
      </c>
      <c r="H650" s="54" t="s">
        <v>220</v>
      </c>
      <c r="I650" s="54" t="s">
        <v>675</v>
      </c>
      <c r="J650" s="54" t="s">
        <v>865</v>
      </c>
      <c r="K650" s="58" t="n">
        <v>57</v>
      </c>
      <c r="L650" s="54" t="s">
        <v>214</v>
      </c>
      <c r="M650" s="54" t="s">
        <v>212</v>
      </c>
      <c r="N650" s="54" t="s">
        <v>214</v>
      </c>
      <c r="O650" s="58" t="n">
        <v>13</v>
      </c>
      <c r="P650" s="54" t="s">
        <v>214</v>
      </c>
      <c r="Q650" s="58" t="n">
        <v>13.4</v>
      </c>
    </row>
    <row r="651" customFormat="false" ht="15" hidden="false" customHeight="false" outlineLevel="0" collapsed="false">
      <c r="A651" s="54" t="s">
        <v>27</v>
      </c>
      <c r="B651" s="55" t="n">
        <v>1980</v>
      </c>
      <c r="C651" s="56" t="n">
        <v>46310.5847589583</v>
      </c>
      <c r="D651" s="55" t="n">
        <v>14</v>
      </c>
      <c r="E651" s="54" t="s">
        <v>214</v>
      </c>
      <c r="F651" s="54" t="s">
        <v>859</v>
      </c>
      <c r="G651" s="54" t="s">
        <v>860</v>
      </c>
      <c r="H651" s="54" t="s">
        <v>861</v>
      </c>
      <c r="I651" s="54" t="s">
        <v>347</v>
      </c>
      <c r="J651" s="54" t="s">
        <v>862</v>
      </c>
      <c r="K651" s="58" t="n">
        <v>72</v>
      </c>
      <c r="L651" s="54" t="s">
        <v>863</v>
      </c>
      <c r="M651" s="54" t="s">
        <v>212</v>
      </c>
      <c r="N651" s="54" t="s">
        <v>214</v>
      </c>
      <c r="O651" s="58" t="n">
        <v>58.9</v>
      </c>
      <c r="P651" s="54" t="s">
        <v>212</v>
      </c>
      <c r="Q651" s="58"/>
    </row>
    <row r="652" customFormat="false" ht="15" hidden="false" customHeight="false" outlineLevel="0" collapsed="false">
      <c r="A652" s="54" t="s">
        <v>27</v>
      </c>
      <c r="B652" s="55" t="n">
        <v>1990</v>
      </c>
      <c r="C652" s="56" t="n">
        <v>46310.588053912</v>
      </c>
      <c r="D652" s="55" t="n">
        <v>14</v>
      </c>
      <c r="E652" s="54" t="s">
        <v>214</v>
      </c>
      <c r="F652" s="54" t="s">
        <v>859</v>
      </c>
      <c r="G652" s="54" t="s">
        <v>860</v>
      </c>
      <c r="H652" s="54" t="s">
        <v>861</v>
      </c>
      <c r="I652" s="54" t="s">
        <v>347</v>
      </c>
      <c r="J652" s="54" t="s">
        <v>862</v>
      </c>
      <c r="K652" s="58" t="n">
        <v>72</v>
      </c>
      <c r="L652" s="54" t="s">
        <v>863</v>
      </c>
      <c r="M652" s="54" t="s">
        <v>212</v>
      </c>
      <c r="N652" s="54" t="s">
        <v>212</v>
      </c>
      <c r="O652" s="58"/>
      <c r="P652" s="54" t="s">
        <v>212</v>
      </c>
      <c r="Q652" s="58"/>
    </row>
    <row r="653" customFormat="false" ht="15" hidden="false" customHeight="false" outlineLevel="0" collapsed="false">
      <c r="A653" s="54" t="s">
        <v>27</v>
      </c>
      <c r="B653" s="55" t="n">
        <v>1997</v>
      </c>
      <c r="C653" s="56" t="n">
        <v>46310.5937122222</v>
      </c>
      <c r="D653" s="55" t="n">
        <v>14</v>
      </c>
      <c r="E653" s="54" t="s">
        <v>214</v>
      </c>
      <c r="F653" s="54" t="s">
        <v>127</v>
      </c>
      <c r="G653" s="54" t="s">
        <v>118</v>
      </c>
      <c r="H653" s="54" t="s">
        <v>220</v>
      </c>
      <c r="I653" s="54" t="s">
        <v>688</v>
      </c>
      <c r="J653" s="54" t="s">
        <v>868</v>
      </c>
      <c r="K653" s="58" t="n">
        <v>57</v>
      </c>
      <c r="L653" s="54" t="s">
        <v>214</v>
      </c>
      <c r="M653" s="54" t="s">
        <v>212</v>
      </c>
      <c r="N653" s="54" t="s">
        <v>214</v>
      </c>
      <c r="O653" s="58" t="n">
        <v>191.8</v>
      </c>
      <c r="P653" s="54" t="s">
        <v>214</v>
      </c>
      <c r="Q653" s="58" t="n">
        <v>192.1</v>
      </c>
    </row>
    <row r="654" customFormat="false" ht="15" hidden="false" customHeight="false" outlineLevel="0" collapsed="false">
      <c r="A654" s="54" t="s">
        <v>27</v>
      </c>
      <c r="B654" s="55" t="n">
        <v>1995</v>
      </c>
      <c r="C654" s="56" t="n">
        <v>46310.5955252199</v>
      </c>
      <c r="D654" s="55" t="n">
        <v>14</v>
      </c>
      <c r="E654" s="54" t="s">
        <v>214</v>
      </c>
      <c r="F654" s="54" t="s">
        <v>859</v>
      </c>
      <c r="G654" s="54" t="s">
        <v>860</v>
      </c>
      <c r="H654" s="54" t="s">
        <v>861</v>
      </c>
      <c r="I654" s="54" t="s">
        <v>347</v>
      </c>
      <c r="J654" s="54" t="s">
        <v>862</v>
      </c>
      <c r="K654" s="58" t="n">
        <v>72</v>
      </c>
      <c r="L654" s="54" t="s">
        <v>863</v>
      </c>
      <c r="M654" s="54" t="s">
        <v>212</v>
      </c>
      <c r="N654" s="54" t="s">
        <v>212</v>
      </c>
      <c r="O654" s="58"/>
      <c r="P654" s="54" t="s">
        <v>212</v>
      </c>
      <c r="Q654" s="58"/>
    </row>
    <row r="655" customFormat="false" ht="15" hidden="false" customHeight="false" outlineLevel="0" collapsed="false">
      <c r="A655" s="54" t="s">
        <v>27</v>
      </c>
      <c r="B655" s="55" t="n">
        <v>1987</v>
      </c>
      <c r="C655" s="56" t="n">
        <v>46310.6033240394</v>
      </c>
      <c r="D655" s="55" t="n">
        <v>14</v>
      </c>
      <c r="E655" s="54" t="s">
        <v>214</v>
      </c>
      <c r="F655" s="54" t="s">
        <v>859</v>
      </c>
      <c r="G655" s="54" t="s">
        <v>860</v>
      </c>
      <c r="H655" s="54" t="s">
        <v>861</v>
      </c>
      <c r="I655" s="54" t="s">
        <v>347</v>
      </c>
      <c r="J655" s="54" t="s">
        <v>862</v>
      </c>
      <c r="K655" s="58" t="n">
        <v>72</v>
      </c>
      <c r="L655" s="54" t="s">
        <v>863</v>
      </c>
      <c r="M655" s="54" t="s">
        <v>212</v>
      </c>
      <c r="N655" s="54" t="s">
        <v>212</v>
      </c>
      <c r="O655" s="58"/>
      <c r="P655" s="54" t="s">
        <v>212</v>
      </c>
      <c r="Q655" s="58"/>
    </row>
    <row r="656" customFormat="false" ht="15" hidden="false" customHeight="false" outlineLevel="0" collapsed="false">
      <c r="A656" s="54" t="s">
        <v>27</v>
      </c>
      <c r="B656" s="55" t="n">
        <v>1996</v>
      </c>
      <c r="C656" s="56" t="n">
        <v>46310.6104891551</v>
      </c>
      <c r="D656" s="55" t="n">
        <v>14</v>
      </c>
      <c r="E656" s="54" t="s">
        <v>214</v>
      </c>
      <c r="F656" s="54" t="s">
        <v>859</v>
      </c>
      <c r="G656" s="54" t="s">
        <v>860</v>
      </c>
      <c r="H656" s="54" t="s">
        <v>861</v>
      </c>
      <c r="I656" s="54" t="s">
        <v>347</v>
      </c>
      <c r="J656" s="54" t="s">
        <v>862</v>
      </c>
      <c r="K656" s="58" t="n">
        <v>72</v>
      </c>
      <c r="L656" s="54" t="s">
        <v>863</v>
      </c>
      <c r="M656" s="54" t="s">
        <v>212</v>
      </c>
      <c r="N656" s="54" t="s">
        <v>212</v>
      </c>
      <c r="O656" s="58"/>
      <c r="P656" s="54" t="s">
        <v>212</v>
      </c>
      <c r="Q656" s="58"/>
    </row>
    <row r="657" customFormat="false" ht="15" hidden="false" customHeight="false" outlineLevel="0" collapsed="false">
      <c r="A657" s="54" t="s">
        <v>27</v>
      </c>
      <c r="B657" s="55" t="n">
        <v>1993</v>
      </c>
      <c r="C657" s="56" t="n">
        <v>46310.6146980787</v>
      </c>
      <c r="D657" s="55" t="n">
        <v>14</v>
      </c>
      <c r="E657" s="54" t="s">
        <v>214</v>
      </c>
      <c r="F657" s="54" t="s">
        <v>859</v>
      </c>
      <c r="G657" s="54" t="s">
        <v>860</v>
      </c>
      <c r="H657" s="54" t="s">
        <v>861</v>
      </c>
      <c r="I657" s="54" t="s">
        <v>347</v>
      </c>
      <c r="J657" s="54" t="s">
        <v>862</v>
      </c>
      <c r="K657" s="58" t="n">
        <v>72</v>
      </c>
      <c r="L657" s="54" t="s">
        <v>863</v>
      </c>
      <c r="M657" s="54" t="s">
        <v>212</v>
      </c>
      <c r="N657" s="54" t="s">
        <v>212</v>
      </c>
      <c r="O657" s="58"/>
      <c r="P657" s="54" t="s">
        <v>212</v>
      </c>
      <c r="Q657" s="58"/>
    </row>
    <row r="658" customFormat="false" ht="15" hidden="false" customHeight="false" outlineLevel="0" collapsed="false">
      <c r="A658" s="54" t="s">
        <v>27</v>
      </c>
      <c r="B658" s="55" t="n">
        <v>1998</v>
      </c>
      <c r="C658" s="56" t="n">
        <v>46310.6400895255</v>
      </c>
      <c r="D658" s="55" t="n">
        <v>15</v>
      </c>
      <c r="E658" s="54" t="s">
        <v>214</v>
      </c>
      <c r="F658" s="54" t="s">
        <v>859</v>
      </c>
      <c r="G658" s="54" t="s">
        <v>860</v>
      </c>
      <c r="H658" s="54" t="s">
        <v>861</v>
      </c>
      <c r="I658" s="54" t="s">
        <v>347</v>
      </c>
      <c r="J658" s="54" t="s">
        <v>862</v>
      </c>
      <c r="K658" s="58" t="n">
        <v>72</v>
      </c>
      <c r="L658" s="54" t="s">
        <v>863</v>
      </c>
      <c r="M658" s="54" t="s">
        <v>212</v>
      </c>
      <c r="N658" s="54" t="s">
        <v>212</v>
      </c>
      <c r="O658" s="58"/>
      <c r="P658" s="54" t="s">
        <v>212</v>
      </c>
      <c r="Q658" s="58"/>
    </row>
    <row r="659" customFormat="false" ht="15" hidden="false" customHeight="false" outlineLevel="0" collapsed="false">
      <c r="A659" s="54" t="s">
        <v>27</v>
      </c>
      <c r="B659" s="55" t="n">
        <v>2021</v>
      </c>
      <c r="C659" s="56" t="n">
        <v>46310.6541081945</v>
      </c>
      <c r="D659" s="55" t="n">
        <v>15</v>
      </c>
      <c r="E659" s="54" t="s">
        <v>214</v>
      </c>
      <c r="F659" s="54" t="s">
        <v>127</v>
      </c>
      <c r="G659" s="54" t="s">
        <v>118</v>
      </c>
      <c r="H659" s="54" t="s">
        <v>220</v>
      </c>
      <c r="I659" s="54" t="s">
        <v>477</v>
      </c>
      <c r="J659" s="54" t="s">
        <v>864</v>
      </c>
      <c r="K659" s="58" t="n">
        <v>129.1</v>
      </c>
      <c r="L659" s="54" t="s">
        <v>212</v>
      </c>
      <c r="M659" s="54" t="s">
        <v>214</v>
      </c>
      <c r="N659" s="54" t="s">
        <v>214</v>
      </c>
      <c r="O659" s="58" t="n">
        <v>0.4</v>
      </c>
      <c r="P659" s="54" t="s">
        <v>214</v>
      </c>
      <c r="Q659" s="58" t="n">
        <v>0.7</v>
      </c>
    </row>
    <row r="660" customFormat="false" ht="15" hidden="false" customHeight="false" outlineLevel="0" collapsed="false">
      <c r="A660" s="54" t="s">
        <v>27</v>
      </c>
      <c r="B660" s="55" t="n">
        <v>1979</v>
      </c>
      <c r="C660" s="56" t="n">
        <v>46310.6647862963</v>
      </c>
      <c r="D660" s="55" t="n">
        <v>15</v>
      </c>
      <c r="E660" s="54" t="s">
        <v>214</v>
      </c>
      <c r="F660" s="54" t="s">
        <v>859</v>
      </c>
      <c r="G660" s="54" t="s">
        <v>860</v>
      </c>
      <c r="H660" s="54" t="s">
        <v>861</v>
      </c>
      <c r="I660" s="54" t="s">
        <v>347</v>
      </c>
      <c r="J660" s="54" t="s">
        <v>862</v>
      </c>
      <c r="K660" s="58" t="n">
        <v>72</v>
      </c>
      <c r="L660" s="54" t="s">
        <v>863</v>
      </c>
      <c r="M660" s="54" t="s">
        <v>212</v>
      </c>
      <c r="N660" s="54" t="s">
        <v>212</v>
      </c>
      <c r="O660" s="58"/>
      <c r="P660" s="54" t="s">
        <v>212</v>
      </c>
      <c r="Q660" s="58"/>
    </row>
    <row r="661" customFormat="false" ht="15" hidden="false" customHeight="false" outlineLevel="0" collapsed="false">
      <c r="A661" s="54" t="s">
        <v>27</v>
      </c>
      <c r="B661" s="55" t="n">
        <v>2035</v>
      </c>
      <c r="C661" s="56" t="n">
        <v>46310.7313921528</v>
      </c>
      <c r="D661" s="55" t="n">
        <v>17</v>
      </c>
      <c r="E661" s="54" t="s">
        <v>214</v>
      </c>
      <c r="F661" s="54" t="s">
        <v>128</v>
      </c>
      <c r="G661" s="54" t="s">
        <v>118</v>
      </c>
      <c r="H661" s="54" t="s">
        <v>220</v>
      </c>
      <c r="I661" s="54" t="s">
        <v>473</v>
      </c>
      <c r="J661" s="54" t="s">
        <v>865</v>
      </c>
      <c r="K661" s="58" t="n">
        <v>88.5</v>
      </c>
      <c r="L661" s="54" t="s">
        <v>212</v>
      </c>
      <c r="M661" s="54" t="s">
        <v>214</v>
      </c>
      <c r="N661" s="54" t="s">
        <v>212</v>
      </c>
      <c r="O661" s="58"/>
      <c r="P661" s="54" t="s">
        <v>214</v>
      </c>
      <c r="Q661" s="58" t="n">
        <v>32</v>
      </c>
    </row>
    <row r="662" customFormat="false" ht="15" hidden="false" customHeight="false" outlineLevel="0" collapsed="false">
      <c r="A662" s="54" t="s">
        <v>27</v>
      </c>
      <c r="B662" s="55" t="n">
        <v>2020</v>
      </c>
      <c r="C662" s="56" t="n">
        <v>46310.7454079977</v>
      </c>
      <c r="D662" s="55" t="n">
        <v>17</v>
      </c>
      <c r="E662" s="54" t="s">
        <v>214</v>
      </c>
      <c r="F662" s="54" t="s">
        <v>859</v>
      </c>
      <c r="G662" s="54" t="s">
        <v>860</v>
      </c>
      <c r="H662" s="54" t="s">
        <v>861</v>
      </c>
      <c r="I662" s="54" t="s">
        <v>347</v>
      </c>
      <c r="J662" s="54" t="s">
        <v>862</v>
      </c>
      <c r="K662" s="58" t="n">
        <v>72</v>
      </c>
      <c r="L662" s="54" t="s">
        <v>863</v>
      </c>
      <c r="M662" s="54" t="s">
        <v>212</v>
      </c>
      <c r="N662" s="54" t="s">
        <v>212</v>
      </c>
      <c r="O662" s="58"/>
      <c r="P662" s="54" t="s">
        <v>212</v>
      </c>
      <c r="Q662" s="58"/>
    </row>
    <row r="663" customFormat="false" ht="15" hidden="false" customHeight="false" outlineLevel="0" collapsed="false">
      <c r="A663" s="54" t="s">
        <v>27</v>
      </c>
      <c r="B663" s="55" t="n">
        <v>2047</v>
      </c>
      <c r="C663" s="56" t="n">
        <v>46310.7655409722</v>
      </c>
      <c r="D663" s="55" t="n">
        <v>18</v>
      </c>
      <c r="E663" s="54" t="s">
        <v>214</v>
      </c>
      <c r="F663" s="54" t="s">
        <v>128</v>
      </c>
      <c r="G663" s="54" t="s">
        <v>118</v>
      </c>
      <c r="H663" s="54" t="s">
        <v>220</v>
      </c>
      <c r="I663" s="54" t="s">
        <v>477</v>
      </c>
      <c r="J663" s="54" t="s">
        <v>864</v>
      </c>
      <c r="K663" s="58" t="n">
        <v>79.6</v>
      </c>
      <c r="L663" s="54" t="s">
        <v>212</v>
      </c>
      <c r="M663" s="54" t="s">
        <v>214</v>
      </c>
      <c r="N663" s="54" t="s">
        <v>214</v>
      </c>
      <c r="O663" s="58" t="n">
        <v>2.9</v>
      </c>
      <c r="P663" s="54" t="s">
        <v>212</v>
      </c>
      <c r="Q663" s="58"/>
    </row>
    <row r="664" customFormat="false" ht="15" hidden="false" customHeight="false" outlineLevel="0" collapsed="false">
      <c r="A664" s="54" t="s">
        <v>27</v>
      </c>
      <c r="B664" s="55" t="n">
        <v>2026</v>
      </c>
      <c r="C664" s="56" t="n">
        <v>46310.7755160185</v>
      </c>
      <c r="D664" s="55" t="n">
        <v>18</v>
      </c>
      <c r="E664" s="54" t="s">
        <v>214</v>
      </c>
      <c r="F664" s="54" t="s">
        <v>859</v>
      </c>
      <c r="G664" s="54" t="s">
        <v>860</v>
      </c>
      <c r="H664" s="54" t="s">
        <v>861</v>
      </c>
      <c r="I664" s="54" t="s">
        <v>347</v>
      </c>
      <c r="J664" s="54" t="s">
        <v>862</v>
      </c>
      <c r="K664" s="58" t="n">
        <v>72</v>
      </c>
      <c r="L664" s="54" t="s">
        <v>863</v>
      </c>
      <c r="M664" s="54" t="s">
        <v>212</v>
      </c>
      <c r="N664" s="54" t="s">
        <v>212</v>
      </c>
      <c r="O664" s="58"/>
      <c r="P664" s="54" t="s">
        <v>212</v>
      </c>
      <c r="Q664" s="58"/>
    </row>
    <row r="665" customFormat="false" ht="15" hidden="false" customHeight="false" outlineLevel="0" collapsed="false">
      <c r="A665" s="54" t="s">
        <v>27</v>
      </c>
      <c r="B665" s="55" t="n">
        <v>2048</v>
      </c>
      <c r="C665" s="56" t="n">
        <v>46310.7769358681</v>
      </c>
      <c r="D665" s="55" t="n">
        <v>18</v>
      </c>
      <c r="E665" s="54" t="s">
        <v>214</v>
      </c>
      <c r="F665" s="54" t="s">
        <v>128</v>
      </c>
      <c r="G665" s="54" t="s">
        <v>118</v>
      </c>
      <c r="H665" s="54" t="s">
        <v>220</v>
      </c>
      <c r="I665" s="54" t="s">
        <v>477</v>
      </c>
      <c r="J665" s="54" t="s">
        <v>864</v>
      </c>
      <c r="K665" s="58" t="n">
        <v>79</v>
      </c>
      <c r="L665" s="54" t="s">
        <v>212</v>
      </c>
      <c r="M665" s="54" t="s">
        <v>214</v>
      </c>
      <c r="N665" s="54" t="s">
        <v>214</v>
      </c>
      <c r="O665" s="58" t="n">
        <v>5</v>
      </c>
      <c r="P665" s="54" t="s">
        <v>214</v>
      </c>
      <c r="Q665" s="58" t="n">
        <v>10.7</v>
      </c>
    </row>
    <row r="666" customFormat="false" ht="15" hidden="false" customHeight="false" outlineLevel="0" collapsed="false">
      <c r="A666" s="54" t="s">
        <v>27</v>
      </c>
      <c r="B666" s="55" t="n">
        <v>2049</v>
      </c>
      <c r="C666" s="56" t="n">
        <v>46310.7833361458</v>
      </c>
      <c r="D666" s="55" t="n">
        <v>18</v>
      </c>
      <c r="E666" s="54" t="s">
        <v>214</v>
      </c>
      <c r="F666" s="54" t="s">
        <v>128</v>
      </c>
      <c r="G666" s="54" t="s">
        <v>118</v>
      </c>
      <c r="H666" s="54" t="s">
        <v>220</v>
      </c>
      <c r="I666" s="54" t="s">
        <v>477</v>
      </c>
      <c r="J666" s="54" t="s">
        <v>864</v>
      </c>
      <c r="K666" s="58" t="n">
        <v>76.5</v>
      </c>
      <c r="L666" s="54" t="s">
        <v>212</v>
      </c>
      <c r="M666" s="54" t="s">
        <v>214</v>
      </c>
      <c r="N666" s="54" t="s">
        <v>212</v>
      </c>
      <c r="O666" s="58"/>
      <c r="P666" s="54" t="s">
        <v>214</v>
      </c>
      <c r="Q666" s="58" t="n">
        <v>15.5</v>
      </c>
    </row>
    <row r="667" customFormat="false" ht="15" hidden="false" customHeight="false" outlineLevel="0" collapsed="false">
      <c r="A667" s="54" t="s">
        <v>27</v>
      </c>
      <c r="B667" s="55" t="n">
        <v>2028</v>
      </c>
      <c r="C667" s="56" t="n">
        <v>46310.7908489931</v>
      </c>
      <c r="D667" s="55" t="n">
        <v>18</v>
      </c>
      <c r="E667" s="54" t="s">
        <v>214</v>
      </c>
      <c r="F667" s="54" t="s">
        <v>859</v>
      </c>
      <c r="G667" s="54" t="s">
        <v>860</v>
      </c>
      <c r="H667" s="54" t="s">
        <v>861</v>
      </c>
      <c r="I667" s="54" t="s">
        <v>347</v>
      </c>
      <c r="J667" s="54" t="s">
        <v>862</v>
      </c>
      <c r="K667" s="58" t="n">
        <v>72</v>
      </c>
      <c r="L667" s="54" t="s">
        <v>863</v>
      </c>
      <c r="M667" s="54" t="s">
        <v>212</v>
      </c>
      <c r="N667" s="54" t="s">
        <v>214</v>
      </c>
      <c r="O667" s="58" t="n">
        <v>135</v>
      </c>
      <c r="P667" s="54" t="s">
        <v>212</v>
      </c>
      <c r="Q667" s="58"/>
    </row>
    <row r="668" customFormat="false" ht="15" hidden="false" customHeight="false" outlineLevel="0" collapsed="false">
      <c r="A668" s="54" t="s">
        <v>27</v>
      </c>
      <c r="B668" s="55" t="n">
        <v>2033</v>
      </c>
      <c r="C668" s="56" t="n">
        <v>46310.7991303357</v>
      </c>
      <c r="D668" s="55" t="n">
        <v>19</v>
      </c>
      <c r="E668" s="54" t="s">
        <v>214</v>
      </c>
      <c r="F668" s="54" t="s">
        <v>859</v>
      </c>
      <c r="G668" s="54" t="s">
        <v>860</v>
      </c>
      <c r="H668" s="54" t="s">
        <v>861</v>
      </c>
      <c r="I668" s="54" t="s">
        <v>347</v>
      </c>
      <c r="J668" s="54" t="s">
        <v>862</v>
      </c>
      <c r="K668" s="58" t="n">
        <v>72</v>
      </c>
      <c r="L668" s="54" t="s">
        <v>863</v>
      </c>
      <c r="M668" s="54" t="s">
        <v>212</v>
      </c>
      <c r="N668" s="54" t="s">
        <v>212</v>
      </c>
      <c r="O668" s="58"/>
      <c r="P668" s="54" t="s">
        <v>212</v>
      </c>
      <c r="Q668" s="58"/>
    </row>
    <row r="669" customFormat="false" ht="15" hidden="false" customHeight="false" outlineLevel="0" collapsed="false">
      <c r="A669" s="54" t="s">
        <v>27</v>
      </c>
      <c r="B669" s="55" t="n">
        <v>2052</v>
      </c>
      <c r="C669" s="56" t="n">
        <v>46310.8068608565</v>
      </c>
      <c r="D669" s="55" t="n">
        <v>19</v>
      </c>
      <c r="E669" s="54" t="s">
        <v>214</v>
      </c>
      <c r="F669" s="54" t="s">
        <v>127</v>
      </c>
      <c r="G669" s="54" t="s">
        <v>118</v>
      </c>
      <c r="H669" s="54" t="s">
        <v>220</v>
      </c>
      <c r="I669" s="54" t="s">
        <v>477</v>
      </c>
      <c r="J669" s="54" t="s">
        <v>864</v>
      </c>
      <c r="K669" s="58" t="n">
        <v>105.2</v>
      </c>
      <c r="L669" s="54" t="s">
        <v>212</v>
      </c>
      <c r="M669" s="54" t="s">
        <v>214</v>
      </c>
      <c r="N669" s="54" t="s">
        <v>214</v>
      </c>
      <c r="O669" s="58" t="n">
        <v>2.3</v>
      </c>
      <c r="P669" s="54" t="s">
        <v>212</v>
      </c>
      <c r="Q669" s="58"/>
    </row>
    <row r="670" customFormat="false" ht="15" hidden="false" customHeight="false" outlineLevel="0" collapsed="false">
      <c r="A670" s="54" t="s">
        <v>27</v>
      </c>
      <c r="B670" s="55" t="n">
        <v>2021</v>
      </c>
      <c r="C670" s="56" t="n">
        <v>46310.8312920718</v>
      </c>
      <c r="D670" s="55" t="n">
        <v>19</v>
      </c>
      <c r="E670" s="54" t="s">
        <v>214</v>
      </c>
      <c r="F670" s="54" t="s">
        <v>859</v>
      </c>
      <c r="G670" s="54" t="s">
        <v>860</v>
      </c>
      <c r="H670" s="54" t="s">
        <v>861</v>
      </c>
      <c r="I670" s="54" t="s">
        <v>347</v>
      </c>
      <c r="J670" s="54" t="s">
        <v>862</v>
      </c>
      <c r="K670" s="58" t="n">
        <v>72</v>
      </c>
      <c r="L670" s="54" t="s">
        <v>863</v>
      </c>
      <c r="M670" s="54" t="s">
        <v>212</v>
      </c>
      <c r="N670" s="54" t="s">
        <v>214</v>
      </c>
      <c r="O670" s="58" t="n">
        <v>175.6</v>
      </c>
      <c r="P670" s="54" t="s">
        <v>212</v>
      </c>
      <c r="Q670" s="58"/>
    </row>
    <row r="671" customFormat="false" ht="15" hidden="false" customHeight="false" outlineLevel="0" collapsed="false">
      <c r="A671" s="54" t="s">
        <v>28</v>
      </c>
      <c r="B671" s="55" t="n">
        <v>267</v>
      </c>
      <c r="C671" s="56" t="n">
        <v>46300.4810358681</v>
      </c>
      <c r="D671" s="55" t="n">
        <v>11</v>
      </c>
      <c r="E671" s="54" t="s">
        <v>214</v>
      </c>
      <c r="F671" s="54" t="s">
        <v>127</v>
      </c>
      <c r="G671" s="54" t="s">
        <v>118</v>
      </c>
      <c r="H671" s="54" t="s">
        <v>220</v>
      </c>
      <c r="I671" s="54" t="s">
        <v>477</v>
      </c>
      <c r="J671" s="54" t="s">
        <v>864</v>
      </c>
      <c r="K671" s="58" t="n">
        <v>113.7</v>
      </c>
      <c r="L671" s="54" t="s">
        <v>212</v>
      </c>
      <c r="M671" s="54" t="s">
        <v>214</v>
      </c>
      <c r="N671" s="54" t="s">
        <v>214</v>
      </c>
      <c r="O671" s="58" t="n">
        <v>14</v>
      </c>
      <c r="P671" s="54" t="s">
        <v>214</v>
      </c>
      <c r="Q671" s="58" t="n">
        <v>15.6</v>
      </c>
    </row>
    <row r="672" customFormat="false" ht="15" hidden="false" customHeight="false" outlineLevel="0" collapsed="false">
      <c r="A672" s="54" t="s">
        <v>28</v>
      </c>
      <c r="B672" s="55" t="n">
        <v>267</v>
      </c>
      <c r="C672" s="56" t="n">
        <v>46300.6595125694</v>
      </c>
      <c r="D672" s="55" t="n">
        <v>15</v>
      </c>
      <c r="E672" s="54" t="s">
        <v>214</v>
      </c>
      <c r="F672" s="54" t="s">
        <v>859</v>
      </c>
      <c r="G672" s="54" t="s">
        <v>860</v>
      </c>
      <c r="H672" s="54" t="s">
        <v>861</v>
      </c>
      <c r="I672" s="54" t="s">
        <v>771</v>
      </c>
      <c r="J672" s="54" t="s">
        <v>862</v>
      </c>
      <c r="K672" s="58" t="n">
        <v>72.4</v>
      </c>
      <c r="L672" s="54" t="s">
        <v>863</v>
      </c>
      <c r="M672" s="54" t="s">
        <v>212</v>
      </c>
      <c r="N672" s="54" t="s">
        <v>214</v>
      </c>
      <c r="O672" s="58" t="n">
        <v>0.1</v>
      </c>
      <c r="P672" s="54" t="s">
        <v>212</v>
      </c>
      <c r="Q672" s="58"/>
    </row>
    <row r="673" customFormat="false" ht="15" hidden="false" customHeight="false" outlineLevel="0" collapsed="false">
      <c r="A673" s="54" t="s">
        <v>28</v>
      </c>
      <c r="B673" s="55" t="n">
        <v>326</v>
      </c>
      <c r="C673" s="56" t="n">
        <v>46300.8377422917</v>
      </c>
      <c r="D673" s="55" t="n">
        <v>20</v>
      </c>
      <c r="E673" s="54" t="s">
        <v>214</v>
      </c>
      <c r="F673" s="54" t="s">
        <v>128</v>
      </c>
      <c r="G673" s="54" t="s">
        <v>118</v>
      </c>
      <c r="H673" s="54" t="s">
        <v>220</v>
      </c>
      <c r="I673" s="54" t="s">
        <v>477</v>
      </c>
      <c r="J673" s="54" t="s">
        <v>864</v>
      </c>
      <c r="K673" s="58" t="n">
        <v>118.7</v>
      </c>
      <c r="L673" s="54" t="s">
        <v>212</v>
      </c>
      <c r="M673" s="54" t="s">
        <v>212</v>
      </c>
      <c r="N673" s="54" t="s">
        <v>212</v>
      </c>
      <c r="O673" s="58"/>
      <c r="P673" s="54" t="s">
        <v>212</v>
      </c>
      <c r="Q673" s="58"/>
    </row>
    <row r="674" customFormat="false" ht="15" hidden="false" customHeight="false" outlineLevel="0" collapsed="false">
      <c r="A674" s="54" t="s">
        <v>28</v>
      </c>
      <c r="B674" s="55" t="n">
        <v>309</v>
      </c>
      <c r="C674" s="56" t="n">
        <v>46300.8574276273</v>
      </c>
      <c r="D674" s="55" t="n">
        <v>20</v>
      </c>
      <c r="E674" s="54" t="s">
        <v>214</v>
      </c>
      <c r="F674" s="54" t="s">
        <v>859</v>
      </c>
      <c r="G674" s="54" t="s">
        <v>860</v>
      </c>
      <c r="H674" s="54" t="s">
        <v>861</v>
      </c>
      <c r="I674" s="54" t="s">
        <v>771</v>
      </c>
      <c r="J674" s="54" t="s">
        <v>862</v>
      </c>
      <c r="K674" s="58" t="n">
        <v>72.4</v>
      </c>
      <c r="L674" s="54" t="s">
        <v>863</v>
      </c>
      <c r="M674" s="54" t="s">
        <v>212</v>
      </c>
      <c r="N674" s="54" t="s">
        <v>214</v>
      </c>
      <c r="O674" s="58" t="n">
        <v>73.5</v>
      </c>
      <c r="P674" s="54" t="s">
        <v>212</v>
      </c>
      <c r="Q674" s="58"/>
    </row>
    <row r="675" customFormat="false" ht="15" hidden="false" customHeight="false" outlineLevel="0" collapsed="false">
      <c r="A675" s="54" t="s">
        <v>28</v>
      </c>
      <c r="B675" s="55" t="n">
        <v>326</v>
      </c>
      <c r="C675" s="56" t="n">
        <v>46301.3753870486</v>
      </c>
      <c r="D675" s="55" t="n">
        <v>9</v>
      </c>
      <c r="E675" s="54" t="s">
        <v>214</v>
      </c>
      <c r="F675" s="54" t="s">
        <v>859</v>
      </c>
      <c r="G675" s="54" t="s">
        <v>860</v>
      </c>
      <c r="H675" s="54" t="s">
        <v>861</v>
      </c>
      <c r="I675" s="54" t="s">
        <v>771</v>
      </c>
      <c r="J675" s="54" t="s">
        <v>862</v>
      </c>
      <c r="K675" s="58" t="n">
        <v>72.4</v>
      </c>
      <c r="L675" s="54" t="s">
        <v>863</v>
      </c>
      <c r="M675" s="54" t="s">
        <v>212</v>
      </c>
      <c r="N675" s="54" t="s">
        <v>212</v>
      </c>
      <c r="O675" s="58"/>
      <c r="P675" s="54" t="s">
        <v>212</v>
      </c>
      <c r="Q675" s="58"/>
    </row>
    <row r="676" customFormat="false" ht="15" hidden="false" customHeight="false" outlineLevel="0" collapsed="false">
      <c r="A676" s="54" t="s">
        <v>28</v>
      </c>
      <c r="B676" s="55" t="n">
        <v>329</v>
      </c>
      <c r="C676" s="56" t="n">
        <v>46301.3757372685</v>
      </c>
      <c r="D676" s="55" t="n">
        <v>9</v>
      </c>
      <c r="E676" s="54" t="s">
        <v>214</v>
      </c>
      <c r="F676" s="54" t="s">
        <v>859</v>
      </c>
      <c r="G676" s="54" t="s">
        <v>860</v>
      </c>
      <c r="H676" s="54" t="s">
        <v>861</v>
      </c>
      <c r="I676" s="54" t="s">
        <v>771</v>
      </c>
      <c r="J676" s="54" t="s">
        <v>862</v>
      </c>
      <c r="K676" s="58" t="n">
        <v>72.4</v>
      </c>
      <c r="L676" s="54" t="s">
        <v>863</v>
      </c>
      <c r="M676" s="54" t="s">
        <v>212</v>
      </c>
      <c r="N676" s="54" t="s">
        <v>214</v>
      </c>
      <c r="O676" s="58" t="n">
        <v>786.1</v>
      </c>
      <c r="P676" s="54" t="s">
        <v>212</v>
      </c>
      <c r="Q676" s="58"/>
    </row>
    <row r="677" customFormat="false" ht="15" hidden="false" customHeight="false" outlineLevel="0" collapsed="false">
      <c r="A677" s="54" t="s">
        <v>28</v>
      </c>
      <c r="B677" s="55" t="n">
        <v>347</v>
      </c>
      <c r="C677" s="56" t="n">
        <v>46301.4092437616</v>
      </c>
      <c r="D677" s="55" t="n">
        <v>9</v>
      </c>
      <c r="E677" s="54" t="s">
        <v>214</v>
      </c>
      <c r="F677" s="54" t="s">
        <v>859</v>
      </c>
      <c r="G677" s="54" t="s">
        <v>860</v>
      </c>
      <c r="H677" s="54" t="s">
        <v>861</v>
      </c>
      <c r="I677" s="54" t="s">
        <v>771</v>
      </c>
      <c r="J677" s="54" t="s">
        <v>862</v>
      </c>
      <c r="K677" s="58" t="n">
        <v>72.4</v>
      </c>
      <c r="L677" s="54" t="s">
        <v>863</v>
      </c>
      <c r="M677" s="54" t="s">
        <v>212</v>
      </c>
      <c r="N677" s="54" t="s">
        <v>214</v>
      </c>
      <c r="O677" s="58" t="n">
        <v>4051.6</v>
      </c>
      <c r="P677" s="54" t="s">
        <v>212</v>
      </c>
      <c r="Q677" s="58"/>
    </row>
    <row r="678" customFormat="false" ht="15" hidden="false" customHeight="false" outlineLevel="0" collapsed="false">
      <c r="A678" s="54" t="s">
        <v>28</v>
      </c>
      <c r="B678" s="55" t="n">
        <v>363</v>
      </c>
      <c r="C678" s="56" t="n">
        <v>46301.4158328357</v>
      </c>
      <c r="D678" s="55" t="n">
        <v>9</v>
      </c>
      <c r="E678" s="54" t="s">
        <v>214</v>
      </c>
      <c r="F678" s="54" t="s">
        <v>130</v>
      </c>
      <c r="G678" s="54" t="s">
        <v>118</v>
      </c>
      <c r="H678" s="54" t="s">
        <v>215</v>
      </c>
      <c r="I678" s="54" t="s">
        <v>477</v>
      </c>
      <c r="J678" s="54" t="s">
        <v>864</v>
      </c>
      <c r="K678" s="58" t="n">
        <v>142.2</v>
      </c>
      <c r="L678" s="54" t="s">
        <v>212</v>
      </c>
      <c r="M678" s="54" t="s">
        <v>214</v>
      </c>
      <c r="N678" s="54" t="s">
        <v>212</v>
      </c>
      <c r="O678" s="58"/>
      <c r="P678" s="54" t="s">
        <v>214</v>
      </c>
      <c r="Q678" s="58" t="n">
        <v>3.1</v>
      </c>
    </row>
    <row r="679" customFormat="false" ht="15" hidden="false" customHeight="false" outlineLevel="0" collapsed="false">
      <c r="A679" s="54" t="s">
        <v>28</v>
      </c>
      <c r="B679" s="55" t="n">
        <v>361</v>
      </c>
      <c r="C679" s="56" t="n">
        <v>46301.4971169907</v>
      </c>
      <c r="D679" s="55" t="n">
        <v>11</v>
      </c>
      <c r="E679" s="54" t="s">
        <v>214</v>
      </c>
      <c r="F679" s="54" t="s">
        <v>859</v>
      </c>
      <c r="G679" s="54" t="s">
        <v>860</v>
      </c>
      <c r="H679" s="54" t="s">
        <v>861</v>
      </c>
      <c r="I679" s="54" t="s">
        <v>771</v>
      </c>
      <c r="J679" s="54" t="s">
        <v>862</v>
      </c>
      <c r="K679" s="58" t="n">
        <v>72.4</v>
      </c>
      <c r="L679" s="54" t="s">
        <v>863</v>
      </c>
      <c r="M679" s="54" t="s">
        <v>212</v>
      </c>
      <c r="N679" s="54" t="s">
        <v>214</v>
      </c>
      <c r="O679" s="58" t="n">
        <v>357.1</v>
      </c>
      <c r="P679" s="54" t="s">
        <v>212</v>
      </c>
      <c r="Q679" s="58"/>
    </row>
    <row r="680" customFormat="false" ht="15" hidden="false" customHeight="false" outlineLevel="0" collapsed="false">
      <c r="A680" s="54" t="s">
        <v>28</v>
      </c>
      <c r="B680" s="55" t="n">
        <v>377</v>
      </c>
      <c r="C680" s="56" t="n">
        <v>46301.5759715857</v>
      </c>
      <c r="D680" s="55" t="n">
        <v>13</v>
      </c>
      <c r="E680" s="54" t="s">
        <v>214</v>
      </c>
      <c r="F680" s="54" t="s">
        <v>859</v>
      </c>
      <c r="G680" s="54" t="s">
        <v>860</v>
      </c>
      <c r="H680" s="54" t="s">
        <v>861</v>
      </c>
      <c r="I680" s="54" t="s">
        <v>771</v>
      </c>
      <c r="J680" s="54" t="s">
        <v>862</v>
      </c>
      <c r="K680" s="58" t="n">
        <v>72.4</v>
      </c>
      <c r="L680" s="54" t="s">
        <v>863</v>
      </c>
      <c r="M680" s="54" t="s">
        <v>212</v>
      </c>
      <c r="N680" s="54" t="s">
        <v>214</v>
      </c>
      <c r="O680" s="58" t="n">
        <v>358.7</v>
      </c>
      <c r="P680" s="54" t="s">
        <v>212</v>
      </c>
      <c r="Q680" s="58"/>
    </row>
    <row r="681" customFormat="false" ht="15" hidden="false" customHeight="false" outlineLevel="0" collapsed="false">
      <c r="A681" s="54" t="s">
        <v>28</v>
      </c>
      <c r="B681" s="55" t="n">
        <v>382</v>
      </c>
      <c r="C681" s="56" t="n">
        <v>46301.5946342245</v>
      </c>
      <c r="D681" s="55" t="n">
        <v>14</v>
      </c>
      <c r="E681" s="54" t="s">
        <v>214</v>
      </c>
      <c r="F681" s="54" t="s">
        <v>859</v>
      </c>
      <c r="G681" s="54" t="s">
        <v>860</v>
      </c>
      <c r="H681" s="54" t="s">
        <v>861</v>
      </c>
      <c r="I681" s="54" t="s">
        <v>771</v>
      </c>
      <c r="J681" s="54" t="s">
        <v>862</v>
      </c>
      <c r="K681" s="58" t="n">
        <v>72.4</v>
      </c>
      <c r="L681" s="54" t="s">
        <v>863</v>
      </c>
      <c r="M681" s="54" t="s">
        <v>212</v>
      </c>
      <c r="N681" s="54" t="s">
        <v>212</v>
      </c>
      <c r="O681" s="58"/>
      <c r="P681" s="54" t="s">
        <v>214</v>
      </c>
      <c r="Q681" s="58" t="n">
        <v>132.9</v>
      </c>
    </row>
    <row r="682" customFormat="false" ht="15" hidden="false" customHeight="false" outlineLevel="0" collapsed="false">
      <c r="A682" s="54" t="s">
        <v>28</v>
      </c>
      <c r="B682" s="55" t="n">
        <v>397</v>
      </c>
      <c r="C682" s="56" t="n">
        <v>46301.614145625</v>
      </c>
      <c r="D682" s="55" t="n">
        <v>14</v>
      </c>
      <c r="E682" s="54" t="s">
        <v>214</v>
      </c>
      <c r="F682" s="54" t="s">
        <v>859</v>
      </c>
      <c r="G682" s="54" t="s">
        <v>860</v>
      </c>
      <c r="H682" s="54" t="s">
        <v>861</v>
      </c>
      <c r="I682" s="54" t="s">
        <v>771</v>
      </c>
      <c r="J682" s="54" t="s">
        <v>862</v>
      </c>
      <c r="K682" s="58" t="n">
        <v>72.4</v>
      </c>
      <c r="L682" s="54" t="s">
        <v>863</v>
      </c>
      <c r="M682" s="54" t="s">
        <v>212</v>
      </c>
      <c r="N682" s="54" t="s">
        <v>212</v>
      </c>
      <c r="O682" s="58"/>
      <c r="P682" s="54" t="s">
        <v>212</v>
      </c>
      <c r="Q682" s="58"/>
    </row>
    <row r="683" customFormat="false" ht="15" hidden="false" customHeight="false" outlineLevel="0" collapsed="false">
      <c r="A683" s="54" t="s">
        <v>28</v>
      </c>
      <c r="B683" s="55" t="n">
        <v>420</v>
      </c>
      <c r="C683" s="56" t="n">
        <v>46301.715577581</v>
      </c>
      <c r="D683" s="55" t="n">
        <v>17</v>
      </c>
      <c r="E683" s="54" t="s">
        <v>214</v>
      </c>
      <c r="F683" s="54" t="s">
        <v>859</v>
      </c>
      <c r="G683" s="54" t="s">
        <v>860</v>
      </c>
      <c r="H683" s="54" t="s">
        <v>861</v>
      </c>
      <c r="I683" s="54" t="s">
        <v>771</v>
      </c>
      <c r="J683" s="54" t="s">
        <v>862</v>
      </c>
      <c r="K683" s="58" t="n">
        <v>72.4</v>
      </c>
      <c r="L683" s="54" t="s">
        <v>863</v>
      </c>
      <c r="M683" s="54" t="s">
        <v>212</v>
      </c>
      <c r="N683" s="54" t="s">
        <v>214</v>
      </c>
      <c r="O683" s="58" t="n">
        <v>0.2</v>
      </c>
      <c r="P683" s="54" t="s">
        <v>212</v>
      </c>
      <c r="Q683" s="58"/>
    </row>
    <row r="684" customFormat="false" ht="15" hidden="false" customHeight="false" outlineLevel="0" collapsed="false">
      <c r="A684" s="54" t="s">
        <v>28</v>
      </c>
      <c r="B684" s="55" t="n">
        <v>543</v>
      </c>
      <c r="C684" s="56" t="n">
        <v>46302.3739875463</v>
      </c>
      <c r="D684" s="55" t="n">
        <v>8</v>
      </c>
      <c r="E684" s="54" t="s">
        <v>214</v>
      </c>
      <c r="F684" s="54" t="s">
        <v>127</v>
      </c>
      <c r="G684" s="54" t="s">
        <v>118</v>
      </c>
      <c r="H684" s="54" t="s">
        <v>220</v>
      </c>
      <c r="I684" s="54" t="s">
        <v>477</v>
      </c>
      <c r="J684" s="54" t="s">
        <v>864</v>
      </c>
      <c r="K684" s="58" t="n">
        <v>108.5</v>
      </c>
      <c r="L684" s="54" t="s">
        <v>212</v>
      </c>
      <c r="M684" s="54" t="s">
        <v>214</v>
      </c>
      <c r="N684" s="54" t="s">
        <v>214</v>
      </c>
      <c r="O684" s="58" t="n">
        <v>345.6</v>
      </c>
      <c r="P684" s="54" t="s">
        <v>214</v>
      </c>
      <c r="Q684" s="58" t="n">
        <v>636.5</v>
      </c>
    </row>
    <row r="685" customFormat="false" ht="15" hidden="false" customHeight="false" outlineLevel="0" collapsed="false">
      <c r="A685" s="54" t="s">
        <v>28</v>
      </c>
      <c r="B685" s="55" t="n">
        <v>491</v>
      </c>
      <c r="C685" s="56" t="n">
        <v>46302.3752816551</v>
      </c>
      <c r="D685" s="55" t="n">
        <v>9</v>
      </c>
      <c r="E685" s="54" t="s">
        <v>214</v>
      </c>
      <c r="F685" s="54" t="s">
        <v>859</v>
      </c>
      <c r="G685" s="54" t="s">
        <v>860</v>
      </c>
      <c r="H685" s="54" t="s">
        <v>861</v>
      </c>
      <c r="I685" s="54" t="s">
        <v>771</v>
      </c>
      <c r="J685" s="54" t="s">
        <v>862</v>
      </c>
      <c r="K685" s="58" t="n">
        <v>72.4</v>
      </c>
      <c r="L685" s="54" t="s">
        <v>863</v>
      </c>
      <c r="M685" s="54" t="s">
        <v>212</v>
      </c>
      <c r="N685" s="54" t="s">
        <v>214</v>
      </c>
      <c r="O685" s="58" t="n">
        <v>102.2</v>
      </c>
      <c r="P685" s="54" t="s">
        <v>212</v>
      </c>
      <c r="Q685" s="58"/>
    </row>
    <row r="686" customFormat="false" ht="15" hidden="false" customHeight="false" outlineLevel="0" collapsed="false">
      <c r="A686" s="54" t="s">
        <v>28</v>
      </c>
      <c r="B686" s="55" t="n">
        <v>465</v>
      </c>
      <c r="C686" s="56" t="n">
        <v>46302.3755079514</v>
      </c>
      <c r="D686" s="55" t="n">
        <v>9</v>
      </c>
      <c r="E686" s="54" t="s">
        <v>214</v>
      </c>
      <c r="F686" s="54" t="s">
        <v>859</v>
      </c>
      <c r="G686" s="54" t="s">
        <v>860</v>
      </c>
      <c r="H686" s="54" t="s">
        <v>861</v>
      </c>
      <c r="I686" s="54" t="s">
        <v>771</v>
      </c>
      <c r="J686" s="54" t="s">
        <v>862</v>
      </c>
      <c r="K686" s="58" t="n">
        <v>72.4</v>
      </c>
      <c r="L686" s="54" t="s">
        <v>863</v>
      </c>
      <c r="M686" s="54" t="s">
        <v>212</v>
      </c>
      <c r="N686" s="54" t="s">
        <v>212</v>
      </c>
      <c r="O686" s="58"/>
      <c r="P686" s="54" t="s">
        <v>212</v>
      </c>
      <c r="Q686" s="58"/>
    </row>
    <row r="687" customFormat="false" ht="15" hidden="false" customHeight="false" outlineLevel="0" collapsed="false">
      <c r="A687" s="54" t="s">
        <v>28</v>
      </c>
      <c r="B687" s="55" t="n">
        <v>476</v>
      </c>
      <c r="C687" s="56" t="n">
        <v>46302.3756035185</v>
      </c>
      <c r="D687" s="55" t="n">
        <v>9</v>
      </c>
      <c r="E687" s="54" t="s">
        <v>214</v>
      </c>
      <c r="F687" s="54" t="s">
        <v>859</v>
      </c>
      <c r="G687" s="54" t="s">
        <v>860</v>
      </c>
      <c r="H687" s="54" t="s">
        <v>861</v>
      </c>
      <c r="I687" s="54" t="s">
        <v>771</v>
      </c>
      <c r="J687" s="54" t="s">
        <v>862</v>
      </c>
      <c r="K687" s="58" t="n">
        <v>72.4</v>
      </c>
      <c r="L687" s="54" t="s">
        <v>863</v>
      </c>
      <c r="M687" s="54" t="s">
        <v>212</v>
      </c>
      <c r="N687" s="54" t="s">
        <v>212</v>
      </c>
      <c r="O687" s="58"/>
      <c r="P687" s="54" t="s">
        <v>212</v>
      </c>
      <c r="Q687" s="58"/>
    </row>
    <row r="688" customFormat="false" ht="15" hidden="false" customHeight="false" outlineLevel="0" collapsed="false">
      <c r="A688" s="54" t="s">
        <v>28</v>
      </c>
      <c r="B688" s="55" t="n">
        <v>501</v>
      </c>
      <c r="C688" s="56" t="n">
        <v>46302.3782088889</v>
      </c>
      <c r="D688" s="55" t="n">
        <v>9</v>
      </c>
      <c r="E688" s="54" t="s">
        <v>214</v>
      </c>
      <c r="F688" s="54" t="s">
        <v>859</v>
      </c>
      <c r="G688" s="54" t="s">
        <v>860</v>
      </c>
      <c r="H688" s="54" t="s">
        <v>861</v>
      </c>
      <c r="I688" s="54" t="s">
        <v>771</v>
      </c>
      <c r="J688" s="54" t="s">
        <v>862</v>
      </c>
      <c r="K688" s="58" t="n">
        <v>72.4</v>
      </c>
      <c r="L688" s="54" t="s">
        <v>863</v>
      </c>
      <c r="M688" s="54" t="s">
        <v>212</v>
      </c>
      <c r="N688" s="54" t="s">
        <v>212</v>
      </c>
      <c r="O688" s="58"/>
      <c r="P688" s="54" t="s">
        <v>212</v>
      </c>
      <c r="Q688" s="58"/>
    </row>
    <row r="689" customFormat="false" ht="15" hidden="false" customHeight="false" outlineLevel="0" collapsed="false">
      <c r="A689" s="54" t="s">
        <v>28</v>
      </c>
      <c r="B689" s="55" t="n">
        <v>555</v>
      </c>
      <c r="C689" s="56" t="n">
        <v>46302.405420787</v>
      </c>
      <c r="D689" s="55" t="n">
        <v>9</v>
      </c>
      <c r="E689" s="54" t="s">
        <v>214</v>
      </c>
      <c r="F689" s="54" t="s">
        <v>127</v>
      </c>
      <c r="G689" s="54" t="s">
        <v>118</v>
      </c>
      <c r="H689" s="54" t="s">
        <v>220</v>
      </c>
      <c r="I689" s="54" t="s">
        <v>477</v>
      </c>
      <c r="J689" s="54" t="s">
        <v>864</v>
      </c>
      <c r="K689" s="58" t="n">
        <v>118.1</v>
      </c>
      <c r="L689" s="54" t="s">
        <v>212</v>
      </c>
      <c r="M689" s="54" t="s">
        <v>214</v>
      </c>
      <c r="N689" s="54" t="s">
        <v>214</v>
      </c>
      <c r="O689" s="58" t="n">
        <v>1458.2</v>
      </c>
      <c r="P689" s="54" t="s">
        <v>212</v>
      </c>
      <c r="Q689" s="58"/>
    </row>
    <row r="690" customFormat="false" ht="15" hidden="false" customHeight="false" outlineLevel="0" collapsed="false">
      <c r="A690" s="54" t="s">
        <v>28</v>
      </c>
      <c r="B690" s="55" t="n">
        <v>546</v>
      </c>
      <c r="C690" s="56" t="n">
        <v>46302.4604830556</v>
      </c>
      <c r="D690" s="55" t="n">
        <v>11</v>
      </c>
      <c r="E690" s="54" t="s">
        <v>214</v>
      </c>
      <c r="F690" s="54" t="s">
        <v>859</v>
      </c>
      <c r="G690" s="54" t="s">
        <v>860</v>
      </c>
      <c r="H690" s="54" t="s">
        <v>861</v>
      </c>
      <c r="I690" s="54" t="s">
        <v>771</v>
      </c>
      <c r="J690" s="54" t="s">
        <v>862</v>
      </c>
      <c r="K690" s="58" t="n">
        <v>72.4</v>
      </c>
      <c r="L690" s="54" t="s">
        <v>863</v>
      </c>
      <c r="M690" s="54" t="s">
        <v>212</v>
      </c>
      <c r="N690" s="54" t="s">
        <v>212</v>
      </c>
      <c r="O690" s="58"/>
      <c r="P690" s="54" t="s">
        <v>212</v>
      </c>
      <c r="Q690" s="58"/>
    </row>
    <row r="691" customFormat="false" ht="15" hidden="false" customHeight="false" outlineLevel="0" collapsed="false">
      <c r="A691" s="54" t="s">
        <v>28</v>
      </c>
      <c r="B691" s="55" t="n">
        <v>582</v>
      </c>
      <c r="C691" s="56" t="n">
        <v>46302.4747219097</v>
      </c>
      <c r="D691" s="55" t="n">
        <v>11</v>
      </c>
      <c r="E691" s="54" t="s">
        <v>214</v>
      </c>
      <c r="F691" s="54" t="s">
        <v>127</v>
      </c>
      <c r="G691" s="54" t="s">
        <v>118</v>
      </c>
      <c r="H691" s="54" t="s">
        <v>220</v>
      </c>
      <c r="I691" s="54" t="s">
        <v>477</v>
      </c>
      <c r="J691" s="54" t="s">
        <v>864</v>
      </c>
      <c r="K691" s="58" t="n">
        <v>103.4</v>
      </c>
      <c r="L691" s="54" t="s">
        <v>212</v>
      </c>
      <c r="M691" s="54" t="s">
        <v>214</v>
      </c>
      <c r="N691" s="54" t="s">
        <v>214</v>
      </c>
      <c r="O691" s="58" t="n">
        <v>0.5</v>
      </c>
      <c r="P691" s="54" t="s">
        <v>214</v>
      </c>
      <c r="Q691" s="58" t="n">
        <v>3.3</v>
      </c>
    </row>
    <row r="692" customFormat="false" ht="15" hidden="false" customHeight="false" outlineLevel="0" collapsed="false">
      <c r="A692" s="54" t="s">
        <v>28</v>
      </c>
      <c r="B692" s="55" t="n">
        <v>582</v>
      </c>
      <c r="C692" s="56" t="n">
        <v>46302.4936978472</v>
      </c>
      <c r="D692" s="55" t="n">
        <v>11</v>
      </c>
      <c r="E692" s="54" t="s">
        <v>214</v>
      </c>
      <c r="F692" s="54" t="s">
        <v>127</v>
      </c>
      <c r="G692" s="54" t="s">
        <v>118</v>
      </c>
      <c r="H692" s="54" t="s">
        <v>220</v>
      </c>
      <c r="I692" s="54" t="s">
        <v>780</v>
      </c>
      <c r="J692" s="54" t="s">
        <v>865</v>
      </c>
      <c r="K692" s="58" t="n">
        <v>57</v>
      </c>
      <c r="L692" s="54" t="s">
        <v>214</v>
      </c>
      <c r="M692" s="54" t="s">
        <v>212</v>
      </c>
      <c r="N692" s="54" t="s">
        <v>214</v>
      </c>
      <c r="O692" s="58" t="n">
        <v>3.6</v>
      </c>
      <c r="P692" s="54" t="s">
        <v>214</v>
      </c>
      <c r="Q692" s="58" t="n">
        <v>4.6</v>
      </c>
    </row>
    <row r="693" customFormat="false" ht="15" hidden="false" customHeight="false" outlineLevel="0" collapsed="false">
      <c r="A693" s="54" t="s">
        <v>28</v>
      </c>
      <c r="B693" s="55" t="n">
        <v>596</v>
      </c>
      <c r="C693" s="56" t="n">
        <v>46302.5320083565</v>
      </c>
      <c r="D693" s="55" t="n">
        <v>12</v>
      </c>
      <c r="E693" s="54" t="s">
        <v>214</v>
      </c>
      <c r="F693" s="54" t="s">
        <v>129</v>
      </c>
      <c r="G693" s="54" t="s">
        <v>118</v>
      </c>
      <c r="H693" s="54" t="s">
        <v>220</v>
      </c>
      <c r="I693" s="54" t="s">
        <v>477</v>
      </c>
      <c r="J693" s="54" t="s">
        <v>864</v>
      </c>
      <c r="K693" s="58" t="n">
        <v>111</v>
      </c>
      <c r="L693" s="54" t="s">
        <v>212</v>
      </c>
      <c r="M693" s="54" t="s">
        <v>214</v>
      </c>
      <c r="N693" s="54" t="s">
        <v>212</v>
      </c>
      <c r="O693" s="58"/>
      <c r="P693" s="54" t="s">
        <v>212</v>
      </c>
      <c r="Q693" s="58"/>
    </row>
    <row r="694" customFormat="false" ht="15" hidden="false" customHeight="false" outlineLevel="0" collapsed="false">
      <c r="A694" s="54" t="s">
        <v>28</v>
      </c>
      <c r="B694" s="55" t="n">
        <v>603</v>
      </c>
      <c r="C694" s="56" t="n">
        <v>46302.5484729977</v>
      </c>
      <c r="D694" s="55" t="n">
        <v>13</v>
      </c>
      <c r="E694" s="54" t="s">
        <v>214</v>
      </c>
      <c r="F694" s="54" t="s">
        <v>129</v>
      </c>
      <c r="G694" s="54" t="s">
        <v>118</v>
      </c>
      <c r="H694" s="54" t="s">
        <v>220</v>
      </c>
      <c r="I694" s="54" t="s">
        <v>477</v>
      </c>
      <c r="J694" s="54" t="s">
        <v>864</v>
      </c>
      <c r="K694" s="58" t="n">
        <v>94.3</v>
      </c>
      <c r="L694" s="54" t="s">
        <v>212</v>
      </c>
      <c r="M694" s="54" t="s">
        <v>214</v>
      </c>
      <c r="N694" s="54" t="s">
        <v>212</v>
      </c>
      <c r="O694" s="58"/>
      <c r="P694" s="54" t="s">
        <v>212</v>
      </c>
      <c r="Q694" s="58"/>
    </row>
    <row r="695" customFormat="false" ht="15" hidden="false" customHeight="false" outlineLevel="0" collapsed="false">
      <c r="A695" s="54" t="s">
        <v>28</v>
      </c>
      <c r="B695" s="55" t="n">
        <v>543</v>
      </c>
      <c r="C695" s="56" t="n">
        <v>46302.5516890741</v>
      </c>
      <c r="D695" s="55" t="n">
        <v>13</v>
      </c>
      <c r="E695" s="54" t="s">
        <v>214</v>
      </c>
      <c r="F695" s="54" t="s">
        <v>859</v>
      </c>
      <c r="G695" s="54" t="s">
        <v>860</v>
      </c>
      <c r="H695" s="54" t="s">
        <v>861</v>
      </c>
      <c r="I695" s="54" t="s">
        <v>771</v>
      </c>
      <c r="J695" s="54" t="s">
        <v>862</v>
      </c>
      <c r="K695" s="58" t="n">
        <v>72.4</v>
      </c>
      <c r="L695" s="54" t="s">
        <v>863</v>
      </c>
      <c r="M695" s="54" t="s">
        <v>212</v>
      </c>
      <c r="N695" s="54" t="s">
        <v>214</v>
      </c>
      <c r="O695" s="58" t="n">
        <v>89.8</v>
      </c>
      <c r="P695" s="54" t="s">
        <v>214</v>
      </c>
      <c r="Q695" s="58" t="n">
        <v>380.6</v>
      </c>
    </row>
    <row r="696" customFormat="false" ht="15" hidden="false" customHeight="false" outlineLevel="0" collapsed="false">
      <c r="A696" s="54" t="s">
        <v>28</v>
      </c>
      <c r="B696" s="55" t="n">
        <v>555</v>
      </c>
      <c r="C696" s="56" t="n">
        <v>46302.5827661227</v>
      </c>
      <c r="D696" s="55" t="n">
        <v>13</v>
      </c>
      <c r="E696" s="54" t="s">
        <v>214</v>
      </c>
      <c r="F696" s="54" t="s">
        <v>859</v>
      </c>
      <c r="G696" s="54" t="s">
        <v>860</v>
      </c>
      <c r="H696" s="54" t="s">
        <v>861</v>
      </c>
      <c r="I696" s="54" t="s">
        <v>771</v>
      </c>
      <c r="J696" s="54" t="s">
        <v>862</v>
      </c>
      <c r="K696" s="58" t="n">
        <v>72.4</v>
      </c>
      <c r="L696" s="54" t="s">
        <v>863</v>
      </c>
      <c r="M696" s="54" t="s">
        <v>212</v>
      </c>
      <c r="N696" s="54" t="s">
        <v>214</v>
      </c>
      <c r="O696" s="58" t="n">
        <v>1202.8</v>
      </c>
      <c r="P696" s="54" t="s">
        <v>212</v>
      </c>
      <c r="Q696" s="58"/>
    </row>
    <row r="697" customFormat="false" ht="15" hidden="false" customHeight="false" outlineLevel="0" collapsed="false">
      <c r="A697" s="54" t="s">
        <v>28</v>
      </c>
      <c r="B697" s="55" t="n">
        <v>587</v>
      </c>
      <c r="C697" s="56" t="n">
        <v>46302.593530081</v>
      </c>
      <c r="D697" s="55" t="n">
        <v>14</v>
      </c>
      <c r="E697" s="54" t="s">
        <v>214</v>
      </c>
      <c r="F697" s="54" t="s">
        <v>859</v>
      </c>
      <c r="G697" s="54" t="s">
        <v>860</v>
      </c>
      <c r="H697" s="54" t="s">
        <v>861</v>
      </c>
      <c r="I697" s="54" t="s">
        <v>771</v>
      </c>
      <c r="J697" s="54" t="s">
        <v>862</v>
      </c>
      <c r="K697" s="58" t="n">
        <v>72.4</v>
      </c>
      <c r="L697" s="54" t="s">
        <v>863</v>
      </c>
      <c r="M697" s="54" t="s">
        <v>212</v>
      </c>
      <c r="N697" s="54" t="s">
        <v>214</v>
      </c>
      <c r="O697" s="58" t="n">
        <v>10.5</v>
      </c>
      <c r="P697" s="54" t="s">
        <v>212</v>
      </c>
      <c r="Q697" s="58"/>
    </row>
    <row r="698" customFormat="false" ht="15" hidden="false" customHeight="false" outlineLevel="0" collapsed="false">
      <c r="A698" s="54" t="s">
        <v>28</v>
      </c>
      <c r="B698" s="55" t="n">
        <v>588</v>
      </c>
      <c r="C698" s="56" t="n">
        <v>46302.5938764815</v>
      </c>
      <c r="D698" s="55" t="n">
        <v>14</v>
      </c>
      <c r="E698" s="54" t="s">
        <v>214</v>
      </c>
      <c r="F698" s="54" t="s">
        <v>859</v>
      </c>
      <c r="G698" s="54" t="s">
        <v>860</v>
      </c>
      <c r="H698" s="54" t="s">
        <v>861</v>
      </c>
      <c r="I698" s="54" t="s">
        <v>771</v>
      </c>
      <c r="J698" s="54" t="s">
        <v>862</v>
      </c>
      <c r="K698" s="58" t="n">
        <v>72.4</v>
      </c>
      <c r="L698" s="54" t="s">
        <v>863</v>
      </c>
      <c r="M698" s="54" t="s">
        <v>212</v>
      </c>
      <c r="N698" s="54" t="s">
        <v>214</v>
      </c>
      <c r="O698" s="58" t="n">
        <v>1201</v>
      </c>
      <c r="P698" s="54" t="s">
        <v>212</v>
      </c>
      <c r="Q698" s="58"/>
    </row>
    <row r="699" customFormat="false" ht="15" hidden="false" customHeight="false" outlineLevel="0" collapsed="false">
      <c r="A699" s="54" t="s">
        <v>28</v>
      </c>
      <c r="B699" s="55" t="n">
        <v>625</v>
      </c>
      <c r="C699" s="56" t="n">
        <v>46302.6069501736</v>
      </c>
      <c r="D699" s="55" t="n">
        <v>14</v>
      </c>
      <c r="E699" s="54" t="s">
        <v>214</v>
      </c>
      <c r="F699" s="54" t="s">
        <v>128</v>
      </c>
      <c r="G699" s="54" t="s">
        <v>118</v>
      </c>
      <c r="H699" s="54" t="s">
        <v>220</v>
      </c>
      <c r="I699" s="54" t="s">
        <v>780</v>
      </c>
      <c r="J699" s="54" t="s">
        <v>865</v>
      </c>
      <c r="K699" s="58" t="n">
        <v>87</v>
      </c>
      <c r="L699" s="54" t="s">
        <v>212</v>
      </c>
      <c r="M699" s="54" t="s">
        <v>214</v>
      </c>
      <c r="N699" s="54" t="s">
        <v>212</v>
      </c>
      <c r="O699" s="58"/>
      <c r="P699" s="54" t="s">
        <v>212</v>
      </c>
      <c r="Q699" s="58"/>
    </row>
    <row r="700" customFormat="false" ht="15" hidden="false" customHeight="false" outlineLevel="0" collapsed="false">
      <c r="A700" s="54" t="s">
        <v>28</v>
      </c>
      <c r="B700" s="55" t="n">
        <v>594</v>
      </c>
      <c r="C700" s="56" t="n">
        <v>46302.6215705903</v>
      </c>
      <c r="D700" s="55" t="n">
        <v>14</v>
      </c>
      <c r="E700" s="54" t="s">
        <v>214</v>
      </c>
      <c r="F700" s="54" t="s">
        <v>859</v>
      </c>
      <c r="G700" s="54" t="s">
        <v>860</v>
      </c>
      <c r="H700" s="54" t="s">
        <v>861</v>
      </c>
      <c r="I700" s="54" t="s">
        <v>771</v>
      </c>
      <c r="J700" s="54" t="s">
        <v>862</v>
      </c>
      <c r="K700" s="58" t="n">
        <v>72.4</v>
      </c>
      <c r="L700" s="54" t="s">
        <v>863</v>
      </c>
      <c r="M700" s="54" t="s">
        <v>212</v>
      </c>
      <c r="N700" s="54" t="s">
        <v>214</v>
      </c>
      <c r="O700" s="58" t="n">
        <v>2527.7</v>
      </c>
      <c r="P700" s="54" t="s">
        <v>212</v>
      </c>
      <c r="Q700" s="58"/>
    </row>
    <row r="701" customFormat="false" ht="15" hidden="false" customHeight="false" outlineLevel="0" collapsed="false">
      <c r="A701" s="54" t="s">
        <v>28</v>
      </c>
      <c r="B701" s="55" t="n">
        <v>631</v>
      </c>
      <c r="C701" s="56" t="n">
        <v>46302.7088771181</v>
      </c>
      <c r="D701" s="55" t="n">
        <v>17</v>
      </c>
      <c r="E701" s="54" t="s">
        <v>214</v>
      </c>
      <c r="F701" s="54" t="s">
        <v>859</v>
      </c>
      <c r="G701" s="54" t="s">
        <v>860</v>
      </c>
      <c r="H701" s="54" t="s">
        <v>861</v>
      </c>
      <c r="I701" s="54" t="s">
        <v>771</v>
      </c>
      <c r="J701" s="54" t="s">
        <v>862</v>
      </c>
      <c r="K701" s="58" t="n">
        <v>72.4</v>
      </c>
      <c r="L701" s="54" t="s">
        <v>863</v>
      </c>
      <c r="M701" s="54" t="s">
        <v>212</v>
      </c>
      <c r="N701" s="54" t="s">
        <v>212</v>
      </c>
      <c r="O701" s="58"/>
      <c r="P701" s="54" t="s">
        <v>212</v>
      </c>
      <c r="Q701" s="58"/>
    </row>
    <row r="702" customFormat="false" ht="15" hidden="false" customHeight="false" outlineLevel="0" collapsed="false">
      <c r="A702" s="54" t="s">
        <v>28</v>
      </c>
      <c r="B702" s="55" t="n">
        <v>596</v>
      </c>
      <c r="C702" s="56" t="n">
        <v>46302.7097438773</v>
      </c>
      <c r="D702" s="55" t="n">
        <v>17</v>
      </c>
      <c r="E702" s="54" t="s">
        <v>214</v>
      </c>
      <c r="F702" s="54" t="s">
        <v>859</v>
      </c>
      <c r="G702" s="54" t="s">
        <v>860</v>
      </c>
      <c r="H702" s="54" t="s">
        <v>861</v>
      </c>
      <c r="I702" s="54" t="s">
        <v>771</v>
      </c>
      <c r="J702" s="54" t="s">
        <v>862</v>
      </c>
      <c r="K702" s="58" t="n">
        <v>72.4</v>
      </c>
      <c r="L702" s="54" t="s">
        <v>863</v>
      </c>
      <c r="M702" s="54" t="s">
        <v>212</v>
      </c>
      <c r="N702" s="54" t="s">
        <v>212</v>
      </c>
      <c r="O702" s="58"/>
      <c r="P702" s="54" t="s">
        <v>212</v>
      </c>
      <c r="Q702" s="58"/>
    </row>
    <row r="703" customFormat="false" ht="15" hidden="false" customHeight="false" outlineLevel="0" collapsed="false">
      <c r="A703" s="54" t="s">
        <v>28</v>
      </c>
      <c r="B703" s="55" t="n">
        <v>603</v>
      </c>
      <c r="C703" s="56" t="n">
        <v>46302.7258906829</v>
      </c>
      <c r="D703" s="55" t="n">
        <v>17</v>
      </c>
      <c r="E703" s="54" t="s">
        <v>214</v>
      </c>
      <c r="F703" s="54" t="s">
        <v>859</v>
      </c>
      <c r="G703" s="54" t="s">
        <v>860</v>
      </c>
      <c r="H703" s="54" t="s">
        <v>861</v>
      </c>
      <c r="I703" s="54" t="s">
        <v>771</v>
      </c>
      <c r="J703" s="54" t="s">
        <v>862</v>
      </c>
      <c r="K703" s="58" t="n">
        <v>72.4</v>
      </c>
      <c r="L703" s="54" t="s">
        <v>863</v>
      </c>
      <c r="M703" s="54" t="s">
        <v>212</v>
      </c>
      <c r="N703" s="54" t="s">
        <v>212</v>
      </c>
      <c r="O703" s="58"/>
      <c r="P703" s="54" t="s">
        <v>212</v>
      </c>
      <c r="Q703" s="58"/>
    </row>
    <row r="704" customFormat="false" ht="15" hidden="false" customHeight="false" outlineLevel="0" collapsed="false">
      <c r="A704" s="54" t="s">
        <v>28</v>
      </c>
      <c r="B704" s="55" t="n">
        <v>641</v>
      </c>
      <c r="C704" s="56" t="n">
        <v>46302.7380237616</v>
      </c>
      <c r="D704" s="55" t="n">
        <v>17</v>
      </c>
      <c r="E704" s="54" t="s">
        <v>214</v>
      </c>
      <c r="F704" s="54" t="s">
        <v>859</v>
      </c>
      <c r="G704" s="54" t="s">
        <v>860</v>
      </c>
      <c r="H704" s="54" t="s">
        <v>861</v>
      </c>
      <c r="I704" s="54" t="s">
        <v>771</v>
      </c>
      <c r="J704" s="54" t="s">
        <v>862</v>
      </c>
      <c r="K704" s="58" t="n">
        <v>72.4</v>
      </c>
      <c r="L704" s="54" t="s">
        <v>863</v>
      </c>
      <c r="M704" s="54" t="s">
        <v>212</v>
      </c>
      <c r="N704" s="54" t="s">
        <v>212</v>
      </c>
      <c r="O704" s="58"/>
      <c r="P704" s="54" t="s">
        <v>212</v>
      </c>
      <c r="Q704" s="58"/>
    </row>
    <row r="705" customFormat="false" ht="15" hidden="false" customHeight="false" outlineLevel="0" collapsed="false">
      <c r="A705" s="54" t="s">
        <v>28</v>
      </c>
      <c r="B705" s="55" t="n">
        <v>688</v>
      </c>
      <c r="C705" s="56" t="n">
        <v>46302.7771040625</v>
      </c>
      <c r="D705" s="55" t="n">
        <v>18</v>
      </c>
      <c r="E705" s="54" t="s">
        <v>214</v>
      </c>
      <c r="F705" s="54" t="s">
        <v>129</v>
      </c>
      <c r="G705" s="54" t="s">
        <v>118</v>
      </c>
      <c r="H705" s="54" t="s">
        <v>220</v>
      </c>
      <c r="I705" s="54" t="s">
        <v>477</v>
      </c>
      <c r="J705" s="54" t="s">
        <v>864</v>
      </c>
      <c r="K705" s="58" t="n">
        <v>106.4</v>
      </c>
      <c r="L705" s="54" t="s">
        <v>212</v>
      </c>
      <c r="M705" s="54" t="s">
        <v>214</v>
      </c>
      <c r="N705" s="54" t="s">
        <v>214</v>
      </c>
      <c r="O705" s="58" t="n">
        <v>2.4</v>
      </c>
      <c r="P705" s="54" t="s">
        <v>214</v>
      </c>
      <c r="Q705" s="58" t="n">
        <v>7</v>
      </c>
    </row>
    <row r="706" customFormat="false" ht="15" hidden="false" customHeight="false" outlineLevel="0" collapsed="false">
      <c r="A706" s="54" t="s">
        <v>28</v>
      </c>
      <c r="B706" s="55" t="n">
        <v>625</v>
      </c>
      <c r="C706" s="56" t="n">
        <v>46302.7832831829</v>
      </c>
      <c r="D706" s="55" t="n">
        <v>18</v>
      </c>
      <c r="E706" s="54" t="s">
        <v>214</v>
      </c>
      <c r="F706" s="54" t="s">
        <v>859</v>
      </c>
      <c r="G706" s="54" t="s">
        <v>860</v>
      </c>
      <c r="H706" s="54" t="s">
        <v>861</v>
      </c>
      <c r="I706" s="54" t="s">
        <v>771</v>
      </c>
      <c r="J706" s="54" t="s">
        <v>862</v>
      </c>
      <c r="K706" s="58" t="n">
        <v>72.4</v>
      </c>
      <c r="L706" s="54" t="s">
        <v>863</v>
      </c>
      <c r="M706" s="54" t="s">
        <v>212</v>
      </c>
      <c r="N706" s="54" t="s">
        <v>212</v>
      </c>
      <c r="O706" s="58"/>
      <c r="P706" s="54" t="s">
        <v>212</v>
      </c>
      <c r="Q706" s="58"/>
    </row>
    <row r="707" customFormat="false" ht="15" hidden="false" customHeight="false" outlineLevel="0" collapsed="false">
      <c r="A707" s="54" t="s">
        <v>28</v>
      </c>
      <c r="B707" s="55" t="n">
        <v>688</v>
      </c>
      <c r="C707" s="56" t="n">
        <v>46302.783708588</v>
      </c>
      <c r="D707" s="55" t="n">
        <v>18</v>
      </c>
      <c r="E707" s="54" t="s">
        <v>214</v>
      </c>
      <c r="F707" s="54" t="s">
        <v>129</v>
      </c>
      <c r="G707" s="54" t="s">
        <v>118</v>
      </c>
      <c r="H707" s="54" t="s">
        <v>220</v>
      </c>
      <c r="I707" s="54" t="s">
        <v>780</v>
      </c>
      <c r="J707" s="54" t="s">
        <v>865</v>
      </c>
      <c r="K707" s="58" t="n">
        <v>29</v>
      </c>
      <c r="L707" s="54" t="s">
        <v>212</v>
      </c>
      <c r="M707" s="54" t="s">
        <v>212</v>
      </c>
      <c r="N707" s="54" t="s">
        <v>214</v>
      </c>
      <c r="O707" s="58" t="n">
        <v>904.5</v>
      </c>
      <c r="P707" s="54" t="s">
        <v>214</v>
      </c>
      <c r="Q707" s="58" t="n">
        <v>976.6</v>
      </c>
    </row>
    <row r="708" customFormat="false" ht="15" hidden="false" customHeight="false" outlineLevel="0" collapsed="false">
      <c r="A708" s="54" t="s">
        <v>28</v>
      </c>
      <c r="B708" s="55" t="n">
        <v>543</v>
      </c>
      <c r="C708" s="56" t="n">
        <v>46302.8177535185</v>
      </c>
      <c r="D708" s="55" t="n">
        <v>19</v>
      </c>
      <c r="E708" s="54" t="s">
        <v>214</v>
      </c>
      <c r="F708" s="54" t="s">
        <v>127</v>
      </c>
      <c r="G708" s="54" t="s">
        <v>118</v>
      </c>
      <c r="H708" s="54" t="s">
        <v>220</v>
      </c>
      <c r="I708" s="54" t="s">
        <v>771</v>
      </c>
      <c r="J708" s="54" t="s">
        <v>862</v>
      </c>
      <c r="K708" s="58" t="n">
        <v>21.6</v>
      </c>
      <c r="L708" s="54" t="s">
        <v>212</v>
      </c>
      <c r="M708" s="54" t="s">
        <v>212</v>
      </c>
      <c r="N708" s="54" t="s">
        <v>214</v>
      </c>
      <c r="O708" s="58" t="n">
        <v>30</v>
      </c>
      <c r="P708" s="54" t="s">
        <v>212</v>
      </c>
      <c r="Q708" s="58"/>
    </row>
    <row r="709" customFormat="false" ht="15" hidden="false" customHeight="false" outlineLevel="0" collapsed="false">
      <c r="A709" s="54" t="s">
        <v>28</v>
      </c>
      <c r="B709" s="55" t="n">
        <v>694</v>
      </c>
      <c r="C709" s="56" t="n">
        <v>46303.3755643866</v>
      </c>
      <c r="D709" s="55" t="n">
        <v>9</v>
      </c>
      <c r="E709" s="54" t="s">
        <v>214</v>
      </c>
      <c r="F709" s="54" t="s">
        <v>859</v>
      </c>
      <c r="G709" s="54" t="s">
        <v>860</v>
      </c>
      <c r="H709" s="54" t="s">
        <v>861</v>
      </c>
      <c r="I709" s="54" t="s">
        <v>771</v>
      </c>
      <c r="J709" s="54" t="s">
        <v>862</v>
      </c>
      <c r="K709" s="58" t="n">
        <v>72.4</v>
      </c>
      <c r="L709" s="54" t="s">
        <v>863</v>
      </c>
      <c r="M709" s="54" t="s">
        <v>212</v>
      </c>
      <c r="N709" s="54" t="s">
        <v>214</v>
      </c>
      <c r="O709" s="58" t="n">
        <v>5.1</v>
      </c>
      <c r="P709" s="54" t="s">
        <v>212</v>
      </c>
      <c r="Q709" s="58"/>
    </row>
    <row r="710" customFormat="false" ht="15" hidden="false" customHeight="false" outlineLevel="0" collapsed="false">
      <c r="A710" s="54" t="s">
        <v>28</v>
      </c>
      <c r="B710" s="55" t="n">
        <v>688</v>
      </c>
      <c r="C710" s="56" t="n">
        <v>46303.375604213</v>
      </c>
      <c r="D710" s="55" t="n">
        <v>9</v>
      </c>
      <c r="E710" s="54" t="s">
        <v>214</v>
      </c>
      <c r="F710" s="54" t="s">
        <v>859</v>
      </c>
      <c r="G710" s="54" t="s">
        <v>860</v>
      </c>
      <c r="H710" s="54" t="s">
        <v>861</v>
      </c>
      <c r="I710" s="54" t="s">
        <v>771</v>
      </c>
      <c r="J710" s="54" t="s">
        <v>862</v>
      </c>
      <c r="K710" s="58" t="n">
        <v>72.4</v>
      </c>
      <c r="L710" s="54" t="s">
        <v>863</v>
      </c>
      <c r="M710" s="54" t="s">
        <v>212</v>
      </c>
      <c r="N710" s="54" t="s">
        <v>214</v>
      </c>
      <c r="O710" s="58" t="n">
        <v>52.1</v>
      </c>
      <c r="P710" s="54" t="s">
        <v>214</v>
      </c>
      <c r="Q710" s="58" t="n">
        <v>124.2</v>
      </c>
    </row>
    <row r="711" customFormat="false" ht="15" hidden="false" customHeight="false" outlineLevel="0" collapsed="false">
      <c r="A711" s="54" t="s">
        <v>28</v>
      </c>
      <c r="B711" s="55" t="n">
        <v>783</v>
      </c>
      <c r="C711" s="56" t="n">
        <v>46303.4133322917</v>
      </c>
      <c r="D711" s="55" t="n">
        <v>9</v>
      </c>
      <c r="E711" s="54" t="s">
        <v>214</v>
      </c>
      <c r="F711" s="54" t="s">
        <v>859</v>
      </c>
      <c r="G711" s="54" t="s">
        <v>860</v>
      </c>
      <c r="H711" s="54" t="s">
        <v>861</v>
      </c>
      <c r="I711" s="54" t="s">
        <v>771</v>
      </c>
      <c r="J711" s="54" t="s">
        <v>862</v>
      </c>
      <c r="K711" s="58" t="n">
        <v>72.4</v>
      </c>
      <c r="L711" s="54" t="s">
        <v>863</v>
      </c>
      <c r="M711" s="54" t="s">
        <v>212</v>
      </c>
      <c r="N711" s="54" t="s">
        <v>214</v>
      </c>
      <c r="O711" s="58" t="n">
        <v>12.1</v>
      </c>
      <c r="P711" s="54" t="s">
        <v>212</v>
      </c>
      <c r="Q711" s="58"/>
    </row>
    <row r="712" customFormat="false" ht="15" hidden="false" customHeight="false" outlineLevel="0" collapsed="false">
      <c r="A712" s="54" t="s">
        <v>28</v>
      </c>
      <c r="B712" s="55" t="n">
        <v>794</v>
      </c>
      <c r="C712" s="56" t="n">
        <v>46303.4723641782</v>
      </c>
      <c r="D712" s="55" t="n">
        <v>11</v>
      </c>
      <c r="E712" s="54" t="s">
        <v>214</v>
      </c>
      <c r="F712" s="54" t="s">
        <v>859</v>
      </c>
      <c r="G712" s="54" t="s">
        <v>860</v>
      </c>
      <c r="H712" s="54" t="s">
        <v>861</v>
      </c>
      <c r="I712" s="54" t="s">
        <v>771</v>
      </c>
      <c r="J712" s="54" t="s">
        <v>862</v>
      </c>
      <c r="K712" s="58" t="n">
        <v>72.4</v>
      </c>
      <c r="L712" s="54" t="s">
        <v>863</v>
      </c>
      <c r="M712" s="54" t="s">
        <v>212</v>
      </c>
      <c r="N712" s="54" t="s">
        <v>212</v>
      </c>
      <c r="O712" s="58"/>
      <c r="P712" s="54" t="s">
        <v>212</v>
      </c>
      <c r="Q712" s="58"/>
    </row>
    <row r="713" customFormat="false" ht="15" hidden="false" customHeight="false" outlineLevel="0" collapsed="false">
      <c r="A713" s="54" t="s">
        <v>28</v>
      </c>
      <c r="B713" s="55" t="n">
        <v>847</v>
      </c>
      <c r="C713" s="56" t="n">
        <v>46303.586208125</v>
      </c>
      <c r="D713" s="55" t="n">
        <v>14</v>
      </c>
      <c r="E713" s="54" t="s">
        <v>214</v>
      </c>
      <c r="F713" s="54" t="s">
        <v>859</v>
      </c>
      <c r="G713" s="54" t="s">
        <v>860</v>
      </c>
      <c r="H713" s="54" t="s">
        <v>861</v>
      </c>
      <c r="I713" s="54" t="s">
        <v>771</v>
      </c>
      <c r="J713" s="54" t="s">
        <v>862</v>
      </c>
      <c r="K713" s="58" t="n">
        <v>72.4</v>
      </c>
      <c r="L713" s="54" t="s">
        <v>863</v>
      </c>
      <c r="M713" s="54" t="s">
        <v>212</v>
      </c>
      <c r="N713" s="54" t="s">
        <v>214</v>
      </c>
      <c r="O713" s="58" t="n">
        <v>1252.1</v>
      </c>
      <c r="P713" s="54" t="s">
        <v>212</v>
      </c>
      <c r="Q713" s="58"/>
    </row>
    <row r="714" customFormat="false" ht="15" hidden="false" customHeight="false" outlineLevel="0" collapsed="false">
      <c r="A714" s="54" t="s">
        <v>28</v>
      </c>
      <c r="B714" s="55" t="n">
        <v>870</v>
      </c>
      <c r="C714" s="56" t="n">
        <v>46303.5919435185</v>
      </c>
      <c r="D714" s="55" t="n">
        <v>14</v>
      </c>
      <c r="E714" s="54" t="s">
        <v>214</v>
      </c>
      <c r="F714" s="54" t="s">
        <v>128</v>
      </c>
      <c r="G714" s="54" t="s">
        <v>118</v>
      </c>
      <c r="H714" s="54" t="s">
        <v>220</v>
      </c>
      <c r="I714" s="54" t="s">
        <v>477</v>
      </c>
      <c r="J714" s="54" t="s">
        <v>864</v>
      </c>
      <c r="K714" s="58" t="n">
        <v>81.6</v>
      </c>
      <c r="L714" s="54" t="s">
        <v>212</v>
      </c>
      <c r="M714" s="54" t="s">
        <v>214</v>
      </c>
      <c r="N714" s="54" t="s">
        <v>214</v>
      </c>
      <c r="O714" s="58" t="n">
        <v>213.6</v>
      </c>
      <c r="P714" s="54" t="s">
        <v>212</v>
      </c>
      <c r="Q714" s="58"/>
    </row>
    <row r="715" customFormat="false" ht="15" hidden="false" customHeight="false" outlineLevel="0" collapsed="false">
      <c r="A715" s="54" t="s">
        <v>28</v>
      </c>
      <c r="B715" s="55" t="n">
        <v>870</v>
      </c>
      <c r="C715" s="56" t="n">
        <v>46303.7695219213</v>
      </c>
      <c r="D715" s="55" t="n">
        <v>18</v>
      </c>
      <c r="E715" s="54" t="s">
        <v>214</v>
      </c>
      <c r="F715" s="54" t="s">
        <v>859</v>
      </c>
      <c r="G715" s="54" t="s">
        <v>860</v>
      </c>
      <c r="H715" s="54" t="s">
        <v>861</v>
      </c>
      <c r="I715" s="54" t="s">
        <v>771</v>
      </c>
      <c r="J715" s="54" t="s">
        <v>862</v>
      </c>
      <c r="K715" s="58" t="n">
        <v>72.4</v>
      </c>
      <c r="L715" s="54" t="s">
        <v>863</v>
      </c>
      <c r="M715" s="54" t="s">
        <v>212</v>
      </c>
      <c r="N715" s="54" t="s">
        <v>214</v>
      </c>
      <c r="O715" s="58" t="n">
        <v>1529.4</v>
      </c>
      <c r="P715" s="54" t="s">
        <v>212</v>
      </c>
      <c r="Q715" s="58"/>
    </row>
    <row r="716" customFormat="false" ht="15" hidden="false" customHeight="false" outlineLevel="0" collapsed="false">
      <c r="A716" s="54" t="s">
        <v>28</v>
      </c>
      <c r="B716" s="55" t="n">
        <v>898</v>
      </c>
      <c r="C716" s="56" t="n">
        <v>46303.7879935532</v>
      </c>
      <c r="D716" s="55" t="n">
        <v>18</v>
      </c>
      <c r="E716" s="54" t="s">
        <v>214</v>
      </c>
      <c r="F716" s="54" t="s">
        <v>859</v>
      </c>
      <c r="G716" s="54" t="s">
        <v>860</v>
      </c>
      <c r="H716" s="54" t="s">
        <v>861</v>
      </c>
      <c r="I716" s="54" t="s">
        <v>771</v>
      </c>
      <c r="J716" s="54" t="s">
        <v>862</v>
      </c>
      <c r="K716" s="58" t="n">
        <v>72.4</v>
      </c>
      <c r="L716" s="54" t="s">
        <v>863</v>
      </c>
      <c r="M716" s="54" t="s">
        <v>212</v>
      </c>
      <c r="N716" s="54" t="s">
        <v>212</v>
      </c>
      <c r="O716" s="58"/>
      <c r="P716" s="54" t="s">
        <v>212</v>
      </c>
      <c r="Q716" s="58"/>
    </row>
    <row r="717" customFormat="false" ht="15" hidden="false" customHeight="false" outlineLevel="0" collapsed="false">
      <c r="A717" s="54" t="s">
        <v>28</v>
      </c>
      <c r="B717" s="55" t="n">
        <v>920</v>
      </c>
      <c r="C717" s="56" t="n">
        <v>46303.7952621991</v>
      </c>
      <c r="D717" s="55" t="n">
        <v>19</v>
      </c>
      <c r="E717" s="54" t="s">
        <v>214</v>
      </c>
      <c r="F717" s="54" t="s">
        <v>128</v>
      </c>
      <c r="G717" s="54" t="s">
        <v>118</v>
      </c>
      <c r="H717" s="54" t="s">
        <v>220</v>
      </c>
      <c r="I717" s="54" t="s">
        <v>477</v>
      </c>
      <c r="J717" s="54" t="s">
        <v>864</v>
      </c>
      <c r="K717" s="58" t="n">
        <v>82.1</v>
      </c>
      <c r="L717" s="54" t="s">
        <v>212</v>
      </c>
      <c r="M717" s="54" t="s">
        <v>214</v>
      </c>
      <c r="N717" s="54" t="s">
        <v>214</v>
      </c>
      <c r="O717" s="58" t="n">
        <v>16.6</v>
      </c>
      <c r="P717" s="54" t="s">
        <v>214</v>
      </c>
      <c r="Q717" s="58" t="n">
        <v>47.9</v>
      </c>
    </row>
    <row r="718" customFormat="false" ht="15" hidden="false" customHeight="false" outlineLevel="0" collapsed="false">
      <c r="A718" s="54" t="s">
        <v>28</v>
      </c>
      <c r="B718" s="55" t="n">
        <v>924</v>
      </c>
      <c r="C718" s="56" t="n">
        <v>46303.8416377199</v>
      </c>
      <c r="D718" s="55" t="n">
        <v>20</v>
      </c>
      <c r="E718" s="54" t="s">
        <v>214</v>
      </c>
      <c r="F718" s="54" t="s">
        <v>128</v>
      </c>
      <c r="G718" s="54" t="s">
        <v>118</v>
      </c>
      <c r="H718" s="54" t="s">
        <v>220</v>
      </c>
      <c r="I718" s="54" t="s">
        <v>780</v>
      </c>
      <c r="J718" s="54" t="s">
        <v>865</v>
      </c>
      <c r="K718" s="58" t="n">
        <v>84.1</v>
      </c>
      <c r="L718" s="54" t="s">
        <v>212</v>
      </c>
      <c r="M718" s="54" t="s">
        <v>214</v>
      </c>
      <c r="N718" s="54" t="s">
        <v>214</v>
      </c>
      <c r="O718" s="58" t="n">
        <v>9.6</v>
      </c>
      <c r="P718" s="54" t="s">
        <v>212</v>
      </c>
      <c r="Q718" s="58"/>
    </row>
    <row r="719" customFormat="false" ht="15" hidden="false" customHeight="false" outlineLevel="0" collapsed="false">
      <c r="A719" s="54" t="s">
        <v>28</v>
      </c>
      <c r="B719" s="55" t="n">
        <v>913</v>
      </c>
      <c r="C719" s="56" t="n">
        <v>46303.8431986574</v>
      </c>
      <c r="D719" s="55" t="n">
        <v>20</v>
      </c>
      <c r="E719" s="54" t="s">
        <v>214</v>
      </c>
      <c r="F719" s="54" t="s">
        <v>859</v>
      </c>
      <c r="G719" s="54" t="s">
        <v>860</v>
      </c>
      <c r="H719" s="54" t="s">
        <v>861</v>
      </c>
      <c r="I719" s="54" t="s">
        <v>771</v>
      </c>
      <c r="J719" s="54" t="s">
        <v>862</v>
      </c>
      <c r="K719" s="58" t="n">
        <v>72.4</v>
      </c>
      <c r="L719" s="54" t="s">
        <v>863</v>
      </c>
      <c r="M719" s="54" t="s">
        <v>212</v>
      </c>
      <c r="N719" s="54" t="s">
        <v>214</v>
      </c>
      <c r="O719" s="58" t="n">
        <v>1268</v>
      </c>
      <c r="P719" s="54" t="s">
        <v>212</v>
      </c>
      <c r="Q719" s="58"/>
    </row>
    <row r="720" customFormat="false" ht="15" hidden="false" customHeight="false" outlineLevel="0" collapsed="false">
      <c r="A720" s="54" t="s">
        <v>28</v>
      </c>
      <c r="B720" s="55" t="n">
        <v>918</v>
      </c>
      <c r="C720" s="56" t="n">
        <v>46303.8566390509</v>
      </c>
      <c r="D720" s="55" t="n">
        <v>20</v>
      </c>
      <c r="E720" s="54" t="s">
        <v>214</v>
      </c>
      <c r="F720" s="54" t="s">
        <v>859</v>
      </c>
      <c r="G720" s="54" t="s">
        <v>860</v>
      </c>
      <c r="H720" s="54" t="s">
        <v>861</v>
      </c>
      <c r="I720" s="54" t="s">
        <v>771</v>
      </c>
      <c r="J720" s="54" t="s">
        <v>862</v>
      </c>
      <c r="K720" s="58" t="n">
        <v>72.4</v>
      </c>
      <c r="L720" s="54" t="s">
        <v>863</v>
      </c>
      <c r="M720" s="54" t="s">
        <v>212</v>
      </c>
      <c r="N720" s="54" t="s">
        <v>214</v>
      </c>
      <c r="O720" s="58" t="n">
        <v>31.2</v>
      </c>
      <c r="P720" s="54" t="s">
        <v>212</v>
      </c>
      <c r="Q720" s="58"/>
    </row>
    <row r="721" customFormat="false" ht="15" hidden="false" customHeight="false" outlineLevel="0" collapsed="false">
      <c r="A721" s="54" t="s">
        <v>28</v>
      </c>
      <c r="B721" s="55" t="n">
        <v>985</v>
      </c>
      <c r="C721" s="56" t="n">
        <v>46304.3505675116</v>
      </c>
      <c r="D721" s="55" t="n">
        <v>8</v>
      </c>
      <c r="E721" s="54" t="s">
        <v>214</v>
      </c>
      <c r="F721" s="54" t="s">
        <v>130</v>
      </c>
      <c r="G721" s="54" t="s">
        <v>118</v>
      </c>
      <c r="H721" s="54" t="s">
        <v>215</v>
      </c>
      <c r="I721" s="54" t="s">
        <v>477</v>
      </c>
      <c r="J721" s="54" t="s">
        <v>864</v>
      </c>
      <c r="K721" s="58" t="n">
        <v>113.5</v>
      </c>
      <c r="L721" s="54" t="s">
        <v>212</v>
      </c>
      <c r="M721" s="54" t="s">
        <v>214</v>
      </c>
      <c r="N721" s="54" t="s">
        <v>214</v>
      </c>
      <c r="O721" s="58" t="n">
        <v>107.9</v>
      </c>
      <c r="P721" s="54" t="s">
        <v>212</v>
      </c>
      <c r="Q721" s="58"/>
    </row>
    <row r="722" customFormat="false" ht="15" hidden="false" customHeight="false" outlineLevel="0" collapsed="false">
      <c r="A722" s="54" t="s">
        <v>28</v>
      </c>
      <c r="B722" s="55" t="n">
        <v>993</v>
      </c>
      <c r="C722" s="56" t="n">
        <v>46304.3595772338</v>
      </c>
      <c r="D722" s="55" t="n">
        <v>8</v>
      </c>
      <c r="E722" s="54" t="s">
        <v>214</v>
      </c>
      <c r="F722" s="54" t="s">
        <v>127</v>
      </c>
      <c r="G722" s="54" t="s">
        <v>118</v>
      </c>
      <c r="H722" s="54" t="s">
        <v>220</v>
      </c>
      <c r="I722" s="54" t="s">
        <v>477</v>
      </c>
      <c r="J722" s="54" t="s">
        <v>864</v>
      </c>
      <c r="K722" s="58" t="n">
        <v>109.6</v>
      </c>
      <c r="L722" s="54" t="s">
        <v>212</v>
      </c>
      <c r="M722" s="54" t="s">
        <v>214</v>
      </c>
      <c r="N722" s="54" t="s">
        <v>214</v>
      </c>
      <c r="O722" s="58" t="n">
        <v>5.9</v>
      </c>
      <c r="P722" s="54" t="s">
        <v>214</v>
      </c>
      <c r="Q722" s="58" t="n">
        <v>15.8</v>
      </c>
    </row>
    <row r="723" customFormat="false" ht="15" hidden="false" customHeight="false" outlineLevel="0" collapsed="false">
      <c r="A723" s="54" t="s">
        <v>28</v>
      </c>
      <c r="B723" s="55" t="n">
        <v>924</v>
      </c>
      <c r="C723" s="56" t="n">
        <v>46304.3751828125</v>
      </c>
      <c r="D723" s="55" t="n">
        <v>9</v>
      </c>
      <c r="E723" s="54" t="s">
        <v>214</v>
      </c>
      <c r="F723" s="54" t="s">
        <v>859</v>
      </c>
      <c r="G723" s="54" t="s">
        <v>860</v>
      </c>
      <c r="H723" s="54" t="s">
        <v>861</v>
      </c>
      <c r="I723" s="54" t="s">
        <v>771</v>
      </c>
      <c r="J723" s="54" t="s">
        <v>862</v>
      </c>
      <c r="K723" s="58" t="n">
        <v>72.4</v>
      </c>
      <c r="L723" s="54" t="s">
        <v>863</v>
      </c>
      <c r="M723" s="54" t="s">
        <v>212</v>
      </c>
      <c r="N723" s="54" t="s">
        <v>214</v>
      </c>
      <c r="O723" s="58" t="n">
        <v>1533.2</v>
      </c>
      <c r="P723" s="54" t="s">
        <v>212</v>
      </c>
      <c r="Q723" s="58"/>
    </row>
    <row r="724" customFormat="false" ht="15" hidden="false" customHeight="false" outlineLevel="0" collapsed="false">
      <c r="A724" s="54" t="s">
        <v>28</v>
      </c>
      <c r="B724" s="55" t="n">
        <v>920</v>
      </c>
      <c r="C724" s="56" t="n">
        <v>46304.3754350116</v>
      </c>
      <c r="D724" s="55" t="n">
        <v>9</v>
      </c>
      <c r="E724" s="54" t="s">
        <v>214</v>
      </c>
      <c r="F724" s="54" t="s">
        <v>859</v>
      </c>
      <c r="G724" s="54" t="s">
        <v>860</v>
      </c>
      <c r="H724" s="54" t="s">
        <v>861</v>
      </c>
      <c r="I724" s="54" t="s">
        <v>771</v>
      </c>
      <c r="J724" s="54" t="s">
        <v>862</v>
      </c>
      <c r="K724" s="58" t="n">
        <v>72.4</v>
      </c>
      <c r="L724" s="54" t="s">
        <v>863</v>
      </c>
      <c r="M724" s="54" t="s">
        <v>212</v>
      </c>
      <c r="N724" s="54" t="s">
        <v>214</v>
      </c>
      <c r="O724" s="58" t="n">
        <v>55</v>
      </c>
      <c r="P724" s="54" t="s">
        <v>212</v>
      </c>
      <c r="Q724" s="58"/>
    </row>
    <row r="725" customFormat="false" ht="15" hidden="false" customHeight="false" outlineLevel="0" collapsed="false">
      <c r="A725" s="54" t="s">
        <v>28</v>
      </c>
      <c r="B725" s="55" t="n">
        <v>927</v>
      </c>
      <c r="C725" s="56" t="n">
        <v>46304.3755071759</v>
      </c>
      <c r="D725" s="55" t="n">
        <v>9</v>
      </c>
      <c r="E725" s="54" t="s">
        <v>214</v>
      </c>
      <c r="F725" s="54" t="s">
        <v>859</v>
      </c>
      <c r="G725" s="54" t="s">
        <v>860</v>
      </c>
      <c r="H725" s="54" t="s">
        <v>861</v>
      </c>
      <c r="I725" s="54" t="s">
        <v>771</v>
      </c>
      <c r="J725" s="54" t="s">
        <v>862</v>
      </c>
      <c r="K725" s="58" t="n">
        <v>72.4</v>
      </c>
      <c r="L725" s="54" t="s">
        <v>863</v>
      </c>
      <c r="M725" s="54" t="s">
        <v>212</v>
      </c>
      <c r="N725" s="54" t="s">
        <v>214</v>
      </c>
      <c r="O725" s="58" t="n">
        <v>269.7</v>
      </c>
      <c r="P725" s="54" t="s">
        <v>212</v>
      </c>
      <c r="Q725" s="58"/>
    </row>
    <row r="726" customFormat="false" ht="15" hidden="false" customHeight="false" outlineLevel="0" collapsed="false">
      <c r="A726" s="54" t="s">
        <v>28</v>
      </c>
      <c r="B726" s="55" t="n">
        <v>936</v>
      </c>
      <c r="C726" s="56" t="n">
        <v>46304.3756240857</v>
      </c>
      <c r="D726" s="55" t="n">
        <v>9</v>
      </c>
      <c r="E726" s="54" t="s">
        <v>214</v>
      </c>
      <c r="F726" s="54" t="s">
        <v>859</v>
      </c>
      <c r="G726" s="54" t="s">
        <v>860</v>
      </c>
      <c r="H726" s="54" t="s">
        <v>861</v>
      </c>
      <c r="I726" s="54" t="s">
        <v>771</v>
      </c>
      <c r="J726" s="54" t="s">
        <v>862</v>
      </c>
      <c r="K726" s="58" t="n">
        <v>72.4</v>
      </c>
      <c r="L726" s="54" t="s">
        <v>863</v>
      </c>
      <c r="M726" s="54" t="s">
        <v>212</v>
      </c>
      <c r="N726" s="54" t="s">
        <v>214</v>
      </c>
      <c r="O726" s="58" t="n">
        <v>11.6</v>
      </c>
      <c r="P726" s="54" t="s">
        <v>212</v>
      </c>
      <c r="Q726" s="58"/>
    </row>
    <row r="727" customFormat="false" ht="15" hidden="false" customHeight="false" outlineLevel="0" collapsed="false">
      <c r="A727" s="54" t="s">
        <v>28</v>
      </c>
      <c r="B727" s="55" t="n">
        <v>957</v>
      </c>
      <c r="C727" s="56" t="n">
        <v>46304.3885374769</v>
      </c>
      <c r="D727" s="55" t="n">
        <v>9</v>
      </c>
      <c r="E727" s="54" t="s">
        <v>214</v>
      </c>
      <c r="F727" s="54" t="s">
        <v>859</v>
      </c>
      <c r="G727" s="54" t="s">
        <v>860</v>
      </c>
      <c r="H727" s="54" t="s">
        <v>861</v>
      </c>
      <c r="I727" s="54" t="s">
        <v>771</v>
      </c>
      <c r="J727" s="54" t="s">
        <v>862</v>
      </c>
      <c r="K727" s="58" t="n">
        <v>72.4</v>
      </c>
      <c r="L727" s="54" t="s">
        <v>863</v>
      </c>
      <c r="M727" s="54" t="s">
        <v>212</v>
      </c>
      <c r="N727" s="54" t="s">
        <v>214</v>
      </c>
      <c r="O727" s="58" t="n">
        <v>1</v>
      </c>
      <c r="P727" s="54" t="s">
        <v>212</v>
      </c>
      <c r="Q727" s="58"/>
    </row>
    <row r="728" customFormat="false" ht="15" hidden="false" customHeight="false" outlineLevel="0" collapsed="false">
      <c r="A728" s="54" t="s">
        <v>28</v>
      </c>
      <c r="B728" s="55" t="n">
        <v>969</v>
      </c>
      <c r="C728" s="56" t="n">
        <v>46304.3922416204</v>
      </c>
      <c r="D728" s="55" t="n">
        <v>9</v>
      </c>
      <c r="E728" s="54" t="s">
        <v>214</v>
      </c>
      <c r="F728" s="54" t="s">
        <v>859</v>
      </c>
      <c r="G728" s="54" t="s">
        <v>860</v>
      </c>
      <c r="H728" s="54" t="s">
        <v>861</v>
      </c>
      <c r="I728" s="54" t="s">
        <v>771</v>
      </c>
      <c r="J728" s="54" t="s">
        <v>862</v>
      </c>
      <c r="K728" s="58" t="n">
        <v>72.4</v>
      </c>
      <c r="L728" s="54" t="s">
        <v>863</v>
      </c>
      <c r="M728" s="54" t="s">
        <v>212</v>
      </c>
      <c r="N728" s="54" t="s">
        <v>214</v>
      </c>
      <c r="O728" s="58" t="n">
        <v>21.4</v>
      </c>
      <c r="P728" s="54" t="s">
        <v>212</v>
      </c>
      <c r="Q728" s="58"/>
    </row>
    <row r="729" customFormat="false" ht="15" hidden="false" customHeight="false" outlineLevel="0" collapsed="false">
      <c r="A729" s="54" t="s">
        <v>28</v>
      </c>
      <c r="B729" s="55" t="n">
        <v>982</v>
      </c>
      <c r="C729" s="56" t="n">
        <v>46304.4103011458</v>
      </c>
      <c r="D729" s="55" t="n">
        <v>9</v>
      </c>
      <c r="E729" s="54" t="s">
        <v>214</v>
      </c>
      <c r="F729" s="54" t="s">
        <v>859</v>
      </c>
      <c r="G729" s="54" t="s">
        <v>860</v>
      </c>
      <c r="H729" s="54" t="s">
        <v>861</v>
      </c>
      <c r="I729" s="54" t="s">
        <v>771</v>
      </c>
      <c r="J729" s="54" t="s">
        <v>862</v>
      </c>
      <c r="K729" s="58" t="n">
        <v>72.4</v>
      </c>
      <c r="L729" s="54" t="s">
        <v>863</v>
      </c>
      <c r="M729" s="54" t="s">
        <v>212</v>
      </c>
      <c r="N729" s="54" t="s">
        <v>212</v>
      </c>
      <c r="O729" s="58"/>
      <c r="P729" s="54" t="s">
        <v>212</v>
      </c>
      <c r="Q729" s="58"/>
    </row>
    <row r="730" customFormat="false" ht="15" hidden="false" customHeight="false" outlineLevel="0" collapsed="false">
      <c r="A730" s="54" t="s">
        <v>28</v>
      </c>
      <c r="B730" s="55" t="n">
        <v>985</v>
      </c>
      <c r="C730" s="56" t="n">
        <v>46304.417556632</v>
      </c>
      <c r="D730" s="55" t="n">
        <v>10</v>
      </c>
      <c r="E730" s="54" t="s">
        <v>214</v>
      </c>
      <c r="F730" s="54" t="s">
        <v>859</v>
      </c>
      <c r="G730" s="54" t="s">
        <v>860</v>
      </c>
      <c r="H730" s="54" t="s">
        <v>861</v>
      </c>
      <c r="I730" s="54" t="s">
        <v>771</v>
      </c>
      <c r="J730" s="54" t="s">
        <v>862</v>
      </c>
      <c r="K730" s="58" t="n">
        <v>72.4</v>
      </c>
      <c r="L730" s="54" t="s">
        <v>863</v>
      </c>
      <c r="M730" s="54" t="s">
        <v>212</v>
      </c>
      <c r="N730" s="54" t="s">
        <v>214</v>
      </c>
      <c r="O730" s="58" t="n">
        <v>11.5</v>
      </c>
      <c r="P730" s="54" t="s">
        <v>212</v>
      </c>
      <c r="Q730" s="58"/>
    </row>
    <row r="731" customFormat="false" ht="15" hidden="false" customHeight="false" outlineLevel="0" collapsed="false">
      <c r="A731" s="54" t="s">
        <v>28</v>
      </c>
      <c r="B731" s="55" t="n">
        <v>993</v>
      </c>
      <c r="C731" s="56" t="n">
        <v>46304.5367893519</v>
      </c>
      <c r="D731" s="55" t="n">
        <v>12</v>
      </c>
      <c r="E731" s="54" t="s">
        <v>214</v>
      </c>
      <c r="F731" s="54" t="s">
        <v>859</v>
      </c>
      <c r="G731" s="54" t="s">
        <v>860</v>
      </c>
      <c r="H731" s="54" t="s">
        <v>861</v>
      </c>
      <c r="I731" s="54" t="s">
        <v>771</v>
      </c>
      <c r="J731" s="54" t="s">
        <v>862</v>
      </c>
      <c r="K731" s="58" t="n">
        <v>72.4</v>
      </c>
      <c r="L731" s="54" t="s">
        <v>863</v>
      </c>
      <c r="M731" s="54" t="s">
        <v>212</v>
      </c>
      <c r="N731" s="54" t="s">
        <v>214</v>
      </c>
      <c r="O731" s="58" t="n">
        <v>17.5</v>
      </c>
      <c r="P731" s="54" t="s">
        <v>212</v>
      </c>
      <c r="Q731" s="58"/>
    </row>
    <row r="732" customFormat="false" ht="15" hidden="false" customHeight="false" outlineLevel="0" collapsed="false">
      <c r="A732" s="54" t="s">
        <v>28</v>
      </c>
      <c r="B732" s="55" t="n">
        <v>1040</v>
      </c>
      <c r="C732" s="56" t="n">
        <v>46304.55947375</v>
      </c>
      <c r="D732" s="55" t="n">
        <v>13</v>
      </c>
      <c r="E732" s="54" t="s">
        <v>214</v>
      </c>
      <c r="F732" s="54" t="s">
        <v>129</v>
      </c>
      <c r="G732" s="54" t="s">
        <v>118</v>
      </c>
      <c r="H732" s="54" t="s">
        <v>220</v>
      </c>
      <c r="I732" s="54" t="s">
        <v>477</v>
      </c>
      <c r="J732" s="54" t="s">
        <v>864</v>
      </c>
      <c r="K732" s="58" t="n">
        <v>99</v>
      </c>
      <c r="L732" s="54" t="s">
        <v>212</v>
      </c>
      <c r="M732" s="54" t="s">
        <v>214</v>
      </c>
      <c r="N732" s="54" t="s">
        <v>214</v>
      </c>
      <c r="O732" s="58" t="n">
        <v>1.1</v>
      </c>
      <c r="P732" s="54" t="s">
        <v>214</v>
      </c>
      <c r="Q732" s="58" t="n">
        <v>6</v>
      </c>
    </row>
    <row r="733" customFormat="false" ht="15" hidden="false" customHeight="false" outlineLevel="0" collapsed="false">
      <c r="A733" s="54" t="s">
        <v>28</v>
      </c>
      <c r="B733" s="55" t="n">
        <v>1061</v>
      </c>
      <c r="C733" s="56" t="n">
        <v>46304.6540132407</v>
      </c>
      <c r="D733" s="55" t="n">
        <v>15</v>
      </c>
      <c r="E733" s="54" t="s">
        <v>214</v>
      </c>
      <c r="F733" s="54" t="s">
        <v>127</v>
      </c>
      <c r="G733" s="54" t="s">
        <v>118</v>
      </c>
      <c r="H733" s="54" t="s">
        <v>220</v>
      </c>
      <c r="I733" s="54" t="s">
        <v>477</v>
      </c>
      <c r="J733" s="54" t="s">
        <v>864</v>
      </c>
      <c r="K733" s="58" t="n">
        <v>57</v>
      </c>
      <c r="L733" s="54" t="s">
        <v>214</v>
      </c>
      <c r="M733" s="54" t="s">
        <v>212</v>
      </c>
      <c r="N733" s="54" t="s">
        <v>214</v>
      </c>
      <c r="O733" s="58" t="n">
        <v>0.1</v>
      </c>
      <c r="P733" s="54" t="s">
        <v>214</v>
      </c>
      <c r="Q733" s="58" t="n">
        <v>1.1</v>
      </c>
    </row>
    <row r="734" customFormat="false" ht="15" hidden="false" customHeight="false" outlineLevel="0" collapsed="false">
      <c r="A734" s="54" t="s">
        <v>28</v>
      </c>
      <c r="B734" s="55" t="n">
        <v>1061</v>
      </c>
      <c r="C734" s="56" t="n">
        <v>46304.657342882</v>
      </c>
      <c r="D734" s="55" t="n">
        <v>15</v>
      </c>
      <c r="E734" s="54" t="s">
        <v>214</v>
      </c>
      <c r="F734" s="54" t="s">
        <v>127</v>
      </c>
      <c r="G734" s="54" t="s">
        <v>118</v>
      </c>
      <c r="H734" s="54" t="s">
        <v>220</v>
      </c>
      <c r="I734" s="54" t="s">
        <v>477</v>
      </c>
      <c r="J734" s="54" t="s">
        <v>864</v>
      </c>
      <c r="K734" s="58" t="n">
        <v>102.5</v>
      </c>
      <c r="L734" s="54" t="s">
        <v>212</v>
      </c>
      <c r="M734" s="54" t="s">
        <v>214</v>
      </c>
      <c r="N734" s="54" t="s">
        <v>214</v>
      </c>
      <c r="O734" s="58" t="n">
        <v>0.7</v>
      </c>
      <c r="P734" s="54" t="s">
        <v>214</v>
      </c>
      <c r="Q734" s="58" t="n">
        <v>7.4</v>
      </c>
    </row>
    <row r="735" customFormat="false" ht="15" hidden="false" customHeight="false" outlineLevel="0" collapsed="false">
      <c r="A735" s="54" t="s">
        <v>28</v>
      </c>
      <c r="B735" s="55" t="n">
        <v>1063</v>
      </c>
      <c r="C735" s="56" t="n">
        <v>46304.6673203935</v>
      </c>
      <c r="D735" s="55" t="n">
        <v>16</v>
      </c>
      <c r="E735" s="54" t="s">
        <v>214</v>
      </c>
      <c r="F735" s="54" t="s">
        <v>127</v>
      </c>
      <c r="G735" s="54" t="s">
        <v>118</v>
      </c>
      <c r="H735" s="54" t="s">
        <v>220</v>
      </c>
      <c r="I735" s="54" t="s">
        <v>477</v>
      </c>
      <c r="J735" s="54" t="s">
        <v>864</v>
      </c>
      <c r="K735" s="58" t="n">
        <v>104.9</v>
      </c>
      <c r="L735" s="54" t="s">
        <v>212</v>
      </c>
      <c r="M735" s="54" t="s">
        <v>214</v>
      </c>
      <c r="N735" s="54" t="s">
        <v>214</v>
      </c>
      <c r="O735" s="58" t="n">
        <v>4</v>
      </c>
      <c r="P735" s="54" t="s">
        <v>214</v>
      </c>
      <c r="Q735" s="58" t="n">
        <v>8.1</v>
      </c>
    </row>
    <row r="736" customFormat="false" ht="15" hidden="false" customHeight="false" outlineLevel="0" collapsed="false">
      <c r="A736" s="54" t="s">
        <v>28</v>
      </c>
      <c r="B736" s="55" t="n">
        <v>1066</v>
      </c>
      <c r="C736" s="56" t="n">
        <v>46304.6790669676</v>
      </c>
      <c r="D736" s="55" t="n">
        <v>16</v>
      </c>
      <c r="E736" s="54" t="s">
        <v>214</v>
      </c>
      <c r="F736" s="54" t="s">
        <v>129</v>
      </c>
      <c r="G736" s="54" t="s">
        <v>118</v>
      </c>
      <c r="H736" s="54" t="s">
        <v>220</v>
      </c>
      <c r="I736" s="54" t="s">
        <v>477</v>
      </c>
      <c r="J736" s="54" t="s">
        <v>864</v>
      </c>
      <c r="K736" s="58" t="n">
        <v>95.8</v>
      </c>
      <c r="L736" s="54" t="s">
        <v>212</v>
      </c>
      <c r="M736" s="54" t="s">
        <v>214</v>
      </c>
      <c r="N736" s="54" t="s">
        <v>212</v>
      </c>
      <c r="O736" s="58"/>
      <c r="P736" s="54" t="s">
        <v>214</v>
      </c>
      <c r="Q736" s="58" t="n">
        <v>31.4</v>
      </c>
    </row>
    <row r="737" customFormat="false" ht="15" hidden="false" customHeight="false" outlineLevel="0" collapsed="false">
      <c r="A737" s="54" t="s">
        <v>28</v>
      </c>
      <c r="B737" s="55" t="n">
        <v>1066</v>
      </c>
      <c r="C737" s="56" t="n">
        <v>46304.679589213</v>
      </c>
      <c r="D737" s="55" t="n">
        <v>16</v>
      </c>
      <c r="E737" s="54" t="s">
        <v>214</v>
      </c>
      <c r="F737" s="54" t="s">
        <v>129</v>
      </c>
      <c r="G737" s="54" t="s">
        <v>118</v>
      </c>
      <c r="H737" s="54" t="s">
        <v>220</v>
      </c>
      <c r="I737" s="54" t="s">
        <v>477</v>
      </c>
      <c r="J737" s="54" t="s">
        <v>864</v>
      </c>
      <c r="K737" s="58" t="n">
        <v>12.7</v>
      </c>
      <c r="L737" s="54" t="s">
        <v>212</v>
      </c>
      <c r="M737" s="54" t="s">
        <v>212</v>
      </c>
      <c r="N737" s="54" t="s">
        <v>212</v>
      </c>
      <c r="O737" s="58"/>
      <c r="P737" s="54" t="s">
        <v>214</v>
      </c>
      <c r="Q737" s="58" t="n">
        <v>30.7</v>
      </c>
    </row>
    <row r="738" customFormat="false" ht="15" hidden="false" customHeight="false" outlineLevel="0" collapsed="false">
      <c r="A738" s="54" t="s">
        <v>28</v>
      </c>
      <c r="B738" s="55" t="n">
        <v>1078</v>
      </c>
      <c r="C738" s="56" t="n">
        <v>46304.8191982639</v>
      </c>
      <c r="D738" s="55" t="n">
        <v>19</v>
      </c>
      <c r="E738" s="54" t="s">
        <v>214</v>
      </c>
      <c r="F738" s="54" t="s">
        <v>859</v>
      </c>
      <c r="G738" s="54" t="s">
        <v>860</v>
      </c>
      <c r="H738" s="54" t="s">
        <v>861</v>
      </c>
      <c r="I738" s="54" t="s">
        <v>771</v>
      </c>
      <c r="J738" s="54" t="s">
        <v>862</v>
      </c>
      <c r="K738" s="58" t="n">
        <v>72.4</v>
      </c>
      <c r="L738" s="54" t="s">
        <v>863</v>
      </c>
      <c r="M738" s="54" t="s">
        <v>212</v>
      </c>
      <c r="N738" s="54" t="s">
        <v>214</v>
      </c>
      <c r="O738" s="58" t="n">
        <v>8.5</v>
      </c>
      <c r="P738" s="54" t="s">
        <v>212</v>
      </c>
      <c r="Q738" s="58"/>
    </row>
    <row r="739" customFormat="false" ht="15" hidden="false" customHeight="false" outlineLevel="0" collapsed="false">
      <c r="A739" s="54" t="s">
        <v>28</v>
      </c>
      <c r="B739" s="55" t="n">
        <v>1061</v>
      </c>
      <c r="C739" s="56" t="n">
        <v>46304.8346732755</v>
      </c>
      <c r="D739" s="55" t="n">
        <v>20</v>
      </c>
      <c r="E739" s="54" t="s">
        <v>214</v>
      </c>
      <c r="F739" s="54" t="s">
        <v>859</v>
      </c>
      <c r="G739" s="54" t="s">
        <v>860</v>
      </c>
      <c r="H739" s="54" t="s">
        <v>861</v>
      </c>
      <c r="I739" s="54" t="s">
        <v>771</v>
      </c>
      <c r="J739" s="54" t="s">
        <v>862</v>
      </c>
      <c r="K739" s="58" t="n">
        <v>72.4</v>
      </c>
      <c r="L739" s="54" t="s">
        <v>863</v>
      </c>
      <c r="M739" s="54" t="s">
        <v>212</v>
      </c>
      <c r="N739" s="54" t="s">
        <v>212</v>
      </c>
      <c r="O739" s="58"/>
      <c r="P739" s="54" t="s">
        <v>212</v>
      </c>
      <c r="Q739" s="58"/>
    </row>
    <row r="740" customFormat="false" ht="15" hidden="false" customHeight="false" outlineLevel="0" collapsed="false">
      <c r="A740" s="54" t="s">
        <v>28</v>
      </c>
      <c r="B740" s="55" t="n">
        <v>1063</v>
      </c>
      <c r="C740" s="56" t="n">
        <v>46305.3750094213</v>
      </c>
      <c r="D740" s="55" t="n">
        <v>9</v>
      </c>
      <c r="E740" s="54" t="s">
        <v>214</v>
      </c>
      <c r="F740" s="54" t="s">
        <v>859</v>
      </c>
      <c r="G740" s="54" t="s">
        <v>860</v>
      </c>
      <c r="H740" s="54" t="s">
        <v>861</v>
      </c>
      <c r="I740" s="54" t="s">
        <v>771</v>
      </c>
      <c r="J740" s="54" t="s">
        <v>862</v>
      </c>
      <c r="K740" s="58" t="n">
        <v>72.4</v>
      </c>
      <c r="L740" s="54" t="s">
        <v>863</v>
      </c>
      <c r="M740" s="54" t="s">
        <v>212</v>
      </c>
      <c r="N740" s="54" t="s">
        <v>214</v>
      </c>
      <c r="O740" s="58" t="n">
        <v>225.2</v>
      </c>
      <c r="P740" s="54" t="s">
        <v>212</v>
      </c>
      <c r="Q740" s="58"/>
    </row>
    <row r="741" customFormat="false" ht="15" hidden="false" customHeight="false" outlineLevel="0" collapsed="false">
      <c r="A741" s="54" t="s">
        <v>28</v>
      </c>
      <c r="B741" s="55" t="n">
        <v>1133</v>
      </c>
      <c r="C741" s="56" t="n">
        <v>46305.3751032292</v>
      </c>
      <c r="D741" s="55" t="n">
        <v>9</v>
      </c>
      <c r="E741" s="54" t="s">
        <v>214</v>
      </c>
      <c r="F741" s="54" t="s">
        <v>859</v>
      </c>
      <c r="G741" s="54" t="s">
        <v>860</v>
      </c>
      <c r="H741" s="54" t="s">
        <v>861</v>
      </c>
      <c r="I741" s="54" t="s">
        <v>771</v>
      </c>
      <c r="J741" s="54" t="s">
        <v>862</v>
      </c>
      <c r="K741" s="58" t="n">
        <v>72.4</v>
      </c>
      <c r="L741" s="54" t="s">
        <v>863</v>
      </c>
      <c r="M741" s="54" t="s">
        <v>212</v>
      </c>
      <c r="N741" s="54" t="s">
        <v>214</v>
      </c>
      <c r="O741" s="58" t="n">
        <v>1533.2</v>
      </c>
      <c r="P741" s="54" t="s">
        <v>212</v>
      </c>
      <c r="Q741" s="58"/>
    </row>
    <row r="742" customFormat="false" ht="15" hidden="false" customHeight="false" outlineLevel="0" collapsed="false">
      <c r="A742" s="54" t="s">
        <v>28</v>
      </c>
      <c r="B742" s="55" t="n">
        <v>1141</v>
      </c>
      <c r="C742" s="56" t="n">
        <v>46305.3753872685</v>
      </c>
      <c r="D742" s="55" t="n">
        <v>9</v>
      </c>
      <c r="E742" s="54" t="s">
        <v>214</v>
      </c>
      <c r="F742" s="54" t="s">
        <v>859</v>
      </c>
      <c r="G742" s="54" t="s">
        <v>860</v>
      </c>
      <c r="H742" s="54" t="s">
        <v>861</v>
      </c>
      <c r="I742" s="54" t="s">
        <v>771</v>
      </c>
      <c r="J742" s="54" t="s">
        <v>862</v>
      </c>
      <c r="K742" s="58" t="n">
        <v>72.4</v>
      </c>
      <c r="L742" s="54" t="s">
        <v>863</v>
      </c>
      <c r="M742" s="54" t="s">
        <v>212</v>
      </c>
      <c r="N742" s="54" t="s">
        <v>214</v>
      </c>
      <c r="O742" s="58" t="n">
        <v>179.2</v>
      </c>
      <c r="P742" s="54" t="s">
        <v>212</v>
      </c>
      <c r="Q742" s="58"/>
    </row>
    <row r="743" customFormat="false" ht="15" hidden="false" customHeight="false" outlineLevel="0" collapsed="false">
      <c r="A743" s="54" t="s">
        <v>28</v>
      </c>
      <c r="B743" s="55" t="n">
        <v>1171</v>
      </c>
      <c r="C743" s="56" t="n">
        <v>46305.4565727894</v>
      </c>
      <c r="D743" s="55" t="n">
        <v>10</v>
      </c>
      <c r="E743" s="54" t="s">
        <v>214</v>
      </c>
      <c r="F743" s="54" t="s">
        <v>130</v>
      </c>
      <c r="G743" s="54" t="s">
        <v>118</v>
      </c>
      <c r="H743" s="54" t="s">
        <v>215</v>
      </c>
      <c r="I743" s="54" t="s">
        <v>477</v>
      </c>
      <c r="J743" s="54" t="s">
        <v>864</v>
      </c>
      <c r="K743" s="58" t="n">
        <v>143.1</v>
      </c>
      <c r="L743" s="54" t="s">
        <v>212</v>
      </c>
      <c r="M743" s="54" t="s">
        <v>214</v>
      </c>
      <c r="N743" s="54" t="s">
        <v>214</v>
      </c>
      <c r="O743" s="58" t="n">
        <v>0.7</v>
      </c>
      <c r="P743" s="54" t="s">
        <v>214</v>
      </c>
      <c r="Q743" s="58" t="n">
        <v>2.7</v>
      </c>
    </row>
    <row r="744" customFormat="false" ht="15" hidden="false" customHeight="false" outlineLevel="0" collapsed="false">
      <c r="A744" s="54" t="s">
        <v>28</v>
      </c>
      <c r="B744" s="55" t="n">
        <v>1183</v>
      </c>
      <c r="C744" s="56" t="n">
        <v>46305.5336938657</v>
      </c>
      <c r="D744" s="55" t="n">
        <v>12</v>
      </c>
      <c r="E744" s="54" t="s">
        <v>214</v>
      </c>
      <c r="F744" s="54" t="s">
        <v>129</v>
      </c>
      <c r="G744" s="54" t="s">
        <v>118</v>
      </c>
      <c r="H744" s="54" t="s">
        <v>220</v>
      </c>
      <c r="I744" s="54" t="s">
        <v>477</v>
      </c>
      <c r="J744" s="54" t="s">
        <v>864</v>
      </c>
      <c r="K744" s="58" t="n">
        <v>93.7</v>
      </c>
      <c r="L744" s="54" t="s">
        <v>212</v>
      </c>
      <c r="M744" s="54" t="s">
        <v>214</v>
      </c>
      <c r="N744" s="54" t="s">
        <v>212</v>
      </c>
      <c r="O744" s="58"/>
      <c r="P744" s="54" t="s">
        <v>214</v>
      </c>
      <c r="Q744" s="58" t="n">
        <v>11.1</v>
      </c>
    </row>
    <row r="745" customFormat="false" ht="15" hidden="false" customHeight="false" outlineLevel="0" collapsed="false">
      <c r="A745" s="54" t="s">
        <v>28</v>
      </c>
      <c r="B745" s="55" t="n">
        <v>1183</v>
      </c>
      <c r="C745" s="56" t="n">
        <v>46305.5342045139</v>
      </c>
      <c r="D745" s="55" t="n">
        <v>12</v>
      </c>
      <c r="E745" s="54" t="s">
        <v>214</v>
      </c>
      <c r="F745" s="54" t="s">
        <v>129</v>
      </c>
      <c r="G745" s="54" t="s">
        <v>118</v>
      </c>
      <c r="H745" s="54" t="s">
        <v>220</v>
      </c>
      <c r="I745" s="54" t="s">
        <v>477</v>
      </c>
      <c r="J745" s="54" t="s">
        <v>864</v>
      </c>
      <c r="K745" s="58" t="n">
        <v>13.1</v>
      </c>
      <c r="L745" s="54" t="s">
        <v>212</v>
      </c>
      <c r="M745" s="54" t="s">
        <v>212</v>
      </c>
      <c r="N745" s="54" t="s">
        <v>212</v>
      </c>
      <c r="O745" s="58"/>
      <c r="P745" s="54" t="s">
        <v>214</v>
      </c>
      <c r="Q745" s="58" t="n">
        <v>10.4</v>
      </c>
    </row>
    <row r="746" customFormat="false" ht="15" hidden="false" customHeight="false" outlineLevel="0" collapsed="false">
      <c r="A746" s="54" t="s">
        <v>28</v>
      </c>
      <c r="B746" s="55" t="n">
        <v>1216</v>
      </c>
      <c r="C746" s="56" t="n">
        <v>46305.7502698148</v>
      </c>
      <c r="D746" s="55" t="n">
        <v>18</v>
      </c>
      <c r="E746" s="54" t="s">
        <v>214</v>
      </c>
      <c r="F746" s="54" t="s">
        <v>128</v>
      </c>
      <c r="G746" s="54" t="s">
        <v>118</v>
      </c>
      <c r="H746" s="54" t="s">
        <v>220</v>
      </c>
      <c r="I746" s="54" t="s">
        <v>477</v>
      </c>
      <c r="J746" s="54" t="s">
        <v>864</v>
      </c>
      <c r="K746" s="58" t="n">
        <v>91.9</v>
      </c>
      <c r="L746" s="54" t="s">
        <v>212</v>
      </c>
      <c r="M746" s="54" t="s">
        <v>214</v>
      </c>
      <c r="N746" s="54" t="s">
        <v>214</v>
      </c>
      <c r="O746" s="58" t="n">
        <v>0.2</v>
      </c>
      <c r="P746" s="54" t="s">
        <v>214</v>
      </c>
      <c r="Q746" s="58" t="n">
        <v>2.4</v>
      </c>
    </row>
    <row r="747" customFormat="false" ht="15" hidden="false" customHeight="false" outlineLevel="0" collapsed="false">
      <c r="A747" s="54" t="s">
        <v>28</v>
      </c>
      <c r="B747" s="55" t="n">
        <v>1227</v>
      </c>
      <c r="C747" s="56" t="n">
        <v>46305.8697303357</v>
      </c>
      <c r="D747" s="55" t="n">
        <v>20</v>
      </c>
      <c r="E747" s="54" t="s">
        <v>214</v>
      </c>
      <c r="F747" s="54" t="s">
        <v>859</v>
      </c>
      <c r="G747" s="54" t="s">
        <v>860</v>
      </c>
      <c r="H747" s="54" t="s">
        <v>861</v>
      </c>
      <c r="I747" s="54" t="s">
        <v>771</v>
      </c>
      <c r="J747" s="54" t="s">
        <v>862</v>
      </c>
      <c r="K747" s="58" t="n">
        <v>72.4</v>
      </c>
      <c r="L747" s="54" t="s">
        <v>863</v>
      </c>
      <c r="M747" s="54" t="s">
        <v>212</v>
      </c>
      <c r="N747" s="54" t="s">
        <v>214</v>
      </c>
      <c r="O747" s="58" t="n">
        <v>2198.3</v>
      </c>
      <c r="P747" s="54" t="s">
        <v>212</v>
      </c>
      <c r="Q747" s="58"/>
    </row>
    <row r="748" customFormat="false" ht="15" hidden="false" customHeight="false" outlineLevel="0" collapsed="false">
      <c r="A748" s="54" t="s">
        <v>28</v>
      </c>
      <c r="B748" s="55" t="n">
        <v>1171</v>
      </c>
      <c r="C748" s="56" t="n">
        <v>46306.3755676273</v>
      </c>
      <c r="D748" s="55" t="n">
        <v>9</v>
      </c>
      <c r="E748" s="54" t="s">
        <v>214</v>
      </c>
      <c r="F748" s="54" t="s">
        <v>859</v>
      </c>
      <c r="G748" s="54" t="s">
        <v>860</v>
      </c>
      <c r="H748" s="54" t="s">
        <v>861</v>
      </c>
      <c r="I748" s="54" t="s">
        <v>771</v>
      </c>
      <c r="J748" s="54" t="s">
        <v>862</v>
      </c>
      <c r="K748" s="58" t="n">
        <v>72.4</v>
      </c>
      <c r="L748" s="54" t="s">
        <v>863</v>
      </c>
      <c r="M748" s="54" t="s">
        <v>212</v>
      </c>
      <c r="N748" s="54" t="s">
        <v>214</v>
      </c>
      <c r="O748" s="58" t="n">
        <v>222.4</v>
      </c>
      <c r="P748" s="54" t="s">
        <v>214</v>
      </c>
      <c r="Q748" s="58" t="n">
        <v>223.5</v>
      </c>
    </row>
    <row r="749" customFormat="false" ht="15" hidden="false" customHeight="false" outlineLevel="0" collapsed="false">
      <c r="A749" s="54" t="s">
        <v>28</v>
      </c>
      <c r="B749" s="55" t="n">
        <v>1256</v>
      </c>
      <c r="C749" s="56" t="n">
        <v>46306.3756323148</v>
      </c>
      <c r="D749" s="55" t="n">
        <v>9</v>
      </c>
      <c r="E749" s="54" t="s">
        <v>214</v>
      </c>
      <c r="F749" s="54" t="s">
        <v>859</v>
      </c>
      <c r="G749" s="54" t="s">
        <v>860</v>
      </c>
      <c r="H749" s="54" t="s">
        <v>861</v>
      </c>
      <c r="I749" s="54" t="s">
        <v>771</v>
      </c>
      <c r="J749" s="54" t="s">
        <v>862</v>
      </c>
      <c r="K749" s="58" t="n">
        <v>72.4</v>
      </c>
      <c r="L749" s="54" t="s">
        <v>863</v>
      </c>
      <c r="M749" s="54" t="s">
        <v>212</v>
      </c>
      <c r="N749" s="54" t="s">
        <v>214</v>
      </c>
      <c r="O749" s="58" t="n">
        <v>4344.2</v>
      </c>
      <c r="P749" s="54" t="s">
        <v>212</v>
      </c>
      <c r="Q749" s="58"/>
    </row>
    <row r="750" customFormat="false" ht="15" hidden="false" customHeight="false" outlineLevel="0" collapsed="false">
      <c r="A750" s="54" t="s">
        <v>28</v>
      </c>
      <c r="B750" s="55" t="n">
        <v>1253</v>
      </c>
      <c r="C750" s="56" t="n">
        <v>46306.3792278357</v>
      </c>
      <c r="D750" s="55" t="n">
        <v>9</v>
      </c>
      <c r="E750" s="54" t="s">
        <v>214</v>
      </c>
      <c r="F750" s="54" t="s">
        <v>859</v>
      </c>
      <c r="G750" s="54" t="s">
        <v>860</v>
      </c>
      <c r="H750" s="54" t="s">
        <v>861</v>
      </c>
      <c r="I750" s="54" t="s">
        <v>771</v>
      </c>
      <c r="J750" s="54" t="s">
        <v>862</v>
      </c>
      <c r="K750" s="58" t="n">
        <v>72.4</v>
      </c>
      <c r="L750" s="54" t="s">
        <v>863</v>
      </c>
      <c r="M750" s="54" t="s">
        <v>212</v>
      </c>
      <c r="N750" s="54" t="s">
        <v>214</v>
      </c>
      <c r="O750" s="58" t="n">
        <v>105.6</v>
      </c>
      <c r="P750" s="54" t="s">
        <v>212</v>
      </c>
      <c r="Q750" s="58"/>
    </row>
    <row r="751" customFormat="false" ht="15" hidden="false" customHeight="false" outlineLevel="0" collapsed="false">
      <c r="A751" s="54" t="s">
        <v>28</v>
      </c>
      <c r="B751" s="55" t="n">
        <v>1373</v>
      </c>
      <c r="C751" s="56" t="n">
        <v>46306.9177907407</v>
      </c>
      <c r="D751" s="55" t="n">
        <v>22</v>
      </c>
      <c r="E751" s="54" t="s">
        <v>212</v>
      </c>
      <c r="F751" s="54" t="s">
        <v>129</v>
      </c>
      <c r="G751" s="54" t="s">
        <v>118</v>
      </c>
      <c r="H751" s="54" t="s">
        <v>220</v>
      </c>
      <c r="I751" s="54" t="s">
        <v>477</v>
      </c>
      <c r="J751" s="54" t="s">
        <v>864</v>
      </c>
      <c r="K751" s="58" t="n">
        <v>104.5</v>
      </c>
      <c r="L751" s="54" t="s">
        <v>212</v>
      </c>
      <c r="M751" s="54" t="s">
        <v>214</v>
      </c>
      <c r="N751" s="54" t="s">
        <v>214</v>
      </c>
      <c r="O751" s="58" t="n">
        <v>1.9</v>
      </c>
      <c r="P751" s="54" t="s">
        <v>214</v>
      </c>
      <c r="Q751" s="58" t="n">
        <v>6.2</v>
      </c>
    </row>
    <row r="752" customFormat="false" ht="15" hidden="false" customHeight="false" outlineLevel="0" collapsed="false">
      <c r="A752" s="54" t="s">
        <v>28</v>
      </c>
      <c r="B752" s="55" t="n">
        <v>1406</v>
      </c>
      <c r="C752" s="56" t="n">
        <v>46307.3479765972</v>
      </c>
      <c r="D752" s="55" t="n">
        <v>8</v>
      </c>
      <c r="E752" s="54" t="s">
        <v>214</v>
      </c>
      <c r="F752" s="54" t="s">
        <v>127</v>
      </c>
      <c r="G752" s="54" t="s">
        <v>118</v>
      </c>
      <c r="H752" s="54" t="s">
        <v>220</v>
      </c>
      <c r="I752" s="54" t="s">
        <v>477</v>
      </c>
      <c r="J752" s="54" t="s">
        <v>864</v>
      </c>
      <c r="K752" s="58" t="n">
        <v>110.2</v>
      </c>
      <c r="L752" s="54" t="s">
        <v>212</v>
      </c>
      <c r="M752" s="54" t="s">
        <v>214</v>
      </c>
      <c r="N752" s="54" t="s">
        <v>212</v>
      </c>
      <c r="O752" s="58"/>
      <c r="P752" s="54" t="s">
        <v>214</v>
      </c>
      <c r="Q752" s="58" t="n">
        <v>41.5</v>
      </c>
    </row>
    <row r="753" customFormat="false" ht="15" hidden="false" customHeight="false" outlineLevel="0" collapsed="false">
      <c r="A753" s="54" t="s">
        <v>28</v>
      </c>
      <c r="B753" s="55" t="n">
        <v>1409</v>
      </c>
      <c r="C753" s="56" t="n">
        <v>46307.3512640741</v>
      </c>
      <c r="D753" s="55" t="n">
        <v>8</v>
      </c>
      <c r="E753" s="54" t="s">
        <v>214</v>
      </c>
      <c r="F753" s="54" t="s">
        <v>130</v>
      </c>
      <c r="G753" s="54" t="s">
        <v>118</v>
      </c>
      <c r="H753" s="54" t="s">
        <v>215</v>
      </c>
      <c r="I753" s="54" t="s">
        <v>477</v>
      </c>
      <c r="J753" s="54" t="s">
        <v>864</v>
      </c>
      <c r="K753" s="58" t="n">
        <v>115.5</v>
      </c>
      <c r="L753" s="54" t="s">
        <v>212</v>
      </c>
      <c r="M753" s="54" t="s">
        <v>214</v>
      </c>
      <c r="N753" s="54" t="s">
        <v>212</v>
      </c>
      <c r="O753" s="58"/>
      <c r="P753" s="54" t="s">
        <v>214</v>
      </c>
      <c r="Q753" s="58" t="n">
        <v>8.1</v>
      </c>
    </row>
    <row r="754" customFormat="false" ht="15" hidden="false" customHeight="false" outlineLevel="0" collapsed="false">
      <c r="A754" s="54" t="s">
        <v>28</v>
      </c>
      <c r="B754" s="55" t="n">
        <v>1373</v>
      </c>
      <c r="C754" s="56" t="n">
        <v>46307.3750233796</v>
      </c>
      <c r="D754" s="55" t="n">
        <v>9</v>
      </c>
      <c r="E754" s="54" t="s">
        <v>214</v>
      </c>
      <c r="F754" s="54" t="s">
        <v>859</v>
      </c>
      <c r="G754" s="54" t="s">
        <v>860</v>
      </c>
      <c r="H754" s="54" t="s">
        <v>861</v>
      </c>
      <c r="I754" s="54" t="s">
        <v>771</v>
      </c>
      <c r="J754" s="54" t="s">
        <v>862</v>
      </c>
      <c r="K754" s="58" t="n">
        <v>72.4</v>
      </c>
      <c r="L754" s="54" t="s">
        <v>863</v>
      </c>
      <c r="M754" s="54" t="s">
        <v>212</v>
      </c>
      <c r="N754" s="54" t="s">
        <v>214</v>
      </c>
      <c r="O754" s="58" t="n">
        <v>13.4</v>
      </c>
      <c r="P754" s="54" t="s">
        <v>214</v>
      </c>
      <c r="Q754" s="58" t="n">
        <v>150.7</v>
      </c>
    </row>
    <row r="755" customFormat="false" ht="15" hidden="false" customHeight="false" outlineLevel="0" collapsed="false">
      <c r="A755" s="54" t="s">
        <v>28</v>
      </c>
      <c r="B755" s="55" t="n">
        <v>1356</v>
      </c>
      <c r="C755" s="56" t="n">
        <v>46307.3754366667</v>
      </c>
      <c r="D755" s="55" t="n">
        <v>9</v>
      </c>
      <c r="E755" s="54" t="s">
        <v>214</v>
      </c>
      <c r="F755" s="54" t="s">
        <v>859</v>
      </c>
      <c r="G755" s="54" t="s">
        <v>860</v>
      </c>
      <c r="H755" s="54" t="s">
        <v>861</v>
      </c>
      <c r="I755" s="54" t="s">
        <v>771</v>
      </c>
      <c r="J755" s="54" t="s">
        <v>862</v>
      </c>
      <c r="K755" s="58" t="n">
        <v>72.4</v>
      </c>
      <c r="L755" s="54" t="s">
        <v>863</v>
      </c>
      <c r="M755" s="54" t="s">
        <v>212</v>
      </c>
      <c r="N755" s="54" t="s">
        <v>214</v>
      </c>
      <c r="O755" s="58" t="n">
        <v>558</v>
      </c>
      <c r="P755" s="54" t="s">
        <v>212</v>
      </c>
      <c r="Q755" s="58"/>
    </row>
    <row r="756" customFormat="false" ht="15" hidden="false" customHeight="false" outlineLevel="0" collapsed="false">
      <c r="A756" s="54" t="s">
        <v>28</v>
      </c>
      <c r="B756" s="55" t="n">
        <v>1391</v>
      </c>
      <c r="C756" s="56" t="n">
        <v>46307.3756908449</v>
      </c>
      <c r="D756" s="55" t="n">
        <v>9</v>
      </c>
      <c r="E756" s="54" t="s">
        <v>214</v>
      </c>
      <c r="F756" s="54" t="s">
        <v>859</v>
      </c>
      <c r="G756" s="54" t="s">
        <v>860</v>
      </c>
      <c r="H756" s="54" t="s">
        <v>861</v>
      </c>
      <c r="I756" s="54" t="s">
        <v>771</v>
      </c>
      <c r="J756" s="54" t="s">
        <v>862</v>
      </c>
      <c r="K756" s="58" t="n">
        <v>72.4</v>
      </c>
      <c r="L756" s="54" t="s">
        <v>863</v>
      </c>
      <c r="M756" s="54" t="s">
        <v>212</v>
      </c>
      <c r="N756" s="54" t="s">
        <v>214</v>
      </c>
      <c r="O756" s="58" t="n">
        <v>1470</v>
      </c>
      <c r="P756" s="54" t="s">
        <v>212</v>
      </c>
      <c r="Q756" s="58"/>
    </row>
    <row r="757" customFormat="false" ht="15" hidden="false" customHeight="false" outlineLevel="0" collapsed="false">
      <c r="A757" s="54" t="s">
        <v>28</v>
      </c>
      <c r="B757" s="55" t="n">
        <v>1430</v>
      </c>
      <c r="C757" s="56" t="n">
        <v>46307.5000531597</v>
      </c>
      <c r="D757" s="55" t="n">
        <v>12</v>
      </c>
      <c r="E757" s="54" t="s">
        <v>214</v>
      </c>
      <c r="F757" s="54" t="s">
        <v>859</v>
      </c>
      <c r="G757" s="54" t="s">
        <v>860</v>
      </c>
      <c r="H757" s="54" t="s">
        <v>861</v>
      </c>
      <c r="I757" s="54" t="s">
        <v>771</v>
      </c>
      <c r="J757" s="54" t="s">
        <v>862</v>
      </c>
      <c r="K757" s="58" t="n">
        <v>72.4</v>
      </c>
      <c r="L757" s="54" t="s">
        <v>863</v>
      </c>
      <c r="M757" s="54" t="s">
        <v>212</v>
      </c>
      <c r="N757" s="54" t="s">
        <v>214</v>
      </c>
      <c r="O757" s="58" t="n">
        <v>25.1</v>
      </c>
      <c r="P757" s="54" t="s">
        <v>212</v>
      </c>
      <c r="Q757" s="58"/>
    </row>
    <row r="758" customFormat="false" ht="15" hidden="false" customHeight="false" outlineLevel="0" collapsed="false">
      <c r="A758" s="54" t="s">
        <v>28</v>
      </c>
      <c r="B758" s="55" t="n">
        <v>1463</v>
      </c>
      <c r="C758" s="56" t="n">
        <v>46307.5196956366</v>
      </c>
      <c r="D758" s="55" t="n">
        <v>12</v>
      </c>
      <c r="E758" s="54" t="s">
        <v>214</v>
      </c>
      <c r="F758" s="54" t="s">
        <v>127</v>
      </c>
      <c r="G758" s="54" t="s">
        <v>118</v>
      </c>
      <c r="H758" s="54" t="s">
        <v>220</v>
      </c>
      <c r="I758" s="54" t="s">
        <v>477</v>
      </c>
      <c r="J758" s="54" t="s">
        <v>864</v>
      </c>
      <c r="K758" s="58" t="n">
        <v>114.7</v>
      </c>
      <c r="L758" s="54" t="s">
        <v>212</v>
      </c>
      <c r="M758" s="54" t="s">
        <v>214</v>
      </c>
      <c r="N758" s="54" t="s">
        <v>212</v>
      </c>
      <c r="O758" s="58"/>
      <c r="P758" s="54" t="s">
        <v>212</v>
      </c>
      <c r="Q758" s="58"/>
    </row>
    <row r="759" customFormat="false" ht="15" hidden="false" customHeight="false" outlineLevel="0" collapsed="false">
      <c r="A759" s="54" t="s">
        <v>28</v>
      </c>
      <c r="B759" s="55" t="n">
        <v>1461</v>
      </c>
      <c r="C759" s="56" t="n">
        <v>46307.5216463426</v>
      </c>
      <c r="D759" s="55" t="n">
        <v>12</v>
      </c>
      <c r="E759" s="54" t="s">
        <v>214</v>
      </c>
      <c r="F759" s="54" t="s">
        <v>127</v>
      </c>
      <c r="G759" s="54" t="s">
        <v>118</v>
      </c>
      <c r="H759" s="54" t="s">
        <v>220</v>
      </c>
      <c r="I759" s="54" t="s">
        <v>477</v>
      </c>
      <c r="J759" s="54" t="s">
        <v>864</v>
      </c>
      <c r="K759" s="58" t="n">
        <v>118</v>
      </c>
      <c r="L759" s="54" t="s">
        <v>212</v>
      </c>
      <c r="M759" s="54" t="s">
        <v>214</v>
      </c>
      <c r="N759" s="54" t="s">
        <v>212</v>
      </c>
      <c r="O759" s="58"/>
      <c r="P759" s="54" t="s">
        <v>214</v>
      </c>
      <c r="Q759" s="58" t="n">
        <v>6.3</v>
      </c>
    </row>
    <row r="760" customFormat="false" ht="15" hidden="false" customHeight="false" outlineLevel="0" collapsed="false">
      <c r="A760" s="54" t="s">
        <v>28</v>
      </c>
      <c r="B760" s="55" t="n">
        <v>1406</v>
      </c>
      <c r="C760" s="56" t="n">
        <v>46307.5251531713</v>
      </c>
      <c r="D760" s="55" t="n">
        <v>12</v>
      </c>
      <c r="E760" s="54" t="s">
        <v>214</v>
      </c>
      <c r="F760" s="54" t="s">
        <v>859</v>
      </c>
      <c r="G760" s="54" t="s">
        <v>860</v>
      </c>
      <c r="H760" s="54" t="s">
        <v>861</v>
      </c>
      <c r="I760" s="54" t="s">
        <v>771</v>
      </c>
      <c r="J760" s="54" t="s">
        <v>862</v>
      </c>
      <c r="K760" s="58" t="n">
        <v>72.4</v>
      </c>
      <c r="L760" s="54" t="s">
        <v>863</v>
      </c>
      <c r="M760" s="54" t="s">
        <v>212</v>
      </c>
      <c r="N760" s="54" t="s">
        <v>212</v>
      </c>
      <c r="O760" s="58"/>
      <c r="P760" s="54" t="s">
        <v>214</v>
      </c>
      <c r="Q760" s="58" t="n">
        <v>105.2</v>
      </c>
    </row>
    <row r="761" customFormat="false" ht="15" hidden="false" customHeight="false" outlineLevel="0" collapsed="false">
      <c r="A761" s="54" t="s">
        <v>28</v>
      </c>
      <c r="B761" s="55" t="n">
        <v>1500</v>
      </c>
      <c r="C761" s="56" t="n">
        <v>46307.6426679977</v>
      </c>
      <c r="D761" s="55" t="n">
        <v>15</v>
      </c>
      <c r="E761" s="54" t="s">
        <v>214</v>
      </c>
      <c r="F761" s="54" t="s">
        <v>127</v>
      </c>
      <c r="G761" s="54" t="s">
        <v>118</v>
      </c>
      <c r="H761" s="54" t="s">
        <v>220</v>
      </c>
      <c r="I761" s="54" t="s">
        <v>477</v>
      </c>
      <c r="J761" s="54" t="s">
        <v>864</v>
      </c>
      <c r="K761" s="58" t="n">
        <v>109.6</v>
      </c>
      <c r="L761" s="54" t="s">
        <v>212</v>
      </c>
      <c r="M761" s="54" t="s">
        <v>214</v>
      </c>
      <c r="N761" s="54" t="s">
        <v>214</v>
      </c>
      <c r="O761" s="58" t="n">
        <v>4362.7</v>
      </c>
      <c r="P761" s="54" t="s">
        <v>212</v>
      </c>
      <c r="Q761" s="58"/>
    </row>
    <row r="762" customFormat="false" ht="15" hidden="false" customHeight="false" outlineLevel="0" collapsed="false">
      <c r="A762" s="54" t="s">
        <v>28</v>
      </c>
      <c r="B762" s="55" t="n">
        <v>1463</v>
      </c>
      <c r="C762" s="56" t="n">
        <v>46307.696960787</v>
      </c>
      <c r="D762" s="55" t="n">
        <v>16</v>
      </c>
      <c r="E762" s="54" t="s">
        <v>214</v>
      </c>
      <c r="F762" s="54" t="s">
        <v>859</v>
      </c>
      <c r="G762" s="54" t="s">
        <v>860</v>
      </c>
      <c r="H762" s="54" t="s">
        <v>861</v>
      </c>
      <c r="I762" s="54" t="s">
        <v>771</v>
      </c>
      <c r="J762" s="54" t="s">
        <v>862</v>
      </c>
      <c r="K762" s="58" t="n">
        <v>72.4</v>
      </c>
      <c r="L762" s="54" t="s">
        <v>863</v>
      </c>
      <c r="M762" s="54" t="s">
        <v>212</v>
      </c>
      <c r="N762" s="54" t="s">
        <v>212</v>
      </c>
      <c r="O762" s="58"/>
      <c r="P762" s="54" t="s">
        <v>212</v>
      </c>
      <c r="Q762" s="58"/>
    </row>
    <row r="763" customFormat="false" ht="15" hidden="false" customHeight="false" outlineLevel="0" collapsed="false">
      <c r="A763" s="54" t="s">
        <v>28</v>
      </c>
      <c r="B763" s="55" t="n">
        <v>1514</v>
      </c>
      <c r="C763" s="56" t="n">
        <v>46307.7545062037</v>
      </c>
      <c r="D763" s="55" t="n">
        <v>18</v>
      </c>
      <c r="E763" s="54" t="s">
        <v>214</v>
      </c>
      <c r="F763" s="54" t="s">
        <v>859</v>
      </c>
      <c r="G763" s="54" t="s">
        <v>860</v>
      </c>
      <c r="H763" s="54" t="s">
        <v>861</v>
      </c>
      <c r="I763" s="54" t="s">
        <v>771</v>
      </c>
      <c r="J763" s="54" t="s">
        <v>862</v>
      </c>
      <c r="K763" s="58" t="n">
        <v>72.4</v>
      </c>
      <c r="L763" s="54" t="s">
        <v>863</v>
      </c>
      <c r="M763" s="54" t="s">
        <v>212</v>
      </c>
      <c r="N763" s="54" t="s">
        <v>212</v>
      </c>
      <c r="O763" s="58"/>
      <c r="P763" s="54" t="s">
        <v>212</v>
      </c>
      <c r="Q763" s="58"/>
    </row>
    <row r="764" customFormat="false" ht="15" hidden="false" customHeight="false" outlineLevel="0" collapsed="false">
      <c r="A764" s="54" t="s">
        <v>28</v>
      </c>
      <c r="B764" s="55" t="n">
        <v>1500</v>
      </c>
      <c r="C764" s="56" t="n">
        <v>46307.8198285764</v>
      </c>
      <c r="D764" s="55" t="n">
        <v>19</v>
      </c>
      <c r="E764" s="54" t="s">
        <v>214</v>
      </c>
      <c r="F764" s="54" t="s">
        <v>859</v>
      </c>
      <c r="G764" s="54" t="s">
        <v>860</v>
      </c>
      <c r="H764" s="54" t="s">
        <v>861</v>
      </c>
      <c r="I764" s="54" t="s">
        <v>771</v>
      </c>
      <c r="J764" s="54" t="s">
        <v>862</v>
      </c>
      <c r="K764" s="58" t="n">
        <v>72.4</v>
      </c>
      <c r="L764" s="54" t="s">
        <v>863</v>
      </c>
      <c r="M764" s="54" t="s">
        <v>212</v>
      </c>
      <c r="N764" s="54" t="s">
        <v>214</v>
      </c>
      <c r="O764" s="58" t="n">
        <v>4107.6</v>
      </c>
      <c r="P764" s="54" t="s">
        <v>212</v>
      </c>
      <c r="Q764" s="58"/>
    </row>
    <row r="765" customFormat="false" ht="15" hidden="false" customHeight="false" outlineLevel="0" collapsed="false">
      <c r="A765" s="54" t="s">
        <v>28</v>
      </c>
      <c r="B765" s="55" t="n">
        <v>1583</v>
      </c>
      <c r="C765" s="56" t="n">
        <v>46308.2971150232</v>
      </c>
      <c r="D765" s="55" t="n">
        <v>7</v>
      </c>
      <c r="E765" s="54" t="s">
        <v>212</v>
      </c>
      <c r="F765" s="54" t="s">
        <v>127</v>
      </c>
      <c r="G765" s="54" t="s">
        <v>118</v>
      </c>
      <c r="H765" s="54" t="s">
        <v>220</v>
      </c>
      <c r="I765" s="54" t="s">
        <v>771</v>
      </c>
      <c r="J765" s="54" t="s">
        <v>862</v>
      </c>
      <c r="K765" s="58" t="n">
        <v>109.6</v>
      </c>
      <c r="L765" s="54" t="s">
        <v>212</v>
      </c>
      <c r="M765" s="54" t="s">
        <v>214</v>
      </c>
      <c r="N765" s="54" t="s">
        <v>212</v>
      </c>
      <c r="O765" s="58"/>
      <c r="P765" s="54" t="s">
        <v>214</v>
      </c>
      <c r="Q765" s="58" t="n">
        <v>164.3</v>
      </c>
    </row>
    <row r="766" customFormat="false" ht="15" hidden="false" customHeight="false" outlineLevel="0" collapsed="false">
      <c r="A766" s="54" t="s">
        <v>28</v>
      </c>
      <c r="B766" s="55" t="n">
        <v>1613</v>
      </c>
      <c r="C766" s="56" t="n">
        <v>46308.3570530208</v>
      </c>
      <c r="D766" s="55" t="n">
        <v>8</v>
      </c>
      <c r="E766" s="54" t="s">
        <v>214</v>
      </c>
      <c r="F766" s="54" t="s">
        <v>127</v>
      </c>
      <c r="G766" s="54" t="s">
        <v>118</v>
      </c>
      <c r="H766" s="54" t="s">
        <v>220</v>
      </c>
      <c r="I766" s="54" t="s">
        <v>477</v>
      </c>
      <c r="J766" s="54" t="s">
        <v>864</v>
      </c>
      <c r="K766" s="58" t="n">
        <v>110.3</v>
      </c>
      <c r="L766" s="54" t="s">
        <v>212</v>
      </c>
      <c r="M766" s="54" t="s">
        <v>214</v>
      </c>
      <c r="N766" s="54" t="s">
        <v>212</v>
      </c>
      <c r="O766" s="58"/>
      <c r="P766" s="54" t="s">
        <v>212</v>
      </c>
      <c r="Q766" s="58"/>
    </row>
    <row r="767" customFormat="false" ht="15" hidden="false" customHeight="false" outlineLevel="0" collapsed="false">
      <c r="A767" s="54" t="s">
        <v>28</v>
      </c>
      <c r="B767" s="55" t="n">
        <v>1574</v>
      </c>
      <c r="C767" s="56" t="n">
        <v>46308.3751554398</v>
      </c>
      <c r="D767" s="55" t="n">
        <v>9</v>
      </c>
      <c r="E767" s="54" t="s">
        <v>214</v>
      </c>
      <c r="F767" s="54" t="s">
        <v>859</v>
      </c>
      <c r="G767" s="54" t="s">
        <v>860</v>
      </c>
      <c r="H767" s="54" t="s">
        <v>861</v>
      </c>
      <c r="I767" s="54" t="s">
        <v>771</v>
      </c>
      <c r="J767" s="54" t="s">
        <v>862</v>
      </c>
      <c r="K767" s="58" t="n">
        <v>72.4</v>
      </c>
      <c r="L767" s="54" t="s">
        <v>863</v>
      </c>
      <c r="M767" s="54" t="s">
        <v>212</v>
      </c>
      <c r="N767" s="54" t="s">
        <v>214</v>
      </c>
      <c r="O767" s="58" t="n">
        <v>1344.5</v>
      </c>
      <c r="P767" s="54" t="s">
        <v>212</v>
      </c>
      <c r="Q767" s="58"/>
    </row>
    <row r="768" customFormat="false" ht="15" hidden="false" customHeight="false" outlineLevel="0" collapsed="false">
      <c r="A768" s="54" t="s">
        <v>28</v>
      </c>
      <c r="B768" s="55" t="n">
        <v>1585</v>
      </c>
      <c r="C768" s="56" t="n">
        <v>46308.3753330208</v>
      </c>
      <c r="D768" s="55" t="n">
        <v>9</v>
      </c>
      <c r="E768" s="54" t="s">
        <v>214</v>
      </c>
      <c r="F768" s="54" t="s">
        <v>859</v>
      </c>
      <c r="G768" s="54" t="s">
        <v>860</v>
      </c>
      <c r="H768" s="54" t="s">
        <v>861</v>
      </c>
      <c r="I768" s="54" t="s">
        <v>771</v>
      </c>
      <c r="J768" s="54" t="s">
        <v>862</v>
      </c>
      <c r="K768" s="58" t="n">
        <v>72.4</v>
      </c>
      <c r="L768" s="54" t="s">
        <v>863</v>
      </c>
      <c r="M768" s="54" t="s">
        <v>212</v>
      </c>
      <c r="N768" s="54" t="s">
        <v>214</v>
      </c>
      <c r="O768" s="58" t="n">
        <v>1509.7</v>
      </c>
      <c r="P768" s="54" t="s">
        <v>212</v>
      </c>
      <c r="Q768" s="58"/>
    </row>
    <row r="769" customFormat="false" ht="15" hidden="false" customHeight="false" outlineLevel="0" collapsed="false">
      <c r="A769" s="54" t="s">
        <v>28</v>
      </c>
      <c r="B769" s="55" t="n">
        <v>1587</v>
      </c>
      <c r="C769" s="56" t="n">
        <v>46308.3755308912</v>
      </c>
      <c r="D769" s="55" t="n">
        <v>9</v>
      </c>
      <c r="E769" s="54" t="s">
        <v>214</v>
      </c>
      <c r="F769" s="54" t="s">
        <v>859</v>
      </c>
      <c r="G769" s="54" t="s">
        <v>860</v>
      </c>
      <c r="H769" s="54" t="s">
        <v>861</v>
      </c>
      <c r="I769" s="54" t="s">
        <v>771</v>
      </c>
      <c r="J769" s="54" t="s">
        <v>862</v>
      </c>
      <c r="K769" s="58" t="n">
        <v>72.4</v>
      </c>
      <c r="L769" s="54" t="s">
        <v>863</v>
      </c>
      <c r="M769" s="54" t="s">
        <v>212</v>
      </c>
      <c r="N769" s="54" t="s">
        <v>212</v>
      </c>
      <c r="O769" s="58"/>
      <c r="P769" s="54" t="s">
        <v>212</v>
      </c>
      <c r="Q769" s="58"/>
    </row>
    <row r="770" customFormat="false" ht="15" hidden="false" customHeight="false" outlineLevel="0" collapsed="false">
      <c r="A770" s="54" t="s">
        <v>28</v>
      </c>
      <c r="B770" s="55" t="n">
        <v>1391</v>
      </c>
      <c r="C770" s="56" t="n">
        <v>46308.4046058912</v>
      </c>
      <c r="D770" s="55" t="n">
        <v>9</v>
      </c>
      <c r="E770" s="54" t="s">
        <v>214</v>
      </c>
      <c r="F770" s="54" t="s">
        <v>127</v>
      </c>
      <c r="G770" s="54" t="s">
        <v>118</v>
      </c>
      <c r="H770" s="54" t="s">
        <v>220</v>
      </c>
      <c r="I770" s="54" t="s">
        <v>771</v>
      </c>
      <c r="J770" s="54" t="s">
        <v>862</v>
      </c>
      <c r="K770" s="58" t="n">
        <v>116.5</v>
      </c>
      <c r="L770" s="54" t="s">
        <v>212</v>
      </c>
      <c r="M770" s="54" t="s">
        <v>212</v>
      </c>
      <c r="N770" s="54" t="s">
        <v>214</v>
      </c>
      <c r="O770" s="58" t="n">
        <v>13.1</v>
      </c>
      <c r="P770" s="54" t="s">
        <v>212</v>
      </c>
      <c r="Q770" s="58"/>
    </row>
    <row r="771" customFormat="false" ht="15" hidden="false" customHeight="false" outlineLevel="0" collapsed="false">
      <c r="A771" s="54" t="s">
        <v>28</v>
      </c>
      <c r="B771" s="55" t="n">
        <v>1613</v>
      </c>
      <c r="C771" s="56" t="n">
        <v>46308.5343047222</v>
      </c>
      <c r="D771" s="55" t="n">
        <v>12</v>
      </c>
      <c r="E771" s="54" t="s">
        <v>214</v>
      </c>
      <c r="F771" s="54" t="s">
        <v>859</v>
      </c>
      <c r="G771" s="54" t="s">
        <v>860</v>
      </c>
      <c r="H771" s="54" t="s">
        <v>861</v>
      </c>
      <c r="I771" s="54" t="s">
        <v>771</v>
      </c>
      <c r="J771" s="54" t="s">
        <v>862</v>
      </c>
      <c r="K771" s="58" t="n">
        <v>72.4</v>
      </c>
      <c r="L771" s="54" t="s">
        <v>863</v>
      </c>
      <c r="M771" s="54" t="s">
        <v>212</v>
      </c>
      <c r="N771" s="54" t="s">
        <v>212</v>
      </c>
      <c r="O771" s="58"/>
      <c r="P771" s="54" t="s">
        <v>212</v>
      </c>
      <c r="Q771" s="58"/>
    </row>
    <row r="772" customFormat="false" ht="15" hidden="false" customHeight="false" outlineLevel="0" collapsed="false">
      <c r="A772" s="54" t="s">
        <v>28</v>
      </c>
      <c r="B772" s="55" t="n">
        <v>1643</v>
      </c>
      <c r="C772" s="56" t="n">
        <v>46308.5608714583</v>
      </c>
      <c r="D772" s="55" t="n">
        <v>13</v>
      </c>
      <c r="E772" s="54" t="s">
        <v>214</v>
      </c>
      <c r="F772" s="54" t="s">
        <v>859</v>
      </c>
      <c r="G772" s="54" t="s">
        <v>860</v>
      </c>
      <c r="H772" s="54" t="s">
        <v>861</v>
      </c>
      <c r="I772" s="54" t="s">
        <v>771</v>
      </c>
      <c r="J772" s="54" t="s">
        <v>862</v>
      </c>
      <c r="K772" s="58" t="n">
        <v>72.4</v>
      </c>
      <c r="L772" s="54" t="s">
        <v>863</v>
      </c>
      <c r="M772" s="54" t="s">
        <v>212</v>
      </c>
      <c r="N772" s="54" t="s">
        <v>214</v>
      </c>
      <c r="O772" s="58" t="n">
        <v>209.5</v>
      </c>
      <c r="P772" s="54" t="s">
        <v>212</v>
      </c>
      <c r="Q772" s="58"/>
    </row>
    <row r="773" customFormat="false" ht="15" hidden="false" customHeight="false" outlineLevel="0" collapsed="false">
      <c r="A773" s="54" t="s">
        <v>28</v>
      </c>
      <c r="B773" s="55" t="n">
        <v>1642</v>
      </c>
      <c r="C773" s="56" t="n">
        <v>46308.5813238657</v>
      </c>
      <c r="D773" s="55" t="n">
        <v>13</v>
      </c>
      <c r="E773" s="54" t="s">
        <v>214</v>
      </c>
      <c r="F773" s="54" t="s">
        <v>859</v>
      </c>
      <c r="G773" s="54" t="s">
        <v>860</v>
      </c>
      <c r="H773" s="54" t="s">
        <v>861</v>
      </c>
      <c r="I773" s="54" t="s">
        <v>771</v>
      </c>
      <c r="J773" s="54" t="s">
        <v>862</v>
      </c>
      <c r="K773" s="58" t="n">
        <v>72.4</v>
      </c>
      <c r="L773" s="54" t="s">
        <v>863</v>
      </c>
      <c r="M773" s="54" t="s">
        <v>212</v>
      </c>
      <c r="N773" s="54" t="s">
        <v>212</v>
      </c>
      <c r="O773" s="58"/>
      <c r="P773" s="54" t="s">
        <v>212</v>
      </c>
      <c r="Q773" s="58"/>
    </row>
    <row r="774" customFormat="false" ht="15" hidden="false" customHeight="false" outlineLevel="0" collapsed="false">
      <c r="A774" s="54" t="s">
        <v>28</v>
      </c>
      <c r="B774" s="55" t="n">
        <v>1699</v>
      </c>
      <c r="C774" s="56" t="n">
        <v>46308.7211700347</v>
      </c>
      <c r="D774" s="55" t="n">
        <v>17</v>
      </c>
      <c r="E774" s="54" t="s">
        <v>214</v>
      </c>
      <c r="F774" s="54" t="s">
        <v>128</v>
      </c>
      <c r="G774" s="54" t="s">
        <v>118</v>
      </c>
      <c r="H774" s="54" t="s">
        <v>220</v>
      </c>
      <c r="I774" s="54" t="s">
        <v>780</v>
      </c>
      <c r="J774" s="54" t="s">
        <v>865</v>
      </c>
      <c r="K774" s="58" t="n">
        <v>81.9</v>
      </c>
      <c r="L774" s="54" t="s">
        <v>212</v>
      </c>
      <c r="M774" s="54" t="s">
        <v>214</v>
      </c>
      <c r="N774" s="54" t="s">
        <v>212</v>
      </c>
      <c r="O774" s="58"/>
      <c r="P774" s="54" t="s">
        <v>214</v>
      </c>
      <c r="Q774" s="58" t="n">
        <v>6.4</v>
      </c>
    </row>
    <row r="775" customFormat="false" ht="15" hidden="false" customHeight="false" outlineLevel="0" collapsed="false">
      <c r="A775" s="54" t="s">
        <v>28</v>
      </c>
      <c r="B775" s="55" t="n">
        <v>1706</v>
      </c>
      <c r="C775" s="56" t="n">
        <v>46308.7619453472</v>
      </c>
      <c r="D775" s="55" t="n">
        <v>18</v>
      </c>
      <c r="E775" s="54" t="s">
        <v>214</v>
      </c>
      <c r="F775" s="54" t="s">
        <v>129</v>
      </c>
      <c r="G775" s="54" t="s">
        <v>118</v>
      </c>
      <c r="H775" s="54" t="s">
        <v>220</v>
      </c>
      <c r="I775" s="54" t="s">
        <v>477</v>
      </c>
      <c r="J775" s="54" t="s">
        <v>864</v>
      </c>
      <c r="K775" s="58" t="n">
        <v>125.6</v>
      </c>
      <c r="L775" s="54" t="s">
        <v>212</v>
      </c>
      <c r="M775" s="54" t="s">
        <v>214</v>
      </c>
      <c r="N775" s="54" t="s">
        <v>214</v>
      </c>
      <c r="O775" s="58" t="n">
        <v>113.7</v>
      </c>
      <c r="P775" s="54" t="s">
        <v>212</v>
      </c>
      <c r="Q775" s="58"/>
    </row>
    <row r="776" customFormat="false" ht="15" hidden="false" customHeight="false" outlineLevel="0" collapsed="false">
      <c r="A776" s="54" t="s">
        <v>28</v>
      </c>
      <c r="B776" s="55" t="n">
        <v>1685</v>
      </c>
      <c r="C776" s="56" t="n">
        <v>46308.7622193519</v>
      </c>
      <c r="D776" s="55" t="n">
        <v>18</v>
      </c>
      <c r="E776" s="54" t="s">
        <v>214</v>
      </c>
      <c r="F776" s="54" t="s">
        <v>859</v>
      </c>
      <c r="G776" s="54" t="s">
        <v>860</v>
      </c>
      <c r="H776" s="54" t="s">
        <v>861</v>
      </c>
      <c r="I776" s="54" t="s">
        <v>771</v>
      </c>
      <c r="J776" s="54" t="s">
        <v>862</v>
      </c>
      <c r="K776" s="58" t="n">
        <v>72.4</v>
      </c>
      <c r="L776" s="54" t="s">
        <v>863</v>
      </c>
      <c r="M776" s="54" t="s">
        <v>212</v>
      </c>
      <c r="N776" s="54" t="s">
        <v>212</v>
      </c>
      <c r="O776" s="58"/>
      <c r="P776" s="54" t="s">
        <v>212</v>
      </c>
      <c r="Q776" s="58"/>
    </row>
    <row r="777" customFormat="false" ht="15" hidden="false" customHeight="false" outlineLevel="0" collapsed="false">
      <c r="A777" s="54" t="s">
        <v>28</v>
      </c>
      <c r="B777" s="55" t="n">
        <v>1693</v>
      </c>
      <c r="C777" s="56" t="n">
        <v>46308.7787740857</v>
      </c>
      <c r="D777" s="55" t="n">
        <v>18</v>
      </c>
      <c r="E777" s="54" t="s">
        <v>214</v>
      </c>
      <c r="F777" s="54" t="s">
        <v>859</v>
      </c>
      <c r="G777" s="54" t="s">
        <v>860</v>
      </c>
      <c r="H777" s="54" t="s">
        <v>861</v>
      </c>
      <c r="I777" s="54" t="s">
        <v>771</v>
      </c>
      <c r="J777" s="54" t="s">
        <v>862</v>
      </c>
      <c r="K777" s="58" t="n">
        <v>72.4</v>
      </c>
      <c r="L777" s="54" t="s">
        <v>863</v>
      </c>
      <c r="M777" s="54" t="s">
        <v>212</v>
      </c>
      <c r="N777" s="54" t="s">
        <v>214</v>
      </c>
      <c r="O777" s="58" t="n">
        <v>5</v>
      </c>
      <c r="P777" s="54" t="s">
        <v>212</v>
      </c>
      <c r="Q777" s="58"/>
    </row>
    <row r="778" customFormat="false" ht="15" hidden="false" customHeight="false" outlineLevel="0" collapsed="false">
      <c r="A778" s="54" t="s">
        <v>28</v>
      </c>
      <c r="B778" s="55" t="n">
        <v>1707</v>
      </c>
      <c r="C778" s="56" t="n">
        <v>46308.8307540046</v>
      </c>
      <c r="D778" s="55" t="n">
        <v>19</v>
      </c>
      <c r="E778" s="54" t="s">
        <v>214</v>
      </c>
      <c r="F778" s="54" t="s">
        <v>859</v>
      </c>
      <c r="G778" s="54" t="s">
        <v>860</v>
      </c>
      <c r="H778" s="54" t="s">
        <v>861</v>
      </c>
      <c r="I778" s="54" t="s">
        <v>771</v>
      </c>
      <c r="J778" s="54" t="s">
        <v>862</v>
      </c>
      <c r="K778" s="58" t="n">
        <v>72.4</v>
      </c>
      <c r="L778" s="54" t="s">
        <v>863</v>
      </c>
      <c r="M778" s="54" t="s">
        <v>212</v>
      </c>
      <c r="N778" s="54" t="s">
        <v>214</v>
      </c>
      <c r="O778" s="58" t="n">
        <v>795.5</v>
      </c>
      <c r="P778" s="54" t="s">
        <v>212</v>
      </c>
      <c r="Q778" s="58"/>
    </row>
    <row r="779" customFormat="false" ht="15" hidden="false" customHeight="false" outlineLevel="0" collapsed="false">
      <c r="A779" s="54" t="s">
        <v>28</v>
      </c>
      <c r="B779" s="55" t="n">
        <v>1752</v>
      </c>
      <c r="C779" s="56" t="n">
        <v>46308.913672581</v>
      </c>
      <c r="D779" s="55" t="n">
        <v>21</v>
      </c>
      <c r="E779" s="54" t="s">
        <v>214</v>
      </c>
      <c r="F779" s="54" t="s">
        <v>128</v>
      </c>
      <c r="G779" s="54" t="s">
        <v>118</v>
      </c>
      <c r="H779" s="54" t="s">
        <v>220</v>
      </c>
      <c r="I779" s="54" t="s">
        <v>477</v>
      </c>
      <c r="J779" s="54" t="s">
        <v>864</v>
      </c>
      <c r="K779" s="58" t="n">
        <v>86</v>
      </c>
      <c r="L779" s="54" t="s">
        <v>212</v>
      </c>
      <c r="M779" s="54" t="s">
        <v>214</v>
      </c>
      <c r="N779" s="54" t="s">
        <v>214</v>
      </c>
      <c r="O779" s="58" t="n">
        <v>11.7</v>
      </c>
      <c r="P779" s="54" t="s">
        <v>214</v>
      </c>
      <c r="Q779" s="58" t="n">
        <v>17.4</v>
      </c>
    </row>
    <row r="780" customFormat="false" ht="15" hidden="false" customHeight="false" outlineLevel="0" collapsed="false">
      <c r="A780" s="54" t="s">
        <v>28</v>
      </c>
      <c r="B780" s="55" t="n">
        <v>1727</v>
      </c>
      <c r="C780" s="56" t="n">
        <v>46309.3751740394</v>
      </c>
      <c r="D780" s="55" t="n">
        <v>9</v>
      </c>
      <c r="E780" s="54" t="s">
        <v>214</v>
      </c>
      <c r="F780" s="54" t="s">
        <v>859</v>
      </c>
      <c r="G780" s="54" t="s">
        <v>860</v>
      </c>
      <c r="H780" s="54" t="s">
        <v>861</v>
      </c>
      <c r="I780" s="54" t="s">
        <v>771</v>
      </c>
      <c r="J780" s="54" t="s">
        <v>862</v>
      </c>
      <c r="K780" s="58" t="n">
        <v>72.4</v>
      </c>
      <c r="L780" s="54" t="s">
        <v>863</v>
      </c>
      <c r="M780" s="54" t="s">
        <v>212</v>
      </c>
      <c r="N780" s="54" t="s">
        <v>212</v>
      </c>
      <c r="O780" s="58"/>
      <c r="P780" s="54" t="s">
        <v>212</v>
      </c>
      <c r="Q780" s="58"/>
    </row>
    <row r="781" customFormat="false" ht="15" hidden="false" customHeight="false" outlineLevel="0" collapsed="false">
      <c r="A781" s="54" t="s">
        <v>28</v>
      </c>
      <c r="B781" s="55" t="n">
        <v>1730</v>
      </c>
      <c r="C781" s="56" t="n">
        <v>46309.3753734954</v>
      </c>
      <c r="D781" s="55" t="n">
        <v>9</v>
      </c>
      <c r="E781" s="54" t="s">
        <v>214</v>
      </c>
      <c r="F781" s="54" t="s">
        <v>859</v>
      </c>
      <c r="G781" s="54" t="s">
        <v>860</v>
      </c>
      <c r="H781" s="54" t="s">
        <v>861</v>
      </c>
      <c r="I781" s="54" t="s">
        <v>771</v>
      </c>
      <c r="J781" s="54" t="s">
        <v>862</v>
      </c>
      <c r="K781" s="58" t="n">
        <v>72.4</v>
      </c>
      <c r="L781" s="54" t="s">
        <v>863</v>
      </c>
      <c r="M781" s="54" t="s">
        <v>212</v>
      </c>
      <c r="N781" s="54" t="s">
        <v>212</v>
      </c>
      <c r="O781" s="58"/>
      <c r="P781" s="54" t="s">
        <v>214</v>
      </c>
      <c r="Q781" s="58" t="n">
        <v>104.8</v>
      </c>
    </row>
    <row r="782" customFormat="false" ht="15" hidden="false" customHeight="false" outlineLevel="0" collapsed="false">
      <c r="A782" s="54" t="s">
        <v>28</v>
      </c>
      <c r="B782" s="55" t="n">
        <v>1752</v>
      </c>
      <c r="C782" s="56" t="n">
        <v>46309.3754540857</v>
      </c>
      <c r="D782" s="55" t="n">
        <v>9</v>
      </c>
      <c r="E782" s="54" t="s">
        <v>214</v>
      </c>
      <c r="F782" s="54" t="s">
        <v>859</v>
      </c>
      <c r="G782" s="54" t="s">
        <v>860</v>
      </c>
      <c r="H782" s="54" t="s">
        <v>861</v>
      </c>
      <c r="I782" s="54" t="s">
        <v>771</v>
      </c>
      <c r="J782" s="54" t="s">
        <v>862</v>
      </c>
      <c r="K782" s="58" t="n">
        <v>72.4</v>
      </c>
      <c r="L782" s="54" t="s">
        <v>863</v>
      </c>
      <c r="M782" s="54" t="s">
        <v>212</v>
      </c>
      <c r="N782" s="54" t="s">
        <v>214</v>
      </c>
      <c r="O782" s="58" t="n">
        <v>137.6</v>
      </c>
      <c r="P782" s="54" t="s">
        <v>214</v>
      </c>
      <c r="Q782" s="58" t="n">
        <v>404.8</v>
      </c>
    </row>
    <row r="783" customFormat="false" ht="15" hidden="false" customHeight="false" outlineLevel="0" collapsed="false">
      <c r="A783" s="54" t="s">
        <v>28</v>
      </c>
      <c r="B783" s="55" t="n">
        <v>1734</v>
      </c>
      <c r="C783" s="56" t="n">
        <v>46309.3754904167</v>
      </c>
      <c r="D783" s="55" t="n">
        <v>9</v>
      </c>
      <c r="E783" s="54" t="s">
        <v>214</v>
      </c>
      <c r="F783" s="54" t="s">
        <v>859</v>
      </c>
      <c r="G783" s="54" t="s">
        <v>860</v>
      </c>
      <c r="H783" s="54" t="s">
        <v>861</v>
      </c>
      <c r="I783" s="54" t="s">
        <v>771</v>
      </c>
      <c r="J783" s="54" t="s">
        <v>862</v>
      </c>
      <c r="K783" s="58" t="n">
        <v>72.4</v>
      </c>
      <c r="L783" s="54" t="s">
        <v>863</v>
      </c>
      <c r="M783" s="54" t="s">
        <v>212</v>
      </c>
      <c r="N783" s="54" t="s">
        <v>212</v>
      </c>
      <c r="O783" s="58"/>
      <c r="P783" s="54" t="s">
        <v>212</v>
      </c>
      <c r="Q783" s="58"/>
    </row>
    <row r="784" customFormat="false" ht="15" hidden="false" customHeight="false" outlineLevel="0" collapsed="false">
      <c r="A784" s="54" t="s">
        <v>28</v>
      </c>
      <c r="B784" s="55" t="n">
        <v>1706</v>
      </c>
      <c r="C784" s="56" t="n">
        <v>46309.3755265972</v>
      </c>
      <c r="D784" s="55" t="n">
        <v>9</v>
      </c>
      <c r="E784" s="54" t="s">
        <v>214</v>
      </c>
      <c r="F784" s="54" t="s">
        <v>859</v>
      </c>
      <c r="G784" s="54" t="s">
        <v>860</v>
      </c>
      <c r="H784" s="54" t="s">
        <v>861</v>
      </c>
      <c r="I784" s="54" t="s">
        <v>771</v>
      </c>
      <c r="J784" s="54" t="s">
        <v>862</v>
      </c>
      <c r="K784" s="58" t="n">
        <v>72.4</v>
      </c>
      <c r="L784" s="54" t="s">
        <v>863</v>
      </c>
      <c r="M784" s="54" t="s">
        <v>212</v>
      </c>
      <c r="N784" s="54" t="s">
        <v>214</v>
      </c>
      <c r="O784" s="58" t="n">
        <v>590.3</v>
      </c>
      <c r="P784" s="54" t="s">
        <v>212</v>
      </c>
      <c r="Q784" s="58"/>
    </row>
    <row r="785" customFormat="false" ht="15" hidden="false" customHeight="false" outlineLevel="0" collapsed="false">
      <c r="A785" s="54" t="s">
        <v>28</v>
      </c>
      <c r="B785" s="55" t="n">
        <v>1746</v>
      </c>
      <c r="C785" s="56" t="n">
        <v>46309.3755562616</v>
      </c>
      <c r="D785" s="55" t="n">
        <v>9</v>
      </c>
      <c r="E785" s="54" t="s">
        <v>214</v>
      </c>
      <c r="F785" s="54" t="s">
        <v>859</v>
      </c>
      <c r="G785" s="54" t="s">
        <v>860</v>
      </c>
      <c r="H785" s="54" t="s">
        <v>861</v>
      </c>
      <c r="I785" s="54" t="s">
        <v>771</v>
      </c>
      <c r="J785" s="54" t="s">
        <v>862</v>
      </c>
      <c r="K785" s="58" t="n">
        <v>72.4</v>
      </c>
      <c r="L785" s="54" t="s">
        <v>863</v>
      </c>
      <c r="M785" s="54" t="s">
        <v>212</v>
      </c>
      <c r="N785" s="54" t="s">
        <v>212</v>
      </c>
      <c r="O785" s="58"/>
      <c r="P785" s="54" t="s">
        <v>212</v>
      </c>
      <c r="Q785" s="58"/>
    </row>
    <row r="786" customFormat="false" ht="15" hidden="false" customHeight="false" outlineLevel="0" collapsed="false">
      <c r="A786" s="54" t="s">
        <v>28</v>
      </c>
      <c r="B786" s="55" t="n">
        <v>1699</v>
      </c>
      <c r="C786" s="56" t="n">
        <v>46309.3756436806</v>
      </c>
      <c r="D786" s="55" t="n">
        <v>9</v>
      </c>
      <c r="E786" s="54" t="s">
        <v>214</v>
      </c>
      <c r="F786" s="54" t="s">
        <v>859</v>
      </c>
      <c r="G786" s="54" t="s">
        <v>860</v>
      </c>
      <c r="H786" s="54" t="s">
        <v>861</v>
      </c>
      <c r="I786" s="54" t="s">
        <v>771</v>
      </c>
      <c r="J786" s="54" t="s">
        <v>862</v>
      </c>
      <c r="K786" s="58" t="n">
        <v>72.4</v>
      </c>
      <c r="L786" s="54" t="s">
        <v>863</v>
      </c>
      <c r="M786" s="54" t="s">
        <v>212</v>
      </c>
      <c r="N786" s="54" t="s">
        <v>212</v>
      </c>
      <c r="O786" s="58"/>
      <c r="P786" s="54" t="s">
        <v>212</v>
      </c>
      <c r="Q786" s="58"/>
    </row>
    <row r="787" customFormat="false" ht="15" hidden="false" customHeight="false" outlineLevel="0" collapsed="false">
      <c r="A787" s="54" t="s">
        <v>28</v>
      </c>
      <c r="B787" s="55" t="n">
        <v>1780</v>
      </c>
      <c r="C787" s="56" t="n">
        <v>46309.3917697222</v>
      </c>
      <c r="D787" s="55" t="n">
        <v>9</v>
      </c>
      <c r="E787" s="54" t="s">
        <v>214</v>
      </c>
      <c r="F787" s="54" t="s">
        <v>859</v>
      </c>
      <c r="G787" s="54" t="s">
        <v>860</v>
      </c>
      <c r="H787" s="54" t="s">
        <v>861</v>
      </c>
      <c r="I787" s="54" t="s">
        <v>771</v>
      </c>
      <c r="J787" s="54" t="s">
        <v>862</v>
      </c>
      <c r="K787" s="58" t="n">
        <v>72.4</v>
      </c>
      <c r="L787" s="54" t="s">
        <v>863</v>
      </c>
      <c r="M787" s="54" t="s">
        <v>212</v>
      </c>
      <c r="N787" s="54" t="s">
        <v>212</v>
      </c>
      <c r="O787" s="58"/>
      <c r="P787" s="54" t="s">
        <v>212</v>
      </c>
      <c r="Q787" s="58"/>
    </row>
    <row r="788" customFormat="false" ht="15" hidden="false" customHeight="false" outlineLevel="0" collapsed="false">
      <c r="A788" s="54" t="s">
        <v>28</v>
      </c>
      <c r="B788" s="55" t="n">
        <v>1784</v>
      </c>
      <c r="C788" s="56" t="n">
        <v>46309.392140081</v>
      </c>
      <c r="D788" s="55" t="n">
        <v>9</v>
      </c>
      <c r="E788" s="54" t="s">
        <v>214</v>
      </c>
      <c r="F788" s="54" t="s">
        <v>859</v>
      </c>
      <c r="G788" s="54" t="s">
        <v>860</v>
      </c>
      <c r="H788" s="54" t="s">
        <v>861</v>
      </c>
      <c r="I788" s="54" t="s">
        <v>771</v>
      </c>
      <c r="J788" s="54" t="s">
        <v>862</v>
      </c>
      <c r="K788" s="58" t="n">
        <v>72.4</v>
      </c>
      <c r="L788" s="54" t="s">
        <v>863</v>
      </c>
      <c r="M788" s="54" t="s">
        <v>212</v>
      </c>
      <c r="N788" s="54" t="s">
        <v>214</v>
      </c>
      <c r="O788" s="58" t="n">
        <v>64.8</v>
      </c>
      <c r="P788" s="54" t="s">
        <v>212</v>
      </c>
      <c r="Q788" s="58"/>
    </row>
    <row r="789" customFormat="false" ht="15" hidden="false" customHeight="false" outlineLevel="0" collapsed="false">
      <c r="A789" s="54" t="s">
        <v>28</v>
      </c>
      <c r="B789" s="55" t="n">
        <v>1730</v>
      </c>
      <c r="C789" s="56" t="n">
        <v>46309.4237909144</v>
      </c>
      <c r="D789" s="55" t="n">
        <v>10</v>
      </c>
      <c r="E789" s="54" t="s">
        <v>214</v>
      </c>
      <c r="F789" s="54" t="s">
        <v>127</v>
      </c>
      <c r="G789" s="54" t="s">
        <v>118</v>
      </c>
      <c r="H789" s="54" t="s">
        <v>220</v>
      </c>
      <c r="I789" s="54" t="s">
        <v>771</v>
      </c>
      <c r="J789" s="54" t="s">
        <v>862</v>
      </c>
      <c r="K789" s="58" t="n">
        <v>115.4</v>
      </c>
      <c r="L789" s="54" t="s">
        <v>212</v>
      </c>
      <c r="M789" s="54" t="s">
        <v>214</v>
      </c>
      <c r="N789" s="54" t="s">
        <v>212</v>
      </c>
      <c r="O789" s="58"/>
      <c r="P789" s="54" t="s">
        <v>214</v>
      </c>
      <c r="Q789" s="58" t="n">
        <v>35.1</v>
      </c>
    </row>
    <row r="790" customFormat="false" ht="15" hidden="false" customHeight="false" outlineLevel="0" collapsed="false">
      <c r="A790" s="54" t="s">
        <v>28</v>
      </c>
      <c r="B790" s="55" t="n">
        <v>1846</v>
      </c>
      <c r="C790" s="56" t="n">
        <v>46309.5207789815</v>
      </c>
      <c r="D790" s="55" t="n">
        <v>12</v>
      </c>
      <c r="E790" s="54" t="s">
        <v>214</v>
      </c>
      <c r="F790" s="54" t="s">
        <v>130</v>
      </c>
      <c r="G790" s="54" t="s">
        <v>118</v>
      </c>
      <c r="H790" s="54" t="s">
        <v>215</v>
      </c>
      <c r="I790" s="54" t="s">
        <v>477</v>
      </c>
      <c r="J790" s="54" t="s">
        <v>864</v>
      </c>
      <c r="K790" s="58" t="n">
        <v>121.8</v>
      </c>
      <c r="L790" s="54" t="s">
        <v>212</v>
      </c>
      <c r="M790" s="54" t="s">
        <v>214</v>
      </c>
      <c r="N790" s="54" t="s">
        <v>212</v>
      </c>
      <c r="O790" s="58"/>
      <c r="P790" s="54" t="s">
        <v>212</v>
      </c>
      <c r="Q790" s="58"/>
    </row>
    <row r="791" customFormat="false" ht="15" hidden="false" customHeight="false" outlineLevel="0" collapsed="false">
      <c r="A791" s="54" t="s">
        <v>28</v>
      </c>
      <c r="B791" s="55" t="n">
        <v>1845</v>
      </c>
      <c r="C791" s="56" t="n">
        <v>46309.5301970139</v>
      </c>
      <c r="D791" s="55" t="n">
        <v>12</v>
      </c>
      <c r="E791" s="54" t="s">
        <v>214</v>
      </c>
      <c r="F791" s="54" t="s">
        <v>127</v>
      </c>
      <c r="G791" s="54" t="s">
        <v>118</v>
      </c>
      <c r="H791" s="54" t="s">
        <v>220</v>
      </c>
      <c r="I791" s="54" t="s">
        <v>477</v>
      </c>
      <c r="J791" s="54" t="s">
        <v>864</v>
      </c>
      <c r="K791" s="58" t="n">
        <v>108.6</v>
      </c>
      <c r="L791" s="54" t="s">
        <v>212</v>
      </c>
      <c r="M791" s="54" t="s">
        <v>214</v>
      </c>
      <c r="N791" s="54" t="s">
        <v>212</v>
      </c>
      <c r="O791" s="58"/>
      <c r="P791" s="54" t="s">
        <v>214</v>
      </c>
      <c r="Q791" s="58" t="n">
        <v>41.7</v>
      </c>
    </row>
    <row r="792" customFormat="false" ht="15" hidden="false" customHeight="false" outlineLevel="0" collapsed="false">
      <c r="A792" s="54" t="s">
        <v>28</v>
      </c>
      <c r="B792" s="55" t="n">
        <v>1846</v>
      </c>
      <c r="C792" s="56" t="n">
        <v>46309.599786794</v>
      </c>
      <c r="D792" s="55" t="n">
        <v>14</v>
      </c>
      <c r="E792" s="54" t="s">
        <v>214</v>
      </c>
      <c r="F792" s="54" t="s">
        <v>859</v>
      </c>
      <c r="G792" s="54" t="s">
        <v>860</v>
      </c>
      <c r="H792" s="54" t="s">
        <v>861</v>
      </c>
      <c r="I792" s="54" t="s">
        <v>771</v>
      </c>
      <c r="J792" s="54" t="s">
        <v>862</v>
      </c>
      <c r="K792" s="58" t="n">
        <v>72.4</v>
      </c>
      <c r="L792" s="54" t="s">
        <v>863</v>
      </c>
      <c r="M792" s="54" t="s">
        <v>212</v>
      </c>
      <c r="N792" s="54" t="s">
        <v>212</v>
      </c>
      <c r="O792" s="58"/>
      <c r="P792" s="54" t="s">
        <v>212</v>
      </c>
      <c r="Q792" s="58"/>
    </row>
    <row r="793" customFormat="false" ht="15" hidden="false" customHeight="false" outlineLevel="0" collapsed="false">
      <c r="A793" s="54" t="s">
        <v>28</v>
      </c>
      <c r="B793" s="55" t="n">
        <v>1869</v>
      </c>
      <c r="C793" s="56" t="n">
        <v>46309.6739626852</v>
      </c>
      <c r="D793" s="55" t="n">
        <v>16</v>
      </c>
      <c r="E793" s="54" t="s">
        <v>214</v>
      </c>
      <c r="F793" s="54" t="s">
        <v>859</v>
      </c>
      <c r="G793" s="54" t="s">
        <v>860</v>
      </c>
      <c r="H793" s="54" t="s">
        <v>861</v>
      </c>
      <c r="I793" s="54" t="s">
        <v>771</v>
      </c>
      <c r="J793" s="54" t="s">
        <v>862</v>
      </c>
      <c r="K793" s="58" t="n">
        <v>72.4</v>
      </c>
      <c r="L793" s="54" t="s">
        <v>863</v>
      </c>
      <c r="M793" s="54" t="s">
        <v>212</v>
      </c>
      <c r="N793" s="54" t="s">
        <v>212</v>
      </c>
      <c r="O793" s="58"/>
      <c r="P793" s="54" t="s">
        <v>212</v>
      </c>
      <c r="Q793" s="58"/>
    </row>
    <row r="794" customFormat="false" ht="15" hidden="false" customHeight="false" outlineLevel="0" collapsed="false">
      <c r="A794" s="54" t="s">
        <v>28</v>
      </c>
      <c r="B794" s="55" t="n">
        <v>1895</v>
      </c>
      <c r="C794" s="56" t="n">
        <v>46309.8380271644</v>
      </c>
      <c r="D794" s="55" t="n">
        <v>20</v>
      </c>
      <c r="E794" s="54" t="s">
        <v>214</v>
      </c>
      <c r="F794" s="54" t="s">
        <v>859</v>
      </c>
      <c r="G794" s="54" t="s">
        <v>860</v>
      </c>
      <c r="H794" s="54" t="s">
        <v>861</v>
      </c>
      <c r="I794" s="54" t="s">
        <v>771</v>
      </c>
      <c r="J794" s="54" t="s">
        <v>862</v>
      </c>
      <c r="K794" s="58" t="n">
        <v>72.4</v>
      </c>
      <c r="L794" s="54" t="s">
        <v>863</v>
      </c>
      <c r="M794" s="54" t="s">
        <v>212</v>
      </c>
      <c r="N794" s="54" t="s">
        <v>214</v>
      </c>
      <c r="O794" s="58" t="n">
        <v>1320.6</v>
      </c>
      <c r="P794" s="54" t="s">
        <v>212</v>
      </c>
      <c r="Q794" s="58"/>
    </row>
    <row r="795" customFormat="false" ht="15" hidden="false" customHeight="false" outlineLevel="0" collapsed="false">
      <c r="A795" s="54" t="s">
        <v>28</v>
      </c>
      <c r="B795" s="55" t="n">
        <v>1926</v>
      </c>
      <c r="C795" s="56" t="n">
        <v>46309.9190220602</v>
      </c>
      <c r="D795" s="55" t="n">
        <v>22</v>
      </c>
      <c r="E795" s="54" t="s">
        <v>212</v>
      </c>
      <c r="F795" s="54" t="s">
        <v>128</v>
      </c>
      <c r="G795" s="54" t="s">
        <v>118</v>
      </c>
      <c r="H795" s="54" t="s">
        <v>220</v>
      </c>
      <c r="I795" s="54" t="s">
        <v>780</v>
      </c>
      <c r="J795" s="54" t="s">
        <v>865</v>
      </c>
      <c r="K795" s="58" t="n">
        <v>73.6</v>
      </c>
      <c r="L795" s="54" t="s">
        <v>212</v>
      </c>
      <c r="M795" s="54" t="s">
        <v>214</v>
      </c>
      <c r="N795" s="54" t="s">
        <v>214</v>
      </c>
      <c r="O795" s="58" t="n">
        <v>0.3</v>
      </c>
      <c r="P795" s="54" t="s">
        <v>214</v>
      </c>
      <c r="Q795" s="58" t="n">
        <v>1.6</v>
      </c>
    </row>
    <row r="796" customFormat="false" ht="15" hidden="false" customHeight="false" outlineLevel="0" collapsed="false">
      <c r="A796" s="54" t="s">
        <v>28</v>
      </c>
      <c r="B796" s="55" t="n">
        <v>1909</v>
      </c>
      <c r="C796" s="56" t="n">
        <v>46310.3750674537</v>
      </c>
      <c r="D796" s="55" t="n">
        <v>9</v>
      </c>
      <c r="E796" s="54" t="s">
        <v>214</v>
      </c>
      <c r="F796" s="54" t="s">
        <v>859</v>
      </c>
      <c r="G796" s="54" t="s">
        <v>860</v>
      </c>
      <c r="H796" s="54" t="s">
        <v>861</v>
      </c>
      <c r="I796" s="54" t="s">
        <v>771</v>
      </c>
      <c r="J796" s="54" t="s">
        <v>862</v>
      </c>
      <c r="K796" s="58" t="n">
        <v>72.4</v>
      </c>
      <c r="L796" s="54" t="s">
        <v>863</v>
      </c>
      <c r="M796" s="54" t="s">
        <v>212</v>
      </c>
      <c r="N796" s="54" t="s">
        <v>214</v>
      </c>
      <c r="O796" s="58" t="n">
        <v>177.3</v>
      </c>
      <c r="P796" s="54" t="s">
        <v>212</v>
      </c>
      <c r="Q796" s="58"/>
    </row>
    <row r="797" customFormat="false" ht="15" hidden="false" customHeight="false" outlineLevel="0" collapsed="false">
      <c r="A797" s="54" t="s">
        <v>28</v>
      </c>
      <c r="B797" s="55" t="n">
        <v>1926</v>
      </c>
      <c r="C797" s="56" t="n">
        <v>46310.375465162</v>
      </c>
      <c r="D797" s="55" t="n">
        <v>9</v>
      </c>
      <c r="E797" s="54" t="s">
        <v>214</v>
      </c>
      <c r="F797" s="54" t="s">
        <v>859</v>
      </c>
      <c r="G797" s="54" t="s">
        <v>860</v>
      </c>
      <c r="H797" s="54" t="s">
        <v>861</v>
      </c>
      <c r="I797" s="54" t="s">
        <v>771</v>
      </c>
      <c r="J797" s="54" t="s">
        <v>862</v>
      </c>
      <c r="K797" s="58" t="n">
        <v>72.4</v>
      </c>
      <c r="L797" s="54" t="s">
        <v>863</v>
      </c>
      <c r="M797" s="54" t="s">
        <v>212</v>
      </c>
      <c r="N797" s="54" t="s">
        <v>212</v>
      </c>
      <c r="O797" s="58"/>
      <c r="P797" s="54" t="s">
        <v>212</v>
      </c>
      <c r="Q797" s="58"/>
    </row>
    <row r="798" customFormat="false" ht="15" hidden="false" customHeight="false" outlineLevel="0" collapsed="false">
      <c r="A798" s="54" t="s">
        <v>28</v>
      </c>
      <c r="B798" s="55" t="n">
        <v>1921</v>
      </c>
      <c r="C798" s="56" t="n">
        <v>46310.3755778472</v>
      </c>
      <c r="D798" s="55" t="n">
        <v>9</v>
      </c>
      <c r="E798" s="54" t="s">
        <v>214</v>
      </c>
      <c r="F798" s="54" t="s">
        <v>859</v>
      </c>
      <c r="G798" s="54" t="s">
        <v>860</v>
      </c>
      <c r="H798" s="54" t="s">
        <v>861</v>
      </c>
      <c r="I798" s="54" t="s">
        <v>771</v>
      </c>
      <c r="J798" s="54" t="s">
        <v>862</v>
      </c>
      <c r="K798" s="58" t="n">
        <v>72.4</v>
      </c>
      <c r="L798" s="54" t="s">
        <v>863</v>
      </c>
      <c r="M798" s="54" t="s">
        <v>212</v>
      </c>
      <c r="N798" s="54" t="s">
        <v>214</v>
      </c>
      <c r="O798" s="58" t="n">
        <v>90.6</v>
      </c>
      <c r="P798" s="54" t="s">
        <v>212</v>
      </c>
      <c r="Q798" s="58"/>
    </row>
    <row r="799" customFormat="false" ht="15" hidden="false" customHeight="false" outlineLevel="0" collapsed="false">
      <c r="A799" s="54" t="s">
        <v>28</v>
      </c>
      <c r="B799" s="55" t="n">
        <v>1942</v>
      </c>
      <c r="C799" s="56" t="n">
        <v>46310.3849184607</v>
      </c>
      <c r="D799" s="55" t="n">
        <v>9</v>
      </c>
      <c r="E799" s="54" t="s">
        <v>214</v>
      </c>
      <c r="F799" s="54" t="s">
        <v>859</v>
      </c>
      <c r="G799" s="54" t="s">
        <v>860</v>
      </c>
      <c r="H799" s="54" t="s">
        <v>861</v>
      </c>
      <c r="I799" s="54" t="s">
        <v>771</v>
      </c>
      <c r="J799" s="54" t="s">
        <v>862</v>
      </c>
      <c r="K799" s="58" t="n">
        <v>72.4</v>
      </c>
      <c r="L799" s="54" t="s">
        <v>863</v>
      </c>
      <c r="M799" s="54" t="s">
        <v>212</v>
      </c>
      <c r="N799" s="54" t="s">
        <v>212</v>
      </c>
      <c r="O799" s="58"/>
      <c r="P799" s="54" t="s">
        <v>212</v>
      </c>
      <c r="Q799" s="58"/>
    </row>
    <row r="800" customFormat="false" ht="15" hidden="false" customHeight="false" outlineLevel="0" collapsed="false">
      <c r="A800" s="54" t="s">
        <v>28</v>
      </c>
      <c r="B800" s="55" t="n">
        <v>1950</v>
      </c>
      <c r="C800" s="56" t="n">
        <v>46310.3901053472</v>
      </c>
      <c r="D800" s="55" t="n">
        <v>9</v>
      </c>
      <c r="E800" s="54" t="s">
        <v>214</v>
      </c>
      <c r="F800" s="54" t="s">
        <v>859</v>
      </c>
      <c r="G800" s="54" t="s">
        <v>860</v>
      </c>
      <c r="H800" s="54" t="s">
        <v>861</v>
      </c>
      <c r="I800" s="54" t="s">
        <v>771</v>
      </c>
      <c r="J800" s="54" t="s">
        <v>862</v>
      </c>
      <c r="K800" s="58" t="n">
        <v>72.4</v>
      </c>
      <c r="L800" s="54" t="s">
        <v>863</v>
      </c>
      <c r="M800" s="54" t="s">
        <v>212</v>
      </c>
      <c r="N800" s="54" t="s">
        <v>212</v>
      </c>
      <c r="O800" s="58"/>
      <c r="P800" s="54" t="s">
        <v>212</v>
      </c>
      <c r="Q800" s="58"/>
    </row>
    <row r="801" customFormat="false" ht="15" hidden="false" customHeight="false" outlineLevel="0" collapsed="false">
      <c r="A801" s="54" t="s">
        <v>28</v>
      </c>
      <c r="B801" s="55" t="n">
        <v>1949</v>
      </c>
      <c r="C801" s="56" t="n">
        <v>46310.4013234607</v>
      </c>
      <c r="D801" s="55" t="n">
        <v>9</v>
      </c>
      <c r="E801" s="54" t="s">
        <v>214</v>
      </c>
      <c r="F801" s="54" t="s">
        <v>859</v>
      </c>
      <c r="G801" s="54" t="s">
        <v>860</v>
      </c>
      <c r="H801" s="54" t="s">
        <v>861</v>
      </c>
      <c r="I801" s="54" t="s">
        <v>771</v>
      </c>
      <c r="J801" s="54" t="s">
        <v>862</v>
      </c>
      <c r="K801" s="58" t="n">
        <v>72.4</v>
      </c>
      <c r="L801" s="54" t="s">
        <v>863</v>
      </c>
      <c r="M801" s="54" t="s">
        <v>212</v>
      </c>
      <c r="N801" s="54" t="s">
        <v>214</v>
      </c>
      <c r="O801" s="58" t="n">
        <v>8.6</v>
      </c>
      <c r="P801" s="54" t="s">
        <v>212</v>
      </c>
      <c r="Q801" s="58"/>
    </row>
    <row r="802" customFormat="false" ht="15" hidden="false" customHeight="false" outlineLevel="0" collapsed="false">
      <c r="A802" s="54" t="s">
        <v>28</v>
      </c>
      <c r="B802" s="55" t="n">
        <v>1967</v>
      </c>
      <c r="C802" s="56" t="n">
        <v>46310.4872075694</v>
      </c>
      <c r="D802" s="55" t="n">
        <v>11</v>
      </c>
      <c r="E802" s="54" t="s">
        <v>214</v>
      </c>
      <c r="F802" s="54" t="s">
        <v>859</v>
      </c>
      <c r="G802" s="54" t="s">
        <v>860</v>
      </c>
      <c r="H802" s="54" t="s">
        <v>861</v>
      </c>
      <c r="I802" s="54" t="s">
        <v>771</v>
      </c>
      <c r="J802" s="54" t="s">
        <v>862</v>
      </c>
      <c r="K802" s="58" t="n">
        <v>72.4</v>
      </c>
      <c r="L802" s="54" t="s">
        <v>863</v>
      </c>
      <c r="M802" s="54" t="s">
        <v>212</v>
      </c>
      <c r="N802" s="54" t="s">
        <v>212</v>
      </c>
      <c r="O802" s="58"/>
      <c r="P802" s="54" t="s">
        <v>212</v>
      </c>
      <c r="Q802" s="58"/>
    </row>
    <row r="803" customFormat="false" ht="15" hidden="false" customHeight="false" outlineLevel="0" collapsed="false">
      <c r="A803" s="54" t="s">
        <v>28</v>
      </c>
      <c r="B803" s="55" t="n">
        <v>1988</v>
      </c>
      <c r="C803" s="56" t="n">
        <v>46310.5832937384</v>
      </c>
      <c r="D803" s="55" t="n">
        <v>13</v>
      </c>
      <c r="E803" s="54" t="s">
        <v>214</v>
      </c>
      <c r="F803" s="54" t="s">
        <v>859</v>
      </c>
      <c r="G803" s="54" t="s">
        <v>860</v>
      </c>
      <c r="H803" s="54" t="s">
        <v>861</v>
      </c>
      <c r="I803" s="54" t="s">
        <v>771</v>
      </c>
      <c r="J803" s="54" t="s">
        <v>862</v>
      </c>
      <c r="K803" s="58" t="n">
        <v>72.4</v>
      </c>
      <c r="L803" s="54" t="s">
        <v>863</v>
      </c>
      <c r="M803" s="54" t="s">
        <v>212</v>
      </c>
      <c r="N803" s="54" t="s">
        <v>214</v>
      </c>
      <c r="O803" s="58" t="n">
        <v>3</v>
      </c>
      <c r="P803" s="54" t="s">
        <v>212</v>
      </c>
      <c r="Q803" s="58"/>
    </row>
    <row r="804" customFormat="false" ht="15" hidden="false" customHeight="false" outlineLevel="0" collapsed="false">
      <c r="A804" s="54" t="s">
        <v>28</v>
      </c>
      <c r="B804" s="55" t="n">
        <v>1999</v>
      </c>
      <c r="C804" s="56" t="n">
        <v>46310.6416919213</v>
      </c>
      <c r="D804" s="55" t="n">
        <v>15</v>
      </c>
      <c r="E804" s="54" t="s">
        <v>214</v>
      </c>
      <c r="F804" s="54" t="s">
        <v>859</v>
      </c>
      <c r="G804" s="54" t="s">
        <v>860</v>
      </c>
      <c r="H804" s="54" t="s">
        <v>861</v>
      </c>
      <c r="I804" s="54" t="s">
        <v>771</v>
      </c>
      <c r="J804" s="54" t="s">
        <v>862</v>
      </c>
      <c r="K804" s="58" t="n">
        <v>72.4</v>
      </c>
      <c r="L804" s="54" t="s">
        <v>863</v>
      </c>
      <c r="M804" s="54" t="s">
        <v>212</v>
      </c>
      <c r="N804" s="54" t="s">
        <v>214</v>
      </c>
      <c r="O804" s="58" t="n">
        <v>0.8</v>
      </c>
      <c r="P804" s="54" t="s">
        <v>212</v>
      </c>
      <c r="Q804" s="58"/>
    </row>
    <row r="805" customFormat="false" ht="15" hidden="false" customHeight="false" outlineLevel="0" collapsed="false">
      <c r="A805" s="54" t="s">
        <v>28</v>
      </c>
      <c r="B805" s="55" t="n">
        <v>2007</v>
      </c>
      <c r="C805" s="56" t="n">
        <v>46310.6828358681</v>
      </c>
      <c r="D805" s="55" t="n">
        <v>16</v>
      </c>
      <c r="E805" s="54" t="s">
        <v>214</v>
      </c>
      <c r="F805" s="54" t="s">
        <v>859</v>
      </c>
      <c r="G805" s="54" t="s">
        <v>860</v>
      </c>
      <c r="H805" s="54" t="s">
        <v>861</v>
      </c>
      <c r="I805" s="54" t="s">
        <v>771</v>
      </c>
      <c r="J805" s="54" t="s">
        <v>862</v>
      </c>
      <c r="K805" s="58" t="n">
        <v>72.4</v>
      </c>
      <c r="L805" s="54" t="s">
        <v>863</v>
      </c>
      <c r="M805" s="54" t="s">
        <v>212</v>
      </c>
      <c r="N805" s="54" t="s">
        <v>212</v>
      </c>
      <c r="O805" s="58"/>
      <c r="P805" s="54" t="s">
        <v>212</v>
      </c>
      <c r="Q805" s="58"/>
    </row>
    <row r="806" customFormat="false" ht="15" hidden="false" customHeight="false" outlineLevel="0" collapsed="false">
      <c r="A806" s="54" t="s">
        <v>28</v>
      </c>
      <c r="B806" s="55" t="n">
        <v>2030</v>
      </c>
      <c r="C806" s="56" t="n">
        <v>46310.7139187269</v>
      </c>
      <c r="D806" s="55" t="n">
        <v>17</v>
      </c>
      <c r="E806" s="54" t="s">
        <v>214</v>
      </c>
      <c r="F806" s="54" t="s">
        <v>128</v>
      </c>
      <c r="G806" s="54" t="s">
        <v>118</v>
      </c>
      <c r="H806" s="54" t="s">
        <v>220</v>
      </c>
      <c r="I806" s="54" t="s">
        <v>477</v>
      </c>
      <c r="J806" s="54" t="s">
        <v>864</v>
      </c>
      <c r="K806" s="58" t="n">
        <v>83.9</v>
      </c>
      <c r="L806" s="54" t="s">
        <v>212</v>
      </c>
      <c r="M806" s="54" t="s">
        <v>214</v>
      </c>
      <c r="N806" s="54" t="s">
        <v>212</v>
      </c>
      <c r="O806" s="58"/>
      <c r="P806" s="54" t="s">
        <v>212</v>
      </c>
      <c r="Q806" s="58"/>
    </row>
    <row r="807" customFormat="false" ht="15" hidden="false" customHeight="false" outlineLevel="0" collapsed="false">
      <c r="A807" s="54" t="s">
        <v>28</v>
      </c>
      <c r="B807" s="55" t="n">
        <v>2024</v>
      </c>
      <c r="C807" s="56" t="n">
        <v>46310.770378287</v>
      </c>
      <c r="D807" s="55" t="n">
        <v>18</v>
      </c>
      <c r="E807" s="54" t="s">
        <v>214</v>
      </c>
      <c r="F807" s="54" t="s">
        <v>859</v>
      </c>
      <c r="G807" s="54" t="s">
        <v>860</v>
      </c>
      <c r="H807" s="54" t="s">
        <v>861</v>
      </c>
      <c r="I807" s="54" t="s">
        <v>771</v>
      </c>
      <c r="J807" s="54" t="s">
        <v>862</v>
      </c>
      <c r="K807" s="58" t="n">
        <v>72.4</v>
      </c>
      <c r="L807" s="54" t="s">
        <v>863</v>
      </c>
      <c r="M807" s="54" t="s">
        <v>212</v>
      </c>
      <c r="N807" s="54" t="s">
        <v>212</v>
      </c>
      <c r="O807" s="58"/>
      <c r="P807" s="54" t="s">
        <v>212</v>
      </c>
      <c r="Q807" s="58"/>
    </row>
    <row r="808" customFormat="false" ht="15" hidden="false" customHeight="false" outlineLevel="0" collapsed="false">
      <c r="A808" s="54" t="s">
        <v>28</v>
      </c>
      <c r="B808" s="55" t="n">
        <v>2059</v>
      </c>
      <c r="C808" s="56" t="n">
        <v>46310.8194609028</v>
      </c>
      <c r="D808" s="55" t="n">
        <v>19</v>
      </c>
      <c r="E808" s="54" t="s">
        <v>214</v>
      </c>
      <c r="F808" s="54" t="s">
        <v>127</v>
      </c>
      <c r="G808" s="54" t="s">
        <v>118</v>
      </c>
      <c r="H808" s="54" t="s">
        <v>220</v>
      </c>
      <c r="I808" s="54" t="s">
        <v>477</v>
      </c>
      <c r="J808" s="54" t="s">
        <v>864</v>
      </c>
      <c r="K808" s="58" t="n">
        <v>105.1</v>
      </c>
      <c r="L808" s="54" t="s">
        <v>212</v>
      </c>
      <c r="M808" s="54" t="s">
        <v>214</v>
      </c>
      <c r="N808" s="54" t="s">
        <v>214</v>
      </c>
      <c r="O808" s="58" t="n">
        <v>8</v>
      </c>
      <c r="P808" s="54" t="s">
        <v>212</v>
      </c>
      <c r="Q808" s="58"/>
    </row>
    <row r="809" customFormat="false" ht="15" hidden="false" customHeight="false" outlineLevel="0" collapsed="false">
      <c r="A809" s="54" t="s">
        <v>28</v>
      </c>
      <c r="B809" s="55" t="n">
        <v>2071</v>
      </c>
      <c r="C809" s="56" t="n">
        <v>46310.847635625</v>
      </c>
      <c r="D809" s="55" t="n">
        <v>20</v>
      </c>
      <c r="E809" s="54" t="s">
        <v>214</v>
      </c>
      <c r="F809" s="54" t="s">
        <v>128</v>
      </c>
      <c r="G809" s="54" t="s">
        <v>118</v>
      </c>
      <c r="H809" s="54" t="s">
        <v>220</v>
      </c>
      <c r="I809" s="54" t="s">
        <v>477</v>
      </c>
      <c r="J809" s="54" t="s">
        <v>864</v>
      </c>
      <c r="K809" s="58" t="n">
        <v>76.4</v>
      </c>
      <c r="L809" s="54" t="s">
        <v>212</v>
      </c>
      <c r="M809" s="54" t="s">
        <v>214</v>
      </c>
      <c r="N809" s="54" t="s">
        <v>214</v>
      </c>
      <c r="O809" s="58" t="n">
        <v>0.2</v>
      </c>
      <c r="P809" s="54" t="s">
        <v>214</v>
      </c>
      <c r="Q809" s="58" t="n">
        <v>5.6</v>
      </c>
    </row>
    <row r="810" customFormat="false" ht="15" hidden="false" customHeight="false" outlineLevel="0" collapsed="false">
      <c r="A810" s="54" t="s">
        <v>28</v>
      </c>
      <c r="B810" s="55" t="n">
        <v>2074</v>
      </c>
      <c r="C810" s="56" t="n">
        <v>46310.8531558681</v>
      </c>
      <c r="D810" s="55" t="n">
        <v>20</v>
      </c>
      <c r="E810" s="54" t="s">
        <v>214</v>
      </c>
      <c r="F810" s="54" t="s">
        <v>128</v>
      </c>
      <c r="G810" s="54" t="s">
        <v>118</v>
      </c>
      <c r="H810" s="54" t="s">
        <v>220</v>
      </c>
      <c r="I810" s="54" t="s">
        <v>477</v>
      </c>
      <c r="J810" s="54" t="s">
        <v>864</v>
      </c>
      <c r="K810" s="58" t="n">
        <v>77.6</v>
      </c>
      <c r="L810" s="54" t="s">
        <v>212</v>
      </c>
      <c r="M810" s="54" t="s">
        <v>214</v>
      </c>
      <c r="N810" s="54" t="s">
        <v>212</v>
      </c>
      <c r="O810" s="58"/>
      <c r="P810" s="54" t="s">
        <v>214</v>
      </c>
      <c r="Q810" s="58" t="n">
        <v>60.9</v>
      </c>
    </row>
  </sheetData>
  <autoFilter ref="A1:Q8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8AAA"/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</cols>
  <sheetData>
    <row r="1" customFormat="false" ht="25.5" hidden="false" customHeight="true" outlineLevel="0" collapsed="false">
      <c r="A1" s="1" t="s">
        <v>32</v>
      </c>
      <c r="B1" s="2"/>
    </row>
    <row r="2" customFormat="false" ht="30" hidden="false" customHeight="true" outlineLevel="0" collapsed="false">
      <c r="A2" s="3" t="s">
        <v>869</v>
      </c>
      <c r="B2" s="4"/>
    </row>
    <row r="3" customFormat="false" ht="15" hidden="false" customHeight="false" outlineLevel="0" collapsed="false">
      <c r="A3" s="5" t="s">
        <v>870</v>
      </c>
      <c r="B3" s="6"/>
    </row>
    <row r="5" customFormat="false" ht="45" hidden="false" customHeight="true" outlineLevel="0" collapsed="false">
      <c r="A5" s="59" t="s">
        <v>871</v>
      </c>
      <c r="B5" s="60" t="s">
        <v>872</v>
      </c>
    </row>
    <row r="6" customFormat="false" ht="30" hidden="false" customHeight="true" outlineLevel="0" collapsed="false">
      <c r="A6" s="61" t="s">
        <v>873</v>
      </c>
      <c r="B6" s="62" t="s">
        <v>874</v>
      </c>
    </row>
    <row r="7" customFormat="false" ht="45" hidden="false" customHeight="true" outlineLevel="0" collapsed="false">
      <c r="A7" s="59" t="s">
        <v>177</v>
      </c>
      <c r="B7" s="60" t="s">
        <v>875</v>
      </c>
    </row>
    <row r="8" customFormat="false" ht="18" hidden="false" customHeight="true" outlineLevel="0" collapsed="false">
      <c r="A8" s="61" t="s">
        <v>876</v>
      </c>
      <c r="B8" s="62" t="s">
        <v>877</v>
      </c>
    </row>
    <row r="9" customFormat="false" ht="45" hidden="false" customHeight="true" outlineLevel="0" collapsed="false">
      <c r="A9" s="59" t="s">
        <v>878</v>
      </c>
      <c r="B9" s="60" t="s">
        <v>879</v>
      </c>
    </row>
    <row r="10" customFormat="false" ht="30" hidden="false" customHeight="true" outlineLevel="0" collapsed="false">
      <c r="A10" s="61" t="s">
        <v>880</v>
      </c>
      <c r="B10" s="62" t="s">
        <v>881</v>
      </c>
    </row>
    <row r="11" customFormat="false" ht="30" hidden="false" customHeight="true" outlineLevel="0" collapsed="false">
      <c r="A11" s="59" t="s">
        <v>882</v>
      </c>
      <c r="B11" s="60" t="s">
        <v>883</v>
      </c>
    </row>
    <row r="12" customFormat="false" ht="30" hidden="false" customHeight="true" outlineLevel="0" collapsed="false">
      <c r="A12" s="61" t="s">
        <v>884</v>
      </c>
      <c r="B12" s="62" t="s">
        <v>885</v>
      </c>
    </row>
    <row r="13" customFormat="false" ht="18" hidden="false" customHeight="true" outlineLevel="0" collapsed="false">
      <c r="A13" s="59" t="s">
        <v>886</v>
      </c>
      <c r="B13" s="60" t="s">
        <v>887</v>
      </c>
    </row>
    <row r="14" customFormat="false" ht="30" hidden="false" customHeight="true" outlineLevel="0" collapsed="false">
      <c r="A14" s="61" t="s">
        <v>888</v>
      </c>
      <c r="B14" s="62" t="s">
        <v>889</v>
      </c>
    </row>
    <row r="15" customFormat="false" ht="18" hidden="false" customHeight="true" outlineLevel="0" collapsed="false">
      <c r="A15" s="59" t="s">
        <v>164</v>
      </c>
      <c r="B15" s="60" t="s">
        <v>890</v>
      </c>
    </row>
    <row r="16" customFormat="false" ht="18" hidden="false" customHeight="true" outlineLevel="0" collapsed="false">
      <c r="A16" s="61" t="s">
        <v>210</v>
      </c>
      <c r="B16" s="62" t="s">
        <v>891</v>
      </c>
    </row>
    <row r="17" customFormat="false" ht="30" hidden="false" customHeight="true" outlineLevel="0" collapsed="false">
      <c r="A17" s="59" t="s">
        <v>892</v>
      </c>
      <c r="B17" s="60" t="s">
        <v>893</v>
      </c>
    </row>
    <row r="18" customFormat="false" ht="30" hidden="false" customHeight="true" outlineLevel="0" collapsed="false">
      <c r="A18" s="61" t="s">
        <v>894</v>
      </c>
      <c r="B18" s="62" t="s">
        <v>895</v>
      </c>
    </row>
    <row r="19" customFormat="false" ht="30" hidden="false" customHeight="true" outlineLevel="0" collapsed="false">
      <c r="A19" s="59" t="s">
        <v>896</v>
      </c>
      <c r="B19" s="60" t="s">
        <v>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8AAA"/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6" min="5" style="0" width="44"/>
    <col collapsed="false" customWidth="true" hidden="false" outlineLevel="0" max="7" min="7" style="0" width="24"/>
    <col collapsed="false" customWidth="true" hidden="false" outlineLevel="0" max="9" min="8" style="0" width="10"/>
    <col collapsed="false" customWidth="true" hidden="false" outlineLevel="0" max="10" min="10" style="0" width="44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53" t="s">
        <v>898</v>
      </c>
      <c r="B1" s="53" t="s">
        <v>899</v>
      </c>
      <c r="C1" s="53" t="s">
        <v>900</v>
      </c>
      <c r="D1" s="53" t="s">
        <v>901</v>
      </c>
      <c r="E1" s="53" t="s">
        <v>902</v>
      </c>
      <c r="F1" s="53" t="s">
        <v>903</v>
      </c>
      <c r="G1" s="53" t="s">
        <v>904</v>
      </c>
      <c r="H1" s="53" t="s">
        <v>905</v>
      </c>
      <c r="I1" s="53" t="s">
        <v>906</v>
      </c>
      <c r="J1" s="53" t="s">
        <v>907</v>
      </c>
      <c r="K1" s="53" t="s">
        <v>908</v>
      </c>
    </row>
    <row r="2" customFormat="false" ht="75" hidden="false" customHeight="true" outlineLevel="0" collapsed="false">
      <c r="A2" s="63" t="s">
        <v>909</v>
      </c>
      <c r="B2" s="63" t="s">
        <v>910</v>
      </c>
      <c r="C2" s="63" t="s">
        <v>911</v>
      </c>
      <c r="D2" s="63" t="s">
        <v>912</v>
      </c>
      <c r="E2" s="63" t="s">
        <v>913</v>
      </c>
      <c r="F2" s="63" t="s">
        <v>914</v>
      </c>
      <c r="G2" s="63" t="s">
        <v>915</v>
      </c>
      <c r="H2" s="63" t="s">
        <v>916</v>
      </c>
      <c r="I2" s="63" t="n">
        <v>615</v>
      </c>
      <c r="J2" s="63" t="s">
        <v>917</v>
      </c>
      <c r="K2" s="63" t="s">
        <v>918</v>
      </c>
    </row>
    <row r="3" customFormat="false" ht="75" hidden="false" customHeight="true" outlineLevel="0" collapsed="false">
      <c r="A3" s="63" t="s">
        <v>919</v>
      </c>
      <c r="B3" s="63" t="s">
        <v>910</v>
      </c>
      <c r="C3" s="63" t="s">
        <v>911</v>
      </c>
      <c r="D3" s="63" t="s">
        <v>912</v>
      </c>
      <c r="E3" s="63" t="s">
        <v>920</v>
      </c>
      <c r="F3" s="63" t="s">
        <v>921</v>
      </c>
      <c r="G3" s="63" t="s">
        <v>915</v>
      </c>
      <c r="H3" s="63" t="s">
        <v>916</v>
      </c>
      <c r="I3" s="63" t="n">
        <v>809</v>
      </c>
      <c r="J3" s="63" t="s">
        <v>922</v>
      </c>
      <c r="K3" s="6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2026-10-16T21:54:20Z</dcterms:created>
  <dc:creator>openpyxl</dc:creator>
  <dc:description/>
  <dc:language>en-US</dc:language>
  <cp:lastModifiedBy/>
  <dcterms:modified xsi:type="dcterms:W3CDTF">2026-10-16T21:54:26Z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