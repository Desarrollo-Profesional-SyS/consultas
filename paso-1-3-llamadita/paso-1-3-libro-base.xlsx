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ras la pregunta del área" sheetId="2" state="visible" r:id="rId2"/>
    <sheet xmlns:r="http://schemas.openxmlformats.org/officeDocument/2006/relationships" name="Quién lo usa" sheetId="3" state="visible" r:id="rId3"/>
    <sheet xmlns:r="http://schemas.openxmlformats.org/officeDocument/2006/relationships" name="Frecuencia" sheetId="4" state="visible" r:id="rId4"/>
    <sheet xmlns:r="http://schemas.openxmlformats.org/officeDocument/2006/relationships" name="Funciona 1.3" sheetId="5" state="visible" r:id="rId5"/>
    <sheet xmlns:r="http://schemas.openxmlformats.org/officeDocument/2006/relationships" name="Base leads" sheetId="6" state="visible" r:id="rId6"/>
    <sheet xmlns:r="http://schemas.openxmlformats.org/officeDocument/2006/relationships" name="Entradas a 1.3" sheetId="7" state="visible" r:id="rId7"/>
    <sheet xmlns:r="http://schemas.openxmlformats.org/officeDocument/2006/relationships" name="Fuentes y método" sheetId="8" state="visible" r:id="rId8"/>
  </sheets>
  <definedNames>
    <definedName name="_xlnm._FilterDatabase" localSheetId="5" hidden="1">'Base leads'!$A$4:$Y$1238</definedName>
    <definedName name="_xlnm._FilterDatabase" localSheetId="6" hidden="1">'Entradas a 1.3'!$A$4:$V$360</definedName>
  </definedNames>
  <calcPr calcId="124519" fullCalcOnLoad="1"/>
</workbook>
</file>

<file path=xl/sharedStrings.xml><?xml version="1.0" encoding="utf-8"?>
<sst xmlns="http://schemas.openxmlformats.org/spreadsheetml/2006/main" count="625" uniqueCount="625">
  <si>
    <t xml:space="preserve">Paso 1.3 · Llamadita y facilidades de pago</t>
  </si>
  <si>
    <t xml:space="preserve">ISO + Calidad, Core Tools Premium y Manufactura y Calidad · leads del 5/10/2026 al corte del 27/10/2026 15:00 (hora de Reynosa) · lectura del CRM sin cambios</t>
  </si>
  <si>
    <t xml:space="preserve">LO QUE SE ENCONTRÓ</t>
  </si>
  <si>
    <t xml:space="preserve">¿Se hace el paso a 1.3?</t>
  </si>
  <si>
    <t xml:space="preserve">El detalle</t>
  </si>
  <si>
    <t xml:space="preserve">Qué les pasa a los que no se mueven</t>
  </si>
  <si>
    <t xml:space="preserve">Velocidad</t>
  </si>
  <si>
    <t xml:space="preserve">¿Funciona 1.3?</t>
  </si>
  <si>
    <t xml:space="preserve">La falla dentro de 1.3</t>
  </si>
  <si>
    <t xml:space="preserve">La llamadita</t>
  </si>
  <si>
    <t xml:space="preserve">QUÉ CONVIENE HACER</t>
  </si>
  <si>
    <t xml:space="preserve">Esta semana</t>
  </si>
  <si>
    <t xml:space="preserve">Que el paso a 1.3 no dependa de la persona. Lo inmediato: que Joceline mueva a 1.3 al mandar el audio. Lo más seguro: que el CRM pase solo a 1.3 a quien contesta la pregunta del área y avise al asesor.</t>
  </si>
  <si>
    <t xml:space="preserve">Bot de 1.3</t>
  </si>
  <si>
    <t xml:space="preserve">Que no mande al Negativo a quien respondió dentro de 1.3: que se detenga cuando el cliente contesta o que, en lugar del Negativo, le cree una tarea al asesor.</t>
  </si>
  <si>
    <t xml:space="preserve">Prueba "más directo"</t>
  </si>
  <si>
    <t xml:space="preserve">Corregir primero el paso manual y usar estas cifras de 1.3 como punto de partida (respuesta a la llamadita y a facilidades, avance a 1.4 y venta), para que la prueba mida el mensaje y no la falla del paso a 1.3.</t>
  </si>
  <si>
    <t xml:space="preserve">CIFRAS CLAVE</t>
  </si>
  <si>
    <t xml:space="preserve">Indicador</t>
  </si>
  <si>
    <t xml:space="preserve">Total</t>
  </si>
  <si>
    <t xml:space="preserve">ISO + Calidad</t>
  </si>
  <si>
    <t xml:space="preserve">Core Tools</t>
  </si>
  <si>
    <t xml:space="preserve">Manufactura</t>
  </si>
  <si>
    <t xml:space="preserve">Leads que recibieron la pregunta "¿en qué área trabajas?"</t>
  </si>
  <si>
    <t xml:space="preserve">Contestaron a tiempo (antes de que el bot los mandara al Negativo)</t>
  </si>
  <si>
    <t xml:space="preserve">% que contesta a tiempo</t>
  </si>
  <si>
    <t xml:space="preserve">De los que contestaron a tiempo: les mandaron audio</t>
  </si>
  <si>
    <t xml:space="preserve">De los que contestaron a tiempo: movidos a 1.3</t>
  </si>
  <si>
    <t xml:space="preserve">% movido a 1.3 (de los que contestaron a tiempo)</t>
  </si>
  <si>
    <t xml:space="preserve">Contestaron a tiempo, recibieron audio y NO los movieron a 1.3</t>
  </si>
  <si>
    <t xml:space="preserve">Contestaron a tiempo y no recibieron ni audio ni 1.3</t>
  </si>
  <si>
    <t xml:space="preserve">Contestaron a tiempo, no los movieron y el bot los mandó al Negativo</t>
  </si>
  <si>
    <t xml:space="preserve">Minutos de su respuesta a 1.3 (mediana, movidos)</t>
  </si>
  <si>
    <t xml:space="preserve">Entradas a 1.3 en el periodo</t>
  </si>
  <si>
    <t xml:space="preserve">Entradas a 1.3 en las que el cliente respondió</t>
  </si>
  <si>
    <t xml:space="preserve">Respuesta en 30 min a la "llamadita" del bot</t>
  </si>
  <si>
    <t xml:space="preserve">Respuesta en 30 min a "facilidades de pago" del bot</t>
  </si>
  <si>
    <t xml:space="preserve">Entradas a 1.3 que después llegaron a 1.4 o más</t>
  </si>
  <si>
    <t xml:space="preserve">% de entradas a 1.3 que llega a 1.4 o más</t>
  </si>
  <si>
    <t xml:space="preserve">Entradas a 1.3 que terminaron en Ganado</t>
  </si>
  <si>
    <t xml:space="preserve">Salieron de 1.3 al Negativo por el bot</t>
  </si>
  <si>
    <t xml:space="preserve">El cliente respondió en 1.3 y aun así el bot lo mandó al Negativo</t>
  </si>
  <si>
    <t xml:space="preserve">Entradas a 1.3 con tarea de llamada creada</t>
  </si>
  <si>
    <t xml:space="preserve">Cada cifra es una fórmula sobre las hojas "Base leads" y "Entradas a 1.3". El método y las definiciones están en "Fuentes y método".</t>
  </si>
  <si>
    <t xml:space="preserve">Qué pasa cuando el lead contesta el área</t>
  </si>
  <si>
    <t xml:space="preserve">Leads que contestaron "¿en qué área trabajas?" antes de que el bot los mandara al Negativo (2 h)</t>
  </si>
  <si>
    <t xml:space="preserve">LO QUE HIZO EL EQUIPO DESPUÉS DE SU RESPUESTA</t>
  </si>
  <si>
    <t xml:space="preserve">Qué hicieron</t>
  </si>
  <si>
    <t xml:space="preserve">% del total</t>
  </si>
  <si>
    <t xml:space="preserve">Audio y después 1.3</t>
  </si>
  <si>
    <t xml:space="preserve">1.3 y después audio</t>
  </si>
  <si>
    <t xml:space="preserve">Movido a 1.3 sin audio</t>
  </si>
  <si>
    <t xml:space="preserve">Audio sin mover a 1.3</t>
  </si>
  <si>
    <t xml:space="preserve">Ni audio ni 1.3</t>
  </si>
  <si>
    <t xml:space="preserve">Total que contestó a tiempo</t>
  </si>
  <si>
    <t xml:space="preserve">El protocolo esperado es: plantilla "Excelente… te mando un audio rapidito", nota de voz con la recomendación y mover a mano a 1.3.</t>
  </si>
  <si>
    <t xml:space="preserve">TIEMPOS (MEDIANA EN MINUTOS DESDE SU RESPUESTA)</t>
  </si>
  <si>
    <t xml:space="preserve">Paso</t>
  </si>
  <si>
    <t xml:space="preserve">Primera respuesta de una persona</t>
  </si>
  <si>
    <t xml:space="preserve">Audio</t>
  </si>
  <si>
    <t xml:space="preserve">Movido a 1.3</t>
  </si>
  <si>
    <t xml:space="preserve">LOS QUE NO MOVIERON A 1.3: A DÓNDE FUERON</t>
  </si>
  <si>
    <t xml:space="preserve">Destino</t>
  </si>
  <si>
    <t xml:space="preserve">Preguntaron precio o pago</t>
  </si>
  <si>
    <t xml:space="preserve">Negativo (lo mandó el bot)</t>
  </si>
  <si>
    <t xml:space="preserve">Perdido (persona)</t>
  </si>
  <si>
    <t xml:space="preserve">1.4, pago o Ganado (persona)</t>
  </si>
  <si>
    <t xml:space="preserve">Negativo (lo movió una persona)</t>
  </si>
  <si>
    <t xml:space="preserve">Sigue en 1.2</t>
  </si>
  <si>
    <t xml:space="preserve">SEGÚN LA HORA EN QUE CONTESTÓ (HORA DE REYNOSA)</t>
  </si>
  <si>
    <t xml:space="preserve">Franja</t>
  </si>
  <si>
    <t xml:space="preserve">Contestaron a tiempo</t>
  </si>
  <si>
    <t xml:space="preserve">Con audio</t>
  </si>
  <si>
    <t xml:space="preserve">Movidos a 1.3</t>
  </si>
  <si>
    <t xml:space="preserve">% movidos</t>
  </si>
  <si>
    <t xml:space="preserve">Min. a 1.3 (mediana)</t>
  </si>
  <si>
    <t xml:space="preserve">9 a 18 h</t>
  </si>
  <si>
    <t xml:space="preserve">18 a 22 h</t>
  </si>
  <si>
    <t xml:space="preserve">22 a 9 h</t>
  </si>
  <si>
    <t xml:space="preserve">LOS QUE CONTESTARON TARDE (YA ESTABAN EN EL NEGATIVO)</t>
  </si>
  <si>
    <t xml:space="preserve">Contestaron tarde</t>
  </si>
  <si>
    <t xml:space="preserve">Les mandaron audio</t>
  </si>
  <si>
    <t xml:space="preserve">Los movieron a 1.3</t>
  </si>
  <si>
    <t xml:space="preserve">Quién hace el paso a 1.3</t>
  </si>
  <si>
    <t xml:space="preserve">Por la primera persona del equipo que le contestó al lead después de su respuesta al área (contestaron a tiempo)</t>
  </si>
  <si>
    <t xml:space="preserve">POR PERSONA QUE ATENDIÓ LA RESPUESTA</t>
  </si>
  <si>
    <t xml:space="preserve">Persona</t>
  </si>
  <si>
    <t xml:space="preserve">Respuestas que atendió</t>
  </si>
  <si>
    <t xml:space="preserve">Usó la plantilla del audio</t>
  </si>
  <si>
    <t xml:space="preserve">Mandó audio (cualquiera)</t>
  </si>
  <si>
    <t xml:space="preserve">% con audio</t>
  </si>
  <si>
    <t xml:space="preserve">% movidos a 1.3</t>
  </si>
  <si>
    <t xml:space="preserve">Min. a la 1ª respuesta (mediana)</t>
  </si>
  <si>
    <t xml:space="preserve">Salma Santos Hernández</t>
  </si>
  <si>
    <t xml:space="preserve">José Alexander Morales</t>
  </si>
  <si>
    <t xml:space="preserve">Ana Victoria de Leon</t>
  </si>
  <si>
    <t xml:space="preserve">Joceline Sarahi Benavides Serrano</t>
  </si>
  <si>
    <t xml:space="preserve">El CRM le permite a la auxiliar mover etapas: en el mismo periodo movió leads a Perdido, a 1.1 Informes y a Ganado, pero ninguno a 1.3.</t>
  </si>
  <si>
    <t xml:space="preserve">QUIÉN MUEVE A 1.3 (TODAS LAS ENTRADAS A 1.3)</t>
  </si>
  <si>
    <t xml:space="preserve">Entradas a 1.3</t>
  </si>
  <si>
    <t xml:space="preserve">Desde 1.2</t>
  </si>
  <si>
    <t xml:space="preserve">Desde el Negativo</t>
  </si>
  <si>
    <t xml:space="preserve">Llegaron a 1.4 o más</t>
  </si>
  <si>
    <t xml:space="preserve">% a 1.4 o más</t>
  </si>
  <si>
    <t xml:space="preserve">Ganado</t>
  </si>
  <si>
    <t xml:space="preserve">Todas las entradas a 1.3 del periodo fueron movimientos manuales: ningún bot ni regla mueve al lead a 1.3.</t>
  </si>
  <si>
    <t xml:space="preserve">Con qué frecuencia se usa 1.3</t>
  </si>
  <si>
    <t xml:space="preserve">Entradas a 1.3 por semana (lunes a domingo) y embudo</t>
  </si>
  <si>
    <t xml:space="preserve">ENTRADAS A 1.3 POR SEMANA</t>
  </si>
  <si>
    <t xml:space="preserve">Semana (lunes)</t>
  </si>
  <si>
    <t xml:space="preserve">Recibieron la pregunta del área</t>
  </si>
  <si>
    <t xml:space="preserve">Entradas por cada 100 preguntas</t>
  </si>
  <si>
    <t xml:space="preserve">05/10/2026</t>
  </si>
  <si>
    <t xml:space="preserve">12/10/2026</t>
  </si>
  <si>
    <t xml:space="preserve">19/10/2026</t>
  </si>
  <si>
    <t xml:space="preserve">26/10/2026</t>
  </si>
  <si>
    <t xml:space="preserve">La última semana está incompleta (corte del martes 27/10).</t>
  </si>
  <si>
    <t xml:space="preserve">DE DÓNDE LLEGAN A 1.3</t>
  </si>
  <si>
    <t xml:space="preserve">Venía de</t>
  </si>
  <si>
    <t xml:space="preserve">1.2 Lista de cursos</t>
  </si>
  <si>
    <t xml:space="preserve">Leads entrantes</t>
  </si>
  <si>
    <t xml:space="preserve">Negativo</t>
  </si>
  <si>
    <t xml:space="preserve">¿Funciona 1.3 cuando se usa?</t>
  </si>
  <si>
    <t xml:space="preserve">Qué pasa con cada entrada a 1.3 y cómo les va a quienes contestaron el área según si los movieron o no</t>
  </si>
  <si>
    <t xml:space="preserve">QUÉ PASA DENTRO DE 1.3</t>
  </si>
  <si>
    <t xml:space="preserve">El bot mandó "¿te hago una llamadita?"</t>
  </si>
  <si>
    <t xml:space="preserve">El bot mandó "facilidades de pago"</t>
  </si>
  <si>
    <t xml:space="preserve">Una persona le escribió mientras estaba en 1.3</t>
  </si>
  <si>
    <t xml:space="preserve">El cliente respondió en 1.3</t>
  </si>
  <si>
    <t xml:space="preserve">Se creó una tarea de llamada</t>
  </si>
  <si>
    <t xml:space="preserve">Siguiente etapa: 1.4 Facilidades de pago</t>
  </si>
  <si>
    <t xml:space="preserve">Siguiente etapa: medio de pago</t>
  </si>
  <si>
    <t xml:space="preserve">Siguiente etapa: Ganado</t>
  </si>
  <si>
    <t xml:space="preserve">Siguiente etapa: Negativo (lo mandó el bot de 1.3)</t>
  </si>
  <si>
    <t xml:space="preserve">Siguiente etapa: Perdido</t>
  </si>
  <si>
    <t xml:space="preserve">Sigue en 1.3</t>
  </si>
  <si>
    <t xml:space="preserve">Después llegó a 1.4 o más (en cualquier momento)</t>
  </si>
  <si>
    <t xml:space="preserve">Después llegó a un medio de pago</t>
  </si>
  <si>
    <t xml:space="preserve">Después Ganado</t>
  </si>
  <si>
    <t xml:space="preserve">Respondió en 1.3 y aun así el bot lo mandó al Negativo</t>
  </si>
  <si>
    <t xml:space="preserve">LAS MISMAS CIFRAS EN PORCENTAJE DE LAS ENTRADAS</t>
  </si>
  <si>
    <t xml:space="preserve">RESPUESTA A LOS MENSAJES DEL BOT DE 1.3</t>
  </si>
  <si>
    <t xml:space="preserve">Mensaje</t>
  </si>
  <si>
    <t xml:space="preserve">Enviados</t>
  </si>
  <si>
    <t xml:space="preserve">Respondieron en 30 min</t>
  </si>
  <si>
    <t xml:space="preserve">% respuesta en 30 min</t>
  </si>
  <si>
    <t xml:space="preserve">"Igual si gustas te puedo hacer una llamadita…"</t>
  </si>
  <si>
    <t xml:space="preserve">"…tenemos facilidades de pago 💳 ¿Quieres que te muestre cómo quedaría?"</t>
  </si>
  <si>
    <t xml:space="preserve">SEGÚN SI EL CLIENTE RESPONDIÓ DENTRO DE 1.3</t>
  </si>
  <si>
    <t xml:space="preserve">Grupo</t>
  </si>
  <si>
    <t xml:space="preserve">Entradas</t>
  </si>
  <si>
    <t xml:space="preserve">Después 1.4 o más</t>
  </si>
  <si>
    <t xml:space="preserve">% 1.4 o más</t>
  </si>
  <si>
    <t xml:space="preserve">% Ganado</t>
  </si>
  <si>
    <t xml:space="preserve">El cliente no respondió en 1.3</t>
  </si>
  <si>
    <t xml:space="preserve">TIEMPO DENTRO DE 1.3 (MEDIANA)</t>
  </si>
  <si>
    <t xml:space="preserve">Horas en 1.3</t>
  </si>
  <si>
    <t xml:space="preserve">Minutos a la respuesta del cliente (si respondió)</t>
  </si>
  <si>
    <t xml:space="preserve">CONTESTARON EL ÁREA A TIEMPO: MOVIDOS A 1.3 CONTRA NO MOVIDOS</t>
  </si>
  <si>
    <t xml:space="preserve">Solo leads con 7 días o más desde la pregunta, para que todos hayan tenido el mismo tiempo de seguimiento. Son pocos casos: tomar como referencia, no como efecto demostrado.</t>
  </si>
  <si>
    <t xml:space="preserve">Leads</t>
  </si>
  <si>
    <t xml:space="preserve">Llegaron a un medio de pago</t>
  </si>
  <si>
    <t xml:space="preserve">Venta</t>
  </si>
  <si>
    <t xml:space="preserve">% venta</t>
  </si>
  <si>
    <t xml:space="preserve">No movidos a 1.3</t>
  </si>
  <si>
    <t xml:space="preserve">No movidos: el bot los mandó al Negativo</t>
  </si>
  <si>
    <t xml:space="preserve">No movidos: pasaron directo a 1.4, pago o Ganado</t>
  </si>
  <si>
    <t xml:space="preserve">No movidos, con audio</t>
  </si>
  <si>
    <t xml:space="preserve">No movidos, sin audio</t>
  </si>
  <si>
    <t xml:space="preserve">Base de leads</t>
  </si>
  <si>
    <t xml:space="preserve">Un renglón por lead que recibió la pregunta del área en los 3 embudos. Minutos en tiempo real (no solo horario laboral).</t>
  </si>
  <si>
    <t xml:space="preserve">Lead</t>
  </si>
  <si>
    <t xml:space="preserve">Embudo</t>
  </si>
  <si>
    <t xml:space="preserve">Contestó la pregunta del área</t>
  </si>
  <si>
    <t xml:space="preserve">Cuándo contestó</t>
  </si>
  <si>
    <t xml:space="preserve">Min. en contestar</t>
  </si>
  <si>
    <t xml:space="preserve">Preguntó precio o pago</t>
  </si>
  <si>
    <t xml:space="preserve">Primera persona que le contestó</t>
  </si>
  <si>
    <t xml:space="preserve">Min. a la primera respuesta de una persona</t>
  </si>
  <si>
    <t xml:space="preserve">Plantilla "audio rapidito"</t>
  </si>
  <si>
    <t xml:space="preserve">Le mandaron audio</t>
  </si>
  <si>
    <t xml:space="preserve">Quién mandó el audio</t>
  </si>
  <si>
    <t xml:space="preserve">Min. al audio</t>
  </si>
  <si>
    <t xml:space="preserve">Quién lo movió a 1.3</t>
  </si>
  <si>
    <t xml:space="preserve">Min. de su respuesta a 1.3</t>
  </si>
  <si>
    <t xml:space="preserve">Movido antes de que el bot lo mandara al Negativo</t>
  </si>
  <si>
    <t xml:space="preserve">Qué hicieron después de su respuesta</t>
  </si>
  <si>
    <t xml:space="preserve">Si no se movió a 1.3, a dónde fue</t>
  </si>
  <si>
    <t xml:space="preserve">Franja de su respuesta</t>
  </si>
  <si>
    <t xml:space="preserve">Llegó a 1.4 o más</t>
  </si>
  <si>
    <t xml:space="preserve">Llegó a un medio de pago</t>
  </si>
  <si>
    <t xml:space="preserve">Venta (Ganado o pago confirmado)</t>
  </si>
  <si>
    <t xml:space="preserve">Con 7 días o más</t>
  </si>
  <si>
    <t xml:space="preserve">Etapa actual</t>
  </si>
  <si>
    <t xml:space="preserve">Manufactura y Calidad</t>
  </si>
  <si>
    <t xml:space="preserve">Sí</t>
  </si>
  <si>
    <t xml:space="preserve">A tiempo (en 1.2)</t>
  </si>
  <si>
    <t xml:space="preserve">No</t>
  </si>
  <si>
    <t xml:space="preserve">Perdido</t>
  </si>
  <si>
    <t xml:space="preserve">Core Tools Premium</t>
  </si>
  <si>
    <t xml:space="preserve">Tarde (ya fuera de 1.2)</t>
  </si>
  <si>
    <t xml:space="preserve">No contestó</t>
  </si>
  <si>
    <t xml:space="preserve">1 Negativo</t>
  </si>
  <si>
    <t xml:space="preserve">1.3 Llamadita y facilidades de pago</t>
  </si>
  <si>
    <t xml:space="preserve">1.3 Llamadita y facilidad de pago</t>
  </si>
  <si>
    <t xml:space="preserve">1.1 Informes</t>
  </si>
  <si>
    <t xml:space="preserve">Negativo 1</t>
  </si>
  <si>
    <t xml:space="preserve">1.4 Facilidades de pago</t>
  </si>
  <si>
    <t xml:space="preserve">2. MSI 3999</t>
  </si>
  <si>
    <t xml:space="preserve">1.2.1 Negativo</t>
  </si>
  <si>
    <t xml:space="preserve">1.3 Llamadita y facilidad pago</t>
  </si>
  <si>
    <t xml:space="preserve">2 MSI 3999</t>
  </si>
  <si>
    <t xml:space="preserve">Un renglón por cada vez que un lead entró a 1.3 Llamadita y facilidades de pago (5/10 al 27/10/2026).</t>
  </si>
  <si>
    <t xml:space="preserve">Entró a 1.3</t>
  </si>
  <si>
    <t xml:space="preserve">Quién lo movió</t>
  </si>
  <si>
    <t xml:space="preserve">Bot mandó "llamadita"</t>
  </si>
  <si>
    <t xml:space="preserve">Bot mandó "facilidades de pago"</t>
  </si>
  <si>
    <t xml:space="preserve">Min. a su respuesta</t>
  </si>
  <si>
    <t xml:space="preserve">Una persona le escribió en 1.3</t>
  </si>
  <si>
    <t xml:space="preserve">Tarea de llamada</t>
  </si>
  <si>
    <t xml:space="preserve">Siguiente etapa</t>
  </si>
  <si>
    <t xml:space="preserve">Quién lo sacó de 1.3</t>
  </si>
  <si>
    <t xml:space="preserve">Después llegó a 1.4 o más</t>
  </si>
  <si>
    <t xml:space="preserve">Respondió y el bot lo mandó al Negativo</t>
  </si>
  <si>
    <t xml:space="preserve">Asesor asignado</t>
  </si>
  <si>
    <t xml:space="preserve">Respondió en 30 min a la llamadita</t>
  </si>
  <si>
    <t xml:space="preserve">Respondió en 30 min a facilidades</t>
  </si>
  <si>
    <t xml:space="preserve">05/10/2026 12:33</t>
  </si>
  <si>
    <t xml:space="preserve">05/10/2026 13:30</t>
  </si>
  <si>
    <t xml:space="preserve">05/10/2026 13:36</t>
  </si>
  <si>
    <t xml:space="preserve">05/10/2026 14:51</t>
  </si>
  <si>
    <t xml:space="preserve">05/10/2026 15:20</t>
  </si>
  <si>
    <t xml:space="preserve">05/10/2026 15:38</t>
  </si>
  <si>
    <t xml:space="preserve">05/10/2026 15:57</t>
  </si>
  <si>
    <t xml:space="preserve">05/10/2026 16:21</t>
  </si>
  <si>
    <t xml:space="preserve">05/10/2026 17:19</t>
  </si>
  <si>
    <t xml:space="preserve">05/10/2026 17:52</t>
  </si>
  <si>
    <t xml:space="preserve">05/10/2026 18:45</t>
  </si>
  <si>
    <t xml:space="preserve">05/10/2026 19:06</t>
  </si>
  <si>
    <t xml:space="preserve">05/10/2026 21:07</t>
  </si>
  <si>
    <t xml:space="preserve">05/10/2026 22:05</t>
  </si>
  <si>
    <t xml:space="preserve">06/10/2026 08:13</t>
  </si>
  <si>
    <t xml:space="preserve">06/10/2026 10:20</t>
  </si>
  <si>
    <t xml:space="preserve">06/10/2026 12:21</t>
  </si>
  <si>
    <t xml:space="preserve">06/10/2026 13:04</t>
  </si>
  <si>
    <t xml:space="preserve">06/10/2026 13:33</t>
  </si>
  <si>
    <t xml:space="preserve">06/10/2026 15:11</t>
  </si>
  <si>
    <t xml:space="preserve">06/10/2026 15:34</t>
  </si>
  <si>
    <t xml:space="preserve">06/10/2026 16:11</t>
  </si>
  <si>
    <t xml:space="preserve">06/10/2026 17:08</t>
  </si>
  <si>
    <t xml:space="preserve">06/10/2026 17:20</t>
  </si>
  <si>
    <t xml:space="preserve">06/10/2026 17:54</t>
  </si>
  <si>
    <t xml:space="preserve">06/10/2026 18:47</t>
  </si>
  <si>
    <t xml:space="preserve">06/10/2026 18:54</t>
  </si>
  <si>
    <t xml:space="preserve">06/10/2026 19:22</t>
  </si>
  <si>
    <t xml:space="preserve">06/10/2026 19:46</t>
  </si>
  <si>
    <t xml:space="preserve">06/10/2026 20:11</t>
  </si>
  <si>
    <t xml:space="preserve">06/10/2026 20:51</t>
  </si>
  <si>
    <t xml:space="preserve">06/10/2026 21:24</t>
  </si>
  <si>
    <t xml:space="preserve">06/10/2026 22:10</t>
  </si>
  <si>
    <t xml:space="preserve">06/10/2026 22:47</t>
  </si>
  <si>
    <t xml:space="preserve">06/10/2026 22:58</t>
  </si>
  <si>
    <t xml:space="preserve">06/10/2026 23:29</t>
  </si>
  <si>
    <t xml:space="preserve">07/10/2026 08:13</t>
  </si>
  <si>
    <t xml:space="preserve">07/10/2026 09:59</t>
  </si>
  <si>
    <t xml:space="preserve">07/10/2026 10:43</t>
  </si>
  <si>
    <t xml:space="preserve">07/10/2026 12:07</t>
  </si>
  <si>
    <t xml:space="preserve">07/10/2026 12:23</t>
  </si>
  <si>
    <t xml:space="preserve">Medio de pago</t>
  </si>
  <si>
    <t xml:space="preserve">07/10/2026 12:37</t>
  </si>
  <si>
    <t xml:space="preserve">07/10/2026 13:46</t>
  </si>
  <si>
    <t xml:space="preserve">07/10/2026 14:10</t>
  </si>
  <si>
    <t xml:space="preserve">07/10/2026 14:13</t>
  </si>
  <si>
    <t xml:space="preserve">07/10/2026 14:30</t>
  </si>
  <si>
    <t xml:space="preserve">07/10/2026 15:12</t>
  </si>
  <si>
    <t xml:space="preserve">07/10/2026 15:32</t>
  </si>
  <si>
    <t xml:space="preserve">07/10/2026 15:58</t>
  </si>
  <si>
    <t xml:space="preserve">07/10/2026 16:35</t>
  </si>
  <si>
    <t xml:space="preserve">07/10/2026 16:44</t>
  </si>
  <si>
    <t xml:space="preserve">07/10/2026 17:20</t>
  </si>
  <si>
    <t xml:space="preserve">07/10/2026 18:58</t>
  </si>
  <si>
    <t xml:space="preserve">07/10/2026 19:39</t>
  </si>
  <si>
    <t xml:space="preserve">07/10/2026 21:50</t>
  </si>
  <si>
    <t xml:space="preserve">07/10/2026 21:53</t>
  </si>
  <si>
    <t xml:space="preserve">07/10/2026 21:57</t>
  </si>
  <si>
    <t xml:space="preserve">07/10/2026 22:36</t>
  </si>
  <si>
    <t xml:space="preserve">07/10/2026 22:43</t>
  </si>
  <si>
    <t xml:space="preserve">08/10/2026 08:20</t>
  </si>
  <si>
    <t xml:space="preserve">08/10/2026 08:34</t>
  </si>
  <si>
    <t xml:space="preserve">08/10/2026 08:38</t>
  </si>
  <si>
    <t xml:space="preserve">08/10/2026 09:10</t>
  </si>
  <si>
    <t xml:space="preserve">08/10/2026 12:36</t>
  </si>
  <si>
    <t xml:space="preserve">08/10/2026 12:39</t>
  </si>
  <si>
    <t xml:space="preserve">08/10/2026 14:27</t>
  </si>
  <si>
    <t xml:space="preserve">08/10/2026 15:13</t>
  </si>
  <si>
    <t xml:space="preserve">08/10/2026 16:28</t>
  </si>
  <si>
    <t xml:space="preserve">08/10/2026 17:27</t>
  </si>
  <si>
    <t xml:space="preserve">08/10/2026 18:53</t>
  </si>
  <si>
    <t xml:space="preserve">08/10/2026 19:15</t>
  </si>
  <si>
    <t xml:space="preserve">08/10/2026 19:33</t>
  </si>
  <si>
    <t xml:space="preserve">08/10/2026 20:05</t>
  </si>
  <si>
    <t xml:space="preserve">08/10/2026 21:11</t>
  </si>
  <si>
    <t xml:space="preserve">09/10/2026 08:20</t>
  </si>
  <si>
    <t xml:space="preserve">09/10/2026 09:37</t>
  </si>
  <si>
    <t xml:space="preserve">09/10/2026 12:24</t>
  </si>
  <si>
    <t xml:space="preserve">09/10/2026 14:26</t>
  </si>
  <si>
    <t xml:space="preserve">09/10/2026 14:55</t>
  </si>
  <si>
    <t xml:space="preserve">09/10/2026 16:46</t>
  </si>
  <si>
    <t xml:space="preserve">09/10/2026 17:01</t>
  </si>
  <si>
    <t xml:space="preserve">09/10/2026 17:18</t>
  </si>
  <si>
    <t xml:space="preserve">09/10/2026 17:45</t>
  </si>
  <si>
    <t xml:space="preserve">09/10/2026 18:11</t>
  </si>
  <si>
    <t xml:space="preserve">09/10/2026 19:57</t>
  </si>
  <si>
    <t xml:space="preserve">09/10/2026 21:21</t>
  </si>
  <si>
    <t xml:space="preserve">09/10/2026 22:07</t>
  </si>
  <si>
    <t xml:space="preserve">10/10/2026 13:49</t>
  </si>
  <si>
    <t xml:space="preserve">10/10/2026 14:04</t>
  </si>
  <si>
    <t xml:space="preserve">10/10/2026 14:36</t>
  </si>
  <si>
    <t xml:space="preserve">10/10/2026 15:00</t>
  </si>
  <si>
    <t xml:space="preserve">10/10/2026 15:21</t>
  </si>
  <si>
    <t xml:space="preserve">10/10/2026 18:37</t>
  </si>
  <si>
    <t xml:space="preserve">10/10/2026 19:00</t>
  </si>
  <si>
    <t xml:space="preserve">10/10/2026 20:32</t>
  </si>
  <si>
    <t xml:space="preserve">10/10/2026 20:45</t>
  </si>
  <si>
    <t xml:space="preserve">10/10/2026 20:48</t>
  </si>
  <si>
    <t xml:space="preserve">10/10/2026 22:03</t>
  </si>
  <si>
    <t xml:space="preserve">10/10/2026 22:29</t>
  </si>
  <si>
    <t xml:space="preserve">11/10/2026 12:07</t>
  </si>
  <si>
    <t xml:space="preserve">11/10/2026 13:00</t>
  </si>
  <si>
    <t xml:space="preserve">11/10/2026 13:36</t>
  </si>
  <si>
    <t xml:space="preserve">11/10/2026 15:42</t>
  </si>
  <si>
    <t xml:space="preserve">11/10/2026 16:32</t>
  </si>
  <si>
    <t xml:space="preserve">11/10/2026 16:52</t>
  </si>
  <si>
    <t xml:space="preserve">11/10/2026 17:15</t>
  </si>
  <si>
    <t xml:space="preserve">11/10/2026 17:57</t>
  </si>
  <si>
    <t xml:space="preserve">11/10/2026 18:18</t>
  </si>
  <si>
    <t xml:space="preserve">11/10/2026 18:30</t>
  </si>
  <si>
    <t xml:space="preserve">11/10/2026 18:55</t>
  </si>
  <si>
    <t xml:space="preserve">11/10/2026 20:13</t>
  </si>
  <si>
    <t xml:space="preserve">11/10/2026 22:33</t>
  </si>
  <si>
    <t xml:space="preserve">11/10/2026 23:02</t>
  </si>
  <si>
    <t xml:space="preserve">12/10/2026 08:23</t>
  </si>
  <si>
    <t xml:space="preserve">12/10/2026 09:21</t>
  </si>
  <si>
    <t xml:space="preserve">12/10/2026 11:01</t>
  </si>
  <si>
    <t xml:space="preserve">12/10/2026 12:08</t>
  </si>
  <si>
    <t xml:space="preserve">12/10/2026 12:44</t>
  </si>
  <si>
    <t xml:space="preserve">12/10/2026 13:28</t>
  </si>
  <si>
    <t xml:space="preserve">12/10/2026 13:31</t>
  </si>
  <si>
    <t xml:space="preserve">12/10/2026 14:03</t>
  </si>
  <si>
    <t xml:space="preserve">12/10/2026 15:17</t>
  </si>
  <si>
    <t xml:space="preserve">12/10/2026 15:48</t>
  </si>
  <si>
    <t xml:space="preserve">12/10/2026 16:05</t>
  </si>
  <si>
    <t xml:space="preserve">12/10/2026 16:11</t>
  </si>
  <si>
    <t xml:space="preserve">12/10/2026 16:17</t>
  </si>
  <si>
    <t xml:space="preserve">12/10/2026 16:25</t>
  </si>
  <si>
    <t xml:space="preserve">12/10/2026 20:27</t>
  </si>
  <si>
    <t xml:space="preserve">12/10/2026 20:45</t>
  </si>
  <si>
    <t xml:space="preserve">12/10/2026 21:33</t>
  </si>
  <si>
    <t xml:space="preserve">12/10/2026 22:08</t>
  </si>
  <si>
    <t xml:space="preserve">12/10/2026 22:56</t>
  </si>
  <si>
    <t xml:space="preserve">13/10/2026 08:07</t>
  </si>
  <si>
    <t xml:space="preserve">13/10/2026 08:10</t>
  </si>
  <si>
    <t xml:space="preserve">13/10/2026 08:13</t>
  </si>
  <si>
    <t xml:space="preserve">13/10/2026 09:34</t>
  </si>
  <si>
    <t xml:space="preserve">13/10/2026 10:42</t>
  </si>
  <si>
    <t xml:space="preserve">13/10/2026 13:41</t>
  </si>
  <si>
    <t xml:space="preserve">13/10/2026 13:51</t>
  </si>
  <si>
    <t xml:space="preserve">13/10/2026 14:01</t>
  </si>
  <si>
    <t xml:space="preserve">13/10/2026 14:52</t>
  </si>
  <si>
    <t xml:space="preserve">13/10/2026 16:23</t>
  </si>
  <si>
    <t xml:space="preserve">13/10/2026 16:40</t>
  </si>
  <si>
    <t xml:space="preserve">13/10/2026 17:15</t>
  </si>
  <si>
    <t xml:space="preserve">13/10/2026 17:37</t>
  </si>
  <si>
    <t xml:space="preserve">13/10/2026 18:18</t>
  </si>
  <si>
    <t xml:space="preserve">13/10/2026 18:33</t>
  </si>
  <si>
    <t xml:space="preserve">13/10/2026 19:17</t>
  </si>
  <si>
    <t xml:space="preserve">13/10/2026 19:38</t>
  </si>
  <si>
    <t xml:space="preserve">13/10/2026 20:04</t>
  </si>
  <si>
    <t xml:space="preserve">13/10/2026 20:17</t>
  </si>
  <si>
    <t xml:space="preserve">13/10/2026 21:26</t>
  </si>
  <si>
    <t xml:space="preserve">13/10/2026 21:47</t>
  </si>
  <si>
    <t xml:space="preserve">13/10/2026 21:52</t>
  </si>
  <si>
    <t xml:space="preserve">13/10/2026 21:55</t>
  </si>
  <si>
    <t xml:space="preserve">13/10/2026 22:06</t>
  </si>
  <si>
    <t xml:space="preserve">13/10/2026 22:51</t>
  </si>
  <si>
    <t xml:space="preserve">13/10/2026 22:56</t>
  </si>
  <si>
    <t xml:space="preserve">14/10/2026 08:34</t>
  </si>
  <si>
    <t xml:space="preserve">14/10/2026 08:40</t>
  </si>
  <si>
    <t xml:space="preserve">14/10/2026 08:46</t>
  </si>
  <si>
    <t xml:space="preserve">14/10/2026 09:09</t>
  </si>
  <si>
    <t xml:space="preserve">14/10/2026 11:01</t>
  </si>
  <si>
    <t xml:space="preserve">14/10/2026 13:43</t>
  </si>
  <si>
    <t xml:space="preserve">14/10/2026 14:25</t>
  </si>
  <si>
    <t xml:space="preserve">14/10/2026 15:38</t>
  </si>
  <si>
    <t xml:space="preserve">14/10/2026 17:05</t>
  </si>
  <si>
    <t xml:space="preserve">14/10/2026 19:24</t>
  </si>
  <si>
    <t xml:space="preserve">14/10/2026 20:13</t>
  </si>
  <si>
    <t xml:space="preserve">14/10/2026 22:17</t>
  </si>
  <si>
    <t xml:space="preserve">14/10/2026 23:01</t>
  </si>
  <si>
    <t xml:space="preserve">15/10/2026 08:03</t>
  </si>
  <si>
    <t xml:space="preserve">15/10/2026 08:39</t>
  </si>
  <si>
    <t xml:space="preserve">15/10/2026 08:44</t>
  </si>
  <si>
    <t xml:space="preserve">15/10/2026 09:19</t>
  </si>
  <si>
    <t xml:space="preserve">15/10/2026 09:36</t>
  </si>
  <si>
    <t xml:space="preserve">15/10/2026 12:42</t>
  </si>
  <si>
    <t xml:space="preserve">15/10/2026 13:53</t>
  </si>
  <si>
    <t xml:space="preserve">15/10/2026 16:42</t>
  </si>
  <si>
    <t xml:space="preserve">15/10/2026 18:08</t>
  </si>
  <si>
    <t xml:space="preserve">15/10/2026 18:33</t>
  </si>
  <si>
    <t xml:space="preserve">15/10/2026 19:23</t>
  </si>
  <si>
    <t xml:space="preserve">15/10/2026 19:48</t>
  </si>
  <si>
    <t xml:space="preserve">15/10/2026 20:22</t>
  </si>
  <si>
    <t xml:space="preserve">15/10/2026 20:40</t>
  </si>
  <si>
    <t xml:space="preserve">15/10/2026 21:20</t>
  </si>
  <si>
    <t xml:space="preserve">16/10/2026 08:21</t>
  </si>
  <si>
    <t xml:space="preserve">16/10/2026 08:29</t>
  </si>
  <si>
    <t xml:space="preserve">16/10/2026 09:19</t>
  </si>
  <si>
    <t xml:space="preserve">16/10/2026 10:45</t>
  </si>
  <si>
    <t xml:space="preserve">16/10/2026 12:57</t>
  </si>
  <si>
    <t xml:space="preserve">16/10/2026 13:17</t>
  </si>
  <si>
    <t xml:space="preserve">16/10/2026 13:31</t>
  </si>
  <si>
    <t xml:space="preserve">16/10/2026 15:31</t>
  </si>
  <si>
    <t xml:space="preserve">16/10/2026 16:20</t>
  </si>
  <si>
    <t xml:space="preserve">16/10/2026 17:33</t>
  </si>
  <si>
    <t xml:space="preserve">16/10/2026 18:08</t>
  </si>
  <si>
    <t xml:space="preserve">16/10/2026 19:12</t>
  </si>
  <si>
    <t xml:space="preserve">16/10/2026 19:23</t>
  </si>
  <si>
    <t xml:space="preserve">16/10/2026 19:55</t>
  </si>
  <si>
    <t xml:space="preserve">16/10/2026 20:23</t>
  </si>
  <si>
    <t xml:space="preserve">16/10/2026 20:27</t>
  </si>
  <si>
    <t xml:space="preserve">16/10/2026 22:53</t>
  </si>
  <si>
    <t xml:space="preserve">17/10/2026 08:49</t>
  </si>
  <si>
    <t xml:space="preserve">17/10/2026 09:03</t>
  </si>
  <si>
    <t xml:space="preserve">17/10/2026 09:07</t>
  </si>
  <si>
    <t xml:space="preserve">17/10/2026 14:10</t>
  </si>
  <si>
    <t xml:space="preserve">17/10/2026 14:19</t>
  </si>
  <si>
    <t xml:space="preserve">17/10/2026 14:44</t>
  </si>
  <si>
    <t xml:space="preserve">17/10/2026 14:54</t>
  </si>
  <si>
    <t xml:space="preserve">17/10/2026 15:27</t>
  </si>
  <si>
    <t xml:space="preserve">17/10/2026 16:37</t>
  </si>
  <si>
    <t xml:space="preserve">17/10/2026 17:10</t>
  </si>
  <si>
    <t xml:space="preserve">17/10/2026 19:36</t>
  </si>
  <si>
    <t xml:space="preserve">17/10/2026 19:59</t>
  </si>
  <si>
    <t xml:space="preserve">17/10/2026 20:08</t>
  </si>
  <si>
    <t xml:space="preserve">17/10/2026 20:26</t>
  </si>
  <si>
    <t xml:space="preserve">17/10/2026 21:54</t>
  </si>
  <si>
    <t xml:space="preserve">18/10/2026 09:39</t>
  </si>
  <si>
    <t xml:space="preserve">18/10/2026 09:45</t>
  </si>
  <si>
    <t xml:space="preserve">18/10/2026 11:51</t>
  </si>
  <si>
    <t xml:space="preserve">18/10/2026 12:09</t>
  </si>
  <si>
    <t xml:space="preserve">18/10/2026 12:36</t>
  </si>
  <si>
    <t xml:space="preserve">18/10/2026 12:48</t>
  </si>
  <si>
    <t xml:space="preserve">18/10/2026 13:41</t>
  </si>
  <si>
    <t xml:space="preserve">18/10/2026 13:50</t>
  </si>
  <si>
    <t xml:space="preserve">18/10/2026 14:00</t>
  </si>
  <si>
    <t xml:space="preserve">18/10/2026 14:42</t>
  </si>
  <si>
    <t xml:space="preserve">18/10/2026 15:26</t>
  </si>
  <si>
    <t xml:space="preserve">18/10/2026 15:39</t>
  </si>
  <si>
    <t xml:space="preserve">18/10/2026 16:04</t>
  </si>
  <si>
    <t xml:space="preserve">18/10/2026 16:31</t>
  </si>
  <si>
    <t xml:space="preserve">18/10/2026 16:57</t>
  </si>
  <si>
    <t xml:space="preserve">18/10/2026 17:19</t>
  </si>
  <si>
    <t xml:space="preserve">18/10/2026 19:53</t>
  </si>
  <si>
    <t xml:space="preserve">18/10/2026 21:06</t>
  </si>
  <si>
    <t xml:space="preserve">18/10/2026 21:11</t>
  </si>
  <si>
    <t xml:space="preserve">18/10/2026 21:19</t>
  </si>
  <si>
    <t xml:space="preserve">18/10/2026 21:26</t>
  </si>
  <si>
    <t xml:space="preserve">19/10/2026 08:34</t>
  </si>
  <si>
    <t xml:space="preserve">19/10/2026 08:59</t>
  </si>
  <si>
    <t xml:space="preserve">19/10/2026 09:21</t>
  </si>
  <si>
    <t xml:space="preserve">19/10/2026 09:53</t>
  </si>
  <si>
    <t xml:space="preserve">19/10/2026 10:32</t>
  </si>
  <si>
    <t xml:space="preserve">19/10/2026 10:40</t>
  </si>
  <si>
    <t xml:space="preserve">19/10/2026 10:43</t>
  </si>
  <si>
    <t xml:space="preserve">19/10/2026 10:58</t>
  </si>
  <si>
    <t xml:space="preserve">19/10/2026 12:26</t>
  </si>
  <si>
    <t xml:space="preserve">19/10/2026 13:47</t>
  </si>
  <si>
    <t xml:space="preserve">19/10/2026 13:50</t>
  </si>
  <si>
    <t xml:space="preserve">19/10/2026 14:19</t>
  </si>
  <si>
    <t xml:space="preserve">19/10/2026 14:43</t>
  </si>
  <si>
    <t xml:space="preserve">19/10/2026 14:48</t>
  </si>
  <si>
    <t xml:space="preserve">19/10/2026 17:28</t>
  </si>
  <si>
    <t xml:space="preserve">19/10/2026 17:48</t>
  </si>
  <si>
    <t xml:space="preserve">19/10/2026 18:42</t>
  </si>
  <si>
    <t xml:space="preserve">19/10/2026 18:57</t>
  </si>
  <si>
    <t xml:space="preserve">19/10/2026 19:14</t>
  </si>
  <si>
    <t xml:space="preserve">19/10/2026 21:34</t>
  </si>
  <si>
    <t xml:space="preserve">19/10/2026 21:44</t>
  </si>
  <si>
    <t xml:space="preserve">19/10/2026 22:15</t>
  </si>
  <si>
    <t xml:space="preserve">20/10/2026 08:05</t>
  </si>
  <si>
    <t xml:space="preserve">20/10/2026 08:13</t>
  </si>
  <si>
    <t xml:space="preserve">20/10/2026 09:03</t>
  </si>
  <si>
    <t xml:space="preserve">20/10/2026 10:19</t>
  </si>
  <si>
    <t xml:space="preserve">20/10/2026 13:06</t>
  </si>
  <si>
    <t xml:space="preserve">20/10/2026 16:36</t>
  </si>
  <si>
    <t xml:space="preserve">20/10/2026 16:57</t>
  </si>
  <si>
    <t xml:space="preserve">20/10/2026 17:23</t>
  </si>
  <si>
    <t xml:space="preserve">20/10/2026 19:23</t>
  </si>
  <si>
    <t xml:space="preserve">20/10/2026 21:52</t>
  </si>
  <si>
    <t xml:space="preserve">20/10/2026 22:58</t>
  </si>
  <si>
    <t xml:space="preserve">21/10/2026 08:12</t>
  </si>
  <si>
    <t xml:space="preserve">21/10/2026 08:49</t>
  </si>
  <si>
    <t xml:space="preserve">21/10/2026 09:50</t>
  </si>
  <si>
    <t xml:space="preserve">21/10/2026 10:22</t>
  </si>
  <si>
    <t xml:space="preserve">21/10/2026 10:26</t>
  </si>
  <si>
    <t xml:space="preserve">21/10/2026 12:16</t>
  </si>
  <si>
    <t xml:space="preserve">21/10/2026 13:45</t>
  </si>
  <si>
    <t xml:space="preserve">21/10/2026 13:54</t>
  </si>
  <si>
    <t xml:space="preserve">21/10/2026 15:07</t>
  </si>
  <si>
    <t xml:space="preserve">21/10/2026 16:40</t>
  </si>
  <si>
    <t xml:space="preserve">21/10/2026 16:52</t>
  </si>
  <si>
    <t xml:space="preserve">21/10/2026 16:55</t>
  </si>
  <si>
    <t xml:space="preserve">21/10/2026 17:27</t>
  </si>
  <si>
    <t xml:space="preserve">21/10/2026 18:58</t>
  </si>
  <si>
    <t xml:space="preserve">21/10/2026 20:45</t>
  </si>
  <si>
    <t xml:space="preserve">21/10/2026 20:49</t>
  </si>
  <si>
    <t xml:space="preserve">21/10/2026 21:42</t>
  </si>
  <si>
    <t xml:space="preserve">21/10/2026 22:45</t>
  </si>
  <si>
    <t xml:space="preserve">21/10/2026 23:05</t>
  </si>
  <si>
    <t xml:space="preserve">22/10/2026 08:07</t>
  </si>
  <si>
    <t xml:space="preserve">22/10/2026 08:17</t>
  </si>
  <si>
    <t xml:space="preserve">22/10/2026 08:32</t>
  </si>
  <si>
    <t xml:space="preserve">22/10/2026 08:35</t>
  </si>
  <si>
    <t xml:space="preserve">22/10/2026 08:59</t>
  </si>
  <si>
    <t xml:space="preserve">22/10/2026 09:25</t>
  </si>
  <si>
    <t xml:space="preserve">22/10/2026 17:55</t>
  </si>
  <si>
    <t xml:space="preserve">22/10/2026 18:30</t>
  </si>
  <si>
    <t xml:space="preserve">23/10/2026 09:43</t>
  </si>
  <si>
    <t xml:space="preserve">23/10/2026 10:39</t>
  </si>
  <si>
    <t xml:space="preserve">23/10/2026 13:20</t>
  </si>
  <si>
    <t xml:space="preserve">23/10/2026 14:05</t>
  </si>
  <si>
    <t xml:space="preserve">23/10/2026 17:38</t>
  </si>
  <si>
    <t xml:space="preserve">23/10/2026 18:34</t>
  </si>
  <si>
    <t xml:space="preserve">23/10/2026 18:44</t>
  </si>
  <si>
    <t xml:space="preserve">23/10/2026 19:35</t>
  </si>
  <si>
    <t xml:space="preserve">23/10/2026 20:19</t>
  </si>
  <si>
    <t xml:space="preserve">23/10/2026 21:06</t>
  </si>
  <si>
    <t xml:space="preserve">23/10/2026 21:33</t>
  </si>
  <si>
    <t xml:space="preserve">23/10/2026 23:46</t>
  </si>
  <si>
    <t xml:space="preserve">23/10/2026 23:49</t>
  </si>
  <si>
    <t xml:space="preserve">24/10/2026 13:55</t>
  </si>
  <si>
    <t xml:space="preserve">24/10/2026 14:22</t>
  </si>
  <si>
    <t xml:space="preserve">24/10/2026 14:40</t>
  </si>
  <si>
    <t xml:space="preserve">24/10/2026 14:52</t>
  </si>
  <si>
    <t xml:space="preserve">24/10/2026 14:54</t>
  </si>
  <si>
    <t xml:space="preserve">24/10/2026 15:23</t>
  </si>
  <si>
    <t xml:space="preserve">24/10/2026 15:57</t>
  </si>
  <si>
    <t xml:space="preserve">24/10/2026 19:06</t>
  </si>
  <si>
    <t xml:space="preserve">24/10/2026 20:38</t>
  </si>
  <si>
    <t xml:space="preserve">25/10/2026 12:28</t>
  </si>
  <si>
    <t xml:space="preserve">25/10/2026 12:32</t>
  </si>
  <si>
    <t xml:space="preserve">25/10/2026 12:53</t>
  </si>
  <si>
    <t xml:space="preserve">25/10/2026 13:14</t>
  </si>
  <si>
    <t xml:space="preserve">25/10/2026 13:41</t>
  </si>
  <si>
    <t xml:space="preserve">25/10/2026 14:41</t>
  </si>
  <si>
    <t xml:space="preserve">25/10/2026 17:07</t>
  </si>
  <si>
    <t xml:space="preserve">25/10/2026 21:00</t>
  </si>
  <si>
    <t xml:space="preserve">25/10/2026 22:23</t>
  </si>
  <si>
    <t xml:space="preserve">26/10/2026 08:20</t>
  </si>
  <si>
    <t xml:space="preserve">26/10/2026 08:32</t>
  </si>
  <si>
    <t xml:space="preserve">26/10/2026 08:43</t>
  </si>
  <si>
    <t xml:space="preserve">26/10/2026 10:19</t>
  </si>
  <si>
    <t xml:space="preserve">26/10/2026 12:31</t>
  </si>
  <si>
    <t xml:space="preserve">26/10/2026 12:35</t>
  </si>
  <si>
    <t xml:space="preserve">26/10/2026 12:53</t>
  </si>
  <si>
    <t xml:space="preserve">26/10/2026 13:28</t>
  </si>
  <si>
    <t xml:space="preserve">26/10/2026 13:59</t>
  </si>
  <si>
    <t xml:space="preserve">26/10/2026 15:20</t>
  </si>
  <si>
    <t xml:space="preserve">26/10/2026 15:42</t>
  </si>
  <si>
    <t xml:space="preserve">26/10/2026 18:28</t>
  </si>
  <si>
    <t xml:space="preserve">26/10/2026 18:41</t>
  </si>
  <si>
    <t xml:space="preserve">26/10/2026 19:02</t>
  </si>
  <si>
    <t xml:space="preserve">26/10/2026 20:10</t>
  </si>
  <si>
    <t xml:space="preserve">26/10/2026 21:45</t>
  </si>
  <si>
    <t xml:space="preserve">26/10/2026 22:29</t>
  </si>
  <si>
    <t xml:space="preserve">27/10/2026 09:03</t>
  </si>
  <si>
    <t xml:space="preserve">27/10/2026 09:15</t>
  </si>
  <si>
    <t xml:space="preserve">27/10/2026 09:19</t>
  </si>
  <si>
    <t xml:space="preserve">27/10/2026 09:35</t>
  </si>
  <si>
    <t xml:space="preserve">27/10/2026 12:18</t>
  </si>
  <si>
    <t xml:space="preserve">27/10/2026 12:49</t>
  </si>
  <si>
    <t xml:space="preserve">27/10/2026 13:03</t>
  </si>
  <si>
    <t xml:space="preserve">27/10/2026 13:38</t>
  </si>
  <si>
    <t xml:space="preserve">27/10/2026 14:49</t>
  </si>
  <si>
    <t xml:space="preserve">Fuentes y método</t>
  </si>
  <si>
    <t xml:space="preserve">De dónde salen los datos y cómo se definió cada cosa</t>
  </si>
  <si>
    <t xml:space="preserve">DEFINICIONES</t>
  </si>
  <si>
    <t xml:space="preserve">Pregunta del área</t>
  </si>
  <si>
    <t xml:space="preserve">Mensaje del bot de 1.2 Lista de cursos: "Solo una pregunta, ¿en qué área trabajas actualmente? o ¿estás estudiando?". Después el bot espera 2 horas y manda al lead al Negativo.</t>
  </si>
  <si>
    <t xml:space="preserve">Contestó a tiempo</t>
  </si>
  <si>
    <t xml:space="preserve">El cliente escribió después de la pregunta y antes de que el lead saliera de 1.2 (normalmente, antes de las 2 horas en que el bot lo manda al Negativo).</t>
  </si>
  <si>
    <t xml:space="preserve">Contestó tarde</t>
  </si>
  <si>
    <t xml:space="preserve">Escribió después de la pregunta, pero cuando el lead ya estaba en el Negativo u otra etapa.</t>
  </si>
  <si>
    <t xml:space="preserve">Nota de voz mandada por una persona del equipo después de la respuesta del cliente. La plantilla "Excelente {{nombre}}! Te mando un audio rapidito…" se cuenta aparte.</t>
  </si>
  <si>
    <t xml:space="preserve">Movimiento a la etapa 1.3 Llamadita y facilidades de pago registrado en el historial del lead después de la pregunta. Todos los movimientos a 1.3 del periodo fueron manuales.</t>
  </si>
  <si>
    <t xml:space="preserve">Al entrar a 1.3: espera 5 min, manda "¿te hago una llamadita?", espera 10 min, manda "facilidades de pago", espera 4 h y manda al lead al Negativo. No se detiene si el cliente contesta.</t>
  </si>
  <si>
    <t xml:space="preserve">1.4 o más</t>
  </si>
  <si>
    <t xml:space="preserve">1.4 Facilidades de pago, cualquier medio de pago (una sola exhibición, parcialidades, MSI, transferencia, PayPal, tarjeta), STBY o Ganado.</t>
  </si>
  <si>
    <t xml:space="preserve">Lead en Ganado o con un pago confirmado en el sistema de ventas ligado al cliente, sin cancelar, desde la fecha de la pregunta.</t>
  </si>
  <si>
    <t xml:space="preserve">La pregunta del área se mandó al menos 7 días antes del corte, para comparar grupos con el mismo tiempo de seguimiento.</t>
  </si>
  <si>
    <t xml:space="preserve">Franja horaria</t>
  </si>
  <si>
    <t xml:space="preserve">Hora de Reynosa (America/Matamoros) en que el cliente contestó.</t>
  </si>
  <si>
    <t xml:space="preserve">Minutos</t>
  </si>
  <si>
    <t xml:space="preserve">Tiempo real de reloj, incluidas noches y fines de semana.</t>
  </si>
  <si>
    <t xml:space="preserve">FUENTES DE DATOS</t>
  </si>
  <si>
    <t xml:space="preserve">Escrito en</t>
  </si>
  <si>
    <t xml:space="preserve">'Base leads'!A4:Y1238 y 'Entradas a 1.3'!A4:V360</t>
  </si>
  <si>
    <t xml:space="preserve">Fuente</t>
  </si>
  <si>
    <t xml:space="preserve">CRM SyS, https://crm-web-production-3b33.up.railway.app</t>
  </si>
  <si>
    <t xml:space="preserve">Objeto</t>
  </si>
  <si>
    <t xml:space="preserve">GET /embudos, /conversaciones?embudo=…, /conversaciones/:id/movimientos, /conversaciones/:id/mensajes, /conversaciones/:id/tareas, /conversaciones/:id (compras), /etapas/:id/secuencia, /plantillas</t>
  </si>
  <si>
    <t xml:space="preserve">Cómo se obtuvo</t>
  </si>
  <si>
    <t xml:space="preserve">Lo corrió Claude con la sesión de Joceline Benavides (rol vendedor, eje Cursos), solo consultas de lectura; no se movió, contestó ni marcó como leída ninguna conversación.</t>
  </si>
  <si>
    <t xml:space="preserve">Pedido por</t>
  </si>
  <si>
    <t xml:space="preserve">Rosbel Salinas</t>
  </si>
  <si>
    <t xml:space="preserve">Parámetros</t>
  </si>
  <si>
    <t xml:space="preserve">Embudos ISO + Calidad, Core Tools Premium y Manufactura y Calidad; leads cuya pregunta del área o entrada a 1.3 fue del 5/10/2026 en adelante.</t>
  </si>
  <si>
    <t xml:space="preserve">Leído</t>
  </si>
  <si>
    <t xml:space="preserve">27/10/2026 15:00 (hora de Reynosa)</t>
  </si>
  <si>
    <t xml:space="preserve">Renglones</t>
  </si>
  <si>
    <t xml:space="preserve">1234 leads en Base leads y 356 entradas en Entradas a 1.3</t>
  </si>
  <si>
    <t xml:space="preserve">Cambios después de leer</t>
  </si>
  <si>
    <t xml:space="preserve">Se clasificó cada lead con reglas sobre sus mensajes y su historial de etapas (ver Definiciones). Se dejaron fuera nombres y teléfonos; cada lead se identifica con su número del CRM.</t>
  </si>
  <si>
    <t xml:space="preserve">Notas</t>
  </si>
  <si>
    <t xml:space="preserve">Joceline ve los leads del eje Cursos y los que aún no tienen eje: incluye todos los de estos 3 embudos. Un lead que hoy está en otro embudo no entra, aunque haya pasado por estos.</t>
  </si>
</sst>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;(0.0%);&quot;-&quot;"/>
    <numFmt numFmtId="166" formatCode="0.0;(0.0);&quot;-&quot;"/>
  </numFmts>
  <fonts count="12">
    <font>
      <name val="Poppins"/>
      <color rgb="FF330A28"/>
      <sz val="9"/>
    </font>
    <font>
      <name val="Anton"/>
      <color rgb="00800E64"/>
      <sz val="22"/>
    </font>
    <font>
      <name val="Poppins"/>
      <color rgb="006B6B6B"/>
      <sz val="10"/>
    </font>
    <font>
      <name val="Anton"/>
      <color rgb="00800E64"/>
      <sz val="13"/>
    </font>
    <font>
      <name val="Poppins"/>
      <b val="1"/>
      <color rgb="00FFFFFF"/>
      <sz val="9"/>
    </font>
    <font>
      <name val="Poppins"/>
      <color rgb="00330A28"/>
      <sz val="10"/>
    </font>
    <font>
      <name val="Poppins"/>
      <b val="1"/>
      <color rgb="00800E64"/>
      <sz val="10"/>
    </font>
    <font>
      <name val="Poppins"/>
      <i val="1"/>
      <color rgb="006B6B6B"/>
      <sz val="9"/>
    </font>
    <font>
      <name val="Poppins"/>
      <b val="1"/>
      <color rgb="00330A28"/>
      <sz val="10"/>
    </font>
    <font>
      <name val="Anton"/>
      <color rgb="00800E64"/>
      <sz val="16"/>
    </font>
    <font>
      <name val="Poppins"/>
      <color rgb="006B6B6B"/>
      <sz val="9"/>
    </font>
    <font>
      <name val="Poppins"/>
      <b val="1"/>
      <color rgb="00E91E63"/>
      <sz val="10"/>
    </font>
  </fonts>
  <fills count="5">
    <fill>
      <patternFill/>
    </fill>
    <fill>
      <patternFill patternType="gray125"/>
    </fill>
    <fill>
      <patternFill patternType="solid">
        <fgColor rgb="00800E64"/>
        <bgColor rgb="00800E64"/>
      </patternFill>
    </fill>
    <fill>
      <patternFill patternType="solid">
        <fgColor rgb="00FBF8FA"/>
        <bgColor rgb="00FBF8FA"/>
      </patternFill>
    </fill>
    <fill>
      <patternFill patternType="solid">
        <fgColor rgb="00FDEDF3"/>
        <bgColor rgb="00FDEDF3"/>
      </patternFill>
    </fill>
  </fills>
  <borders count="4">
    <border>
      <left/>
      <right/>
      <top/>
      <bottom/>
      <diagonal/>
    </border>
    <border>
      <bottom style="medium">
        <color rgb="00E91E63"/>
      </bottom>
    </border>
    <border>
      <bottom style="thin">
        <color rgb="00E91E63"/>
      </bottom>
    </border>
    <border>
      <left style="thin">
        <color rgb="00E8DEE6"/>
      </left>
      <right style="thin">
        <color rgb="00E8DEE6"/>
      </right>
      <top style="thin">
        <color rgb="00E8DEE6"/>
      </top>
      <bottom style="thin">
        <color rgb="00E8DEE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1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2" borderId="3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left" vertical="center" wrapText="1"/>
    </xf>
    <xf numFmtId="164" fontId="6" fillId="3" borderId="3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64" fontId="6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165" fontId="6" fillId="3" borderId="3" applyAlignment="1" pivotButton="0" quotePrefix="0" xfId="0">
      <alignment horizontal="center" vertical="center"/>
    </xf>
    <xf numFmtId="165" fontId="5" fillId="3" borderId="3" applyAlignment="1" pivotButton="0" quotePrefix="0" xfId="0">
      <alignment horizontal="center" vertical="center"/>
    </xf>
    <xf numFmtId="165" fontId="6" fillId="0" borderId="3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6" fontId="6" fillId="0" borderId="3" applyAlignment="1" pivotButton="0" quotePrefix="0" xfId="0">
      <alignment horizontal="center" vertical="center"/>
    </xf>
    <xf numFmtId="166" fontId="5" fillId="0" borderId="3" applyAlignment="1" pivotButton="0" quotePrefix="0" xfId="0">
      <alignment horizontal="center"/>
    </xf>
    <xf numFmtId="0" fontId="7" fillId="0" borderId="0" applyAlignment="1" pivotButton="0" quotePrefix="0" xfId="0">
      <alignment vertical="top"/>
    </xf>
    <xf numFmtId="0" fontId="8" fillId="0" borderId="3" applyAlignment="1" pivotButton="0" quotePrefix="0" xfId="0">
      <alignment horizontal="left" vertical="center" wrapText="1"/>
    </xf>
    <xf numFmtId="164" fontId="8" fillId="0" borderId="3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6" fontId="6" fillId="3" borderId="3" applyAlignment="1" pivotButton="0" quotePrefix="0" xfId="0">
      <alignment horizontal="center"/>
    </xf>
    <xf numFmtId="166" fontId="5" fillId="3" borderId="3" applyAlignment="1" pivotButton="0" quotePrefix="0" xfId="0">
      <alignment horizontal="center"/>
    </xf>
    <xf numFmtId="166" fontId="6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left"/>
    </xf>
    <xf numFmtId="166" fontId="5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/>
    </xf>
    <xf numFmtId="166" fontId="5" fillId="3" borderId="3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5" fillId="0" borderId="3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Relationship Id="rIdSST1" Type="http://schemas.openxmlformats.org/officeDocument/2006/relationships/sharedStrings" Target="sharedStrings.xml"/></Relationships>
</file>

<file path=xl/comments/comment1.xml><?xml version="1.0" encoding="utf-8"?>
<comments xmlns="http://schemas.openxmlformats.org/spreadsheetml/2006/main">
  <authors>
    <author>Claude</author>
  </authors>
  <commentList>
    <comment ref="A4" authorId="0" shapeId="0">
      <text>
        <t>Fuente: CRM SyS (crm-web-production-3b33.up.railway.app), leads de los embudos ISO + Calidad, Core Tools Premium y Manufactura y Calidad, 1234 renglones. Leído por Claude con la cuenta de Joceline (solo lectura), 27/10/2026 15:00 (hora de Reynosa). Detalle en "Fuentes y método".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4" authorId="0" shapeId="0">
      <text>
        <t>Fuente: CRM SyS, historial de etapas y mensajes, 356 renglones. Leído por Claude con la cuenta de Joceline (solo lectura), 27/10/2026 15:00 (hora de Reynosa). Detalle en "Fuentes y método".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5143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800E64"/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7" customWidth="1" min="3" max="3"/>
    <col width="17" customWidth="1" min="4" max="4"/>
    <col width="17" customWidth="1" min="5" max="5"/>
    <col width="17" customWidth="1" min="6" max="6"/>
    <col width="3" customWidth="1" min="7" max="7"/>
  </cols>
  <sheetData>
    <row r="1" ht="46" customHeight="1">
      <c r="B1" s="1" t="s">
        <v>0</v>
      </c>
    </row>
    <row r="2" ht="20" customHeight="1">
      <c r="B2" s="2" t="s">
        <v>1</v>
      </c>
    </row>
    <row r="3" ht="6" customHeight="1">
      <c r="A3" s="3"/>
      <c r="B3" s="3"/>
      <c r="C3" s="3"/>
      <c r="D3" s="3"/>
      <c r="E3" s="3"/>
      <c r="F3" s="3"/>
      <c r="G3" s="3"/>
    </row>
    <row r="5" ht="24" customHeight="1">
      <c r="B5" s="4" t="s">
        <v>2</v>
      </c>
      <c r="C5" s="5"/>
      <c r="D5" s="5"/>
      <c r="E5" s="5"/>
      <c r="F5" s="5"/>
    </row>
    <row r="6" ht="64" customHeight="1">
      <c r="B6" s="6" t="s">
        <v>3</v>
      </c>
      <c r="C6" s="7">
        <f>"Sí, en la mayoría de los casos, pero no siempre. De "&amp;TEXT(C23,"#,##0")&amp;" leads que contestaron el área a tiempo, "&amp;TEXT(C25,"#,##0")&amp;" recibieron audio y "&amp;TEXT(C26,"#,##0")&amp;" ("&amp;TEXT(C27,"0%")&amp;") fueron movidos a mano a 1.3."</f>
        <v/>
      </c>
    </row>
    <row r="7" ht="64" customHeight="1">
      <c r="B7" s="6" t="s">
        <v>4</v>
      </c>
      <c r="C7" s="7">
        <f>"Joceline (auxiliar) atendió "&amp;TEXT('Quién lo usa'!C10,"#,##0")&amp;" de esas respuestas y mandó el audio en el "&amp;TEXT('Quién lo usa'!G10,"0%")&amp;", pero solo el "&amp;TEXT('Quién lo usa'!H10,"0%")&amp;" llegó a 1.3, porque otra persona lo movió después. Salma, Ana Victoria y José los mueven entre el "&amp;TEXT(MIN('Quién lo usa'!H7,'Quién lo usa'!H8,'Quién lo usa'!H9),"0%")&amp;" y el "&amp;TEXT(MAX('Quién lo usa'!H7,'Quién lo usa'!H8,'Quién lo usa'!H9),"0%")&amp;"."</f>
        <v/>
      </c>
    </row>
    <row r="8" ht="64" customHeight="1">
      <c r="B8" s="6" t="s">
        <v>5</v>
      </c>
      <c r="C8" s="7">
        <f>TEXT(C30,"#,##0")&amp;" leads contestaron a tiempo, no pasaron a 1.3 y a las 2 h el bot les mandó el Negativo. Con 7 días o más, compraron "&amp;TEXT('Funciona 1.3'!F62,"#,##0")&amp;" de "&amp;TEXT('Funciona 1.3'!C62,"#,##0")&amp;" ("&amp;TEXT('Funciona 1.3'!G62,"0.0%")&amp;"), contra "&amp;TEXT('Funciona 1.3'!G60,"0.0%")&amp;" de los movidos a 1.3. Son pocos casos: es una referencia, no un efecto demostrado."</f>
        <v/>
      </c>
    </row>
    <row r="9" ht="64" customHeight="1">
      <c r="B9" s="6" t="s">
        <v>6</v>
      </c>
      <c r="C9" s="7">
        <f>"Cuando se hace, se hace rápido: la mediana es de "&amp;TEXT(C31,"0")&amp;" minutos entre la respuesta del cliente y el paso a 1.3. Todos los movimientos a 1.3 son manuales."</f>
        <v/>
      </c>
    </row>
    <row r="10" ht="64" customHeight="1">
      <c r="B10" s="6" t="s">
        <v>7</v>
      </c>
      <c r="C10" s="7">
        <f>"Sí, cuando el cliente contesta. Respondió en "&amp;TEXT(IF(C32=0,0,C33/C32),"0%")&amp;" de las "&amp;TEXT(C32,"#,##0")&amp;" entradas; de esos, el "&amp;TEXT('Funciona 1.3'!E49,"0%")&amp;" llegó a 1.4 o más, contra el "&amp;TEXT('Funciona 1.3'!E50,"0%")&amp;" de los que no contestaron. A la llamadita responde el "&amp;TEXT(C34,"0%")&amp;" en 30 min y a facilidades de pago el "&amp;TEXT(C35,"0%")&amp;"."</f>
        <v/>
      </c>
    </row>
    <row r="11" ht="64" customHeight="1">
      <c r="B11" s="6" t="s">
        <v>8</v>
      </c>
      <c r="C11" s="7">
        <f>"En "&amp;TEXT(C40,"#,##0")&amp;" entradas el cliente respondió en 1.3 (con un sí, una pregunta de costo o pidiendo la llamada más tarde) y a las 4 h el bot lo mandó al Negativo porque nadie lo pasó a 1.4. El bot de 1.3 no se detiene cuando el cliente contesta."</f>
        <v/>
      </c>
    </row>
    <row r="12" ht="64" customHeight="1">
      <c r="B12" s="6" t="s">
        <v>9</v>
      </c>
      <c r="C12" s="7">
        <f>"Casi nunca se agenda: solo "&amp;TEXT(C41,"#,##0")&amp;" de "&amp;TEXT(C32,"#,##0")&amp;" entradas a 1.3 tuvieron una tarea de llamada."</f>
        <v/>
      </c>
    </row>
    <row r="13"/>
    <row r="14" ht="24" customHeight="1">
      <c r="B14" s="4" t="s">
        <v>10</v>
      </c>
      <c r="C14" s="5"/>
      <c r="D14" s="5"/>
      <c r="E14" s="5"/>
      <c r="F14" s="5"/>
    </row>
    <row r="15" ht="40" customHeight="1">
      <c r="B15" s="8" t="s">
        <v>11</v>
      </c>
      <c r="C15" s="9" t="s">
        <v>12</v>
      </c>
    </row>
    <row r="16" ht="40" customHeight="1">
      <c r="B16" s="8" t="s">
        <v>13</v>
      </c>
      <c r="C16" s="9" t="s">
        <v>14</v>
      </c>
    </row>
    <row r="17" ht="40" customHeight="1">
      <c r="B17" s="8" t="s">
        <v>15</v>
      </c>
      <c r="C17" s="9" t="s">
        <v>16</v>
      </c>
    </row>
    <row r="18"/>
    <row r="19"/>
    <row r="20" ht="24" customHeight="1">
      <c r="B20" s="4" t="s">
        <v>17</v>
      </c>
      <c r="C20" s="5"/>
      <c r="D20" s="5"/>
      <c r="E20" s="5"/>
      <c r="F20" s="5"/>
    </row>
    <row r="21" ht="32" customHeight="1">
      <c r="B21" s="10" t="s">
        <v>18</v>
      </c>
      <c r="C21" s="11" t="s">
        <v>19</v>
      </c>
      <c r="D21" s="11" t="s">
        <v>20</v>
      </c>
      <c r="E21" s="11" t="s">
        <v>21</v>
      </c>
      <c r="F21" s="11" t="s">
        <v>22</v>
      </c>
    </row>
    <row r="22" ht="34" customHeight="1">
      <c r="B22" s="12" t="s">
        <v>23</v>
      </c>
      <c r="C22" s="13">
        <f>COUNTA('Base leads'!$A$5:$A$1238)</f>
        <v/>
      </c>
      <c r="D22" s="14">
        <f>COUNTIFS('Base leads'!$B$5:$B$1238,"ISO + Calidad")</f>
        <v/>
      </c>
      <c r="E22" s="14">
        <f>COUNTIFS('Base leads'!$B$5:$B$1238,"Core Tools Premium")</f>
        <v/>
      </c>
      <c r="F22" s="14">
        <f>COUNTIFS('Base leads'!$B$5:$B$1238,"Manufactura y Calidad")</f>
        <v/>
      </c>
    </row>
    <row r="23" ht="34" customHeight="1">
      <c r="B23" s="15" t="s">
        <v>24</v>
      </c>
      <c r="C23" s="16">
        <f>COUNTIFS('Base leads'!$E$5:$E$1238,"A tiempo (en 1.2)")</f>
        <v/>
      </c>
      <c r="D23" s="17">
        <f>COUNTIFS('Base leads'!$B$5:$B$1238,"ISO + Calidad",'Base leads'!$E$5:$E$1238,"A tiempo (en 1.2)")</f>
        <v/>
      </c>
      <c r="E23" s="17">
        <f>COUNTIFS('Base leads'!$B$5:$B$1238,"Core Tools Premium",'Base leads'!$E$5:$E$1238,"A tiempo (en 1.2)")</f>
        <v/>
      </c>
      <c r="F23" s="17">
        <f>COUNTIFS('Base leads'!$B$5:$B$1238,"Manufactura y Calidad",'Base leads'!$E$5:$E$1238,"A tiempo (en 1.2)")</f>
        <v/>
      </c>
    </row>
    <row r="24">
      <c r="B24" s="12" t="s">
        <v>25</v>
      </c>
      <c r="C24" s="18">
        <f>IF(C22=0,0,C23/C22)</f>
        <v/>
      </c>
      <c r="D24" s="19">
        <f>IF(D22=0,0,D23/D22)</f>
        <v/>
      </c>
      <c r="E24" s="19">
        <f>IF(E22=0,0,E23/E22)</f>
        <v/>
      </c>
      <c r="F24" s="19">
        <f>IF(F22=0,0,F23/F22)</f>
        <v/>
      </c>
    </row>
    <row r="25" ht="34" customHeight="1">
      <c r="B25" s="15" t="s">
        <v>26</v>
      </c>
      <c r="C25" s="16">
        <f>COUNTIFS('Base leads'!$E$5:$E$1238,"A tiempo (en 1.2)",'Base leads'!$K$5:$K$1238,"Sí")</f>
        <v/>
      </c>
      <c r="D25" s="17">
        <f>COUNTIFS('Base leads'!$B$5:$B$1238,"ISO + Calidad",'Base leads'!$E$5:$E$1238,"A tiempo (en 1.2)",'Base leads'!$K$5:$K$1238,"Sí")</f>
        <v/>
      </c>
      <c r="E25" s="17">
        <f>COUNTIFS('Base leads'!$B$5:$B$1238,"Core Tools Premium",'Base leads'!$E$5:$E$1238,"A tiempo (en 1.2)",'Base leads'!$K$5:$K$1238,"Sí")</f>
        <v/>
      </c>
      <c r="F25" s="17">
        <f>COUNTIFS('Base leads'!$B$5:$B$1238,"Manufactura y Calidad",'Base leads'!$E$5:$E$1238,"A tiempo (en 1.2)",'Base leads'!$K$5:$K$1238,"Sí")</f>
        <v/>
      </c>
    </row>
    <row r="26" ht="34" customHeight="1">
      <c r="B26" s="12" t="s">
        <v>27</v>
      </c>
      <c r="C26" s="13">
        <f>COUNTIFS('Base leads'!$E$5:$E$1238,"A tiempo (en 1.2)",'Base leads'!$N$5:$N$1238,"Sí")</f>
        <v/>
      </c>
      <c r="D26" s="14">
        <f>COUNTIFS('Base leads'!$B$5:$B$1238,"ISO + Calidad",'Base leads'!$E$5:$E$1238,"A tiempo (en 1.2)",'Base leads'!$N$5:$N$1238,"Sí")</f>
        <v/>
      </c>
      <c r="E26" s="14">
        <f>COUNTIFS('Base leads'!$B$5:$B$1238,"Core Tools Premium",'Base leads'!$E$5:$E$1238,"A tiempo (en 1.2)",'Base leads'!$N$5:$N$1238,"Sí")</f>
        <v/>
      </c>
      <c r="F26" s="14">
        <f>COUNTIFS('Base leads'!$B$5:$B$1238,"Manufactura y Calidad",'Base leads'!$E$5:$E$1238,"A tiempo (en 1.2)",'Base leads'!$N$5:$N$1238,"Sí")</f>
        <v/>
      </c>
    </row>
    <row r="27" ht="34" customHeight="1">
      <c r="B27" s="15" t="s">
        <v>28</v>
      </c>
      <c r="C27" s="20">
        <f>IF(C23=0,0,C26/C23)</f>
        <v/>
      </c>
      <c r="D27" s="21">
        <f>IF(D23=0,0,D26/D23)</f>
        <v/>
      </c>
      <c r="E27" s="21">
        <f>IF(E23=0,0,E26/E23)</f>
        <v/>
      </c>
      <c r="F27" s="21">
        <f>IF(F23=0,0,F26/F23)</f>
        <v/>
      </c>
    </row>
    <row r="28" ht="34" customHeight="1">
      <c r="B28" s="12" t="s">
        <v>29</v>
      </c>
      <c r="C28" s="13">
        <f>COUNTIFS('Base leads'!$E$5:$E$1238,"A tiempo (en 1.2)",'Base leads'!$R$5:$R$1238,"Audio sin mover a 1.3")</f>
        <v/>
      </c>
      <c r="D28" s="14">
        <f>COUNTIFS('Base leads'!$B$5:$B$1238,"ISO + Calidad",'Base leads'!$E$5:$E$1238,"A tiempo (en 1.2)",'Base leads'!$R$5:$R$1238,"Audio sin mover a 1.3")</f>
        <v/>
      </c>
      <c r="E28" s="14">
        <f>COUNTIFS('Base leads'!$B$5:$B$1238,"Core Tools Premium",'Base leads'!$E$5:$E$1238,"A tiempo (en 1.2)",'Base leads'!$R$5:$R$1238,"Audio sin mover a 1.3")</f>
        <v/>
      </c>
      <c r="F28" s="14">
        <f>COUNTIFS('Base leads'!$B$5:$B$1238,"Manufactura y Calidad",'Base leads'!$E$5:$E$1238,"A tiempo (en 1.2)",'Base leads'!$R$5:$R$1238,"Audio sin mover a 1.3")</f>
        <v/>
      </c>
    </row>
    <row r="29" ht="34" customHeight="1">
      <c r="B29" s="15" t="s">
        <v>30</v>
      </c>
      <c r="C29" s="16">
        <f>COUNTIFS('Base leads'!$E$5:$E$1238,"A tiempo (en 1.2)",'Base leads'!$R$5:$R$1238,"Ni audio ni 1.3")</f>
        <v/>
      </c>
      <c r="D29" s="17">
        <f>COUNTIFS('Base leads'!$B$5:$B$1238,"ISO + Calidad",'Base leads'!$E$5:$E$1238,"A tiempo (en 1.2)",'Base leads'!$R$5:$R$1238,"Ni audio ni 1.3")</f>
        <v/>
      </c>
      <c r="E29" s="17">
        <f>COUNTIFS('Base leads'!$B$5:$B$1238,"Core Tools Premium",'Base leads'!$E$5:$E$1238,"A tiempo (en 1.2)",'Base leads'!$R$5:$R$1238,"Ni audio ni 1.3")</f>
        <v/>
      </c>
      <c r="F29" s="17">
        <f>COUNTIFS('Base leads'!$B$5:$B$1238,"Manufactura y Calidad",'Base leads'!$E$5:$E$1238,"A tiempo (en 1.2)",'Base leads'!$R$5:$R$1238,"Ni audio ni 1.3")</f>
        <v/>
      </c>
    </row>
    <row r="30" ht="34" customHeight="1">
      <c r="B30" s="12" t="s">
        <v>31</v>
      </c>
      <c r="C30" s="13">
        <f>COUNTIFS('Base leads'!$E$5:$E$1238,"A tiempo (en 1.2)",'Base leads'!$S$5:$S$1238,"Negativo (lo mandó el bot)")</f>
        <v/>
      </c>
      <c r="D30" s="14">
        <f>COUNTIFS('Base leads'!$B$5:$B$1238,"ISO + Calidad",'Base leads'!$E$5:$E$1238,"A tiempo (en 1.2)",'Base leads'!$S$5:$S$1238,"Negativo (lo mandó el bot)")</f>
        <v/>
      </c>
      <c r="E30" s="14">
        <f>COUNTIFS('Base leads'!$B$5:$B$1238,"Core Tools Premium",'Base leads'!$E$5:$E$1238,"A tiempo (en 1.2)",'Base leads'!$S$5:$S$1238,"Negativo (lo mandó el bot)")</f>
        <v/>
      </c>
      <c r="F30" s="14">
        <f>COUNTIFS('Base leads'!$B$5:$B$1238,"Manufactura y Calidad",'Base leads'!$E$5:$E$1238,"A tiempo (en 1.2)",'Base leads'!$S$5:$S$1238,"Negativo (lo mandó el bot)")</f>
        <v/>
      </c>
    </row>
    <row r="31" ht="34" customHeight="1">
      <c r="B31" s="15" t="s">
        <v>32</v>
      </c>
      <c r="C31" s="22">
        <f t="array" ref="C31">MEDIAN(IF(('Base leads'!$E$5:$E$1238="A tiempo (en 1.2)")*('Base leads'!$N$5:$N$1238="Sí"),IF('Base leads'!$P$5:$P$1238&lt;&gt;"",'Base leads'!$P$5:$P$1238)))</f>
        <v/>
      </c>
      <c r="D31" s="23">
        <f t="array" ref="D31">MEDIAN(IF(('Base leads'!$E$5:$E$1238="A tiempo (en 1.2)")*('Base leads'!$N$5:$N$1238="Sí")*('Base leads'!$B$5:$B$1238="ISO + Calidad"),IF('Base leads'!$P$5:$P$1238&lt;&gt;"",'Base leads'!$P$5:$P$1238)))</f>
        <v/>
      </c>
      <c r="E31" s="23">
        <f t="array" ref="E31">MEDIAN(IF(('Base leads'!$E$5:$E$1238="A tiempo (en 1.2)")*('Base leads'!$N$5:$N$1238="Sí")*('Base leads'!$B$5:$B$1238="Core Tools Premium"),IF('Base leads'!$P$5:$P$1238&lt;&gt;"",'Base leads'!$P$5:$P$1238)))</f>
        <v/>
      </c>
      <c r="F31" s="23">
        <f t="array" ref="F31">MEDIAN(IF(('Base leads'!$E$5:$E$1238="A tiempo (en 1.2)")*('Base leads'!$N$5:$N$1238="Sí")*('Base leads'!$B$5:$B$1238="Manufactura y Calidad"),IF('Base leads'!$P$5:$P$1238&lt;&gt;"",'Base leads'!$P$5:$P$1238)))</f>
        <v/>
      </c>
    </row>
    <row r="32">
      <c r="B32" s="12" t="s">
        <v>33</v>
      </c>
      <c r="C32" s="13">
        <f>COUNTA('Entradas a 1.3'!$A$5:$A$360)</f>
        <v/>
      </c>
      <c r="D32" s="14">
        <f>COUNTIFS('Entradas a 1.3'!$B$5:$B$360,"ISO + Calidad")</f>
        <v/>
      </c>
      <c r="E32" s="14">
        <f>COUNTIFS('Entradas a 1.3'!$B$5:$B$360,"Core Tools Premium")</f>
        <v/>
      </c>
      <c r="F32" s="14">
        <f>COUNTIFS('Entradas a 1.3'!$B$5:$B$360,"Manufactura y Calidad")</f>
        <v/>
      </c>
    </row>
    <row r="33" ht="34" customHeight="1">
      <c r="B33" s="15" t="s">
        <v>34</v>
      </c>
      <c r="C33" s="16">
        <f>COUNTIFS('Entradas a 1.3'!$I$5:$I$360,"Sí")</f>
        <v/>
      </c>
      <c r="D33" s="17">
        <f>COUNTIFS('Entradas a 1.3'!$B$5:$B$360,"ISO + Calidad",'Entradas a 1.3'!$I$5:$I$360,"Sí")</f>
        <v/>
      </c>
      <c r="E33" s="17">
        <f>COUNTIFS('Entradas a 1.3'!$B$5:$B$360,"Core Tools Premium",'Entradas a 1.3'!$I$5:$I$360,"Sí")</f>
        <v/>
      </c>
      <c r="F33" s="17">
        <f>COUNTIFS('Entradas a 1.3'!$B$5:$B$360,"Manufactura y Calidad",'Entradas a 1.3'!$I$5:$I$360,"Sí")</f>
        <v/>
      </c>
    </row>
    <row r="34" ht="34" customHeight="1">
      <c r="B34" s="12" t="s">
        <v>35</v>
      </c>
      <c r="C34" s="18">
        <f>IF(COUNTIFS('Entradas a 1.3'!$G$5:$G$360,"Sí")=0,0,COUNTIFS('Entradas a 1.3'!$U$5:$U$360,"Sí")/COUNTIFS('Entradas a 1.3'!$G$5:$G$360,"Sí"))</f>
        <v/>
      </c>
      <c r="D34" s="19">
        <f>IF(COUNTIFS('Entradas a 1.3'!$B$5:$B$360,"ISO + Calidad",'Entradas a 1.3'!$G$5:$G$360,"Sí")=0,0,COUNTIFS('Entradas a 1.3'!$B$5:$B$360,"ISO + Calidad",'Entradas a 1.3'!$U$5:$U$360,"Sí")/COUNTIFS('Entradas a 1.3'!$B$5:$B$360,"ISO + Calidad",'Entradas a 1.3'!$G$5:$G$360,"Sí"))</f>
        <v/>
      </c>
      <c r="E34" s="19">
        <f>IF(COUNTIFS('Entradas a 1.3'!$B$5:$B$360,"Core Tools Premium",'Entradas a 1.3'!$G$5:$G$360,"Sí")=0,0,COUNTIFS('Entradas a 1.3'!$B$5:$B$360,"Core Tools Premium",'Entradas a 1.3'!$U$5:$U$360,"Sí")/COUNTIFS('Entradas a 1.3'!$B$5:$B$360,"Core Tools Premium",'Entradas a 1.3'!$G$5:$G$360,"Sí"))</f>
        <v/>
      </c>
      <c r="F34" s="19">
        <f>IF(COUNTIFS('Entradas a 1.3'!$B$5:$B$360,"Manufactura y Calidad",'Entradas a 1.3'!$G$5:$G$360,"Sí")=0,0,COUNTIFS('Entradas a 1.3'!$B$5:$B$360,"Manufactura y Calidad",'Entradas a 1.3'!$U$5:$U$360,"Sí")/COUNTIFS('Entradas a 1.3'!$B$5:$B$360,"Manufactura y Calidad",'Entradas a 1.3'!$G$5:$G$360,"Sí"))</f>
        <v/>
      </c>
    </row>
    <row r="35" ht="34" customHeight="1">
      <c r="B35" s="15" t="s">
        <v>36</v>
      </c>
      <c r="C35" s="20">
        <f>IF(COUNTIFS('Entradas a 1.3'!$H$5:$H$360,"Sí")=0,0,COUNTIFS('Entradas a 1.3'!$V$5:$V$360,"Sí")/COUNTIFS('Entradas a 1.3'!$H$5:$H$360,"Sí"))</f>
        <v/>
      </c>
      <c r="D35" s="21">
        <f>IF(COUNTIFS('Entradas a 1.3'!$B$5:$B$360,"ISO + Calidad",'Entradas a 1.3'!$H$5:$H$360,"Sí")=0,0,COUNTIFS('Entradas a 1.3'!$B$5:$B$360,"ISO + Calidad",'Entradas a 1.3'!$V$5:$V$360,"Sí")/COUNTIFS('Entradas a 1.3'!$B$5:$B$360,"ISO + Calidad",'Entradas a 1.3'!$H$5:$H$360,"Sí"))</f>
        <v/>
      </c>
      <c r="E35" s="21">
        <f>IF(COUNTIFS('Entradas a 1.3'!$B$5:$B$360,"Core Tools Premium",'Entradas a 1.3'!$H$5:$H$360,"Sí")=0,0,COUNTIFS('Entradas a 1.3'!$B$5:$B$360,"Core Tools Premium",'Entradas a 1.3'!$V$5:$V$360,"Sí")/COUNTIFS('Entradas a 1.3'!$B$5:$B$360,"Core Tools Premium",'Entradas a 1.3'!$H$5:$H$360,"Sí"))</f>
        <v/>
      </c>
      <c r="F35" s="21">
        <f>IF(COUNTIFS('Entradas a 1.3'!$B$5:$B$360,"Manufactura y Calidad",'Entradas a 1.3'!$H$5:$H$360,"Sí")=0,0,COUNTIFS('Entradas a 1.3'!$B$5:$B$360,"Manufactura y Calidad",'Entradas a 1.3'!$V$5:$V$360,"Sí")/COUNTIFS('Entradas a 1.3'!$B$5:$B$360,"Manufactura y Calidad",'Entradas a 1.3'!$H$5:$H$360,"Sí"))</f>
        <v/>
      </c>
    </row>
    <row r="36" ht="34" customHeight="1">
      <c r="B36" s="12" t="s">
        <v>37</v>
      </c>
      <c r="C36" s="13">
        <f>COUNTIFS('Entradas a 1.3'!$P$5:$P$360,"Sí")</f>
        <v/>
      </c>
      <c r="D36" s="14">
        <f>COUNTIFS('Entradas a 1.3'!$B$5:$B$360,"ISO + Calidad",'Entradas a 1.3'!$P$5:$P$360,"Sí")</f>
        <v/>
      </c>
      <c r="E36" s="14">
        <f>COUNTIFS('Entradas a 1.3'!$B$5:$B$360,"Core Tools Premium",'Entradas a 1.3'!$P$5:$P$360,"Sí")</f>
        <v/>
      </c>
      <c r="F36" s="14">
        <f>COUNTIFS('Entradas a 1.3'!$B$5:$B$360,"Manufactura y Calidad",'Entradas a 1.3'!$P$5:$P$360,"Sí")</f>
        <v/>
      </c>
    </row>
    <row r="37">
      <c r="B37" s="15" t="s">
        <v>38</v>
      </c>
      <c r="C37" s="20">
        <f>IF(C32=0,0,C36/C32)</f>
        <v/>
      </c>
      <c r="D37" s="21">
        <f>IF(D32=0,0,D36/D32)</f>
        <v/>
      </c>
      <c r="E37" s="21">
        <f>IF(E32=0,0,E36/E32)</f>
        <v/>
      </c>
      <c r="F37" s="21">
        <f>IF(F32=0,0,F36/F32)</f>
        <v/>
      </c>
    </row>
    <row r="38">
      <c r="B38" s="12" t="s">
        <v>39</v>
      </c>
      <c r="C38" s="13">
        <f>COUNTIFS('Entradas a 1.3'!$R$5:$R$360,"Sí")</f>
        <v/>
      </c>
      <c r="D38" s="14">
        <f>COUNTIFS('Entradas a 1.3'!$B$5:$B$360,"ISO + Calidad",'Entradas a 1.3'!$R$5:$R$360,"Sí")</f>
        <v/>
      </c>
      <c r="E38" s="14">
        <f>COUNTIFS('Entradas a 1.3'!$B$5:$B$360,"Core Tools Premium",'Entradas a 1.3'!$R$5:$R$360,"Sí")</f>
        <v/>
      </c>
      <c r="F38" s="14">
        <f>COUNTIFS('Entradas a 1.3'!$B$5:$B$360,"Manufactura y Calidad",'Entradas a 1.3'!$R$5:$R$360,"Sí")</f>
        <v/>
      </c>
    </row>
    <row r="39">
      <c r="B39" s="15" t="s">
        <v>40</v>
      </c>
      <c r="C39" s="16">
        <f>COUNTIFS('Entradas a 1.3'!$M$5:$M$360,"Negativo",'Entradas a 1.3'!$N$5:$N$360,"Bot de 1.3")</f>
        <v/>
      </c>
      <c r="D39" s="17">
        <f>COUNTIFS('Entradas a 1.3'!$B$5:$B$360,"ISO + Calidad",'Entradas a 1.3'!$M$5:$M$360,"Negativo",'Entradas a 1.3'!$N$5:$N$360,"Bot de 1.3")</f>
        <v/>
      </c>
      <c r="E39" s="17">
        <f>COUNTIFS('Entradas a 1.3'!$B$5:$B$360,"Core Tools Premium",'Entradas a 1.3'!$M$5:$M$360,"Negativo",'Entradas a 1.3'!$N$5:$N$360,"Bot de 1.3")</f>
        <v/>
      </c>
      <c r="F39" s="17">
        <f>COUNTIFS('Entradas a 1.3'!$B$5:$B$360,"Manufactura y Calidad",'Entradas a 1.3'!$M$5:$M$360,"Negativo",'Entradas a 1.3'!$N$5:$N$360,"Bot de 1.3")</f>
        <v/>
      </c>
    </row>
    <row r="40" ht="34" customHeight="1">
      <c r="B40" s="12" t="s">
        <v>41</v>
      </c>
      <c r="C40" s="13">
        <f>COUNTIFS('Entradas a 1.3'!$S$5:$S$360,"Sí")</f>
        <v/>
      </c>
      <c r="D40" s="14">
        <f>COUNTIFS('Entradas a 1.3'!$B$5:$B$360,"ISO + Calidad",'Entradas a 1.3'!$S$5:$S$360,"Sí")</f>
        <v/>
      </c>
      <c r="E40" s="14">
        <f>COUNTIFS('Entradas a 1.3'!$B$5:$B$360,"Core Tools Premium",'Entradas a 1.3'!$S$5:$S$360,"Sí")</f>
        <v/>
      </c>
      <c r="F40" s="14">
        <f>COUNTIFS('Entradas a 1.3'!$B$5:$B$360,"Manufactura y Calidad",'Entradas a 1.3'!$S$5:$S$360,"Sí")</f>
        <v/>
      </c>
    </row>
    <row r="41" ht="34" customHeight="1">
      <c r="B41" s="15" t="s">
        <v>42</v>
      </c>
      <c r="C41" s="16">
        <f>COUNTIFS('Entradas a 1.3'!$L$5:$L$360,"Sí")</f>
        <v/>
      </c>
      <c r="D41" s="17">
        <f>COUNTIFS('Entradas a 1.3'!$B$5:$B$360,"ISO + Calidad",'Entradas a 1.3'!$L$5:$L$360,"Sí")</f>
        <v/>
      </c>
      <c r="E41" s="17">
        <f>COUNTIFS('Entradas a 1.3'!$B$5:$B$360,"Core Tools Premium",'Entradas a 1.3'!$L$5:$L$360,"Sí")</f>
        <v/>
      </c>
      <c r="F41" s="17">
        <f>COUNTIFS('Entradas a 1.3'!$B$5:$B$360,"Manufactura y Calidad",'Entradas a 1.3'!$L$5:$L$360,"Sí")</f>
        <v/>
      </c>
    </row>
    <row r="42"/>
    <row r="43" ht="62" customHeight="1">
      <c r="B43" s="24" t="s">
        <v>43</v>
      </c>
    </row>
  </sheetData>
  <mergeCells count="10">
    <mergeCell ref="C9:F9"/>
    <mergeCell ref="C17:F17"/>
    <mergeCell ref="C8:F8"/>
    <mergeCell ref="C12:F12"/>
    <mergeCell ref="C6:F6"/>
    <mergeCell ref="C7:F7"/>
    <mergeCell ref="C16:F16"/>
    <mergeCell ref="C15:F15"/>
    <mergeCell ref="C11:F11"/>
    <mergeCell ref="C10:F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" customWidth="1" min="8" max="8"/>
  </cols>
  <sheetData>
    <row r="1" ht="46" customHeight="1">
      <c r="B1" s="1" t="s">
        <v>44</v>
      </c>
    </row>
    <row r="2" ht="20" customHeight="1">
      <c r="B2" s="2" t="s">
        <v>45</v>
      </c>
    </row>
    <row r="3" ht="6" customHeight="1">
      <c r="A3" s="3"/>
      <c r="B3" s="3"/>
      <c r="C3" s="3"/>
      <c r="D3" s="3"/>
      <c r="E3" s="3"/>
      <c r="F3" s="3"/>
      <c r="G3" s="3"/>
      <c r="H3" s="3"/>
    </row>
    <row r="5" ht="24" customHeight="1">
      <c r="B5" s="4" t="s">
        <v>46</v>
      </c>
      <c r="C5" s="5"/>
      <c r="D5" s="5"/>
      <c r="E5" s="5"/>
      <c r="F5" s="5"/>
    </row>
    <row r="6" ht="32" customHeight="1">
      <c r="B6" s="10" t="s">
        <v>47</v>
      </c>
      <c r="C6" s="11" t="s">
        <v>19</v>
      </c>
      <c r="D6" s="11" t="s">
        <v>20</v>
      </c>
      <c r="E6" s="11" t="s">
        <v>21</v>
      </c>
      <c r="F6" s="11" t="s">
        <v>22</v>
      </c>
      <c r="G6" s="11" t="s">
        <v>48</v>
      </c>
    </row>
    <row r="7">
      <c r="B7" s="15" t="s">
        <v>49</v>
      </c>
      <c r="C7" s="16">
        <f>COUNTIFS('Base leads'!$E$5:$E$1238,"A tiempo (en 1.2)",'Base leads'!$R$5:$R$1238,"Audio y después 1.3")</f>
        <v/>
      </c>
      <c r="D7" s="17">
        <f>COUNTIFS('Base leads'!$B$5:$B$1238,"ISO + Calidad",'Base leads'!$E$5:$E$1238,"A tiempo (en 1.2)",'Base leads'!$R$5:$R$1238,"Audio y después 1.3")</f>
        <v/>
      </c>
      <c r="E7" s="17">
        <f>COUNTIFS('Base leads'!$B$5:$B$1238,"Core Tools Premium",'Base leads'!$E$5:$E$1238,"A tiempo (en 1.2)",'Base leads'!$R$5:$R$1238,"Audio y después 1.3")</f>
        <v/>
      </c>
      <c r="F7" s="17">
        <f>COUNTIFS('Base leads'!$B$5:$B$1238,"Manufactura y Calidad",'Base leads'!$E$5:$E$1238,"A tiempo (en 1.2)",'Base leads'!$R$5:$R$1238,"Audio y después 1.3")</f>
        <v/>
      </c>
      <c r="G7" s="21">
        <f>IF(C$12=0,0,C7/C$12)</f>
        <v/>
      </c>
    </row>
    <row r="8">
      <c r="B8" s="12" t="s">
        <v>50</v>
      </c>
      <c r="C8" s="13">
        <f>COUNTIFS('Base leads'!$E$5:$E$1238,"A tiempo (en 1.2)",'Base leads'!$R$5:$R$1238,"1.3 y después audio")</f>
        <v/>
      </c>
      <c r="D8" s="14">
        <f>COUNTIFS('Base leads'!$B$5:$B$1238,"ISO + Calidad",'Base leads'!$E$5:$E$1238,"A tiempo (en 1.2)",'Base leads'!$R$5:$R$1238,"1.3 y después audio")</f>
        <v/>
      </c>
      <c r="E8" s="14">
        <f>COUNTIFS('Base leads'!$B$5:$B$1238,"Core Tools Premium",'Base leads'!$E$5:$E$1238,"A tiempo (en 1.2)",'Base leads'!$R$5:$R$1238,"1.3 y después audio")</f>
        <v/>
      </c>
      <c r="F8" s="14">
        <f>COUNTIFS('Base leads'!$B$5:$B$1238,"Manufactura y Calidad",'Base leads'!$E$5:$E$1238,"A tiempo (en 1.2)",'Base leads'!$R$5:$R$1238,"1.3 y después audio")</f>
        <v/>
      </c>
      <c r="G8" s="19">
        <f>IF(C$12=0,0,C8/C$12)</f>
        <v/>
      </c>
    </row>
    <row r="9">
      <c r="B9" s="15" t="s">
        <v>51</v>
      </c>
      <c r="C9" s="16">
        <f>COUNTIFS('Base leads'!$E$5:$E$1238,"A tiempo (en 1.2)",'Base leads'!$R$5:$R$1238,"Movido a 1.3 sin audio")</f>
        <v/>
      </c>
      <c r="D9" s="17">
        <f>COUNTIFS('Base leads'!$B$5:$B$1238,"ISO + Calidad",'Base leads'!$E$5:$E$1238,"A tiempo (en 1.2)",'Base leads'!$R$5:$R$1238,"Movido a 1.3 sin audio")</f>
        <v/>
      </c>
      <c r="E9" s="17">
        <f>COUNTIFS('Base leads'!$B$5:$B$1238,"Core Tools Premium",'Base leads'!$E$5:$E$1238,"A tiempo (en 1.2)",'Base leads'!$R$5:$R$1238,"Movido a 1.3 sin audio")</f>
        <v/>
      </c>
      <c r="F9" s="17">
        <f>COUNTIFS('Base leads'!$B$5:$B$1238,"Manufactura y Calidad",'Base leads'!$E$5:$E$1238,"A tiempo (en 1.2)",'Base leads'!$R$5:$R$1238,"Movido a 1.3 sin audio")</f>
        <v/>
      </c>
      <c r="G9" s="21">
        <f>IF(C$12=0,0,C9/C$12)</f>
        <v/>
      </c>
    </row>
    <row r="10">
      <c r="B10" s="12" t="s">
        <v>52</v>
      </c>
      <c r="C10" s="13">
        <f>COUNTIFS('Base leads'!$E$5:$E$1238,"A tiempo (en 1.2)",'Base leads'!$R$5:$R$1238,"Audio sin mover a 1.3")</f>
        <v/>
      </c>
      <c r="D10" s="14">
        <f>COUNTIFS('Base leads'!$B$5:$B$1238,"ISO + Calidad",'Base leads'!$E$5:$E$1238,"A tiempo (en 1.2)",'Base leads'!$R$5:$R$1238,"Audio sin mover a 1.3")</f>
        <v/>
      </c>
      <c r="E10" s="14">
        <f>COUNTIFS('Base leads'!$B$5:$B$1238,"Core Tools Premium",'Base leads'!$E$5:$E$1238,"A tiempo (en 1.2)",'Base leads'!$R$5:$R$1238,"Audio sin mover a 1.3")</f>
        <v/>
      </c>
      <c r="F10" s="14">
        <f>COUNTIFS('Base leads'!$B$5:$B$1238,"Manufactura y Calidad",'Base leads'!$E$5:$E$1238,"A tiempo (en 1.2)",'Base leads'!$R$5:$R$1238,"Audio sin mover a 1.3")</f>
        <v/>
      </c>
      <c r="G10" s="19">
        <f>IF(C$12=0,0,C10/C$12)</f>
        <v/>
      </c>
    </row>
    <row r="11">
      <c r="B11" s="15" t="s">
        <v>53</v>
      </c>
      <c r="C11" s="16">
        <f>COUNTIFS('Base leads'!$E$5:$E$1238,"A tiempo (en 1.2)",'Base leads'!$R$5:$R$1238,"Ni audio ni 1.3")</f>
        <v/>
      </c>
      <c r="D11" s="17">
        <f>COUNTIFS('Base leads'!$B$5:$B$1238,"ISO + Calidad",'Base leads'!$E$5:$E$1238,"A tiempo (en 1.2)",'Base leads'!$R$5:$R$1238,"Ni audio ni 1.3")</f>
        <v/>
      </c>
      <c r="E11" s="17">
        <f>COUNTIFS('Base leads'!$B$5:$B$1238,"Core Tools Premium",'Base leads'!$E$5:$E$1238,"A tiempo (en 1.2)",'Base leads'!$R$5:$R$1238,"Ni audio ni 1.3")</f>
        <v/>
      </c>
      <c r="F11" s="17">
        <f>COUNTIFS('Base leads'!$B$5:$B$1238,"Manufactura y Calidad",'Base leads'!$E$5:$E$1238,"A tiempo (en 1.2)",'Base leads'!$R$5:$R$1238,"Ni audio ni 1.3")</f>
        <v/>
      </c>
      <c r="G11" s="21">
        <f>IF(C$12=0,0,C11/C$12)</f>
        <v/>
      </c>
    </row>
    <row r="12">
      <c r="B12" s="25" t="s">
        <v>54</v>
      </c>
      <c r="C12" s="16">
        <f>SUM(C7:C11)</f>
        <v/>
      </c>
      <c r="D12" s="26">
        <f>SUM(D7:D11)</f>
        <v/>
      </c>
      <c r="E12" s="26">
        <f>SUM(E7:E11)</f>
        <v/>
      </c>
      <c r="F12" s="26">
        <f>SUM(F7:F11)</f>
        <v/>
      </c>
      <c r="G12" s="27">
        <f>IF(C12=0,0,C12/C12)</f>
        <v/>
      </c>
    </row>
    <row r="13"/>
    <row r="14" ht="48" customHeight="1">
      <c r="B14" s="24" t="s">
        <v>55</v>
      </c>
    </row>
    <row r="15"/>
    <row r="16" ht="34" customHeight="1">
      <c r="B16" s="4" t="s">
        <v>56</v>
      </c>
      <c r="C16" s="5"/>
      <c r="D16" s="5"/>
      <c r="E16" s="5"/>
      <c r="F16" s="5"/>
    </row>
    <row r="17" ht="32" customHeight="1">
      <c r="B17" s="10" t="s">
        <v>57</v>
      </c>
      <c r="C17" s="11" t="s">
        <v>19</v>
      </c>
      <c r="D17" s="11" t="s">
        <v>20</v>
      </c>
      <c r="E17" s="11" t="s">
        <v>21</v>
      </c>
      <c r="F17" s="11" t="s">
        <v>22</v>
      </c>
    </row>
    <row r="18">
      <c r="B18" s="12" t="s">
        <v>58</v>
      </c>
      <c r="C18" s="28">
        <f t="array" ref="C18">MEDIAN(IF(('Base leads'!$E$5:$E$1238="A tiempo (en 1.2)"),IF('Base leads'!$I$5:$I$1238&lt;&gt;"",'Base leads'!$I$5:$I$1238)))</f>
        <v/>
      </c>
      <c r="D18" s="29">
        <f t="array" ref="D18">MEDIAN(IF(('Base leads'!$E$5:$E$1238="A tiempo (en 1.2)")*('Base leads'!$B$5:$B$1238="ISO + Calidad"),IF('Base leads'!$I$5:$I$1238&lt;&gt;"",'Base leads'!$I$5:$I$1238)))</f>
        <v/>
      </c>
      <c r="E18" s="29">
        <f t="array" ref="E18">MEDIAN(IF(('Base leads'!$E$5:$E$1238="A tiempo (en 1.2)")*('Base leads'!$B$5:$B$1238="Core Tools Premium"),IF('Base leads'!$I$5:$I$1238&lt;&gt;"",'Base leads'!$I$5:$I$1238)))</f>
        <v/>
      </c>
      <c r="F18" s="29">
        <f t="array" ref="F18">MEDIAN(IF(('Base leads'!$E$5:$E$1238="A tiempo (en 1.2)")*('Base leads'!$B$5:$B$1238="Manufactura y Calidad"),IF('Base leads'!$I$5:$I$1238&lt;&gt;"",'Base leads'!$I$5:$I$1238)))</f>
        <v/>
      </c>
    </row>
    <row r="19">
      <c r="B19" s="15" t="s">
        <v>59</v>
      </c>
      <c r="C19" s="30">
        <f t="array" ref="C19">MEDIAN(IF(('Base leads'!$E$5:$E$1238="A tiempo (en 1.2)")*('Base leads'!$K$5:$K$1238="Sí"),IF('Base leads'!$M$5:$M$1238&lt;&gt;"",'Base leads'!$M$5:$M$1238)))</f>
        <v/>
      </c>
      <c r="D19" s="23">
        <f t="array" ref="D19">MEDIAN(IF(('Base leads'!$E$5:$E$1238="A tiempo (en 1.2)")*('Base leads'!$K$5:$K$1238="Sí")*('Base leads'!$B$5:$B$1238="ISO + Calidad"),IF('Base leads'!$M$5:$M$1238&lt;&gt;"",'Base leads'!$M$5:$M$1238)))</f>
        <v/>
      </c>
      <c r="E19" s="23">
        <f t="array" ref="E19">MEDIAN(IF(('Base leads'!$E$5:$E$1238="A tiempo (en 1.2)")*('Base leads'!$K$5:$K$1238="Sí")*('Base leads'!$B$5:$B$1238="Core Tools Premium"),IF('Base leads'!$M$5:$M$1238&lt;&gt;"",'Base leads'!$M$5:$M$1238)))</f>
        <v/>
      </c>
      <c r="F19" s="23">
        <f t="array" ref="F19">MEDIAN(IF(('Base leads'!$E$5:$E$1238="A tiempo (en 1.2)")*('Base leads'!$K$5:$K$1238="Sí")*('Base leads'!$B$5:$B$1238="Manufactura y Calidad"),IF('Base leads'!$M$5:$M$1238&lt;&gt;"",'Base leads'!$M$5:$M$1238)))</f>
        <v/>
      </c>
    </row>
    <row r="20">
      <c r="B20" s="12" t="s">
        <v>60</v>
      </c>
      <c r="C20" s="28">
        <f t="array" ref="C20">MEDIAN(IF(('Base leads'!$E$5:$E$1238="A tiempo (en 1.2)")*('Base leads'!$N$5:$N$1238="Sí"),IF('Base leads'!$P$5:$P$1238&lt;&gt;"",'Base leads'!$P$5:$P$1238)))</f>
        <v/>
      </c>
      <c r="D20" s="29">
        <f t="array" ref="D20">MEDIAN(IF(('Base leads'!$E$5:$E$1238="A tiempo (en 1.2)")*('Base leads'!$N$5:$N$1238="Sí")*('Base leads'!$B$5:$B$1238="ISO + Calidad"),IF('Base leads'!$P$5:$P$1238&lt;&gt;"",'Base leads'!$P$5:$P$1238)))</f>
        <v/>
      </c>
      <c r="E20" s="29">
        <f t="array" ref="E20">MEDIAN(IF(('Base leads'!$E$5:$E$1238="A tiempo (en 1.2)")*('Base leads'!$N$5:$N$1238="Sí")*('Base leads'!$B$5:$B$1238="Core Tools Premium"),IF('Base leads'!$P$5:$P$1238&lt;&gt;"",'Base leads'!$P$5:$P$1238)))</f>
        <v/>
      </c>
      <c r="F20" s="29">
        <f t="array" ref="F20">MEDIAN(IF(('Base leads'!$E$5:$E$1238="A tiempo (en 1.2)")*('Base leads'!$N$5:$N$1238="Sí")*('Base leads'!$B$5:$B$1238="Manufactura y Calidad"),IF('Base leads'!$P$5:$P$1238&lt;&gt;"",'Base leads'!$P$5:$P$1238)))</f>
        <v/>
      </c>
    </row>
    <row r="21"/>
    <row r="22" ht="24" customHeight="1">
      <c r="B22" s="4" t="s">
        <v>61</v>
      </c>
      <c r="C22" s="5"/>
      <c r="D22" s="5"/>
      <c r="E22" s="5"/>
      <c r="F22" s="5"/>
    </row>
    <row r="23" ht="32" customHeight="1">
      <c r="B23" s="10" t="s">
        <v>62</v>
      </c>
      <c r="C23" s="11" t="s">
        <v>19</v>
      </c>
      <c r="D23" s="11" t="s">
        <v>20</v>
      </c>
      <c r="E23" s="11" t="s">
        <v>21</v>
      </c>
      <c r="F23" s="11" t="s">
        <v>22</v>
      </c>
      <c r="G23" s="11" t="s">
        <v>63</v>
      </c>
    </row>
    <row r="24">
      <c r="B24" s="12" t="s">
        <v>64</v>
      </c>
      <c r="C24" s="13">
        <f>COUNTIFS('Base leads'!$E$5:$E$1238,"A tiempo (en 1.2)",'Base leads'!$S$5:$S$1238,"Negativo (lo mandó el bot)")</f>
        <v/>
      </c>
      <c r="D24" s="14">
        <f>COUNTIFS('Base leads'!$B$5:$B$1238,"ISO + Calidad",'Base leads'!$E$5:$E$1238,"A tiempo (en 1.2)",'Base leads'!$S$5:$S$1238,"Negativo (lo mandó el bot)")</f>
        <v/>
      </c>
      <c r="E24" s="14">
        <f>COUNTIFS('Base leads'!$B$5:$B$1238,"Core Tools Premium",'Base leads'!$E$5:$E$1238,"A tiempo (en 1.2)",'Base leads'!$S$5:$S$1238,"Negativo (lo mandó el bot)")</f>
        <v/>
      </c>
      <c r="F24" s="14">
        <f>COUNTIFS('Base leads'!$B$5:$B$1238,"Manufactura y Calidad",'Base leads'!$E$5:$E$1238,"A tiempo (en 1.2)",'Base leads'!$S$5:$S$1238,"Negativo (lo mandó el bot)")</f>
        <v/>
      </c>
      <c r="G24" s="14">
        <f>COUNTIFS('Base leads'!$E$5:$E$1238,"A tiempo (en 1.2)",'Base leads'!$S$5:$S$1238,"Negativo (lo mandó el bot)",'Base leads'!$G$5:$G$1238,"Sí")</f>
        <v/>
      </c>
    </row>
    <row r="25">
      <c r="B25" s="15" t="s">
        <v>65</v>
      </c>
      <c r="C25" s="16">
        <f>COUNTIFS('Base leads'!$E$5:$E$1238,"A tiempo (en 1.2)",'Base leads'!$S$5:$S$1238,"Perdido (persona)")</f>
        <v/>
      </c>
      <c r="D25" s="17">
        <f>COUNTIFS('Base leads'!$B$5:$B$1238,"ISO + Calidad",'Base leads'!$E$5:$E$1238,"A tiempo (en 1.2)",'Base leads'!$S$5:$S$1238,"Perdido (persona)")</f>
        <v/>
      </c>
      <c r="E25" s="17">
        <f>COUNTIFS('Base leads'!$B$5:$B$1238,"Core Tools Premium",'Base leads'!$E$5:$E$1238,"A tiempo (en 1.2)",'Base leads'!$S$5:$S$1238,"Perdido (persona)")</f>
        <v/>
      </c>
      <c r="F25" s="17">
        <f>COUNTIFS('Base leads'!$B$5:$B$1238,"Manufactura y Calidad",'Base leads'!$E$5:$E$1238,"A tiempo (en 1.2)",'Base leads'!$S$5:$S$1238,"Perdido (persona)")</f>
        <v/>
      </c>
      <c r="G25" s="17">
        <f>COUNTIFS('Base leads'!$E$5:$E$1238,"A tiempo (en 1.2)",'Base leads'!$S$5:$S$1238,"Perdido (persona)",'Base leads'!$G$5:$G$1238,"Sí")</f>
        <v/>
      </c>
    </row>
    <row r="26">
      <c r="B26" s="12" t="s">
        <v>66</v>
      </c>
      <c r="C26" s="13">
        <f>COUNTIFS('Base leads'!$E$5:$E$1238,"A tiempo (en 1.2)",'Base leads'!$S$5:$S$1238,"1.4, pago o Ganado (persona)")</f>
        <v/>
      </c>
      <c r="D26" s="14">
        <f>COUNTIFS('Base leads'!$B$5:$B$1238,"ISO + Calidad",'Base leads'!$E$5:$E$1238,"A tiempo (en 1.2)",'Base leads'!$S$5:$S$1238,"1.4, pago o Ganado (persona)")</f>
        <v/>
      </c>
      <c r="E26" s="14">
        <f>COUNTIFS('Base leads'!$B$5:$B$1238,"Core Tools Premium",'Base leads'!$E$5:$E$1238,"A tiempo (en 1.2)",'Base leads'!$S$5:$S$1238,"1.4, pago o Ganado (persona)")</f>
        <v/>
      </c>
      <c r="F26" s="14">
        <f>COUNTIFS('Base leads'!$B$5:$B$1238,"Manufactura y Calidad",'Base leads'!$E$5:$E$1238,"A tiempo (en 1.2)",'Base leads'!$S$5:$S$1238,"1.4, pago o Ganado (persona)")</f>
        <v/>
      </c>
      <c r="G26" s="14">
        <f>COUNTIFS('Base leads'!$E$5:$E$1238,"A tiempo (en 1.2)",'Base leads'!$S$5:$S$1238,"1.4, pago o Ganado (persona)",'Base leads'!$G$5:$G$1238,"Sí")</f>
        <v/>
      </c>
    </row>
    <row r="27">
      <c r="B27" s="15" t="s">
        <v>67</v>
      </c>
      <c r="C27" s="16">
        <f>COUNTIFS('Base leads'!$E$5:$E$1238,"A tiempo (en 1.2)",'Base leads'!$S$5:$S$1238,"Negativo (lo movió una persona)")</f>
        <v/>
      </c>
      <c r="D27" s="17">
        <f>COUNTIFS('Base leads'!$B$5:$B$1238,"ISO + Calidad",'Base leads'!$E$5:$E$1238,"A tiempo (en 1.2)",'Base leads'!$S$5:$S$1238,"Negativo (lo movió una persona)")</f>
        <v/>
      </c>
      <c r="E27" s="17">
        <f>COUNTIFS('Base leads'!$B$5:$B$1238,"Core Tools Premium",'Base leads'!$E$5:$E$1238,"A tiempo (en 1.2)",'Base leads'!$S$5:$S$1238,"Negativo (lo movió una persona)")</f>
        <v/>
      </c>
      <c r="F27" s="17">
        <f>COUNTIFS('Base leads'!$B$5:$B$1238,"Manufactura y Calidad",'Base leads'!$E$5:$E$1238,"A tiempo (en 1.2)",'Base leads'!$S$5:$S$1238,"Negativo (lo movió una persona)")</f>
        <v/>
      </c>
      <c r="G27" s="17">
        <f>COUNTIFS('Base leads'!$E$5:$E$1238,"A tiempo (en 1.2)",'Base leads'!$S$5:$S$1238,"Negativo (lo movió una persona)",'Base leads'!$G$5:$G$1238,"Sí")</f>
        <v/>
      </c>
    </row>
    <row r="28">
      <c r="B28" s="12" t="s">
        <v>68</v>
      </c>
      <c r="C28" s="13">
        <f>COUNTIFS('Base leads'!$E$5:$E$1238,"A tiempo (en 1.2)",'Base leads'!$S$5:$S$1238,"Sigue en 1.2")</f>
        <v/>
      </c>
      <c r="D28" s="14">
        <f>COUNTIFS('Base leads'!$B$5:$B$1238,"ISO + Calidad",'Base leads'!$E$5:$E$1238,"A tiempo (en 1.2)",'Base leads'!$S$5:$S$1238,"Sigue en 1.2")</f>
        <v/>
      </c>
      <c r="E28" s="14">
        <f>COUNTIFS('Base leads'!$B$5:$B$1238,"Core Tools Premium",'Base leads'!$E$5:$E$1238,"A tiempo (en 1.2)",'Base leads'!$S$5:$S$1238,"Sigue en 1.2")</f>
        <v/>
      </c>
      <c r="F28" s="14">
        <f>COUNTIFS('Base leads'!$B$5:$B$1238,"Manufactura y Calidad",'Base leads'!$E$5:$E$1238,"A tiempo (en 1.2)",'Base leads'!$S$5:$S$1238,"Sigue en 1.2")</f>
        <v/>
      </c>
      <c r="G28" s="14">
        <f>COUNTIFS('Base leads'!$E$5:$E$1238,"A tiempo (en 1.2)",'Base leads'!$S$5:$S$1238,"Sigue en 1.2",'Base leads'!$G$5:$G$1238,"Sí")</f>
        <v/>
      </c>
    </row>
    <row r="29"/>
    <row r="30" ht="34" customHeight="1">
      <c r="B30" s="4" t="s">
        <v>69</v>
      </c>
      <c r="C30" s="5"/>
      <c r="D30" s="5"/>
      <c r="E30" s="5"/>
      <c r="F30" s="5"/>
    </row>
    <row r="31" ht="34" customHeight="1">
      <c r="B31" s="10" t="s">
        <v>70</v>
      </c>
      <c r="C31" s="11" t="s">
        <v>71</v>
      </c>
      <c r="D31" s="11" t="s">
        <v>72</v>
      </c>
      <c r="E31" s="11" t="s">
        <v>73</v>
      </c>
      <c r="F31" s="11" t="s">
        <v>74</v>
      </c>
      <c r="G31" s="11" t="s">
        <v>75</v>
      </c>
    </row>
    <row r="32">
      <c r="B32" s="12" t="s">
        <v>76</v>
      </c>
      <c r="C32" s="14">
        <f>COUNTIFS('Base leads'!$E$5:$E$1238,"A tiempo (en 1.2)",'Base leads'!$T$5:$T$1238,"9 a 18 h")</f>
        <v/>
      </c>
      <c r="D32" s="14">
        <f>COUNTIFS('Base leads'!$E$5:$E$1238,"A tiempo (en 1.2)",'Base leads'!$T$5:$T$1238,"9 a 18 h",'Base leads'!$K$5:$K$1238,"Sí")</f>
        <v/>
      </c>
      <c r="E32" s="14">
        <f>COUNTIFS('Base leads'!$E$5:$E$1238,"A tiempo (en 1.2)",'Base leads'!$T$5:$T$1238,"9 a 18 h",'Base leads'!$N$5:$N$1238,"Sí")</f>
        <v/>
      </c>
      <c r="F32" s="18">
        <f>IF(C32=0,0,E32/C32)</f>
        <v/>
      </c>
      <c r="G32" s="29">
        <f t="array" ref="G32">MEDIAN(IF(('Base leads'!$E$5:$E$1238="A tiempo (en 1.2)")*('Base leads'!$N$5:$N$1238="Sí")*('Base leads'!$T$5:$T$1238="9 a 18 h"),IF('Base leads'!$P$5:$P$1238&lt;&gt;"",'Base leads'!$P$5:$P$1238)))</f>
        <v/>
      </c>
    </row>
    <row r="33">
      <c r="B33" s="15" t="s">
        <v>77</v>
      </c>
      <c r="C33" s="17">
        <f>COUNTIFS('Base leads'!$E$5:$E$1238,"A tiempo (en 1.2)",'Base leads'!$T$5:$T$1238,"18 a 22 h")</f>
        <v/>
      </c>
      <c r="D33" s="17">
        <f>COUNTIFS('Base leads'!$E$5:$E$1238,"A tiempo (en 1.2)",'Base leads'!$T$5:$T$1238,"18 a 22 h",'Base leads'!$K$5:$K$1238,"Sí")</f>
        <v/>
      </c>
      <c r="E33" s="17">
        <f>COUNTIFS('Base leads'!$E$5:$E$1238,"A tiempo (en 1.2)",'Base leads'!$T$5:$T$1238,"18 a 22 h",'Base leads'!$N$5:$N$1238,"Sí")</f>
        <v/>
      </c>
      <c r="F33" s="20">
        <f>IF(C33=0,0,E33/C33)</f>
        <v/>
      </c>
      <c r="G33" s="23">
        <f t="array" ref="G33">MEDIAN(IF(('Base leads'!$E$5:$E$1238="A tiempo (en 1.2)")*('Base leads'!$N$5:$N$1238="Sí")*('Base leads'!$T$5:$T$1238="18 a 22 h"),IF('Base leads'!$P$5:$P$1238&lt;&gt;"",'Base leads'!$P$5:$P$1238)))</f>
        <v/>
      </c>
    </row>
    <row r="34">
      <c r="B34" s="12" t="s">
        <v>78</v>
      </c>
      <c r="C34" s="14">
        <f>COUNTIFS('Base leads'!$E$5:$E$1238,"A tiempo (en 1.2)",'Base leads'!$T$5:$T$1238,"22 a 9 h")</f>
        <v/>
      </c>
      <c r="D34" s="14">
        <f>COUNTIFS('Base leads'!$E$5:$E$1238,"A tiempo (en 1.2)",'Base leads'!$T$5:$T$1238,"22 a 9 h",'Base leads'!$K$5:$K$1238,"Sí")</f>
        <v/>
      </c>
      <c r="E34" s="14">
        <f>COUNTIFS('Base leads'!$E$5:$E$1238,"A tiempo (en 1.2)",'Base leads'!$T$5:$T$1238,"22 a 9 h",'Base leads'!$N$5:$N$1238,"Sí")</f>
        <v/>
      </c>
      <c r="F34" s="18">
        <f>IF(C34=0,0,E34/C34)</f>
        <v/>
      </c>
      <c r="G34" s="29">
        <f t="array" ref="G34">MEDIAN(IF(('Base leads'!$E$5:$E$1238="A tiempo (en 1.2)")*('Base leads'!$N$5:$N$1238="Sí")*('Base leads'!$T$5:$T$1238="22 a 9 h"),IF('Base leads'!$P$5:$P$1238&lt;&gt;"",'Base leads'!$P$5:$P$1238)))</f>
        <v/>
      </c>
    </row>
    <row r="35"/>
    <row r="36" ht="34" customHeight="1">
      <c r="B36" s="4" t="s">
        <v>79</v>
      </c>
      <c r="C36" s="5"/>
      <c r="D36" s="5"/>
      <c r="E36" s="5"/>
      <c r="F36" s="5"/>
    </row>
    <row r="37" ht="32" customHeight="1">
      <c r="B37" s="10" t="s">
        <v>18</v>
      </c>
      <c r="C37" s="11" t="s">
        <v>19</v>
      </c>
      <c r="D37" s="11" t="s">
        <v>20</v>
      </c>
      <c r="E37" s="11" t="s">
        <v>21</v>
      </c>
      <c r="F37" s="11" t="s">
        <v>22</v>
      </c>
    </row>
    <row r="38">
      <c r="B38" s="12" t="s">
        <v>80</v>
      </c>
      <c r="C38" s="13">
        <f>COUNTIFS('Base leads'!$E$5:$E$1238,"Tarde (ya fuera de 1.2)")</f>
        <v/>
      </c>
      <c r="D38" s="14">
        <f>COUNTIFS('Base leads'!$B$5:$B$1238,"ISO + Calidad",'Base leads'!$E$5:$E$1238,"Tarde (ya fuera de 1.2)")</f>
        <v/>
      </c>
      <c r="E38" s="14">
        <f>COUNTIFS('Base leads'!$B$5:$B$1238,"Core Tools Premium",'Base leads'!$E$5:$E$1238,"Tarde (ya fuera de 1.2)")</f>
        <v/>
      </c>
      <c r="F38" s="14">
        <f>COUNTIFS('Base leads'!$B$5:$B$1238,"Manufactura y Calidad",'Base leads'!$E$5:$E$1238,"Tarde (ya fuera de 1.2)")</f>
        <v/>
      </c>
    </row>
    <row r="39">
      <c r="B39" s="15" t="s">
        <v>81</v>
      </c>
      <c r="C39" s="16">
        <f>COUNTIFS('Base leads'!$E$5:$E$1238,"Tarde (ya fuera de 1.2)",'Base leads'!$K$5:$K$1238,"Sí")</f>
        <v/>
      </c>
      <c r="D39" s="17">
        <f>COUNTIFS('Base leads'!$B$5:$B$1238,"ISO + Calidad",'Base leads'!$E$5:$E$1238,"Tarde (ya fuera de 1.2)",'Base leads'!$K$5:$K$1238,"Sí")</f>
        <v/>
      </c>
      <c r="E39" s="17">
        <f>COUNTIFS('Base leads'!$B$5:$B$1238,"Core Tools Premium",'Base leads'!$E$5:$E$1238,"Tarde (ya fuera de 1.2)",'Base leads'!$K$5:$K$1238,"Sí")</f>
        <v/>
      </c>
      <c r="F39" s="17">
        <f>COUNTIFS('Base leads'!$B$5:$B$1238,"Manufactura y Calidad",'Base leads'!$E$5:$E$1238,"Tarde (ya fuera de 1.2)",'Base leads'!$K$5:$K$1238,"Sí")</f>
        <v/>
      </c>
    </row>
    <row r="40">
      <c r="B40" s="12" t="s">
        <v>82</v>
      </c>
      <c r="C40" s="13">
        <f>COUNTIFS('Base leads'!$E$5:$E$1238,"Tarde (ya fuera de 1.2)",'Base leads'!$N$5:$N$1238,"Sí")</f>
        <v/>
      </c>
      <c r="D40" s="14">
        <f>COUNTIFS('Base leads'!$B$5:$B$1238,"ISO + Calidad",'Base leads'!$E$5:$E$1238,"Tarde (ya fuera de 1.2)",'Base leads'!$N$5:$N$1238,"Sí")</f>
        <v/>
      </c>
      <c r="E40" s="14">
        <f>COUNTIFS('Base leads'!$B$5:$B$1238,"Core Tools Premium",'Base leads'!$E$5:$E$1238,"Tarde (ya fuera de 1.2)",'Base leads'!$N$5:$N$1238,"Sí")</f>
        <v/>
      </c>
      <c r="F40" s="14">
        <f>COUNTIFS('Base leads'!$B$5:$B$1238,"Manufactura y Calidad",'Base leads'!$E$5:$E$1238,"Tarde (ya fuera de 1.2)",'Base leads'!$N$5:$N$1238,"Sí")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1E63"/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46" customHeight="1">
      <c r="B1" s="1" t="s">
        <v>83</v>
      </c>
    </row>
    <row r="2" ht="20" customHeight="1">
      <c r="B2" s="2" t="s">
        <v>84</v>
      </c>
    </row>
    <row r="3" ht="6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5" ht="34" customHeight="1">
      <c r="B5" s="4" t="s">
        <v>85</v>
      </c>
      <c r="C5" s="5"/>
      <c r="D5" s="5"/>
      <c r="E5" s="5"/>
      <c r="F5" s="5"/>
      <c r="G5" s="5"/>
      <c r="H5" s="5"/>
      <c r="I5" s="5"/>
    </row>
    <row r="6" ht="34" customHeight="1">
      <c r="B6" s="10" t="s">
        <v>86</v>
      </c>
      <c r="C6" s="11" t="s">
        <v>87</v>
      </c>
      <c r="D6" s="11" t="s">
        <v>88</v>
      </c>
      <c r="E6" s="11" t="s">
        <v>89</v>
      </c>
      <c r="F6" s="11" t="s">
        <v>73</v>
      </c>
      <c r="G6" s="11" t="s">
        <v>90</v>
      </c>
      <c r="H6" s="11" t="s">
        <v>91</v>
      </c>
      <c r="I6" s="11" t="s">
        <v>92</v>
      </c>
    </row>
    <row r="7">
      <c r="B7" s="15" t="s">
        <v>93</v>
      </c>
      <c r="C7" s="17">
        <f>COUNTIFS('Base leads'!$E$5:$E$1238,"A tiempo (en 1.2)",'Base leads'!$H$5:$H$1238,"Salma Santos Hernández")</f>
        <v/>
      </c>
      <c r="D7" s="17">
        <f>COUNTIFS('Base leads'!$E$5:$E$1238,"A tiempo (en 1.2)",'Base leads'!$H$5:$H$1238,"Salma Santos Hernández",'Base leads'!$J$5:$J$1238,"Sí")</f>
        <v/>
      </c>
      <c r="E7" s="17">
        <f>COUNTIFS('Base leads'!$E$5:$E$1238,"A tiempo (en 1.2)",'Base leads'!$H$5:$H$1238,"Salma Santos Hernández",'Base leads'!$K$5:$K$1238,"Sí")</f>
        <v/>
      </c>
      <c r="F7" s="17">
        <f>COUNTIFS('Base leads'!$E$5:$E$1238,"A tiempo (en 1.2)",'Base leads'!$H$5:$H$1238,"Salma Santos Hernández",'Base leads'!$N$5:$N$1238,"Sí")</f>
        <v/>
      </c>
      <c r="G7" s="21">
        <f>IF(C7=0,0,E7/C7)</f>
        <v/>
      </c>
      <c r="H7" s="20">
        <f>IF(C7=0,0,F7/C7)</f>
        <v/>
      </c>
      <c r="I7" s="23">
        <f t="array" ref="I7">MEDIAN(IF(('Base leads'!$E$5:$E$1238="A tiempo (en 1.2)")*('Base leads'!$H$5:$H$1238="Salma Santos Hernández"),IF('Base leads'!$I$5:$I$1238&lt;&gt;"",'Base leads'!$I$5:$I$1238)))</f>
        <v/>
      </c>
    </row>
    <row r="8">
      <c r="B8" s="12" t="s">
        <v>94</v>
      </c>
      <c r="C8" s="14">
        <f>COUNTIFS('Base leads'!$E$5:$E$1238,"A tiempo (en 1.2)",'Base leads'!$H$5:$H$1238,"José Alexander Morales")</f>
        <v/>
      </c>
      <c r="D8" s="14">
        <f>COUNTIFS('Base leads'!$E$5:$E$1238,"A tiempo (en 1.2)",'Base leads'!$H$5:$H$1238,"José Alexander Morales",'Base leads'!$J$5:$J$1238,"Sí")</f>
        <v/>
      </c>
      <c r="E8" s="14">
        <f>COUNTIFS('Base leads'!$E$5:$E$1238,"A tiempo (en 1.2)",'Base leads'!$H$5:$H$1238,"José Alexander Morales",'Base leads'!$K$5:$K$1238,"Sí")</f>
        <v/>
      </c>
      <c r="F8" s="14">
        <f>COUNTIFS('Base leads'!$E$5:$E$1238,"A tiempo (en 1.2)",'Base leads'!$H$5:$H$1238,"José Alexander Morales",'Base leads'!$N$5:$N$1238,"Sí")</f>
        <v/>
      </c>
      <c r="G8" s="19">
        <f>IF(C8=0,0,E8/C8)</f>
        <v/>
      </c>
      <c r="H8" s="18">
        <f>IF(C8=0,0,F8/C8)</f>
        <v/>
      </c>
      <c r="I8" s="29">
        <f t="array" ref="I8">MEDIAN(IF(('Base leads'!$E$5:$E$1238="A tiempo (en 1.2)")*('Base leads'!$H$5:$H$1238="José Alexander Morales"),IF('Base leads'!$I$5:$I$1238&lt;&gt;"",'Base leads'!$I$5:$I$1238)))</f>
        <v/>
      </c>
    </row>
    <row r="9">
      <c r="B9" s="15" t="s">
        <v>95</v>
      </c>
      <c r="C9" s="17">
        <f>COUNTIFS('Base leads'!$E$5:$E$1238,"A tiempo (en 1.2)",'Base leads'!$H$5:$H$1238,"Ana Victoria de Leon")</f>
        <v/>
      </c>
      <c r="D9" s="17">
        <f>COUNTIFS('Base leads'!$E$5:$E$1238,"A tiempo (en 1.2)",'Base leads'!$H$5:$H$1238,"Ana Victoria de Leon",'Base leads'!$J$5:$J$1238,"Sí")</f>
        <v/>
      </c>
      <c r="E9" s="17">
        <f>COUNTIFS('Base leads'!$E$5:$E$1238,"A tiempo (en 1.2)",'Base leads'!$H$5:$H$1238,"Ana Victoria de Leon",'Base leads'!$K$5:$K$1238,"Sí")</f>
        <v/>
      </c>
      <c r="F9" s="17">
        <f>COUNTIFS('Base leads'!$E$5:$E$1238,"A tiempo (en 1.2)",'Base leads'!$H$5:$H$1238,"Ana Victoria de Leon",'Base leads'!$N$5:$N$1238,"Sí")</f>
        <v/>
      </c>
      <c r="G9" s="21">
        <f>IF(C9=0,0,E9/C9)</f>
        <v/>
      </c>
      <c r="H9" s="20">
        <f>IF(C9=0,0,F9/C9)</f>
        <v/>
      </c>
      <c r="I9" s="23">
        <f t="array" ref="I9">MEDIAN(IF(('Base leads'!$E$5:$E$1238="A tiempo (en 1.2)")*('Base leads'!$H$5:$H$1238="Ana Victoria de Leon"),IF('Base leads'!$I$5:$I$1238&lt;&gt;"",'Base leads'!$I$5:$I$1238)))</f>
        <v/>
      </c>
    </row>
    <row r="10" ht="34" customHeight="1">
      <c r="B10" s="12" t="s">
        <v>96</v>
      </c>
      <c r="C10" s="14">
        <f>COUNTIFS('Base leads'!$E$5:$E$1238,"A tiempo (en 1.2)",'Base leads'!$H$5:$H$1238,"Joceline Sarahi Benavides Serrano")</f>
        <v/>
      </c>
      <c r="D10" s="14">
        <f>COUNTIFS('Base leads'!$E$5:$E$1238,"A tiempo (en 1.2)",'Base leads'!$H$5:$H$1238,"Joceline Sarahi Benavides Serrano",'Base leads'!$J$5:$J$1238,"Sí")</f>
        <v/>
      </c>
      <c r="E10" s="14">
        <f>COUNTIFS('Base leads'!$E$5:$E$1238,"A tiempo (en 1.2)",'Base leads'!$H$5:$H$1238,"Joceline Sarahi Benavides Serrano",'Base leads'!$K$5:$K$1238,"Sí")</f>
        <v/>
      </c>
      <c r="F10" s="14">
        <f>COUNTIFS('Base leads'!$E$5:$E$1238,"A tiempo (en 1.2)",'Base leads'!$H$5:$H$1238,"Joceline Sarahi Benavides Serrano",'Base leads'!$N$5:$N$1238,"Sí")</f>
        <v/>
      </c>
      <c r="G10" s="19">
        <f>IF(C10=0,0,E10/C10)</f>
        <v/>
      </c>
      <c r="H10" s="18">
        <f>IF(C10=0,0,F10/C10)</f>
        <v/>
      </c>
      <c r="I10" s="29">
        <f t="array" ref="I10">MEDIAN(IF(('Base leads'!$E$5:$E$1238="A tiempo (en 1.2)")*('Base leads'!$H$5:$H$1238="Joceline Sarahi Benavides Serrano"),IF('Base leads'!$I$5:$I$1238&lt;&gt;"",'Base leads'!$I$5:$I$1238)))</f>
        <v/>
      </c>
    </row>
    <row r="11"/>
    <row r="12" ht="76" customHeight="1">
      <c r="B12" s="24" t="s">
        <v>97</v>
      </c>
    </row>
    <row r="13"/>
    <row r="14" ht="34" customHeight="1">
      <c r="B14" s="4" t="s">
        <v>98</v>
      </c>
      <c r="C14" s="5"/>
      <c r="D14" s="5"/>
      <c r="E14" s="5"/>
      <c r="F14" s="5"/>
      <c r="G14" s="5"/>
      <c r="H14" s="5"/>
      <c r="I14" s="5"/>
    </row>
    <row r="15" ht="34" customHeight="1">
      <c r="B15" s="10" t="s">
        <v>86</v>
      </c>
      <c r="C15" s="11" t="s">
        <v>99</v>
      </c>
      <c r="D15" s="11" t="s">
        <v>100</v>
      </c>
      <c r="E15" s="11" t="s">
        <v>101</v>
      </c>
      <c r="F15" s="11" t="s">
        <v>102</v>
      </c>
      <c r="G15" s="11" t="s">
        <v>103</v>
      </c>
      <c r="H15" s="11" t="s">
        <v>104</v>
      </c>
    </row>
    <row r="16">
      <c r="B16" s="12" t="s">
        <v>93</v>
      </c>
      <c r="C16" s="14">
        <f>COUNTIFS('Entradas a 1.3'!$F$5:$F$360,"Salma Santos Hernández")</f>
        <v/>
      </c>
      <c r="D16" s="14">
        <f>COUNTIFS('Entradas a 1.3'!$F$5:$F$360,"Salma Santos Hernández",'Entradas a 1.3'!$E$5:$E$360,"1.2 Lista de cursos")</f>
        <v/>
      </c>
      <c r="E16" s="14">
        <f>COUNTIFS('Entradas a 1.3'!$F$5:$F$360,"Salma Santos Hernández",'Entradas a 1.3'!$E$5:$E$360,"Negativo")</f>
        <v/>
      </c>
      <c r="F16" s="14">
        <f>COUNTIFS('Entradas a 1.3'!$F$5:$F$360,"Salma Santos Hernández",'Entradas a 1.3'!$P$5:$P$360,"Sí")</f>
        <v/>
      </c>
      <c r="G16" s="18">
        <f>IF(C16=0,0,F16/C16)</f>
        <v/>
      </c>
      <c r="H16" s="14">
        <f>COUNTIFS('Entradas a 1.3'!$F$5:$F$360,"Salma Santos Hernández",'Entradas a 1.3'!$R$5:$R$360,"Sí")</f>
        <v/>
      </c>
    </row>
    <row r="17">
      <c r="B17" s="15" t="s">
        <v>94</v>
      </c>
      <c r="C17" s="17">
        <f>COUNTIFS('Entradas a 1.3'!$F$5:$F$360,"José Alexander Morales")</f>
        <v/>
      </c>
      <c r="D17" s="17">
        <f>COUNTIFS('Entradas a 1.3'!$F$5:$F$360,"José Alexander Morales",'Entradas a 1.3'!$E$5:$E$360,"1.2 Lista de cursos")</f>
        <v/>
      </c>
      <c r="E17" s="17">
        <f>COUNTIFS('Entradas a 1.3'!$F$5:$F$360,"José Alexander Morales",'Entradas a 1.3'!$E$5:$E$360,"Negativo")</f>
        <v/>
      </c>
      <c r="F17" s="17">
        <f>COUNTIFS('Entradas a 1.3'!$F$5:$F$360,"José Alexander Morales",'Entradas a 1.3'!$P$5:$P$360,"Sí")</f>
        <v/>
      </c>
      <c r="G17" s="20">
        <f>IF(C17=0,0,F17/C17)</f>
        <v/>
      </c>
      <c r="H17" s="17">
        <f>COUNTIFS('Entradas a 1.3'!$F$5:$F$360,"José Alexander Morales",'Entradas a 1.3'!$R$5:$R$360,"Sí")</f>
        <v/>
      </c>
    </row>
    <row r="18">
      <c r="B18" s="12" t="s">
        <v>95</v>
      </c>
      <c r="C18" s="14">
        <f>COUNTIFS('Entradas a 1.3'!$F$5:$F$360,"Ana Victoria de Leon")</f>
        <v/>
      </c>
      <c r="D18" s="14">
        <f>COUNTIFS('Entradas a 1.3'!$F$5:$F$360,"Ana Victoria de Leon",'Entradas a 1.3'!$E$5:$E$360,"1.2 Lista de cursos")</f>
        <v/>
      </c>
      <c r="E18" s="14">
        <f>COUNTIFS('Entradas a 1.3'!$F$5:$F$360,"Ana Victoria de Leon",'Entradas a 1.3'!$E$5:$E$360,"Negativo")</f>
        <v/>
      </c>
      <c r="F18" s="14">
        <f>COUNTIFS('Entradas a 1.3'!$F$5:$F$360,"Ana Victoria de Leon",'Entradas a 1.3'!$P$5:$P$360,"Sí")</f>
        <v/>
      </c>
      <c r="G18" s="18">
        <f>IF(C18=0,0,F18/C18)</f>
        <v/>
      </c>
      <c r="H18" s="14">
        <f>COUNTIFS('Entradas a 1.3'!$F$5:$F$360,"Ana Victoria de Leon",'Entradas a 1.3'!$R$5:$R$360,"Sí")</f>
        <v/>
      </c>
    </row>
    <row r="19"/>
    <row r="20" ht="62" customHeight="1">
      <c r="B20" s="24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91E63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8" customWidth="1" min="8" max="8"/>
    <col width="3" customWidth="1" min="9" max="9"/>
  </cols>
  <sheetData>
    <row r="1" ht="46" customHeight="1">
      <c r="B1" s="1" t="s">
        <v>106</v>
      </c>
    </row>
    <row r="2" ht="20" customHeight="1">
      <c r="B2" s="2" t="s">
        <v>107</v>
      </c>
    </row>
    <row r="3" ht="6" customHeight="1">
      <c r="A3" s="3"/>
      <c r="B3" s="3"/>
      <c r="C3" s="3"/>
      <c r="D3" s="3"/>
      <c r="E3" s="3"/>
      <c r="F3" s="3"/>
      <c r="G3" s="3"/>
      <c r="H3" s="3"/>
      <c r="I3" s="3"/>
    </row>
    <row r="5" ht="34" customHeight="1">
      <c r="B5" s="4" t="s">
        <v>108</v>
      </c>
      <c r="C5" s="5"/>
      <c r="D5" s="5"/>
      <c r="E5" s="5"/>
      <c r="F5" s="5"/>
      <c r="G5" s="5"/>
      <c r="H5" s="5"/>
    </row>
    <row r="6" ht="34" customHeight="1">
      <c r="B6" s="10" t="s">
        <v>109</v>
      </c>
      <c r="C6" s="11" t="s">
        <v>20</v>
      </c>
      <c r="D6" s="11" t="s">
        <v>21</v>
      </c>
      <c r="E6" s="11" t="s">
        <v>22</v>
      </c>
      <c r="F6" s="11" t="s">
        <v>19</v>
      </c>
      <c r="G6" s="11" t="s">
        <v>110</v>
      </c>
      <c r="H6" s="11" t="s">
        <v>111</v>
      </c>
    </row>
    <row r="7">
      <c r="B7" s="31" t="s">
        <v>112</v>
      </c>
      <c r="C7" s="17">
        <f>COUNTIFS('Entradas a 1.3'!$B$5:$B$360,"ISO + Calidad",'Entradas a 1.3'!$C$5:$C$360,$B7)</f>
        <v/>
      </c>
      <c r="D7" s="17">
        <f>COUNTIFS('Entradas a 1.3'!$B$5:$B$360,"Core Tools Premium",'Entradas a 1.3'!$C$5:$C$360,$B7)</f>
        <v/>
      </c>
      <c r="E7" s="17">
        <f>COUNTIFS('Entradas a 1.3'!$B$5:$B$360,"Manufactura y Calidad",'Entradas a 1.3'!$C$5:$C$360,$B7)</f>
        <v/>
      </c>
      <c r="F7" s="16">
        <f>SUM(C7:E7)</f>
        <v/>
      </c>
      <c r="G7" s="17">
        <f>COUNTIFS('Base leads'!$C$5:$C$1238,$B7)</f>
        <v/>
      </c>
      <c r="H7" s="32">
        <f>IF(G7=0,0,F7/G7*100)</f>
        <v/>
      </c>
    </row>
    <row r="8">
      <c r="B8" s="33" t="s">
        <v>113</v>
      </c>
      <c r="C8" s="14">
        <f>COUNTIFS('Entradas a 1.3'!$B$5:$B$360,"ISO + Calidad",'Entradas a 1.3'!$C$5:$C$360,$B8)</f>
        <v/>
      </c>
      <c r="D8" s="14">
        <f>COUNTIFS('Entradas a 1.3'!$B$5:$B$360,"Core Tools Premium",'Entradas a 1.3'!$C$5:$C$360,$B8)</f>
        <v/>
      </c>
      <c r="E8" s="14">
        <f>COUNTIFS('Entradas a 1.3'!$B$5:$B$360,"Manufactura y Calidad",'Entradas a 1.3'!$C$5:$C$360,$B8)</f>
        <v/>
      </c>
      <c r="F8" s="13">
        <f>SUM(C8:E8)</f>
        <v/>
      </c>
      <c r="G8" s="14">
        <f>COUNTIFS('Base leads'!$C$5:$C$1238,$B8)</f>
        <v/>
      </c>
      <c r="H8" s="34">
        <f>IF(G8=0,0,F8/G8*100)</f>
        <v/>
      </c>
    </row>
    <row r="9">
      <c r="B9" s="31" t="s">
        <v>114</v>
      </c>
      <c r="C9" s="17">
        <f>COUNTIFS('Entradas a 1.3'!$B$5:$B$360,"ISO + Calidad",'Entradas a 1.3'!$C$5:$C$360,$B9)</f>
        <v/>
      </c>
      <c r="D9" s="17">
        <f>COUNTIFS('Entradas a 1.3'!$B$5:$B$360,"Core Tools Premium",'Entradas a 1.3'!$C$5:$C$360,$B9)</f>
        <v/>
      </c>
      <c r="E9" s="17">
        <f>COUNTIFS('Entradas a 1.3'!$B$5:$B$360,"Manufactura y Calidad",'Entradas a 1.3'!$C$5:$C$360,$B9)</f>
        <v/>
      </c>
      <c r="F9" s="16">
        <f>SUM(C9:E9)</f>
        <v/>
      </c>
      <c r="G9" s="17">
        <f>COUNTIFS('Base leads'!$C$5:$C$1238,$B9)</f>
        <v/>
      </c>
      <c r="H9" s="32">
        <f>IF(G9=0,0,F9/G9*100)</f>
        <v/>
      </c>
    </row>
    <row r="10">
      <c r="B10" s="33" t="s">
        <v>115</v>
      </c>
      <c r="C10" s="14">
        <f>COUNTIFS('Entradas a 1.3'!$B$5:$B$360,"ISO + Calidad",'Entradas a 1.3'!$C$5:$C$360,$B10)</f>
        <v/>
      </c>
      <c r="D10" s="14">
        <f>COUNTIFS('Entradas a 1.3'!$B$5:$B$360,"Core Tools Premium",'Entradas a 1.3'!$C$5:$C$360,$B10)</f>
        <v/>
      </c>
      <c r="E10" s="14">
        <f>COUNTIFS('Entradas a 1.3'!$B$5:$B$360,"Manufactura y Calidad",'Entradas a 1.3'!$C$5:$C$360,$B10)</f>
        <v/>
      </c>
      <c r="F10" s="13">
        <f>SUM(C10:E10)</f>
        <v/>
      </c>
      <c r="G10" s="14">
        <f>COUNTIFS('Base leads'!$C$5:$C$1238,$B10)</f>
        <v/>
      </c>
      <c r="H10" s="34">
        <f>IF(G10=0,0,F10/G10*100)</f>
        <v/>
      </c>
    </row>
    <row r="11">
      <c r="B11" s="25" t="s">
        <v>19</v>
      </c>
      <c r="C11" s="26">
        <f>SUM(C7:C10)</f>
        <v/>
      </c>
      <c r="D11" s="26">
        <f>SUM(D7:D10)</f>
        <v/>
      </c>
      <c r="E11" s="26">
        <f>SUM(E7:E10)</f>
        <v/>
      </c>
      <c r="F11" s="16">
        <f>SUM(F7:F10)</f>
        <v/>
      </c>
      <c r="G11" s="26">
        <f>SUM(G7:G10)</f>
        <v/>
      </c>
      <c r="H11" s="35">
        <f>IF(G11=0,0,F11/G11*100)</f>
        <v/>
      </c>
    </row>
    <row r="12" ht="62" customHeight="1">
      <c r="B12" s="24" t="s">
        <v>116</v>
      </c>
    </row>
    <row r="13"/>
    <row r="14" ht="34" customHeight="1">
      <c r="B14" s="4" t="s">
        <v>117</v>
      </c>
      <c r="C14" s="5"/>
      <c r="D14" s="5"/>
      <c r="E14" s="5"/>
      <c r="F14" s="5"/>
      <c r="G14" s="5"/>
      <c r="H14" s="5"/>
    </row>
    <row r="15" ht="34" customHeight="1">
      <c r="B15" s="10" t="s">
        <v>118</v>
      </c>
      <c r="C15" s="11" t="s">
        <v>20</v>
      </c>
      <c r="D15" s="11" t="s">
        <v>21</v>
      </c>
      <c r="E15" s="11" t="s">
        <v>22</v>
      </c>
      <c r="F15" s="11" t="s">
        <v>19</v>
      </c>
    </row>
    <row r="16">
      <c r="B16" s="12" t="s">
        <v>119</v>
      </c>
      <c r="C16" s="14">
        <f>COUNTIFS('Entradas a 1.3'!$B$5:$B$360,"ISO + Calidad",'Entradas a 1.3'!$E$5:$E$360,$B16)</f>
        <v/>
      </c>
      <c r="D16" s="14">
        <f>COUNTIFS('Entradas a 1.3'!$B$5:$B$360,"Core Tools Premium",'Entradas a 1.3'!$E$5:$E$360,$B16)</f>
        <v/>
      </c>
      <c r="E16" s="14">
        <f>COUNTIFS('Entradas a 1.3'!$B$5:$B$360,"Manufactura y Calidad",'Entradas a 1.3'!$E$5:$E$360,$B16)</f>
        <v/>
      </c>
      <c r="F16" s="13">
        <f>SUM(C16:E16)</f>
        <v/>
      </c>
    </row>
    <row r="17">
      <c r="B17" s="15" t="s">
        <v>120</v>
      </c>
      <c r="C17" s="17">
        <f>COUNTIFS('Entradas a 1.3'!$B$5:$B$360,"ISO + Calidad",'Entradas a 1.3'!$E$5:$E$360,$B17)</f>
        <v/>
      </c>
      <c r="D17" s="17">
        <f>COUNTIFS('Entradas a 1.3'!$B$5:$B$360,"Core Tools Premium",'Entradas a 1.3'!$E$5:$E$360,$B17)</f>
        <v/>
      </c>
      <c r="E17" s="17">
        <f>COUNTIFS('Entradas a 1.3'!$B$5:$B$360,"Manufactura y Calidad",'Entradas a 1.3'!$E$5:$E$360,$B17)</f>
        <v/>
      </c>
      <c r="F17" s="16">
        <f>SUM(C17:E17)</f>
        <v/>
      </c>
    </row>
    <row r="18">
      <c r="B18" s="12" t="s">
        <v>121</v>
      </c>
      <c r="C18" s="14">
        <f>COUNTIFS('Entradas a 1.3'!$B$5:$B$360,"ISO + Calidad",'Entradas a 1.3'!$E$5:$E$360,$B18)</f>
        <v/>
      </c>
      <c r="D18" s="14">
        <f>COUNTIFS('Entradas a 1.3'!$B$5:$B$360,"Core Tools Premium",'Entradas a 1.3'!$E$5:$E$360,$B18)</f>
        <v/>
      </c>
      <c r="E18" s="14">
        <f>COUNTIFS('Entradas a 1.3'!$B$5:$B$360,"Manufactura y Calidad",'Entradas a 1.3'!$E$5:$E$360,$B18)</f>
        <v/>
      </c>
      <c r="F18" s="13">
        <f>SUM(C18:E18)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91E63"/>
    <outlinePr summaryBelow="1" summaryRight="1"/>
    <pageSetUpPr/>
  </sheetPr>
  <dimension ref="A1:G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 ht="46" customHeight="1">
      <c r="B1" s="1" t="s">
        <v>122</v>
      </c>
    </row>
    <row r="2" ht="20" customHeight="1">
      <c r="B2" s="2" t="s">
        <v>123</v>
      </c>
    </row>
    <row r="3" ht="6" customHeight="1">
      <c r="A3" s="3"/>
      <c r="B3" s="3"/>
      <c r="C3" s="3"/>
      <c r="D3" s="3"/>
      <c r="E3" s="3"/>
      <c r="F3" s="3"/>
      <c r="G3" s="3"/>
    </row>
    <row r="5" ht="24" customHeight="1">
      <c r="B5" s="4" t="s">
        <v>124</v>
      </c>
      <c r="C5" s="5"/>
      <c r="D5" s="5"/>
      <c r="E5" s="5"/>
      <c r="F5" s="5"/>
    </row>
    <row r="6" ht="32" customHeight="1">
      <c r="B6" s="10" t="s">
        <v>18</v>
      </c>
      <c r="C6" s="11" t="s">
        <v>19</v>
      </c>
      <c r="D6" s="11" t="s">
        <v>20</v>
      </c>
      <c r="E6" s="11" t="s">
        <v>21</v>
      </c>
      <c r="F6" s="11" t="s">
        <v>22</v>
      </c>
    </row>
    <row r="7">
      <c r="B7" s="15" t="s">
        <v>99</v>
      </c>
      <c r="C7" s="16">
        <f>COUNTA('Entradas a 1.3'!$A$5:$A$360)</f>
        <v/>
      </c>
      <c r="D7" s="17">
        <f>COUNTIFS('Entradas a 1.3'!$B$5:$B$360,"ISO + Calidad")</f>
        <v/>
      </c>
      <c r="E7" s="17">
        <f>COUNTIFS('Entradas a 1.3'!$B$5:$B$360,"Core Tools Premium")</f>
        <v/>
      </c>
      <c r="F7" s="17">
        <f>COUNTIFS('Entradas a 1.3'!$B$5:$B$360,"Manufactura y Calidad")</f>
        <v/>
      </c>
    </row>
    <row r="8">
      <c r="B8" s="12" t="s">
        <v>125</v>
      </c>
      <c r="C8" s="13">
        <f>COUNTIFS('Entradas a 1.3'!$G$5:$G$360,"Sí")</f>
        <v/>
      </c>
      <c r="D8" s="14">
        <f>COUNTIFS('Entradas a 1.3'!$B$5:$B$360,"ISO + Calidad",'Entradas a 1.3'!$G$5:$G$360,"Sí")</f>
        <v/>
      </c>
      <c r="E8" s="14">
        <f>COUNTIFS('Entradas a 1.3'!$B$5:$B$360,"Core Tools Premium",'Entradas a 1.3'!$G$5:$G$360,"Sí")</f>
        <v/>
      </c>
      <c r="F8" s="14">
        <f>COUNTIFS('Entradas a 1.3'!$B$5:$B$360,"Manufactura y Calidad",'Entradas a 1.3'!$G$5:$G$360,"Sí")</f>
        <v/>
      </c>
    </row>
    <row r="9">
      <c r="B9" s="15" t="s">
        <v>126</v>
      </c>
      <c r="C9" s="16">
        <f>COUNTIFS('Entradas a 1.3'!$H$5:$H$360,"Sí")</f>
        <v/>
      </c>
      <c r="D9" s="17">
        <f>COUNTIFS('Entradas a 1.3'!$B$5:$B$360,"ISO + Calidad",'Entradas a 1.3'!$H$5:$H$360,"Sí")</f>
        <v/>
      </c>
      <c r="E9" s="17">
        <f>COUNTIFS('Entradas a 1.3'!$B$5:$B$360,"Core Tools Premium",'Entradas a 1.3'!$H$5:$H$360,"Sí")</f>
        <v/>
      </c>
      <c r="F9" s="17">
        <f>COUNTIFS('Entradas a 1.3'!$B$5:$B$360,"Manufactura y Calidad",'Entradas a 1.3'!$H$5:$H$360,"Sí")</f>
        <v/>
      </c>
    </row>
    <row r="10">
      <c r="B10" s="12" t="s">
        <v>127</v>
      </c>
      <c r="C10" s="13">
        <f>COUNTIFS('Entradas a 1.3'!$K$5:$K$360,"Sí")</f>
        <v/>
      </c>
      <c r="D10" s="14">
        <f>COUNTIFS('Entradas a 1.3'!$B$5:$B$360,"ISO + Calidad",'Entradas a 1.3'!$K$5:$K$360,"Sí")</f>
        <v/>
      </c>
      <c r="E10" s="14">
        <f>COUNTIFS('Entradas a 1.3'!$B$5:$B$360,"Core Tools Premium",'Entradas a 1.3'!$K$5:$K$360,"Sí")</f>
        <v/>
      </c>
      <c r="F10" s="14">
        <f>COUNTIFS('Entradas a 1.3'!$B$5:$B$360,"Manufactura y Calidad",'Entradas a 1.3'!$K$5:$K$360,"Sí")</f>
        <v/>
      </c>
    </row>
    <row r="11">
      <c r="B11" s="15" t="s">
        <v>128</v>
      </c>
      <c r="C11" s="16">
        <f>COUNTIFS('Entradas a 1.3'!$I$5:$I$360,"Sí")</f>
        <v/>
      </c>
      <c r="D11" s="17">
        <f>COUNTIFS('Entradas a 1.3'!$B$5:$B$360,"ISO + Calidad",'Entradas a 1.3'!$I$5:$I$360,"Sí")</f>
        <v/>
      </c>
      <c r="E11" s="17">
        <f>COUNTIFS('Entradas a 1.3'!$B$5:$B$360,"Core Tools Premium",'Entradas a 1.3'!$I$5:$I$360,"Sí")</f>
        <v/>
      </c>
      <c r="F11" s="17">
        <f>COUNTIFS('Entradas a 1.3'!$B$5:$B$360,"Manufactura y Calidad",'Entradas a 1.3'!$I$5:$I$360,"Sí")</f>
        <v/>
      </c>
    </row>
    <row r="12">
      <c r="B12" s="12" t="s">
        <v>129</v>
      </c>
      <c r="C12" s="13">
        <f>COUNTIFS('Entradas a 1.3'!$L$5:$L$360,"Sí")</f>
        <v/>
      </c>
      <c r="D12" s="14">
        <f>COUNTIFS('Entradas a 1.3'!$B$5:$B$360,"ISO + Calidad",'Entradas a 1.3'!$L$5:$L$360,"Sí")</f>
        <v/>
      </c>
      <c r="E12" s="14">
        <f>COUNTIFS('Entradas a 1.3'!$B$5:$B$360,"Core Tools Premium",'Entradas a 1.3'!$L$5:$L$360,"Sí")</f>
        <v/>
      </c>
      <c r="F12" s="14">
        <f>COUNTIFS('Entradas a 1.3'!$B$5:$B$360,"Manufactura y Calidad",'Entradas a 1.3'!$L$5:$L$360,"Sí")</f>
        <v/>
      </c>
    </row>
    <row r="13">
      <c r="B13" s="15" t="s">
        <v>130</v>
      </c>
      <c r="C13" s="16">
        <f>COUNTIFS('Entradas a 1.3'!$M$5:$M$360,"1.4 Facilidades de pago")</f>
        <v/>
      </c>
      <c r="D13" s="17">
        <f>COUNTIFS('Entradas a 1.3'!$B$5:$B$360,"ISO + Calidad",'Entradas a 1.3'!$M$5:$M$360,"1.4 Facilidades de pago")</f>
        <v/>
      </c>
      <c r="E13" s="17">
        <f>COUNTIFS('Entradas a 1.3'!$B$5:$B$360,"Core Tools Premium",'Entradas a 1.3'!$M$5:$M$360,"1.4 Facilidades de pago")</f>
        <v/>
      </c>
      <c r="F13" s="17">
        <f>COUNTIFS('Entradas a 1.3'!$B$5:$B$360,"Manufactura y Calidad",'Entradas a 1.3'!$M$5:$M$360,"1.4 Facilidades de pago")</f>
        <v/>
      </c>
    </row>
    <row r="14">
      <c r="B14" s="12" t="s">
        <v>131</v>
      </c>
      <c r="C14" s="13">
        <f>COUNTIFS('Entradas a 1.3'!$M$5:$M$360,"Medio de pago")</f>
        <v/>
      </c>
      <c r="D14" s="14">
        <f>COUNTIFS('Entradas a 1.3'!$B$5:$B$360,"ISO + Calidad",'Entradas a 1.3'!$M$5:$M$360,"Medio de pago")</f>
        <v/>
      </c>
      <c r="E14" s="14">
        <f>COUNTIFS('Entradas a 1.3'!$B$5:$B$360,"Core Tools Premium",'Entradas a 1.3'!$M$5:$M$360,"Medio de pago")</f>
        <v/>
      </c>
      <c r="F14" s="14">
        <f>COUNTIFS('Entradas a 1.3'!$B$5:$B$360,"Manufactura y Calidad",'Entradas a 1.3'!$M$5:$M$360,"Medio de pago")</f>
        <v/>
      </c>
    </row>
    <row r="15">
      <c r="B15" s="15" t="s">
        <v>132</v>
      </c>
      <c r="C15" s="16">
        <f>COUNTIFS('Entradas a 1.3'!$M$5:$M$360,"Ganado")</f>
        <v/>
      </c>
      <c r="D15" s="17">
        <f>COUNTIFS('Entradas a 1.3'!$B$5:$B$360,"ISO + Calidad",'Entradas a 1.3'!$M$5:$M$360,"Ganado")</f>
        <v/>
      </c>
      <c r="E15" s="17">
        <f>COUNTIFS('Entradas a 1.3'!$B$5:$B$360,"Core Tools Premium",'Entradas a 1.3'!$M$5:$M$360,"Ganado")</f>
        <v/>
      </c>
      <c r="F15" s="17">
        <f>COUNTIFS('Entradas a 1.3'!$B$5:$B$360,"Manufactura y Calidad",'Entradas a 1.3'!$M$5:$M$360,"Ganado")</f>
        <v/>
      </c>
    </row>
    <row r="16" ht="34" customHeight="1">
      <c r="B16" s="12" t="s">
        <v>133</v>
      </c>
      <c r="C16" s="13">
        <f>COUNTIFS('Entradas a 1.3'!$M$5:$M$360,"Negativo",'Entradas a 1.3'!$N$5:$N$360,"Bot de 1.3")</f>
        <v/>
      </c>
      <c r="D16" s="14">
        <f>COUNTIFS('Entradas a 1.3'!$B$5:$B$360,"ISO + Calidad",'Entradas a 1.3'!$M$5:$M$360,"Negativo",'Entradas a 1.3'!$N$5:$N$360,"Bot de 1.3")</f>
        <v/>
      </c>
      <c r="E16" s="14">
        <f>COUNTIFS('Entradas a 1.3'!$B$5:$B$360,"Core Tools Premium",'Entradas a 1.3'!$M$5:$M$360,"Negativo",'Entradas a 1.3'!$N$5:$N$360,"Bot de 1.3")</f>
        <v/>
      </c>
      <c r="F16" s="14">
        <f>COUNTIFS('Entradas a 1.3'!$B$5:$B$360,"Manufactura y Calidad",'Entradas a 1.3'!$M$5:$M$360,"Negativo",'Entradas a 1.3'!$N$5:$N$360,"Bot de 1.3")</f>
        <v/>
      </c>
    </row>
    <row r="17">
      <c r="B17" s="15" t="s">
        <v>134</v>
      </c>
      <c r="C17" s="16">
        <f>COUNTIFS('Entradas a 1.3'!$M$5:$M$360,"Perdido")</f>
        <v/>
      </c>
      <c r="D17" s="17">
        <f>COUNTIFS('Entradas a 1.3'!$B$5:$B$360,"ISO + Calidad",'Entradas a 1.3'!$M$5:$M$360,"Perdido")</f>
        <v/>
      </c>
      <c r="E17" s="17">
        <f>COUNTIFS('Entradas a 1.3'!$B$5:$B$360,"Core Tools Premium",'Entradas a 1.3'!$M$5:$M$360,"Perdido")</f>
        <v/>
      </c>
      <c r="F17" s="17">
        <f>COUNTIFS('Entradas a 1.3'!$B$5:$B$360,"Manufactura y Calidad",'Entradas a 1.3'!$M$5:$M$360,"Perdido")</f>
        <v/>
      </c>
    </row>
    <row r="18">
      <c r="B18" s="12" t="s">
        <v>135</v>
      </c>
      <c r="C18" s="13">
        <f>COUNTIFS('Entradas a 1.3'!$M$5:$M$360,"Sigue en 1.3")</f>
        <v/>
      </c>
      <c r="D18" s="14">
        <f>COUNTIFS('Entradas a 1.3'!$B$5:$B$360,"ISO + Calidad",'Entradas a 1.3'!$M$5:$M$360,"Sigue en 1.3")</f>
        <v/>
      </c>
      <c r="E18" s="14">
        <f>COUNTIFS('Entradas a 1.3'!$B$5:$B$360,"Core Tools Premium",'Entradas a 1.3'!$M$5:$M$360,"Sigue en 1.3")</f>
        <v/>
      </c>
      <c r="F18" s="14">
        <f>COUNTIFS('Entradas a 1.3'!$B$5:$B$360,"Manufactura y Calidad",'Entradas a 1.3'!$M$5:$M$360,"Sigue en 1.3")</f>
        <v/>
      </c>
    </row>
    <row r="19" ht="34" customHeight="1">
      <c r="B19" s="15" t="s">
        <v>136</v>
      </c>
      <c r="C19" s="16">
        <f>COUNTIFS('Entradas a 1.3'!$P$5:$P$360,"Sí")</f>
        <v/>
      </c>
      <c r="D19" s="17">
        <f>COUNTIFS('Entradas a 1.3'!$B$5:$B$360,"ISO + Calidad",'Entradas a 1.3'!$P$5:$P$360,"Sí")</f>
        <v/>
      </c>
      <c r="E19" s="17">
        <f>COUNTIFS('Entradas a 1.3'!$B$5:$B$360,"Core Tools Premium",'Entradas a 1.3'!$P$5:$P$360,"Sí")</f>
        <v/>
      </c>
      <c r="F19" s="17">
        <f>COUNTIFS('Entradas a 1.3'!$B$5:$B$360,"Manufactura y Calidad",'Entradas a 1.3'!$P$5:$P$360,"Sí")</f>
        <v/>
      </c>
    </row>
    <row r="20">
      <c r="B20" s="12" t="s">
        <v>137</v>
      </c>
      <c r="C20" s="13">
        <f>COUNTIFS('Entradas a 1.3'!$Q$5:$Q$360,"Sí")</f>
        <v/>
      </c>
      <c r="D20" s="14">
        <f>COUNTIFS('Entradas a 1.3'!$B$5:$B$360,"ISO + Calidad",'Entradas a 1.3'!$Q$5:$Q$360,"Sí")</f>
        <v/>
      </c>
      <c r="E20" s="14">
        <f>COUNTIFS('Entradas a 1.3'!$B$5:$B$360,"Core Tools Premium",'Entradas a 1.3'!$Q$5:$Q$360,"Sí")</f>
        <v/>
      </c>
      <c r="F20" s="14">
        <f>COUNTIFS('Entradas a 1.3'!$B$5:$B$360,"Manufactura y Calidad",'Entradas a 1.3'!$Q$5:$Q$360,"Sí")</f>
        <v/>
      </c>
    </row>
    <row r="21">
      <c r="B21" s="15" t="s">
        <v>138</v>
      </c>
      <c r="C21" s="16">
        <f>COUNTIFS('Entradas a 1.3'!$R$5:$R$360,"Sí")</f>
        <v/>
      </c>
      <c r="D21" s="17">
        <f>COUNTIFS('Entradas a 1.3'!$B$5:$B$360,"ISO + Calidad",'Entradas a 1.3'!$R$5:$R$360,"Sí")</f>
        <v/>
      </c>
      <c r="E21" s="17">
        <f>COUNTIFS('Entradas a 1.3'!$B$5:$B$360,"Core Tools Premium",'Entradas a 1.3'!$R$5:$R$360,"Sí")</f>
        <v/>
      </c>
      <c r="F21" s="17">
        <f>COUNTIFS('Entradas a 1.3'!$B$5:$B$360,"Manufactura y Calidad",'Entradas a 1.3'!$R$5:$R$360,"Sí")</f>
        <v/>
      </c>
    </row>
    <row r="22" ht="34" customHeight="1">
      <c r="B22" s="12" t="s">
        <v>139</v>
      </c>
      <c r="C22" s="13">
        <f>COUNTIFS('Entradas a 1.3'!$S$5:$S$360,"Sí")</f>
        <v/>
      </c>
      <c r="D22" s="14">
        <f>COUNTIFS('Entradas a 1.3'!$B$5:$B$360,"ISO + Calidad",'Entradas a 1.3'!$S$5:$S$360,"Sí")</f>
        <v/>
      </c>
      <c r="E22" s="14">
        <f>COUNTIFS('Entradas a 1.3'!$B$5:$B$360,"Core Tools Premium",'Entradas a 1.3'!$S$5:$S$360,"Sí")</f>
        <v/>
      </c>
      <c r="F22" s="14">
        <f>COUNTIFS('Entradas a 1.3'!$B$5:$B$360,"Manufactura y Calidad",'Entradas a 1.3'!$S$5:$S$360,"Sí")</f>
        <v/>
      </c>
    </row>
    <row r="23"/>
    <row r="24" ht="24" customHeight="1">
      <c r="B24" s="4" t="s">
        <v>140</v>
      </c>
      <c r="C24" s="5"/>
      <c r="D24" s="5"/>
      <c r="E24" s="5"/>
      <c r="F24" s="5"/>
    </row>
    <row r="25" ht="32" customHeight="1">
      <c r="B25" s="10" t="s">
        <v>18</v>
      </c>
      <c r="C25" s="11" t="s">
        <v>19</v>
      </c>
      <c r="D25" s="11" t="s">
        <v>20</v>
      </c>
      <c r="E25" s="11" t="s">
        <v>21</v>
      </c>
      <c r="F25" s="11" t="s">
        <v>22</v>
      </c>
    </row>
    <row r="26">
      <c r="B26" s="12" t="s">
        <v>125</v>
      </c>
      <c r="C26" s="18">
        <f>IF(C$7=0,0,C8/C$7)</f>
        <v/>
      </c>
      <c r="D26" s="19">
        <f>IF(D$7=0,0,D8/D$7)</f>
        <v/>
      </c>
      <c r="E26" s="19">
        <f>IF(E$7=0,0,E8/E$7)</f>
        <v/>
      </c>
      <c r="F26" s="19">
        <f>IF(F$7=0,0,F8/F$7)</f>
        <v/>
      </c>
    </row>
    <row r="27">
      <c r="B27" s="15" t="s">
        <v>126</v>
      </c>
      <c r="C27" s="20">
        <f>IF(C$7=0,0,C9/C$7)</f>
        <v/>
      </c>
      <c r="D27" s="21">
        <f>IF(D$7=0,0,D9/D$7)</f>
        <v/>
      </c>
      <c r="E27" s="21">
        <f>IF(E$7=0,0,E9/E$7)</f>
        <v/>
      </c>
      <c r="F27" s="21">
        <f>IF(F$7=0,0,F9/F$7)</f>
        <v/>
      </c>
    </row>
    <row r="28">
      <c r="B28" s="12" t="s">
        <v>127</v>
      </c>
      <c r="C28" s="18">
        <f>IF(C$7=0,0,C10/C$7)</f>
        <v/>
      </c>
      <c r="D28" s="19">
        <f>IF(D$7=0,0,D10/D$7)</f>
        <v/>
      </c>
      <c r="E28" s="19">
        <f>IF(E$7=0,0,E10/E$7)</f>
        <v/>
      </c>
      <c r="F28" s="19">
        <f>IF(F$7=0,0,F10/F$7)</f>
        <v/>
      </c>
    </row>
    <row r="29">
      <c r="B29" s="15" t="s">
        <v>128</v>
      </c>
      <c r="C29" s="20">
        <f>IF(C$7=0,0,C11/C$7)</f>
        <v/>
      </c>
      <c r="D29" s="21">
        <f>IF(D$7=0,0,D11/D$7)</f>
        <v/>
      </c>
      <c r="E29" s="21">
        <f>IF(E$7=0,0,E11/E$7)</f>
        <v/>
      </c>
      <c r="F29" s="21">
        <f>IF(F$7=0,0,F11/F$7)</f>
        <v/>
      </c>
    </row>
    <row r="30">
      <c r="B30" s="12" t="s">
        <v>129</v>
      </c>
      <c r="C30" s="18">
        <f>IF(C$7=0,0,C12/C$7)</f>
        <v/>
      </c>
      <c r="D30" s="19">
        <f>IF(D$7=0,0,D12/D$7)</f>
        <v/>
      </c>
      <c r="E30" s="19">
        <f>IF(E$7=0,0,E12/E$7)</f>
        <v/>
      </c>
      <c r="F30" s="19">
        <f>IF(F$7=0,0,F12/F$7)</f>
        <v/>
      </c>
    </row>
    <row r="31">
      <c r="B31" s="15" t="s">
        <v>130</v>
      </c>
      <c r="C31" s="20">
        <f>IF(C$7=0,0,C13/C$7)</f>
        <v/>
      </c>
      <c r="D31" s="21">
        <f>IF(D$7=0,0,D13/D$7)</f>
        <v/>
      </c>
      <c r="E31" s="21">
        <f>IF(E$7=0,0,E13/E$7)</f>
        <v/>
      </c>
      <c r="F31" s="21">
        <f>IF(F$7=0,0,F13/F$7)</f>
        <v/>
      </c>
    </row>
    <row r="32">
      <c r="B32" s="12" t="s">
        <v>131</v>
      </c>
      <c r="C32" s="18">
        <f>IF(C$7=0,0,C14/C$7)</f>
        <v/>
      </c>
      <c r="D32" s="19">
        <f>IF(D$7=0,0,D14/D$7)</f>
        <v/>
      </c>
      <c r="E32" s="19">
        <f>IF(E$7=0,0,E14/E$7)</f>
        <v/>
      </c>
      <c r="F32" s="19">
        <f>IF(F$7=0,0,F14/F$7)</f>
        <v/>
      </c>
    </row>
    <row r="33">
      <c r="B33" s="15" t="s">
        <v>132</v>
      </c>
      <c r="C33" s="20">
        <f>IF(C$7=0,0,C15/C$7)</f>
        <v/>
      </c>
      <c r="D33" s="21">
        <f>IF(D$7=0,0,D15/D$7)</f>
        <v/>
      </c>
      <c r="E33" s="21">
        <f>IF(E$7=0,0,E15/E$7)</f>
        <v/>
      </c>
      <c r="F33" s="21">
        <f>IF(F$7=0,0,F15/F$7)</f>
        <v/>
      </c>
    </row>
    <row r="34" ht="34" customHeight="1">
      <c r="B34" s="12" t="s">
        <v>133</v>
      </c>
      <c r="C34" s="18">
        <f>IF(C$7=0,0,C16/C$7)</f>
        <v/>
      </c>
      <c r="D34" s="19">
        <f>IF(D$7=0,0,D16/D$7)</f>
        <v/>
      </c>
      <c r="E34" s="19">
        <f>IF(E$7=0,0,E16/E$7)</f>
        <v/>
      </c>
      <c r="F34" s="19">
        <f>IF(F$7=0,0,F16/F$7)</f>
        <v/>
      </c>
    </row>
    <row r="35">
      <c r="B35" s="15" t="s">
        <v>134</v>
      </c>
      <c r="C35" s="20">
        <f>IF(C$7=0,0,C17/C$7)</f>
        <v/>
      </c>
      <c r="D35" s="21">
        <f>IF(D$7=0,0,D17/D$7)</f>
        <v/>
      </c>
      <c r="E35" s="21">
        <f>IF(E$7=0,0,E17/E$7)</f>
        <v/>
      </c>
      <c r="F35" s="21">
        <f>IF(F$7=0,0,F17/F$7)</f>
        <v/>
      </c>
    </row>
    <row r="36">
      <c r="B36" s="12" t="s">
        <v>135</v>
      </c>
      <c r="C36" s="18">
        <f>IF(C$7=0,0,C18/C$7)</f>
        <v/>
      </c>
      <c r="D36" s="19">
        <f>IF(D$7=0,0,D18/D$7)</f>
        <v/>
      </c>
      <c r="E36" s="19">
        <f>IF(E$7=0,0,E18/E$7)</f>
        <v/>
      </c>
      <c r="F36" s="19">
        <f>IF(F$7=0,0,F18/F$7)</f>
        <v/>
      </c>
    </row>
    <row r="37" ht="34" customHeight="1">
      <c r="B37" s="15" t="s">
        <v>136</v>
      </c>
      <c r="C37" s="20">
        <f>IF(C$7=0,0,C19/C$7)</f>
        <v/>
      </c>
      <c r="D37" s="21">
        <f>IF(D$7=0,0,D19/D$7)</f>
        <v/>
      </c>
      <c r="E37" s="21">
        <f>IF(E$7=0,0,E19/E$7)</f>
        <v/>
      </c>
      <c r="F37" s="21">
        <f>IF(F$7=0,0,F19/F$7)</f>
        <v/>
      </c>
    </row>
    <row r="38">
      <c r="B38" s="12" t="s">
        <v>137</v>
      </c>
      <c r="C38" s="18">
        <f>IF(C$7=0,0,C20/C$7)</f>
        <v/>
      </c>
      <c r="D38" s="19">
        <f>IF(D$7=0,0,D20/D$7)</f>
        <v/>
      </c>
      <c r="E38" s="19">
        <f>IF(E$7=0,0,E20/E$7)</f>
        <v/>
      </c>
      <c r="F38" s="19">
        <f>IF(F$7=0,0,F20/F$7)</f>
        <v/>
      </c>
    </row>
    <row r="39">
      <c r="B39" s="15" t="s">
        <v>138</v>
      </c>
      <c r="C39" s="20">
        <f>IF(C$7=0,0,C21/C$7)</f>
        <v/>
      </c>
      <c r="D39" s="21">
        <f>IF(D$7=0,0,D21/D$7)</f>
        <v/>
      </c>
      <c r="E39" s="21">
        <f>IF(E$7=0,0,E21/E$7)</f>
        <v/>
      </c>
      <c r="F39" s="21">
        <f>IF(F$7=0,0,F21/F$7)</f>
        <v/>
      </c>
    </row>
    <row r="40" ht="34" customHeight="1">
      <c r="B40" s="12" t="s">
        <v>139</v>
      </c>
      <c r="C40" s="18">
        <f>IF(C$7=0,0,C22/C$7)</f>
        <v/>
      </c>
      <c r="D40" s="19">
        <f>IF(D$7=0,0,D22/D$7)</f>
        <v/>
      </c>
      <c r="E40" s="19">
        <f>IF(E$7=0,0,E22/E$7)</f>
        <v/>
      </c>
      <c r="F40" s="19">
        <f>IF(F$7=0,0,F22/F$7)</f>
        <v/>
      </c>
    </row>
    <row r="41"/>
    <row r="42" ht="24" customHeight="1">
      <c r="B42" s="4" t="s">
        <v>141</v>
      </c>
      <c r="C42" s="5"/>
      <c r="D42" s="5"/>
      <c r="E42" s="5"/>
      <c r="F42" s="5"/>
    </row>
    <row r="43" ht="32" customHeight="1">
      <c r="B43" s="10" t="s">
        <v>142</v>
      </c>
      <c r="C43" s="11" t="s">
        <v>143</v>
      </c>
      <c r="D43" s="11" t="s">
        <v>144</v>
      </c>
      <c r="E43" s="11" t="s">
        <v>145</v>
      </c>
    </row>
    <row r="44">
      <c r="B44" s="12" t="s">
        <v>146</v>
      </c>
      <c r="C44" s="14">
        <f>COUNTIFS('Entradas a 1.3'!$G$5:$G$360,"Sí")</f>
        <v/>
      </c>
      <c r="D44" s="14">
        <f>COUNTIFS('Entradas a 1.3'!$U$5:$U$360,"Sí")</f>
        <v/>
      </c>
      <c r="E44" s="18">
        <f>IF(C44=0,0,D44/C44)</f>
        <v/>
      </c>
    </row>
    <row r="45" ht="34" customHeight="1">
      <c r="B45" s="15" t="s">
        <v>147</v>
      </c>
      <c r="C45" s="17">
        <f>COUNTIFS('Entradas a 1.3'!$H$5:$H$360,"Sí")</f>
        <v/>
      </c>
      <c r="D45" s="17">
        <f>COUNTIFS('Entradas a 1.3'!$V$5:$V$360,"Sí")</f>
        <v/>
      </c>
      <c r="E45" s="20">
        <f>IF(C45=0,0,D45/C45)</f>
        <v/>
      </c>
    </row>
    <row r="46"/>
    <row r="47" ht="24" customHeight="1">
      <c r="B47" s="4" t="s">
        <v>148</v>
      </c>
      <c r="C47" s="5"/>
      <c r="D47" s="5"/>
      <c r="E47" s="5"/>
      <c r="F47" s="5"/>
    </row>
    <row r="48" ht="32" customHeight="1">
      <c r="B48" s="10" t="s">
        <v>149</v>
      </c>
      <c r="C48" s="11" t="s">
        <v>150</v>
      </c>
      <c r="D48" s="11" t="s">
        <v>151</v>
      </c>
      <c r="E48" s="11" t="s">
        <v>152</v>
      </c>
      <c r="F48" s="11" t="s">
        <v>138</v>
      </c>
      <c r="G48" s="11" t="s">
        <v>153</v>
      </c>
    </row>
    <row r="49">
      <c r="B49" s="15" t="s">
        <v>128</v>
      </c>
      <c r="C49" s="17">
        <f>COUNTIFS('Entradas a 1.3'!$I$5:$I$360,"Sí")</f>
        <v/>
      </c>
      <c r="D49" s="17">
        <f>COUNTIFS('Entradas a 1.3'!$I$5:$I$360,"Sí",'Entradas a 1.3'!$P$5:$P$360,"Sí")</f>
        <v/>
      </c>
      <c r="E49" s="20">
        <f>IF(C49=0,0,D49/C49)</f>
        <v/>
      </c>
      <c r="F49" s="17">
        <f>COUNTIFS('Entradas a 1.3'!$I$5:$I$360,"Sí",'Entradas a 1.3'!$R$5:$R$360,"Sí")</f>
        <v/>
      </c>
      <c r="G49" s="21">
        <f>IF(C49=0,0,F49/C49)</f>
        <v/>
      </c>
    </row>
    <row r="50">
      <c r="B50" s="12" t="s">
        <v>154</v>
      </c>
      <c r="C50" s="14">
        <f>COUNTIFS('Entradas a 1.3'!$I$5:$I$360,"No")</f>
        <v/>
      </c>
      <c r="D50" s="14">
        <f>COUNTIFS('Entradas a 1.3'!$I$5:$I$360,"No",'Entradas a 1.3'!$P$5:$P$360,"Sí")</f>
        <v/>
      </c>
      <c r="E50" s="18">
        <f>IF(C50=0,0,D50/C50)</f>
        <v/>
      </c>
      <c r="F50" s="14">
        <f>COUNTIFS('Entradas a 1.3'!$I$5:$I$360,"No",'Entradas a 1.3'!$R$5:$R$360,"Sí")</f>
        <v/>
      </c>
      <c r="G50" s="19">
        <f>IF(C50=0,0,F50/C50)</f>
        <v/>
      </c>
    </row>
    <row r="51"/>
    <row r="52" ht="24" customHeight="1">
      <c r="B52" s="4" t="s">
        <v>155</v>
      </c>
      <c r="C52" s="5"/>
      <c r="D52" s="5"/>
      <c r="E52" s="5"/>
      <c r="F52" s="5"/>
    </row>
    <row r="53" ht="32" customHeight="1">
      <c r="B53" s="10" t="s">
        <v>18</v>
      </c>
      <c r="C53" s="11" t="s">
        <v>19</v>
      </c>
      <c r="D53" s="11" t="s">
        <v>20</v>
      </c>
      <c r="E53" s="11" t="s">
        <v>21</v>
      </c>
      <c r="F53" s="11" t="s">
        <v>22</v>
      </c>
    </row>
    <row r="54">
      <c r="B54" s="12" t="s">
        <v>156</v>
      </c>
      <c r="C54" s="28">
        <f t="array" ref="C54">MEDIAN(IF(('Entradas a 1.3'!$A$5:$A$360&lt;&gt;""),IF('Entradas a 1.3'!$O$5:$O$360&lt;&gt;"",'Entradas a 1.3'!$O$5:$O$360)))</f>
        <v/>
      </c>
      <c r="D54" s="29">
        <f t="array" ref="D54">MEDIAN(IF(('Entradas a 1.3'!$B$5:$B$360="ISO + Calidad"),IF('Entradas a 1.3'!$O$5:$O$360&lt;&gt;"",'Entradas a 1.3'!$O$5:$O$360)))</f>
        <v/>
      </c>
      <c r="E54" s="29">
        <f t="array" ref="E54">MEDIAN(IF(('Entradas a 1.3'!$B$5:$B$360="Core Tools Premium"),IF('Entradas a 1.3'!$O$5:$O$360&lt;&gt;"",'Entradas a 1.3'!$O$5:$O$360)))</f>
        <v/>
      </c>
      <c r="F54" s="29">
        <f t="array" ref="F54">MEDIAN(IF(('Entradas a 1.3'!$B$5:$B$360="Manufactura y Calidad"),IF('Entradas a 1.3'!$O$5:$O$360&lt;&gt;"",'Entradas a 1.3'!$O$5:$O$360)))</f>
        <v/>
      </c>
    </row>
    <row r="55" ht="34" customHeight="1">
      <c r="B55" s="15" t="s">
        <v>157</v>
      </c>
      <c r="C55" s="30">
        <f t="array" ref="C55">MEDIAN(IF(('Entradas a 1.3'!$I$5:$I$360="Sí")*('Entradas a 1.3'!$A$5:$A$360&lt;&gt;""),IF('Entradas a 1.3'!$J$5:$J$360&lt;&gt;"",'Entradas a 1.3'!$J$5:$J$360)))</f>
        <v/>
      </c>
      <c r="D55" s="23">
        <f t="array" ref="D55">MEDIAN(IF(('Entradas a 1.3'!$I$5:$I$360="Sí")*('Entradas a 1.3'!$B$5:$B$360="ISO + Calidad"),IF('Entradas a 1.3'!$J$5:$J$360&lt;&gt;"",'Entradas a 1.3'!$J$5:$J$360)))</f>
        <v/>
      </c>
      <c r="E55" s="23">
        <f t="array" ref="E55">MEDIAN(IF(('Entradas a 1.3'!$I$5:$I$360="Sí")*('Entradas a 1.3'!$B$5:$B$360="Core Tools Premium"),IF('Entradas a 1.3'!$J$5:$J$360&lt;&gt;"",'Entradas a 1.3'!$J$5:$J$360)))</f>
        <v/>
      </c>
      <c r="F55" s="23">
        <f t="array" ref="F55">MEDIAN(IF(('Entradas a 1.3'!$I$5:$I$360="Sí")*('Entradas a 1.3'!$B$5:$B$360="Manufactura y Calidad"),IF('Entradas a 1.3'!$J$5:$J$360&lt;&gt;"",'Entradas a 1.3'!$J$5:$J$360)))</f>
        <v/>
      </c>
    </row>
    <row r="56"/>
    <row r="57" ht="34" customHeight="1">
      <c r="B57" s="4" t="s">
        <v>158</v>
      </c>
      <c r="C57" s="5"/>
      <c r="D57" s="5"/>
      <c r="E57" s="5"/>
      <c r="F57" s="5"/>
    </row>
    <row r="58" ht="62" customHeight="1">
      <c r="B58" s="24" t="s">
        <v>159</v>
      </c>
    </row>
    <row r="59" ht="32" customHeight="1">
      <c r="B59" s="10" t="s">
        <v>149</v>
      </c>
      <c r="C59" s="11" t="s">
        <v>160</v>
      </c>
      <c r="D59" s="11" t="s">
        <v>102</v>
      </c>
      <c r="E59" s="11" t="s">
        <v>161</v>
      </c>
      <c r="F59" s="11" t="s">
        <v>162</v>
      </c>
      <c r="G59" s="11" t="s">
        <v>163</v>
      </c>
    </row>
    <row r="60">
      <c r="B60" s="12" t="s">
        <v>73</v>
      </c>
      <c r="C60" s="14">
        <f>COUNTIFS('Base leads'!$E$5:$E$1238,"A tiempo (en 1.2)",'Base leads'!$X$5:$X$1238,"Sí",'Base leads'!$N$5:$N$1238,"Sí")</f>
        <v/>
      </c>
      <c r="D60" s="14">
        <f>COUNTIFS('Base leads'!$E$5:$E$1238,"A tiempo (en 1.2)",'Base leads'!$X$5:$X$1238,"Sí",'Base leads'!$N$5:$N$1238,"Sí",'Base leads'!$U$5:$U$1238,"Sí")</f>
        <v/>
      </c>
      <c r="E60" s="14">
        <f>COUNTIFS('Base leads'!$E$5:$E$1238,"A tiempo (en 1.2)",'Base leads'!$X$5:$X$1238,"Sí",'Base leads'!$N$5:$N$1238,"Sí",'Base leads'!$V$5:$V$1238,"Sí")</f>
        <v/>
      </c>
      <c r="F60" s="14">
        <f>COUNTIFS('Base leads'!$E$5:$E$1238,"A tiempo (en 1.2)",'Base leads'!$X$5:$X$1238,"Sí",'Base leads'!$N$5:$N$1238,"Sí",'Base leads'!$W$5:$W$1238,"Sí")</f>
        <v/>
      </c>
      <c r="G60" s="18">
        <f>IF(C60=0,0,F60/C60)</f>
        <v/>
      </c>
    </row>
    <row r="61">
      <c r="B61" s="15" t="s">
        <v>164</v>
      </c>
      <c r="C61" s="17">
        <f>COUNTIFS('Base leads'!$E$5:$E$1238,"A tiempo (en 1.2)",'Base leads'!$X$5:$X$1238,"Sí",'Base leads'!$N$5:$N$1238,"No")</f>
        <v/>
      </c>
      <c r="D61" s="17">
        <f>COUNTIFS('Base leads'!$E$5:$E$1238,"A tiempo (en 1.2)",'Base leads'!$X$5:$X$1238,"Sí",'Base leads'!$N$5:$N$1238,"No",'Base leads'!$U$5:$U$1238,"Sí")</f>
        <v/>
      </c>
      <c r="E61" s="17">
        <f>COUNTIFS('Base leads'!$E$5:$E$1238,"A tiempo (en 1.2)",'Base leads'!$X$5:$X$1238,"Sí",'Base leads'!$N$5:$N$1238,"No",'Base leads'!$V$5:$V$1238,"Sí")</f>
        <v/>
      </c>
      <c r="F61" s="17">
        <f>COUNTIFS('Base leads'!$E$5:$E$1238,"A tiempo (en 1.2)",'Base leads'!$X$5:$X$1238,"Sí",'Base leads'!$N$5:$N$1238,"No",'Base leads'!$W$5:$W$1238,"Sí")</f>
        <v/>
      </c>
      <c r="G61" s="20">
        <f>IF(C61=0,0,F61/C61)</f>
        <v/>
      </c>
    </row>
    <row r="62">
      <c r="B62" s="12" t="s">
        <v>165</v>
      </c>
      <c r="C62" s="14">
        <f>COUNTIFS('Base leads'!$E$5:$E$1238,"A tiempo (en 1.2)",'Base leads'!$X$5:$X$1238,"Sí",'Base leads'!$N$5:$N$1238,"No",'Base leads'!$S$5:$S$1238,"Negativo (lo mandó el bot)")</f>
        <v/>
      </c>
      <c r="D62" s="14">
        <f>COUNTIFS('Base leads'!$E$5:$E$1238,"A tiempo (en 1.2)",'Base leads'!$X$5:$X$1238,"Sí",'Base leads'!$N$5:$N$1238,"No",'Base leads'!$S$5:$S$1238,"Negativo (lo mandó el bot)",'Base leads'!$U$5:$U$1238,"Sí")</f>
        <v/>
      </c>
      <c r="E62" s="14">
        <f>COUNTIFS('Base leads'!$E$5:$E$1238,"A tiempo (en 1.2)",'Base leads'!$X$5:$X$1238,"Sí",'Base leads'!$N$5:$N$1238,"No",'Base leads'!$S$5:$S$1238,"Negativo (lo mandó el bot)",'Base leads'!$V$5:$V$1238,"Sí")</f>
        <v/>
      </c>
      <c r="F62" s="14">
        <f>COUNTIFS('Base leads'!$E$5:$E$1238,"A tiempo (en 1.2)",'Base leads'!$X$5:$X$1238,"Sí",'Base leads'!$N$5:$N$1238,"No",'Base leads'!$S$5:$S$1238,"Negativo (lo mandó el bot)",'Base leads'!$W$5:$W$1238,"Sí")</f>
        <v/>
      </c>
      <c r="G62" s="18">
        <f>IF(C62=0,0,F62/C62)</f>
        <v/>
      </c>
    </row>
    <row r="63" ht="34" customHeight="1">
      <c r="B63" s="15" t="s">
        <v>166</v>
      </c>
      <c r="C63" s="17">
        <f>COUNTIFS('Base leads'!$E$5:$E$1238,"A tiempo (en 1.2)",'Base leads'!$X$5:$X$1238,"Sí",'Base leads'!$N$5:$N$1238,"No",'Base leads'!$S$5:$S$1238,"1.4, pago o Ganado (persona)")</f>
        <v/>
      </c>
      <c r="D63" s="17">
        <f>COUNTIFS('Base leads'!$E$5:$E$1238,"A tiempo (en 1.2)",'Base leads'!$X$5:$X$1238,"Sí",'Base leads'!$N$5:$N$1238,"No",'Base leads'!$S$5:$S$1238,"1.4, pago o Ganado (persona)",'Base leads'!$U$5:$U$1238,"Sí")</f>
        <v/>
      </c>
      <c r="E63" s="17">
        <f>COUNTIFS('Base leads'!$E$5:$E$1238,"A tiempo (en 1.2)",'Base leads'!$X$5:$X$1238,"Sí",'Base leads'!$N$5:$N$1238,"No",'Base leads'!$S$5:$S$1238,"1.4, pago o Ganado (persona)",'Base leads'!$V$5:$V$1238,"Sí")</f>
        <v/>
      </c>
      <c r="F63" s="17">
        <f>COUNTIFS('Base leads'!$E$5:$E$1238,"A tiempo (en 1.2)",'Base leads'!$X$5:$X$1238,"Sí",'Base leads'!$N$5:$N$1238,"No",'Base leads'!$S$5:$S$1238,"1.4, pago o Ganado (persona)",'Base leads'!$W$5:$W$1238,"Sí")</f>
        <v/>
      </c>
      <c r="G63" s="20">
        <f>IF(C63=0,0,F63/C63)</f>
        <v/>
      </c>
    </row>
    <row r="64">
      <c r="B64" s="12" t="s">
        <v>167</v>
      </c>
      <c r="C64" s="14">
        <f>COUNTIFS('Base leads'!$E$5:$E$1238,"A tiempo (en 1.2)",'Base leads'!$X$5:$X$1238,"Sí",'Base leads'!$N$5:$N$1238,"No",'Base leads'!$K$5:$K$1238,"Sí")</f>
        <v/>
      </c>
      <c r="D64" s="14">
        <f>COUNTIFS('Base leads'!$E$5:$E$1238,"A tiempo (en 1.2)",'Base leads'!$X$5:$X$1238,"Sí",'Base leads'!$N$5:$N$1238,"No",'Base leads'!$K$5:$K$1238,"Sí",'Base leads'!$U$5:$U$1238,"Sí")</f>
        <v/>
      </c>
      <c r="E64" s="14">
        <f>COUNTIFS('Base leads'!$E$5:$E$1238,"A tiempo (en 1.2)",'Base leads'!$X$5:$X$1238,"Sí",'Base leads'!$N$5:$N$1238,"No",'Base leads'!$K$5:$K$1238,"Sí",'Base leads'!$V$5:$V$1238,"Sí")</f>
        <v/>
      </c>
      <c r="F64" s="14">
        <f>COUNTIFS('Base leads'!$E$5:$E$1238,"A tiempo (en 1.2)",'Base leads'!$X$5:$X$1238,"Sí",'Base leads'!$N$5:$N$1238,"No",'Base leads'!$K$5:$K$1238,"Sí",'Base leads'!$W$5:$W$1238,"Sí")</f>
        <v/>
      </c>
      <c r="G64" s="18">
        <f>IF(C64=0,0,F64/C64)</f>
        <v/>
      </c>
    </row>
    <row r="65">
      <c r="B65" s="15" t="s">
        <v>168</v>
      </c>
      <c r="C65" s="17">
        <f>COUNTIFS('Base leads'!$E$5:$E$1238,"A tiempo (en 1.2)",'Base leads'!$X$5:$X$1238,"Sí",'Base leads'!$N$5:$N$1238,"No",'Base leads'!$K$5:$K$1238,"No")</f>
        <v/>
      </c>
      <c r="D65" s="17">
        <f>COUNTIFS('Base leads'!$E$5:$E$1238,"A tiempo (en 1.2)",'Base leads'!$X$5:$X$1238,"Sí",'Base leads'!$N$5:$N$1238,"No",'Base leads'!$K$5:$K$1238,"No",'Base leads'!$U$5:$U$1238,"Sí")</f>
        <v/>
      </c>
      <c r="E65" s="17">
        <f>COUNTIFS('Base leads'!$E$5:$E$1238,"A tiempo (en 1.2)",'Base leads'!$X$5:$X$1238,"Sí",'Base leads'!$N$5:$N$1238,"No",'Base leads'!$K$5:$K$1238,"No",'Base leads'!$V$5:$V$1238,"Sí")</f>
        <v/>
      </c>
      <c r="F65" s="17">
        <f>COUNTIFS('Base leads'!$E$5:$E$1238,"A tiempo (en 1.2)",'Base leads'!$X$5:$X$1238,"Sí",'Base leads'!$N$5:$N$1238,"No",'Base leads'!$K$5:$K$1238,"No",'Base leads'!$W$5:$W$1238,"Sí")</f>
        <v/>
      </c>
      <c r="G65" s="20">
        <f>IF(C65=0,0,F65/C65)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30A28"/>
    <outlinePr summaryBelow="1" summaryRight="1"/>
    <pageSetUpPr/>
  </sheetPr>
  <dimension ref="A1:Y123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2" customWidth="1" min="4" max="4"/>
    <col width="20" customWidth="1" min="5" max="5"/>
    <col width="10" customWidth="1" min="6" max="6"/>
    <col width="11" customWidth="1" min="7" max="7"/>
    <col width="26" customWidth="1" min="8" max="8"/>
    <col width="13" customWidth="1" min="9" max="9"/>
    <col width="12" customWidth="1" min="10" max="10"/>
    <col width="11" customWidth="1" min="11" max="11"/>
    <col width="26" customWidth="1" min="12" max="12"/>
    <col width="10" customWidth="1" min="13" max="13"/>
    <col width="10" customWidth="1" min="14" max="14"/>
    <col width="24" customWidth="1" min="15" max="15"/>
    <col width="12" customWidth="1" min="16" max="16"/>
    <col width="16" customWidth="1" min="17" max="17"/>
    <col width="22" customWidth="1" min="18" max="18"/>
    <col width="26" customWidth="1" min="19" max="19"/>
    <col width="11" customWidth="1" min="20" max="20"/>
    <col width="11" customWidth="1" min="21" max="21"/>
    <col width="11" customWidth="1" min="22" max="22"/>
    <col width="13" customWidth="1" min="23" max="23"/>
    <col width="10" customWidth="1" min="24" max="24"/>
    <col width="24" customWidth="1" min="25" max="25"/>
  </cols>
  <sheetData>
    <row r="1" ht="30" customHeight="1">
      <c r="A1" s="36" t="s">
        <v>169</v>
      </c>
    </row>
    <row r="2">
      <c r="A2" s="37" t="s">
        <v>170</v>
      </c>
    </row>
    <row r="4" ht="44" customHeight="1">
      <c r="A4" s="11" t="s">
        <v>171</v>
      </c>
      <c r="B4" s="11" t="s">
        <v>172</v>
      </c>
      <c r="C4" s="11" t="s">
        <v>109</v>
      </c>
      <c r="D4" s="11" t="s">
        <v>173</v>
      </c>
      <c r="E4" s="11" t="s">
        <v>174</v>
      </c>
      <c r="F4" s="11" t="s">
        <v>175</v>
      </c>
      <c r="G4" s="11" t="s">
        <v>176</v>
      </c>
      <c r="H4" s="11" t="s">
        <v>177</v>
      </c>
      <c r="I4" s="11" t="s">
        <v>178</v>
      </c>
      <c r="J4" s="11" t="s">
        <v>179</v>
      </c>
      <c r="K4" s="11" t="s">
        <v>180</v>
      </c>
      <c r="L4" s="11" t="s">
        <v>181</v>
      </c>
      <c r="M4" s="11" t="s">
        <v>182</v>
      </c>
      <c r="N4" s="11" t="s">
        <v>60</v>
      </c>
      <c r="O4" s="11" t="s">
        <v>183</v>
      </c>
      <c r="P4" s="11" t="s">
        <v>184</v>
      </c>
      <c r="Q4" s="11" t="s">
        <v>185</v>
      </c>
      <c r="R4" s="11" t="s">
        <v>186</v>
      </c>
      <c r="S4" s="11" t="s">
        <v>187</v>
      </c>
      <c r="T4" s="11" t="s">
        <v>188</v>
      </c>
      <c r="U4" s="11" t="s">
        <v>189</v>
      </c>
      <c r="V4" s="11" t="s">
        <v>190</v>
      </c>
      <c r="W4" s="11" t="s">
        <v>191</v>
      </c>
      <c r="X4" s="11" t="s">
        <v>192</v>
      </c>
      <c r="Y4" s="11" t="s">
        <v>193</v>
      </c>
    </row>
    <row r="5">
      <c r="A5">
        <v>267</v>
      </c>
      <c r="B5" t="s">
        <v>194</v>
      </c>
      <c r="C5" t="s">
        <v>112</v>
      </c>
      <c r="D5" t="s">
        <v>195</v>
      </c>
      <c r="E5" t="s">
        <v>196</v>
      </c>
      <c r="F5">
        <v>2.8</v>
      </c>
      <c r="G5" t="s">
        <v>197</v>
      </c>
      <c r="H5" t="s">
        <v>93</v>
      </c>
      <c r="I5">
        <v>0.5</v>
      </c>
      <c r="J5" t="s">
        <v>195</v>
      </c>
      <c r="K5" t="s">
        <v>195</v>
      </c>
      <c r="L5" t="s">
        <v>93</v>
      </c>
      <c r="M5">
        <v>4</v>
      </c>
      <c r="N5" t="s">
        <v>195</v>
      </c>
      <c r="O5" t="s">
        <v>93</v>
      </c>
      <c r="P5">
        <v>4.3</v>
      </c>
      <c r="Q5" t="s">
        <v>195</v>
      </c>
      <c r="R5" t="s">
        <v>49</v>
      </c>
      <c r="T5" t="s">
        <v>76</v>
      </c>
      <c r="U5" t="s">
        <v>195</v>
      </c>
      <c r="V5" t="s">
        <v>197</v>
      </c>
      <c r="W5" t="s">
        <v>197</v>
      </c>
      <c r="X5" t="s">
        <v>195</v>
      </c>
      <c r="Y5" t="s">
        <v>198</v>
      </c>
    </row>
    <row r="6">
      <c r="A6">
        <v>268</v>
      </c>
      <c r="B6" t="s">
        <v>199</v>
      </c>
      <c r="C6" t="s">
        <v>112</v>
      </c>
      <c r="D6" t="s">
        <v>195</v>
      </c>
      <c r="E6" t="s">
        <v>200</v>
      </c>
      <c r="F6">
        <v>1367.6</v>
      </c>
      <c r="G6" t="s">
        <v>195</v>
      </c>
      <c r="H6" t="s">
        <v>96</v>
      </c>
      <c r="I6">
        <v>10.7</v>
      </c>
      <c r="J6" t="s">
        <v>197</v>
      </c>
      <c r="K6" t="s">
        <v>195</v>
      </c>
      <c r="L6" t="s">
        <v>96</v>
      </c>
      <c r="M6">
        <v>10.7</v>
      </c>
      <c r="N6" t="s">
        <v>197</v>
      </c>
      <c r="R6" t="s">
        <v>52</v>
      </c>
      <c r="S6" t="s">
        <v>64</v>
      </c>
      <c r="T6" t="s">
        <v>76</v>
      </c>
      <c r="U6" t="s">
        <v>197</v>
      </c>
      <c r="V6" t="s">
        <v>197</v>
      </c>
      <c r="W6" t="s">
        <v>197</v>
      </c>
      <c r="X6" t="s">
        <v>195</v>
      </c>
      <c r="Y6" t="s">
        <v>198</v>
      </c>
    </row>
    <row r="7">
      <c r="A7">
        <v>271</v>
      </c>
      <c r="B7" t="s">
        <v>20</v>
      </c>
      <c r="C7" t="s">
        <v>112</v>
      </c>
      <c r="D7" t="s">
        <v>197</v>
      </c>
      <c r="E7" t="s">
        <v>201</v>
      </c>
      <c r="U7" t="s">
        <v>197</v>
      </c>
      <c r="V7" t="s">
        <v>197</v>
      </c>
      <c r="W7" t="s">
        <v>197</v>
      </c>
      <c r="X7" t="s">
        <v>195</v>
      </c>
      <c r="Y7" t="s">
        <v>198</v>
      </c>
    </row>
    <row r="8">
      <c r="A8">
        <v>276</v>
      </c>
      <c r="B8" t="s">
        <v>20</v>
      </c>
      <c r="C8" t="s">
        <v>112</v>
      </c>
      <c r="D8" t="s">
        <v>195</v>
      </c>
      <c r="E8" t="s">
        <v>196</v>
      </c>
      <c r="F8">
        <v>0.6</v>
      </c>
      <c r="G8" t="s">
        <v>197</v>
      </c>
      <c r="H8" t="s">
        <v>93</v>
      </c>
      <c r="I8">
        <v>0.3</v>
      </c>
      <c r="J8" t="s">
        <v>195</v>
      </c>
      <c r="K8" t="s">
        <v>195</v>
      </c>
      <c r="L8" t="s">
        <v>93</v>
      </c>
      <c r="M8">
        <v>2.8</v>
      </c>
      <c r="N8" t="s">
        <v>195</v>
      </c>
      <c r="O8" t="s">
        <v>93</v>
      </c>
      <c r="P8">
        <v>3.7</v>
      </c>
      <c r="Q8" t="s">
        <v>195</v>
      </c>
      <c r="R8" t="s">
        <v>49</v>
      </c>
      <c r="T8" t="s">
        <v>76</v>
      </c>
      <c r="U8" t="s">
        <v>197</v>
      </c>
      <c r="V8" t="s">
        <v>197</v>
      </c>
      <c r="W8" t="s">
        <v>197</v>
      </c>
      <c r="X8" t="s">
        <v>195</v>
      </c>
      <c r="Y8" t="s">
        <v>198</v>
      </c>
    </row>
    <row r="9">
      <c r="A9">
        <v>278</v>
      </c>
      <c r="B9" t="s">
        <v>20</v>
      </c>
      <c r="C9" t="s">
        <v>112</v>
      </c>
      <c r="D9" t="s">
        <v>195</v>
      </c>
      <c r="E9" t="s">
        <v>196</v>
      </c>
      <c r="F9">
        <v>0.8</v>
      </c>
      <c r="G9" t="s">
        <v>197</v>
      </c>
      <c r="H9" t="s">
        <v>93</v>
      </c>
      <c r="I9">
        <v>0.3</v>
      </c>
      <c r="J9" t="s">
        <v>195</v>
      </c>
      <c r="K9" t="s">
        <v>195</v>
      </c>
      <c r="L9" t="s">
        <v>93</v>
      </c>
      <c r="M9">
        <v>2.6</v>
      </c>
      <c r="N9" t="s">
        <v>195</v>
      </c>
      <c r="O9" t="s">
        <v>93</v>
      </c>
      <c r="P9">
        <v>2.9</v>
      </c>
      <c r="Q9" t="s">
        <v>195</v>
      </c>
      <c r="R9" t="s">
        <v>49</v>
      </c>
      <c r="T9" t="s">
        <v>76</v>
      </c>
      <c r="U9" t="s">
        <v>197</v>
      </c>
      <c r="V9" t="s">
        <v>197</v>
      </c>
      <c r="W9" t="s">
        <v>197</v>
      </c>
      <c r="X9" t="s">
        <v>195</v>
      </c>
      <c r="Y9" t="s">
        <v>198</v>
      </c>
    </row>
    <row r="10">
      <c r="A10">
        <v>282</v>
      </c>
      <c r="B10" t="s">
        <v>20</v>
      </c>
      <c r="C10" t="s">
        <v>112</v>
      </c>
      <c r="D10" t="s">
        <v>197</v>
      </c>
      <c r="E10" t="s">
        <v>201</v>
      </c>
      <c r="U10" t="s">
        <v>197</v>
      </c>
      <c r="V10" t="s">
        <v>197</v>
      </c>
      <c r="W10" t="s">
        <v>197</v>
      </c>
      <c r="X10" t="s">
        <v>195</v>
      </c>
      <c r="Y10" t="s">
        <v>198</v>
      </c>
    </row>
    <row r="11">
      <c r="A11">
        <v>277</v>
      </c>
      <c r="B11" t="s">
        <v>20</v>
      </c>
      <c r="C11" t="s">
        <v>112</v>
      </c>
      <c r="D11" t="s">
        <v>195</v>
      </c>
      <c r="E11" t="s">
        <v>196</v>
      </c>
      <c r="F11">
        <v>71.2</v>
      </c>
      <c r="G11" t="s">
        <v>197</v>
      </c>
      <c r="H11" t="s">
        <v>94</v>
      </c>
      <c r="I11">
        <v>2.2</v>
      </c>
      <c r="J11" t="s">
        <v>195</v>
      </c>
      <c r="K11" t="s">
        <v>195</v>
      </c>
      <c r="L11" t="s">
        <v>94</v>
      </c>
      <c r="M11">
        <v>8.5</v>
      </c>
      <c r="N11" t="s">
        <v>195</v>
      </c>
      <c r="O11" t="s">
        <v>94</v>
      </c>
      <c r="P11">
        <v>8.9</v>
      </c>
      <c r="Q11" t="s">
        <v>195</v>
      </c>
      <c r="R11" t="s">
        <v>49</v>
      </c>
      <c r="T11" t="s">
        <v>76</v>
      </c>
      <c r="U11" t="s">
        <v>197</v>
      </c>
      <c r="V11" t="s">
        <v>197</v>
      </c>
      <c r="W11" t="s">
        <v>197</v>
      </c>
      <c r="X11" t="s">
        <v>195</v>
      </c>
      <c r="Y11" t="s">
        <v>198</v>
      </c>
    </row>
    <row r="12">
      <c r="A12">
        <v>280</v>
      </c>
      <c r="B12" t="s">
        <v>20</v>
      </c>
      <c r="C12" t="s">
        <v>112</v>
      </c>
      <c r="D12" t="s">
        <v>197</v>
      </c>
      <c r="E12" t="s">
        <v>201</v>
      </c>
      <c r="U12" t="s">
        <v>197</v>
      </c>
      <c r="V12" t="s">
        <v>197</v>
      </c>
      <c r="W12" t="s">
        <v>197</v>
      </c>
      <c r="X12" t="s">
        <v>195</v>
      </c>
      <c r="Y12" t="s">
        <v>198</v>
      </c>
    </row>
    <row r="13">
      <c r="A13">
        <v>286</v>
      </c>
      <c r="B13" t="s">
        <v>199</v>
      </c>
      <c r="C13" t="s">
        <v>112</v>
      </c>
      <c r="D13" t="s">
        <v>195</v>
      </c>
      <c r="E13" t="s">
        <v>196</v>
      </c>
      <c r="F13">
        <v>1.1</v>
      </c>
      <c r="G13" t="s">
        <v>197</v>
      </c>
      <c r="H13" t="s">
        <v>95</v>
      </c>
      <c r="I13">
        <v>0.2</v>
      </c>
      <c r="J13" t="s">
        <v>195</v>
      </c>
      <c r="K13" t="s">
        <v>195</v>
      </c>
      <c r="L13" t="s">
        <v>95</v>
      </c>
      <c r="M13">
        <v>5.1</v>
      </c>
      <c r="N13" t="s">
        <v>195</v>
      </c>
      <c r="O13" t="s">
        <v>95</v>
      </c>
      <c r="P13">
        <v>6.1</v>
      </c>
      <c r="Q13" t="s">
        <v>195</v>
      </c>
      <c r="R13" t="s">
        <v>49</v>
      </c>
      <c r="T13" t="s">
        <v>76</v>
      </c>
      <c r="U13" t="s">
        <v>195</v>
      </c>
      <c r="V13" t="s">
        <v>195</v>
      </c>
      <c r="W13" t="s">
        <v>197</v>
      </c>
      <c r="X13" t="s">
        <v>195</v>
      </c>
      <c r="Y13" t="s">
        <v>198</v>
      </c>
    </row>
    <row r="14">
      <c r="A14">
        <v>285</v>
      </c>
      <c r="B14" t="s">
        <v>20</v>
      </c>
      <c r="C14" t="s">
        <v>112</v>
      </c>
      <c r="D14" t="s">
        <v>197</v>
      </c>
      <c r="E14" t="s">
        <v>201</v>
      </c>
      <c r="U14" t="s">
        <v>197</v>
      </c>
      <c r="V14" t="s">
        <v>197</v>
      </c>
      <c r="W14" t="s">
        <v>197</v>
      </c>
      <c r="X14" t="s">
        <v>195</v>
      </c>
      <c r="Y14" t="s">
        <v>198</v>
      </c>
    </row>
    <row r="15">
      <c r="A15">
        <v>291</v>
      </c>
      <c r="B15" t="s">
        <v>20</v>
      </c>
      <c r="C15" t="s">
        <v>112</v>
      </c>
      <c r="D15" t="s">
        <v>197</v>
      </c>
      <c r="E15" t="s">
        <v>201</v>
      </c>
      <c r="U15" t="s">
        <v>197</v>
      </c>
      <c r="V15" t="s">
        <v>197</v>
      </c>
      <c r="W15" t="s">
        <v>197</v>
      </c>
      <c r="X15" t="s">
        <v>195</v>
      </c>
      <c r="Y15" t="s">
        <v>198</v>
      </c>
    </row>
    <row r="16">
      <c r="A16">
        <v>287</v>
      </c>
      <c r="B16" t="s">
        <v>20</v>
      </c>
      <c r="C16" t="s">
        <v>112</v>
      </c>
      <c r="D16" t="s">
        <v>195</v>
      </c>
      <c r="E16" t="s">
        <v>196</v>
      </c>
      <c r="F16">
        <v>28.8</v>
      </c>
      <c r="G16" t="s">
        <v>197</v>
      </c>
      <c r="H16" t="s">
        <v>93</v>
      </c>
      <c r="I16">
        <v>4</v>
      </c>
      <c r="J16" t="s">
        <v>195</v>
      </c>
      <c r="K16" t="s">
        <v>195</v>
      </c>
      <c r="L16" t="s">
        <v>93</v>
      </c>
      <c r="M16">
        <v>10.8</v>
      </c>
      <c r="N16" t="s">
        <v>195</v>
      </c>
      <c r="O16" t="s">
        <v>93</v>
      </c>
      <c r="P16">
        <v>11.6</v>
      </c>
      <c r="Q16" t="s">
        <v>195</v>
      </c>
      <c r="R16" t="s">
        <v>49</v>
      </c>
      <c r="T16" t="s">
        <v>76</v>
      </c>
      <c r="U16" t="s">
        <v>197</v>
      </c>
      <c r="V16" t="s">
        <v>197</v>
      </c>
      <c r="W16" t="s">
        <v>197</v>
      </c>
      <c r="X16" t="s">
        <v>195</v>
      </c>
      <c r="Y16" t="s">
        <v>198</v>
      </c>
    </row>
    <row r="17">
      <c r="A17">
        <v>289</v>
      </c>
      <c r="B17" t="s">
        <v>194</v>
      </c>
      <c r="C17" t="s">
        <v>112</v>
      </c>
      <c r="D17" t="s">
        <v>195</v>
      </c>
      <c r="E17" t="s">
        <v>196</v>
      </c>
      <c r="F17">
        <v>72.7</v>
      </c>
      <c r="G17" t="s">
        <v>197</v>
      </c>
      <c r="H17" t="s">
        <v>94</v>
      </c>
      <c r="I17">
        <v>1.3</v>
      </c>
      <c r="J17" t="s">
        <v>197</v>
      </c>
      <c r="K17" t="s">
        <v>197</v>
      </c>
      <c r="L17">
        <v/>
      </c>
      <c r="N17" t="s">
        <v>197</v>
      </c>
      <c r="R17" t="s">
        <v>53</v>
      </c>
      <c r="S17" t="s">
        <v>64</v>
      </c>
      <c r="T17" t="s">
        <v>76</v>
      </c>
      <c r="U17" t="s">
        <v>197</v>
      </c>
      <c r="V17" t="s">
        <v>197</v>
      </c>
      <c r="W17" t="s">
        <v>197</v>
      </c>
      <c r="X17" t="s">
        <v>195</v>
      </c>
      <c r="Y17" t="s">
        <v>198</v>
      </c>
    </row>
    <row r="18">
      <c r="A18">
        <v>292</v>
      </c>
      <c r="B18" t="s">
        <v>20</v>
      </c>
      <c r="C18" t="s">
        <v>112</v>
      </c>
      <c r="D18" t="s">
        <v>197</v>
      </c>
      <c r="E18" t="s">
        <v>201</v>
      </c>
      <c r="U18" t="s">
        <v>197</v>
      </c>
      <c r="V18" t="s">
        <v>197</v>
      </c>
      <c r="W18" t="s">
        <v>197</v>
      </c>
      <c r="X18" t="s">
        <v>195</v>
      </c>
      <c r="Y18" t="s">
        <v>198</v>
      </c>
    </row>
    <row r="19">
      <c r="A19">
        <v>296</v>
      </c>
      <c r="B19" t="s">
        <v>20</v>
      </c>
      <c r="C19" t="s">
        <v>112</v>
      </c>
      <c r="D19" t="s">
        <v>195</v>
      </c>
      <c r="E19" t="s">
        <v>196</v>
      </c>
      <c r="F19">
        <v>29.8</v>
      </c>
      <c r="G19" t="s">
        <v>197</v>
      </c>
      <c r="H19" t="s">
        <v>93</v>
      </c>
      <c r="I19">
        <v>0.2</v>
      </c>
      <c r="J19" t="s">
        <v>195</v>
      </c>
      <c r="K19" t="s">
        <v>195</v>
      </c>
      <c r="L19" t="s">
        <v>93</v>
      </c>
      <c r="M19">
        <v>6.2</v>
      </c>
      <c r="N19" t="s">
        <v>195</v>
      </c>
      <c r="O19" t="s">
        <v>93</v>
      </c>
      <c r="P19">
        <v>6.4</v>
      </c>
      <c r="Q19" t="s">
        <v>195</v>
      </c>
      <c r="R19" t="s">
        <v>49</v>
      </c>
      <c r="T19" t="s">
        <v>76</v>
      </c>
      <c r="U19" t="s">
        <v>197</v>
      </c>
      <c r="V19" t="s">
        <v>197</v>
      </c>
      <c r="W19" t="s">
        <v>197</v>
      </c>
      <c r="X19" t="s">
        <v>195</v>
      </c>
      <c r="Y19" t="s">
        <v>198</v>
      </c>
    </row>
    <row r="20">
      <c r="A20">
        <v>295</v>
      </c>
      <c r="B20" t="s">
        <v>20</v>
      </c>
      <c r="C20" t="s">
        <v>112</v>
      </c>
      <c r="D20" t="s">
        <v>195</v>
      </c>
      <c r="E20" t="s">
        <v>196</v>
      </c>
      <c r="F20">
        <v>7.2</v>
      </c>
      <c r="G20" t="s">
        <v>197</v>
      </c>
      <c r="H20" t="s">
        <v>95</v>
      </c>
      <c r="I20">
        <v>0.6</v>
      </c>
      <c r="J20" t="s">
        <v>197</v>
      </c>
      <c r="K20" t="s">
        <v>197</v>
      </c>
      <c r="L20">
        <v/>
      </c>
      <c r="N20" t="s">
        <v>197</v>
      </c>
      <c r="R20" t="s">
        <v>53</v>
      </c>
      <c r="S20" t="s">
        <v>64</v>
      </c>
      <c r="T20" t="s">
        <v>76</v>
      </c>
      <c r="U20" t="s">
        <v>197</v>
      </c>
      <c r="V20" t="s">
        <v>197</v>
      </c>
      <c r="W20" t="s">
        <v>197</v>
      </c>
      <c r="X20" t="s">
        <v>195</v>
      </c>
      <c r="Y20" t="s">
        <v>198</v>
      </c>
    </row>
    <row r="21">
      <c r="A21">
        <v>294</v>
      </c>
      <c r="B21" t="s">
        <v>199</v>
      </c>
      <c r="C21" t="s">
        <v>112</v>
      </c>
      <c r="D21" t="s">
        <v>197</v>
      </c>
      <c r="E21" t="s">
        <v>201</v>
      </c>
      <c r="U21" t="s">
        <v>197</v>
      </c>
      <c r="V21" t="s">
        <v>197</v>
      </c>
      <c r="W21" t="s">
        <v>197</v>
      </c>
      <c r="X21" t="s">
        <v>195</v>
      </c>
      <c r="Y21" t="s">
        <v>198</v>
      </c>
    </row>
    <row r="22">
      <c r="A22">
        <v>298</v>
      </c>
      <c r="B22" t="s">
        <v>20</v>
      </c>
      <c r="C22" t="s">
        <v>112</v>
      </c>
      <c r="D22" t="s">
        <v>195</v>
      </c>
      <c r="E22" t="s">
        <v>196</v>
      </c>
      <c r="F22">
        <v>0.8</v>
      </c>
      <c r="G22" t="s">
        <v>195</v>
      </c>
      <c r="H22" t="s">
        <v>93</v>
      </c>
      <c r="I22">
        <v>0.1</v>
      </c>
      <c r="J22" t="s">
        <v>195</v>
      </c>
      <c r="K22" t="s">
        <v>195</v>
      </c>
      <c r="L22" t="s">
        <v>93</v>
      </c>
      <c r="M22">
        <v>3.2</v>
      </c>
      <c r="N22" t="s">
        <v>195</v>
      </c>
      <c r="O22" t="s">
        <v>93</v>
      </c>
      <c r="P22">
        <v>3.4</v>
      </c>
      <c r="Q22" t="s">
        <v>195</v>
      </c>
      <c r="R22" t="s">
        <v>49</v>
      </c>
      <c r="T22" t="s">
        <v>76</v>
      </c>
      <c r="U22" t="s">
        <v>195</v>
      </c>
      <c r="V22" t="s">
        <v>197</v>
      </c>
      <c r="W22" t="s">
        <v>197</v>
      </c>
      <c r="X22" t="s">
        <v>195</v>
      </c>
      <c r="Y22" t="s">
        <v>198</v>
      </c>
    </row>
    <row r="23">
      <c r="A23">
        <v>301</v>
      </c>
      <c r="B23" t="s">
        <v>199</v>
      </c>
      <c r="C23" t="s">
        <v>112</v>
      </c>
      <c r="D23" t="s">
        <v>197</v>
      </c>
      <c r="E23" t="s">
        <v>201</v>
      </c>
      <c r="U23" t="s">
        <v>197</v>
      </c>
      <c r="V23" t="s">
        <v>197</v>
      </c>
      <c r="W23" t="s">
        <v>197</v>
      </c>
      <c r="X23" t="s">
        <v>195</v>
      </c>
      <c r="Y23" t="s">
        <v>198</v>
      </c>
    </row>
    <row r="24">
      <c r="A24">
        <v>300</v>
      </c>
      <c r="B24" t="s">
        <v>199</v>
      </c>
      <c r="C24" t="s">
        <v>112</v>
      </c>
      <c r="D24" t="s">
        <v>197</v>
      </c>
      <c r="E24" t="s">
        <v>201</v>
      </c>
      <c r="U24" t="s">
        <v>197</v>
      </c>
      <c r="V24" t="s">
        <v>197</v>
      </c>
      <c r="W24" t="s">
        <v>197</v>
      </c>
      <c r="X24" t="s">
        <v>195</v>
      </c>
      <c r="Y24" t="s">
        <v>198</v>
      </c>
    </row>
    <row r="25">
      <c r="A25">
        <v>307</v>
      </c>
      <c r="B25" t="s">
        <v>20</v>
      </c>
      <c r="C25" t="s">
        <v>112</v>
      </c>
      <c r="D25" t="s">
        <v>197</v>
      </c>
      <c r="E25" t="s">
        <v>201</v>
      </c>
      <c r="U25" t="s">
        <v>197</v>
      </c>
      <c r="V25" t="s">
        <v>197</v>
      </c>
      <c r="W25" t="s">
        <v>197</v>
      </c>
      <c r="X25" t="s">
        <v>195</v>
      </c>
      <c r="Y25" t="s">
        <v>198</v>
      </c>
    </row>
    <row r="26">
      <c r="A26">
        <v>309</v>
      </c>
      <c r="B26" t="s">
        <v>194</v>
      </c>
      <c r="C26" t="s">
        <v>112</v>
      </c>
      <c r="D26" t="s">
        <v>195</v>
      </c>
      <c r="E26" t="s">
        <v>196</v>
      </c>
      <c r="F26">
        <v>1.4</v>
      </c>
      <c r="G26" t="s">
        <v>197</v>
      </c>
      <c r="H26" t="s">
        <v>95</v>
      </c>
      <c r="I26">
        <v>2.2</v>
      </c>
      <c r="J26" t="s">
        <v>197</v>
      </c>
      <c r="K26" t="s">
        <v>197</v>
      </c>
      <c r="L26">
        <v/>
      </c>
      <c r="N26" t="s">
        <v>195</v>
      </c>
      <c r="O26" t="s">
        <v>95</v>
      </c>
      <c r="P26">
        <v>2.4</v>
      </c>
      <c r="Q26" t="s">
        <v>195</v>
      </c>
      <c r="R26" t="s">
        <v>51</v>
      </c>
      <c r="T26" t="s">
        <v>76</v>
      </c>
      <c r="U26" t="s">
        <v>197</v>
      </c>
      <c r="V26" t="s">
        <v>197</v>
      </c>
      <c r="W26" t="s">
        <v>197</v>
      </c>
      <c r="X26" t="s">
        <v>195</v>
      </c>
      <c r="Y26" t="s">
        <v>198</v>
      </c>
    </row>
    <row r="27">
      <c r="A27">
        <v>310</v>
      </c>
      <c r="B27" t="s">
        <v>199</v>
      </c>
      <c r="C27" t="s">
        <v>112</v>
      </c>
      <c r="D27" t="s">
        <v>197</v>
      </c>
      <c r="E27" t="s">
        <v>201</v>
      </c>
      <c r="U27" t="s">
        <v>197</v>
      </c>
      <c r="V27" t="s">
        <v>197</v>
      </c>
      <c r="W27" t="s">
        <v>197</v>
      </c>
      <c r="X27" t="s">
        <v>195</v>
      </c>
      <c r="Y27" t="s">
        <v>198</v>
      </c>
    </row>
    <row r="28">
      <c r="A28">
        <v>308</v>
      </c>
      <c r="B28" t="s">
        <v>20</v>
      </c>
      <c r="C28" t="s">
        <v>112</v>
      </c>
      <c r="D28" t="s">
        <v>195</v>
      </c>
      <c r="E28" t="s">
        <v>196</v>
      </c>
      <c r="F28">
        <v>53.3</v>
      </c>
      <c r="G28" t="s">
        <v>197</v>
      </c>
      <c r="H28" t="s">
        <v>93</v>
      </c>
      <c r="I28">
        <v>10</v>
      </c>
      <c r="J28" t="s">
        <v>195</v>
      </c>
      <c r="K28" t="s">
        <v>195</v>
      </c>
      <c r="L28" t="s">
        <v>93</v>
      </c>
      <c r="M28">
        <v>24</v>
      </c>
      <c r="N28" t="s">
        <v>195</v>
      </c>
      <c r="O28" t="s">
        <v>93</v>
      </c>
      <c r="P28">
        <v>24.1</v>
      </c>
      <c r="Q28" t="s">
        <v>195</v>
      </c>
      <c r="R28" t="s">
        <v>49</v>
      </c>
      <c r="T28" t="s">
        <v>77</v>
      </c>
      <c r="U28" t="s">
        <v>195</v>
      </c>
      <c r="V28" t="s">
        <v>197</v>
      </c>
      <c r="W28" t="s">
        <v>197</v>
      </c>
      <c r="X28" t="s">
        <v>195</v>
      </c>
      <c r="Y28" t="s">
        <v>198</v>
      </c>
    </row>
    <row r="29">
      <c r="A29">
        <v>313</v>
      </c>
      <c r="B29" t="s">
        <v>20</v>
      </c>
      <c r="C29" t="s">
        <v>112</v>
      </c>
      <c r="D29" t="s">
        <v>195</v>
      </c>
      <c r="E29" t="s">
        <v>196</v>
      </c>
      <c r="F29">
        <v>9.800000000000001</v>
      </c>
      <c r="G29" t="s">
        <v>197</v>
      </c>
      <c r="H29" t="s">
        <v>95</v>
      </c>
      <c r="I29">
        <v>1.6</v>
      </c>
      <c r="J29" t="s">
        <v>197</v>
      </c>
      <c r="K29" t="s">
        <v>197</v>
      </c>
      <c r="L29">
        <v/>
      </c>
      <c r="N29" t="s">
        <v>195</v>
      </c>
      <c r="O29" t="s">
        <v>95</v>
      </c>
      <c r="P29">
        <v>1.7</v>
      </c>
      <c r="Q29" t="s">
        <v>195</v>
      </c>
      <c r="R29" t="s">
        <v>51</v>
      </c>
      <c r="T29" t="s">
        <v>76</v>
      </c>
      <c r="U29" t="s">
        <v>197</v>
      </c>
      <c r="V29" t="s">
        <v>197</v>
      </c>
      <c r="W29" t="s">
        <v>197</v>
      </c>
      <c r="X29" t="s">
        <v>195</v>
      </c>
      <c r="Y29" t="s">
        <v>198</v>
      </c>
    </row>
    <row r="30">
      <c r="A30">
        <v>311</v>
      </c>
      <c r="B30" t="s">
        <v>20</v>
      </c>
      <c r="C30" t="s">
        <v>112</v>
      </c>
      <c r="D30" t="s">
        <v>197</v>
      </c>
      <c r="E30" t="s">
        <v>201</v>
      </c>
      <c r="U30" t="s">
        <v>197</v>
      </c>
      <c r="V30" t="s">
        <v>197</v>
      </c>
      <c r="W30" t="s">
        <v>197</v>
      </c>
      <c r="X30" t="s">
        <v>195</v>
      </c>
      <c r="Y30" t="s">
        <v>198</v>
      </c>
    </row>
    <row r="31">
      <c r="A31">
        <v>314</v>
      </c>
      <c r="B31" t="s">
        <v>20</v>
      </c>
      <c r="C31" t="s">
        <v>112</v>
      </c>
      <c r="D31" t="s">
        <v>197</v>
      </c>
      <c r="E31" t="s">
        <v>201</v>
      </c>
      <c r="U31" t="s">
        <v>197</v>
      </c>
      <c r="V31" t="s">
        <v>197</v>
      </c>
      <c r="W31" t="s">
        <v>197</v>
      </c>
      <c r="X31" t="s">
        <v>195</v>
      </c>
      <c r="Y31" t="s">
        <v>198</v>
      </c>
    </row>
    <row r="32">
      <c r="A32">
        <v>317</v>
      </c>
      <c r="B32" t="s">
        <v>20</v>
      </c>
      <c r="C32" t="s">
        <v>112</v>
      </c>
      <c r="D32" t="s">
        <v>195</v>
      </c>
      <c r="E32" t="s">
        <v>196</v>
      </c>
      <c r="F32">
        <v>1.4</v>
      </c>
      <c r="G32" t="s">
        <v>195</v>
      </c>
      <c r="H32" t="s">
        <v>95</v>
      </c>
      <c r="I32">
        <v>4.1</v>
      </c>
      <c r="J32" t="s">
        <v>197</v>
      </c>
      <c r="K32" t="s">
        <v>197</v>
      </c>
      <c r="L32">
        <v/>
      </c>
      <c r="N32" t="s">
        <v>195</v>
      </c>
      <c r="O32" t="s">
        <v>95</v>
      </c>
      <c r="P32">
        <v>4.3</v>
      </c>
      <c r="Q32" t="s">
        <v>195</v>
      </c>
      <c r="R32" t="s">
        <v>51</v>
      </c>
      <c r="T32" t="s">
        <v>77</v>
      </c>
      <c r="U32" t="s">
        <v>195</v>
      </c>
      <c r="V32" t="s">
        <v>195</v>
      </c>
      <c r="W32" t="s">
        <v>197</v>
      </c>
      <c r="X32" t="s">
        <v>195</v>
      </c>
      <c r="Y32" t="s">
        <v>198</v>
      </c>
    </row>
    <row r="33">
      <c r="A33">
        <v>321</v>
      </c>
      <c r="B33" t="s">
        <v>20</v>
      </c>
      <c r="C33" t="s">
        <v>112</v>
      </c>
      <c r="D33" t="s">
        <v>197</v>
      </c>
      <c r="E33" t="s">
        <v>201</v>
      </c>
      <c r="U33" t="s">
        <v>197</v>
      </c>
      <c r="V33" t="s">
        <v>197</v>
      </c>
      <c r="W33" t="s">
        <v>197</v>
      </c>
      <c r="X33" t="s">
        <v>195</v>
      </c>
      <c r="Y33" t="s">
        <v>198</v>
      </c>
    </row>
    <row r="34">
      <c r="A34">
        <v>319</v>
      </c>
      <c r="B34" t="s">
        <v>20</v>
      </c>
      <c r="C34" t="s">
        <v>112</v>
      </c>
      <c r="D34" t="s">
        <v>197</v>
      </c>
      <c r="E34" t="s">
        <v>201</v>
      </c>
      <c r="U34" t="s">
        <v>197</v>
      </c>
      <c r="V34" t="s">
        <v>197</v>
      </c>
      <c r="W34" t="s">
        <v>197</v>
      </c>
      <c r="X34" t="s">
        <v>195</v>
      </c>
      <c r="Y34" t="s">
        <v>198</v>
      </c>
    </row>
    <row r="35">
      <c r="A35">
        <v>322</v>
      </c>
      <c r="B35" t="s">
        <v>20</v>
      </c>
      <c r="C35" t="s">
        <v>112</v>
      </c>
      <c r="D35" t="s">
        <v>197</v>
      </c>
      <c r="E35" t="s">
        <v>201</v>
      </c>
      <c r="U35" t="s">
        <v>197</v>
      </c>
      <c r="V35" t="s">
        <v>197</v>
      </c>
      <c r="W35" t="s">
        <v>197</v>
      </c>
      <c r="X35" t="s">
        <v>195</v>
      </c>
      <c r="Y35" t="s">
        <v>198</v>
      </c>
    </row>
    <row r="36">
      <c r="A36">
        <v>323</v>
      </c>
      <c r="B36" t="s">
        <v>20</v>
      </c>
      <c r="C36" t="s">
        <v>112</v>
      </c>
      <c r="D36" t="s">
        <v>197</v>
      </c>
      <c r="E36" t="s">
        <v>201</v>
      </c>
      <c r="U36" t="s">
        <v>197</v>
      </c>
      <c r="V36" t="s">
        <v>197</v>
      </c>
      <c r="W36" t="s">
        <v>197</v>
      </c>
      <c r="X36" t="s">
        <v>195</v>
      </c>
      <c r="Y36" t="s">
        <v>198</v>
      </c>
    </row>
    <row r="37">
      <c r="A37">
        <v>326</v>
      </c>
      <c r="B37" t="s">
        <v>194</v>
      </c>
      <c r="C37" t="s">
        <v>112</v>
      </c>
      <c r="D37" t="s">
        <v>197</v>
      </c>
      <c r="E37" t="s">
        <v>201</v>
      </c>
      <c r="U37" t="s">
        <v>197</v>
      </c>
      <c r="V37" t="s">
        <v>197</v>
      </c>
      <c r="W37" t="s">
        <v>197</v>
      </c>
      <c r="X37" t="s">
        <v>195</v>
      </c>
      <c r="Y37" t="s">
        <v>198</v>
      </c>
    </row>
    <row r="38">
      <c r="A38">
        <v>327</v>
      </c>
      <c r="B38" t="s">
        <v>199</v>
      </c>
      <c r="C38" t="s">
        <v>112</v>
      </c>
      <c r="D38" t="s">
        <v>195</v>
      </c>
      <c r="E38" t="s">
        <v>196</v>
      </c>
      <c r="F38">
        <v>4.2</v>
      </c>
      <c r="G38" t="s">
        <v>197</v>
      </c>
      <c r="H38" t="s">
        <v>95</v>
      </c>
      <c r="I38">
        <v>12.2</v>
      </c>
      <c r="J38" t="s">
        <v>197</v>
      </c>
      <c r="K38" t="s">
        <v>197</v>
      </c>
      <c r="L38">
        <v/>
      </c>
      <c r="N38" t="s">
        <v>195</v>
      </c>
      <c r="O38" t="s">
        <v>95</v>
      </c>
      <c r="P38">
        <v>12.3</v>
      </c>
      <c r="Q38" t="s">
        <v>195</v>
      </c>
      <c r="R38" t="s">
        <v>51</v>
      </c>
      <c r="T38" t="s">
        <v>77</v>
      </c>
      <c r="U38" t="s">
        <v>195</v>
      </c>
      <c r="V38" t="s">
        <v>195</v>
      </c>
      <c r="W38" t="s">
        <v>195</v>
      </c>
      <c r="X38" t="s">
        <v>195</v>
      </c>
      <c r="Y38" t="s">
        <v>104</v>
      </c>
    </row>
    <row r="39">
      <c r="A39">
        <v>330</v>
      </c>
      <c r="B39" t="s">
        <v>20</v>
      </c>
      <c r="C39" t="s">
        <v>112</v>
      </c>
      <c r="D39" t="s">
        <v>197</v>
      </c>
      <c r="E39" t="s">
        <v>201</v>
      </c>
      <c r="U39" t="s">
        <v>197</v>
      </c>
      <c r="V39" t="s">
        <v>197</v>
      </c>
      <c r="W39" t="s">
        <v>197</v>
      </c>
      <c r="X39" t="s">
        <v>195</v>
      </c>
      <c r="Y39" t="s">
        <v>198</v>
      </c>
    </row>
    <row r="40">
      <c r="A40">
        <v>329</v>
      </c>
      <c r="B40" t="s">
        <v>194</v>
      </c>
      <c r="C40" t="s">
        <v>112</v>
      </c>
      <c r="D40" t="s">
        <v>197</v>
      </c>
      <c r="E40" t="s">
        <v>201</v>
      </c>
      <c r="U40" t="s">
        <v>197</v>
      </c>
      <c r="V40" t="s">
        <v>197</v>
      </c>
      <c r="W40" t="s">
        <v>197</v>
      </c>
      <c r="X40" t="s">
        <v>195</v>
      </c>
      <c r="Y40" t="s">
        <v>198</v>
      </c>
    </row>
    <row r="41">
      <c r="A41">
        <v>336</v>
      </c>
      <c r="B41" t="s">
        <v>20</v>
      </c>
      <c r="C41" t="s">
        <v>112</v>
      </c>
      <c r="D41" t="s">
        <v>195</v>
      </c>
      <c r="E41" t="s">
        <v>200</v>
      </c>
      <c r="F41">
        <v>5661.5</v>
      </c>
      <c r="G41" t="s">
        <v>197</v>
      </c>
      <c r="H41">
        <v/>
      </c>
      <c r="J41" t="s">
        <v>197</v>
      </c>
      <c r="K41" t="s">
        <v>197</v>
      </c>
      <c r="L41">
        <v/>
      </c>
      <c r="N41" t="s">
        <v>197</v>
      </c>
      <c r="R41" t="s">
        <v>53</v>
      </c>
      <c r="S41" t="s">
        <v>64</v>
      </c>
      <c r="T41" t="s">
        <v>77</v>
      </c>
      <c r="U41" t="s">
        <v>197</v>
      </c>
      <c r="V41" t="s">
        <v>197</v>
      </c>
      <c r="W41" t="s">
        <v>197</v>
      </c>
      <c r="X41" t="s">
        <v>195</v>
      </c>
      <c r="Y41" t="s">
        <v>198</v>
      </c>
    </row>
    <row r="42">
      <c r="A42">
        <v>337</v>
      </c>
      <c r="B42" t="s">
        <v>199</v>
      </c>
      <c r="C42" t="s">
        <v>112</v>
      </c>
      <c r="D42" t="s">
        <v>197</v>
      </c>
      <c r="E42" t="s">
        <v>201</v>
      </c>
      <c r="U42" t="s">
        <v>197</v>
      </c>
      <c r="V42" t="s">
        <v>197</v>
      </c>
      <c r="W42" t="s">
        <v>197</v>
      </c>
      <c r="X42" t="s">
        <v>195</v>
      </c>
      <c r="Y42" t="s">
        <v>198</v>
      </c>
    </row>
    <row r="43">
      <c r="A43">
        <v>331</v>
      </c>
      <c r="B43" t="s">
        <v>20</v>
      </c>
      <c r="C43" t="s">
        <v>112</v>
      </c>
      <c r="D43" t="s">
        <v>197</v>
      </c>
      <c r="E43" t="s">
        <v>201</v>
      </c>
      <c r="U43" t="s">
        <v>197</v>
      </c>
      <c r="V43" t="s">
        <v>197</v>
      </c>
      <c r="W43" t="s">
        <v>197</v>
      </c>
      <c r="X43" t="s">
        <v>195</v>
      </c>
      <c r="Y43" t="s">
        <v>198</v>
      </c>
    </row>
    <row r="44">
      <c r="A44">
        <v>334</v>
      </c>
      <c r="B44" t="s">
        <v>20</v>
      </c>
      <c r="C44" t="s">
        <v>112</v>
      </c>
      <c r="D44" t="s">
        <v>197</v>
      </c>
      <c r="E44" t="s">
        <v>201</v>
      </c>
      <c r="U44" t="s">
        <v>197</v>
      </c>
      <c r="V44" t="s">
        <v>197</v>
      </c>
      <c r="W44" t="s">
        <v>197</v>
      </c>
      <c r="X44" t="s">
        <v>195</v>
      </c>
      <c r="Y44" t="s">
        <v>198</v>
      </c>
    </row>
    <row r="45">
      <c r="A45">
        <v>335</v>
      </c>
      <c r="B45" t="s">
        <v>20</v>
      </c>
      <c r="C45" t="s">
        <v>112</v>
      </c>
      <c r="D45" t="s">
        <v>197</v>
      </c>
      <c r="E45" t="s">
        <v>201</v>
      </c>
      <c r="U45" t="s">
        <v>197</v>
      </c>
      <c r="V45" t="s">
        <v>197</v>
      </c>
      <c r="W45" t="s">
        <v>197</v>
      </c>
      <c r="X45" t="s">
        <v>195</v>
      </c>
      <c r="Y45" t="s">
        <v>198</v>
      </c>
    </row>
    <row r="46">
      <c r="A46">
        <v>341</v>
      </c>
      <c r="B46" t="s">
        <v>199</v>
      </c>
      <c r="C46" t="s">
        <v>112</v>
      </c>
      <c r="D46" t="s">
        <v>197</v>
      </c>
      <c r="E46" t="s">
        <v>201</v>
      </c>
      <c r="U46" t="s">
        <v>197</v>
      </c>
      <c r="V46" t="s">
        <v>197</v>
      </c>
      <c r="W46" t="s">
        <v>197</v>
      </c>
      <c r="X46" t="s">
        <v>195</v>
      </c>
      <c r="Y46" t="s">
        <v>198</v>
      </c>
    </row>
    <row r="47">
      <c r="A47">
        <v>342</v>
      </c>
      <c r="B47" t="s">
        <v>20</v>
      </c>
      <c r="C47" t="s">
        <v>112</v>
      </c>
      <c r="D47" t="s">
        <v>197</v>
      </c>
      <c r="E47" t="s">
        <v>201</v>
      </c>
      <c r="U47" t="s">
        <v>197</v>
      </c>
      <c r="V47" t="s">
        <v>197</v>
      </c>
      <c r="W47" t="s">
        <v>197</v>
      </c>
      <c r="X47" t="s">
        <v>195</v>
      </c>
      <c r="Y47" t="s">
        <v>198</v>
      </c>
    </row>
    <row r="48">
      <c r="A48">
        <v>343</v>
      </c>
      <c r="B48" t="s">
        <v>199</v>
      </c>
      <c r="C48" t="s">
        <v>112</v>
      </c>
      <c r="D48" t="s">
        <v>195</v>
      </c>
      <c r="E48" t="s">
        <v>196</v>
      </c>
      <c r="F48">
        <v>0.8</v>
      </c>
      <c r="G48" t="s">
        <v>197</v>
      </c>
      <c r="H48" t="s">
        <v>93</v>
      </c>
      <c r="I48">
        <v>0.3</v>
      </c>
      <c r="J48" t="s">
        <v>195</v>
      </c>
      <c r="K48" t="s">
        <v>195</v>
      </c>
      <c r="L48" t="s">
        <v>93</v>
      </c>
      <c r="M48">
        <v>5.7</v>
      </c>
      <c r="N48" t="s">
        <v>195</v>
      </c>
      <c r="O48" t="s">
        <v>93</v>
      </c>
      <c r="P48">
        <v>5.8</v>
      </c>
      <c r="Q48" t="s">
        <v>195</v>
      </c>
      <c r="R48" t="s">
        <v>49</v>
      </c>
      <c r="T48" t="s">
        <v>78</v>
      </c>
      <c r="U48" t="s">
        <v>197</v>
      </c>
      <c r="V48" t="s">
        <v>197</v>
      </c>
      <c r="W48" t="s">
        <v>197</v>
      </c>
      <c r="X48" t="s">
        <v>195</v>
      </c>
      <c r="Y48" t="s">
        <v>198</v>
      </c>
    </row>
    <row r="49">
      <c r="A49">
        <v>348</v>
      </c>
      <c r="B49" t="s">
        <v>20</v>
      </c>
      <c r="C49" t="s">
        <v>112</v>
      </c>
      <c r="D49" t="s">
        <v>195</v>
      </c>
      <c r="E49" t="s">
        <v>196</v>
      </c>
      <c r="F49">
        <v>19.8</v>
      </c>
      <c r="G49" t="s">
        <v>197</v>
      </c>
      <c r="H49" t="s">
        <v>96</v>
      </c>
      <c r="I49">
        <v>3.4</v>
      </c>
      <c r="J49" t="s">
        <v>195</v>
      </c>
      <c r="K49" t="s">
        <v>195</v>
      </c>
      <c r="L49" t="s">
        <v>96</v>
      </c>
      <c r="M49">
        <v>8.5</v>
      </c>
      <c r="N49" t="s">
        <v>197</v>
      </c>
      <c r="R49" t="s">
        <v>52</v>
      </c>
      <c r="S49" t="s">
        <v>64</v>
      </c>
      <c r="T49" t="s">
        <v>76</v>
      </c>
      <c r="U49" t="s">
        <v>195</v>
      </c>
      <c r="V49" t="s">
        <v>195</v>
      </c>
      <c r="W49" t="s">
        <v>197</v>
      </c>
      <c r="X49" t="s">
        <v>195</v>
      </c>
      <c r="Y49" t="s">
        <v>198</v>
      </c>
    </row>
    <row r="50">
      <c r="A50">
        <v>347</v>
      </c>
      <c r="B50" t="s">
        <v>194</v>
      </c>
      <c r="C50" t="s">
        <v>112</v>
      </c>
      <c r="D50" t="s">
        <v>197</v>
      </c>
      <c r="E50" t="s">
        <v>201</v>
      </c>
      <c r="U50" t="s">
        <v>197</v>
      </c>
      <c r="V50" t="s">
        <v>197</v>
      </c>
      <c r="W50" t="s">
        <v>197</v>
      </c>
      <c r="X50" t="s">
        <v>195</v>
      </c>
      <c r="Y50" t="s">
        <v>198</v>
      </c>
    </row>
    <row r="51">
      <c r="A51">
        <v>350</v>
      </c>
      <c r="B51" t="s">
        <v>20</v>
      </c>
      <c r="C51" t="s">
        <v>112</v>
      </c>
      <c r="D51" t="s">
        <v>195</v>
      </c>
      <c r="E51" t="s">
        <v>196</v>
      </c>
      <c r="F51">
        <v>8.1</v>
      </c>
      <c r="G51" t="s">
        <v>197</v>
      </c>
      <c r="H51" t="s">
        <v>96</v>
      </c>
      <c r="I51">
        <v>0.7</v>
      </c>
      <c r="J51" t="s">
        <v>195</v>
      </c>
      <c r="K51" t="s">
        <v>195</v>
      </c>
      <c r="L51" t="s">
        <v>96</v>
      </c>
      <c r="M51">
        <v>7.4</v>
      </c>
      <c r="N51" t="s">
        <v>197</v>
      </c>
      <c r="R51" t="s">
        <v>52</v>
      </c>
      <c r="S51" t="s">
        <v>65</v>
      </c>
      <c r="T51" t="s">
        <v>76</v>
      </c>
      <c r="U51" t="s">
        <v>197</v>
      </c>
      <c r="V51" t="s">
        <v>197</v>
      </c>
      <c r="W51" t="s">
        <v>197</v>
      </c>
      <c r="X51" t="s">
        <v>195</v>
      </c>
      <c r="Y51" t="s">
        <v>198</v>
      </c>
    </row>
    <row r="52">
      <c r="A52">
        <v>355</v>
      </c>
      <c r="B52" t="s">
        <v>199</v>
      </c>
      <c r="C52" t="s">
        <v>112</v>
      </c>
      <c r="D52" t="s">
        <v>195</v>
      </c>
      <c r="E52" t="s">
        <v>200</v>
      </c>
      <c r="F52">
        <v>1558.2</v>
      </c>
      <c r="G52" t="s">
        <v>195</v>
      </c>
      <c r="H52" t="s">
        <v>96</v>
      </c>
      <c r="I52">
        <v>4.2</v>
      </c>
      <c r="J52" t="s">
        <v>197</v>
      </c>
      <c r="K52" t="s">
        <v>197</v>
      </c>
      <c r="L52">
        <v/>
      </c>
      <c r="N52" t="s">
        <v>197</v>
      </c>
      <c r="R52" t="s">
        <v>53</v>
      </c>
      <c r="S52" t="s">
        <v>64</v>
      </c>
      <c r="T52" t="s">
        <v>76</v>
      </c>
      <c r="U52" t="s">
        <v>197</v>
      </c>
      <c r="V52" t="s">
        <v>197</v>
      </c>
      <c r="W52" t="s">
        <v>197</v>
      </c>
      <c r="X52" t="s">
        <v>195</v>
      </c>
      <c r="Y52" t="s">
        <v>198</v>
      </c>
    </row>
    <row r="53">
      <c r="A53">
        <v>357</v>
      </c>
      <c r="B53" t="s">
        <v>20</v>
      </c>
      <c r="C53" t="s">
        <v>112</v>
      </c>
      <c r="D53" t="s">
        <v>197</v>
      </c>
      <c r="E53" t="s">
        <v>201</v>
      </c>
      <c r="U53" t="s">
        <v>197</v>
      </c>
      <c r="V53" t="s">
        <v>197</v>
      </c>
      <c r="W53" t="s">
        <v>197</v>
      </c>
      <c r="X53" t="s">
        <v>195</v>
      </c>
      <c r="Y53" t="s">
        <v>198</v>
      </c>
    </row>
    <row r="54">
      <c r="A54">
        <v>359</v>
      </c>
      <c r="B54" t="s">
        <v>20</v>
      </c>
      <c r="C54" t="s">
        <v>112</v>
      </c>
      <c r="D54" t="s">
        <v>195</v>
      </c>
      <c r="E54" t="s">
        <v>196</v>
      </c>
      <c r="F54">
        <v>2</v>
      </c>
      <c r="G54" t="s">
        <v>197</v>
      </c>
      <c r="H54" t="s">
        <v>96</v>
      </c>
      <c r="I54">
        <v>3.9</v>
      </c>
      <c r="J54" t="s">
        <v>195</v>
      </c>
      <c r="K54" t="s">
        <v>195</v>
      </c>
      <c r="L54" t="s">
        <v>93</v>
      </c>
      <c r="M54">
        <v>15.6</v>
      </c>
      <c r="N54" t="s">
        <v>195</v>
      </c>
      <c r="O54" t="s">
        <v>93</v>
      </c>
      <c r="P54">
        <v>15.7</v>
      </c>
      <c r="Q54" t="s">
        <v>195</v>
      </c>
      <c r="R54" t="s">
        <v>49</v>
      </c>
      <c r="T54" t="s">
        <v>76</v>
      </c>
      <c r="U54" t="s">
        <v>197</v>
      </c>
      <c r="V54" t="s">
        <v>197</v>
      </c>
      <c r="W54" t="s">
        <v>197</v>
      </c>
      <c r="X54" t="s">
        <v>195</v>
      </c>
      <c r="Y54" t="s">
        <v>198</v>
      </c>
    </row>
    <row r="55">
      <c r="A55">
        <v>363</v>
      </c>
      <c r="B55" t="s">
        <v>194</v>
      </c>
      <c r="C55" t="s">
        <v>112</v>
      </c>
      <c r="D55" t="s">
        <v>195</v>
      </c>
      <c r="E55" t="s">
        <v>196</v>
      </c>
      <c r="F55">
        <v>0.6</v>
      </c>
      <c r="G55" t="s">
        <v>197</v>
      </c>
      <c r="H55" t="s">
        <v>96</v>
      </c>
      <c r="I55">
        <v>0.9</v>
      </c>
      <c r="J55" t="s">
        <v>195</v>
      </c>
      <c r="K55" t="s">
        <v>195</v>
      </c>
      <c r="L55" t="s">
        <v>96</v>
      </c>
      <c r="M55">
        <v>5</v>
      </c>
      <c r="N55" t="s">
        <v>197</v>
      </c>
      <c r="R55" t="s">
        <v>52</v>
      </c>
      <c r="S55" t="s">
        <v>66</v>
      </c>
      <c r="T55" t="s">
        <v>76</v>
      </c>
      <c r="U55" t="s">
        <v>195</v>
      </c>
      <c r="V55" t="s">
        <v>195</v>
      </c>
      <c r="W55" t="s">
        <v>195</v>
      </c>
      <c r="X55" t="s">
        <v>195</v>
      </c>
      <c r="Y55" t="s">
        <v>104</v>
      </c>
    </row>
    <row r="56">
      <c r="A56">
        <v>361</v>
      </c>
      <c r="B56" t="s">
        <v>194</v>
      </c>
      <c r="C56" t="s">
        <v>112</v>
      </c>
      <c r="D56" t="s">
        <v>195</v>
      </c>
      <c r="E56" t="s">
        <v>200</v>
      </c>
      <c r="F56">
        <v>4487</v>
      </c>
      <c r="G56" t="s">
        <v>195</v>
      </c>
      <c r="H56" t="s">
        <v>93</v>
      </c>
      <c r="I56">
        <v>2.8</v>
      </c>
      <c r="J56" t="s">
        <v>197</v>
      </c>
      <c r="K56" t="s">
        <v>197</v>
      </c>
      <c r="L56">
        <v/>
      </c>
      <c r="N56" t="s">
        <v>197</v>
      </c>
      <c r="R56" t="s">
        <v>53</v>
      </c>
      <c r="S56" t="s">
        <v>64</v>
      </c>
      <c r="T56" t="s">
        <v>76</v>
      </c>
      <c r="U56" t="s">
        <v>195</v>
      </c>
      <c r="V56" t="s">
        <v>195</v>
      </c>
      <c r="W56" t="s">
        <v>195</v>
      </c>
      <c r="X56" t="s">
        <v>195</v>
      </c>
      <c r="Y56" t="s">
        <v>104</v>
      </c>
    </row>
    <row r="57">
      <c r="A57">
        <v>366</v>
      </c>
      <c r="B57" t="s">
        <v>20</v>
      </c>
      <c r="C57" t="s">
        <v>112</v>
      </c>
      <c r="D57" t="s">
        <v>195</v>
      </c>
      <c r="E57" t="s">
        <v>196</v>
      </c>
      <c r="F57">
        <v>0.4</v>
      </c>
      <c r="G57" t="s">
        <v>197</v>
      </c>
      <c r="H57" t="s">
        <v>96</v>
      </c>
      <c r="I57">
        <v>6.1</v>
      </c>
      <c r="J57" t="s">
        <v>195</v>
      </c>
      <c r="K57" t="s">
        <v>195</v>
      </c>
      <c r="L57" t="s">
        <v>96</v>
      </c>
      <c r="M57">
        <v>11.1</v>
      </c>
      <c r="N57" t="s">
        <v>197</v>
      </c>
      <c r="R57" t="s">
        <v>52</v>
      </c>
      <c r="S57" t="s">
        <v>64</v>
      </c>
      <c r="T57" t="s">
        <v>76</v>
      </c>
      <c r="U57" t="s">
        <v>197</v>
      </c>
      <c r="V57" t="s">
        <v>197</v>
      </c>
      <c r="W57" t="s">
        <v>197</v>
      </c>
      <c r="X57" t="s">
        <v>195</v>
      </c>
      <c r="Y57" t="s">
        <v>198</v>
      </c>
    </row>
    <row r="58">
      <c r="A58">
        <v>367</v>
      </c>
      <c r="B58" t="s">
        <v>20</v>
      </c>
      <c r="C58" t="s">
        <v>112</v>
      </c>
      <c r="D58" t="s">
        <v>195</v>
      </c>
      <c r="E58" t="s">
        <v>196</v>
      </c>
      <c r="F58">
        <v>3</v>
      </c>
      <c r="G58" t="s">
        <v>197</v>
      </c>
      <c r="H58" t="s">
        <v>96</v>
      </c>
      <c r="I58">
        <v>7.1</v>
      </c>
      <c r="J58" t="s">
        <v>195</v>
      </c>
      <c r="K58" t="s">
        <v>195</v>
      </c>
      <c r="L58" t="s">
        <v>96</v>
      </c>
      <c r="M58">
        <v>13.3</v>
      </c>
      <c r="N58" t="s">
        <v>197</v>
      </c>
      <c r="R58" t="s">
        <v>52</v>
      </c>
      <c r="S58" t="s">
        <v>64</v>
      </c>
      <c r="T58" t="s">
        <v>76</v>
      </c>
      <c r="U58" t="s">
        <v>197</v>
      </c>
      <c r="V58" t="s">
        <v>197</v>
      </c>
      <c r="W58" t="s">
        <v>197</v>
      </c>
      <c r="X58" t="s">
        <v>195</v>
      </c>
      <c r="Y58" t="s">
        <v>198</v>
      </c>
    </row>
    <row r="59">
      <c r="A59">
        <v>369</v>
      </c>
      <c r="B59" t="s">
        <v>20</v>
      </c>
      <c r="C59" t="s">
        <v>112</v>
      </c>
      <c r="D59" t="s">
        <v>195</v>
      </c>
      <c r="E59" t="s">
        <v>196</v>
      </c>
      <c r="F59">
        <v>8.699999999999999</v>
      </c>
      <c r="G59" t="s">
        <v>197</v>
      </c>
      <c r="H59" t="s">
        <v>93</v>
      </c>
      <c r="I59">
        <v>0.3</v>
      </c>
      <c r="J59" t="s">
        <v>195</v>
      </c>
      <c r="K59" t="s">
        <v>195</v>
      </c>
      <c r="L59" t="s">
        <v>93</v>
      </c>
      <c r="M59">
        <v>4.8</v>
      </c>
      <c r="N59" t="s">
        <v>195</v>
      </c>
      <c r="O59" t="s">
        <v>93</v>
      </c>
      <c r="P59">
        <v>4.9</v>
      </c>
      <c r="Q59" t="s">
        <v>195</v>
      </c>
      <c r="R59" t="s">
        <v>49</v>
      </c>
      <c r="T59" t="s">
        <v>76</v>
      </c>
      <c r="U59" t="s">
        <v>197</v>
      </c>
      <c r="V59" t="s">
        <v>197</v>
      </c>
      <c r="W59" t="s">
        <v>197</v>
      </c>
      <c r="X59" t="s">
        <v>195</v>
      </c>
      <c r="Y59" t="s">
        <v>198</v>
      </c>
    </row>
    <row r="60">
      <c r="A60">
        <v>371</v>
      </c>
      <c r="B60" t="s">
        <v>199</v>
      </c>
      <c r="C60" t="s">
        <v>112</v>
      </c>
      <c r="D60" t="s">
        <v>195</v>
      </c>
      <c r="E60" t="s">
        <v>200</v>
      </c>
      <c r="F60">
        <v>4526.7</v>
      </c>
      <c r="G60" t="s">
        <v>197</v>
      </c>
      <c r="H60" t="s">
        <v>93</v>
      </c>
      <c r="I60">
        <v>3.3</v>
      </c>
      <c r="J60" t="s">
        <v>197</v>
      </c>
      <c r="K60" t="s">
        <v>197</v>
      </c>
      <c r="L60">
        <v/>
      </c>
      <c r="N60" t="s">
        <v>197</v>
      </c>
      <c r="R60" t="s">
        <v>53</v>
      </c>
      <c r="S60" t="s">
        <v>64</v>
      </c>
      <c r="T60" t="s">
        <v>76</v>
      </c>
      <c r="U60" t="s">
        <v>197</v>
      </c>
      <c r="V60" t="s">
        <v>197</v>
      </c>
      <c r="W60" t="s">
        <v>197</v>
      </c>
      <c r="X60" t="s">
        <v>195</v>
      </c>
      <c r="Y60" t="s">
        <v>198</v>
      </c>
    </row>
    <row r="61">
      <c r="A61">
        <v>375</v>
      </c>
      <c r="B61" t="s">
        <v>194</v>
      </c>
      <c r="C61" t="s">
        <v>112</v>
      </c>
      <c r="D61" t="s">
        <v>195</v>
      </c>
      <c r="E61" t="s">
        <v>196</v>
      </c>
      <c r="F61">
        <v>9.699999999999999</v>
      </c>
      <c r="G61" t="s">
        <v>197</v>
      </c>
      <c r="H61" t="s">
        <v>93</v>
      </c>
      <c r="I61">
        <v>5.3</v>
      </c>
      <c r="J61" t="s">
        <v>197</v>
      </c>
      <c r="K61" t="s">
        <v>197</v>
      </c>
      <c r="L61">
        <v/>
      </c>
      <c r="N61" t="s">
        <v>197</v>
      </c>
      <c r="R61" t="s">
        <v>53</v>
      </c>
      <c r="S61" t="s">
        <v>66</v>
      </c>
      <c r="T61" t="s">
        <v>76</v>
      </c>
      <c r="U61" t="s">
        <v>195</v>
      </c>
      <c r="V61" t="s">
        <v>195</v>
      </c>
      <c r="W61" t="s">
        <v>195</v>
      </c>
      <c r="X61" t="s">
        <v>195</v>
      </c>
      <c r="Y61" t="s">
        <v>104</v>
      </c>
    </row>
    <row r="62">
      <c r="A62">
        <v>376</v>
      </c>
      <c r="B62" t="s">
        <v>20</v>
      </c>
      <c r="C62" t="s">
        <v>112</v>
      </c>
      <c r="D62" t="s">
        <v>195</v>
      </c>
      <c r="E62" t="s">
        <v>196</v>
      </c>
      <c r="F62">
        <v>5.4</v>
      </c>
      <c r="G62" t="s">
        <v>197</v>
      </c>
      <c r="H62" t="s">
        <v>93</v>
      </c>
      <c r="I62">
        <v>12.1</v>
      </c>
      <c r="J62" t="s">
        <v>195</v>
      </c>
      <c r="K62" t="s">
        <v>195</v>
      </c>
      <c r="L62" t="s">
        <v>93</v>
      </c>
      <c r="M62">
        <v>15.8</v>
      </c>
      <c r="N62" t="s">
        <v>195</v>
      </c>
      <c r="O62" t="s">
        <v>93</v>
      </c>
      <c r="P62">
        <v>15.9</v>
      </c>
      <c r="Q62" t="s">
        <v>195</v>
      </c>
      <c r="R62" t="s">
        <v>49</v>
      </c>
      <c r="T62" t="s">
        <v>76</v>
      </c>
      <c r="U62" t="s">
        <v>197</v>
      </c>
      <c r="V62" t="s">
        <v>197</v>
      </c>
      <c r="W62" t="s">
        <v>197</v>
      </c>
      <c r="X62" t="s">
        <v>195</v>
      </c>
      <c r="Y62" t="s">
        <v>198</v>
      </c>
    </row>
    <row r="63">
      <c r="A63">
        <v>377</v>
      </c>
      <c r="B63" t="s">
        <v>194</v>
      </c>
      <c r="C63" t="s">
        <v>112</v>
      </c>
      <c r="D63" t="s">
        <v>197</v>
      </c>
      <c r="E63" t="s">
        <v>201</v>
      </c>
      <c r="U63" t="s">
        <v>197</v>
      </c>
      <c r="V63" t="s">
        <v>197</v>
      </c>
      <c r="W63" t="s">
        <v>197</v>
      </c>
      <c r="X63" t="s">
        <v>195</v>
      </c>
      <c r="Y63" t="s">
        <v>198</v>
      </c>
    </row>
    <row r="64">
      <c r="A64">
        <v>373</v>
      </c>
      <c r="B64" t="s">
        <v>199</v>
      </c>
      <c r="C64" t="s">
        <v>112</v>
      </c>
      <c r="D64" t="s">
        <v>197</v>
      </c>
      <c r="E64" t="s">
        <v>201</v>
      </c>
      <c r="U64" t="s">
        <v>197</v>
      </c>
      <c r="V64" t="s">
        <v>197</v>
      </c>
      <c r="W64" t="s">
        <v>197</v>
      </c>
      <c r="X64" t="s">
        <v>195</v>
      </c>
      <c r="Y64" t="s">
        <v>198</v>
      </c>
    </row>
    <row r="65">
      <c r="A65">
        <v>382</v>
      </c>
      <c r="B65" t="s">
        <v>194</v>
      </c>
      <c r="C65" t="s">
        <v>112</v>
      </c>
      <c r="D65" t="s">
        <v>195</v>
      </c>
      <c r="E65" t="s">
        <v>200</v>
      </c>
      <c r="F65">
        <v>253</v>
      </c>
      <c r="G65" t="s">
        <v>195</v>
      </c>
      <c r="H65" t="s">
        <v>94</v>
      </c>
      <c r="I65">
        <v>37.4</v>
      </c>
      <c r="J65" t="s">
        <v>197</v>
      </c>
      <c r="K65" t="s">
        <v>197</v>
      </c>
      <c r="L65">
        <v/>
      </c>
      <c r="N65" t="s">
        <v>197</v>
      </c>
      <c r="R65" t="s">
        <v>53</v>
      </c>
      <c r="S65" t="s">
        <v>64</v>
      </c>
      <c r="T65" t="s">
        <v>76</v>
      </c>
      <c r="U65" t="s">
        <v>195</v>
      </c>
      <c r="V65" t="s">
        <v>195</v>
      </c>
      <c r="W65" t="s">
        <v>195</v>
      </c>
      <c r="X65" t="s">
        <v>195</v>
      </c>
      <c r="Y65" t="s">
        <v>104</v>
      </c>
    </row>
    <row r="66">
      <c r="A66">
        <v>378</v>
      </c>
      <c r="B66" t="s">
        <v>20</v>
      </c>
      <c r="C66" t="s">
        <v>112</v>
      </c>
      <c r="D66" t="s">
        <v>197</v>
      </c>
      <c r="E66" t="s">
        <v>201</v>
      </c>
      <c r="U66" t="s">
        <v>197</v>
      </c>
      <c r="V66" t="s">
        <v>197</v>
      </c>
      <c r="W66" t="s">
        <v>197</v>
      </c>
      <c r="X66" t="s">
        <v>195</v>
      </c>
      <c r="Y66" t="s">
        <v>198</v>
      </c>
    </row>
    <row r="67">
      <c r="A67">
        <v>388</v>
      </c>
      <c r="B67" t="s">
        <v>20</v>
      </c>
      <c r="C67" t="s">
        <v>112</v>
      </c>
      <c r="D67" t="s">
        <v>195</v>
      </c>
      <c r="E67" t="s">
        <v>196</v>
      </c>
      <c r="F67">
        <v>1.4</v>
      </c>
      <c r="G67" t="s">
        <v>197</v>
      </c>
      <c r="H67" t="s">
        <v>93</v>
      </c>
      <c r="I67">
        <v>1.3</v>
      </c>
      <c r="J67" t="s">
        <v>195</v>
      </c>
      <c r="K67" t="s">
        <v>195</v>
      </c>
      <c r="L67" t="s">
        <v>93</v>
      </c>
      <c r="M67">
        <v>4.4</v>
      </c>
      <c r="N67" t="s">
        <v>195</v>
      </c>
      <c r="O67" t="s">
        <v>93</v>
      </c>
      <c r="P67">
        <v>4.5</v>
      </c>
      <c r="Q67" t="s">
        <v>195</v>
      </c>
      <c r="R67" t="s">
        <v>49</v>
      </c>
      <c r="T67" t="s">
        <v>76</v>
      </c>
      <c r="U67" t="s">
        <v>197</v>
      </c>
      <c r="V67" t="s">
        <v>197</v>
      </c>
      <c r="W67" t="s">
        <v>197</v>
      </c>
      <c r="X67" t="s">
        <v>195</v>
      </c>
      <c r="Y67" t="s">
        <v>198</v>
      </c>
    </row>
    <row r="68">
      <c r="A68">
        <v>397</v>
      </c>
      <c r="B68" t="s">
        <v>194</v>
      </c>
      <c r="C68" t="s">
        <v>112</v>
      </c>
      <c r="D68" t="s">
        <v>197</v>
      </c>
      <c r="E68" t="s">
        <v>201</v>
      </c>
      <c r="U68" t="s">
        <v>197</v>
      </c>
      <c r="V68" t="s">
        <v>197</v>
      </c>
      <c r="W68" t="s">
        <v>197</v>
      </c>
      <c r="X68" t="s">
        <v>195</v>
      </c>
      <c r="Y68" t="s">
        <v>198</v>
      </c>
    </row>
    <row r="69">
      <c r="A69">
        <v>398</v>
      </c>
      <c r="B69" t="s">
        <v>20</v>
      </c>
      <c r="C69" t="s">
        <v>112</v>
      </c>
      <c r="D69" t="s">
        <v>197</v>
      </c>
      <c r="E69" t="s">
        <v>201</v>
      </c>
      <c r="U69" t="s">
        <v>197</v>
      </c>
      <c r="V69" t="s">
        <v>197</v>
      </c>
      <c r="W69" t="s">
        <v>197</v>
      </c>
      <c r="X69" t="s">
        <v>195</v>
      </c>
      <c r="Y69" t="s">
        <v>198</v>
      </c>
    </row>
    <row r="70">
      <c r="A70">
        <v>404</v>
      </c>
      <c r="B70" t="s">
        <v>20</v>
      </c>
      <c r="C70" t="s">
        <v>112</v>
      </c>
      <c r="D70" t="s">
        <v>197</v>
      </c>
      <c r="E70" t="s">
        <v>201</v>
      </c>
      <c r="U70" t="s">
        <v>197</v>
      </c>
      <c r="V70" t="s">
        <v>197</v>
      </c>
      <c r="W70" t="s">
        <v>197</v>
      </c>
      <c r="X70" t="s">
        <v>195</v>
      </c>
      <c r="Y70" t="s">
        <v>198</v>
      </c>
    </row>
    <row r="71">
      <c r="A71">
        <v>392</v>
      </c>
      <c r="B71" t="s">
        <v>20</v>
      </c>
      <c r="C71" t="s">
        <v>112</v>
      </c>
      <c r="D71" t="s">
        <v>197</v>
      </c>
      <c r="E71" t="s">
        <v>201</v>
      </c>
      <c r="U71" t="s">
        <v>197</v>
      </c>
      <c r="V71" t="s">
        <v>197</v>
      </c>
      <c r="W71" t="s">
        <v>197</v>
      </c>
      <c r="X71" t="s">
        <v>195</v>
      </c>
      <c r="Y71" t="s">
        <v>198</v>
      </c>
    </row>
    <row r="72">
      <c r="A72">
        <v>406</v>
      </c>
      <c r="B72" t="s">
        <v>20</v>
      </c>
      <c r="C72" t="s">
        <v>112</v>
      </c>
      <c r="D72" t="s">
        <v>197</v>
      </c>
      <c r="E72" t="s">
        <v>201</v>
      </c>
      <c r="U72" t="s">
        <v>197</v>
      </c>
      <c r="V72" t="s">
        <v>197</v>
      </c>
      <c r="W72" t="s">
        <v>197</v>
      </c>
      <c r="X72" t="s">
        <v>195</v>
      </c>
      <c r="Y72" t="s">
        <v>198</v>
      </c>
    </row>
    <row r="73">
      <c r="A73">
        <v>407</v>
      </c>
      <c r="B73" t="s">
        <v>20</v>
      </c>
      <c r="C73" t="s">
        <v>112</v>
      </c>
      <c r="D73" t="s">
        <v>197</v>
      </c>
      <c r="E73" t="s">
        <v>201</v>
      </c>
      <c r="U73" t="s">
        <v>197</v>
      </c>
      <c r="V73" t="s">
        <v>197</v>
      </c>
      <c r="W73" t="s">
        <v>197</v>
      </c>
      <c r="X73" t="s">
        <v>195</v>
      </c>
      <c r="Y73" t="s">
        <v>198</v>
      </c>
    </row>
    <row r="74">
      <c r="A74">
        <v>413</v>
      </c>
      <c r="B74" t="s">
        <v>20</v>
      </c>
      <c r="C74" t="s">
        <v>112</v>
      </c>
      <c r="D74" t="s">
        <v>197</v>
      </c>
      <c r="E74" t="s">
        <v>201</v>
      </c>
      <c r="U74" t="s">
        <v>197</v>
      </c>
      <c r="V74" t="s">
        <v>197</v>
      </c>
      <c r="W74" t="s">
        <v>197</v>
      </c>
      <c r="X74" t="s">
        <v>195</v>
      </c>
      <c r="Y74" t="s">
        <v>198</v>
      </c>
    </row>
    <row r="75">
      <c r="A75">
        <v>417</v>
      </c>
      <c r="B75" t="s">
        <v>20</v>
      </c>
      <c r="C75" t="s">
        <v>112</v>
      </c>
      <c r="D75" t="s">
        <v>195</v>
      </c>
      <c r="E75" t="s">
        <v>196</v>
      </c>
      <c r="F75">
        <v>4.1</v>
      </c>
      <c r="G75" t="s">
        <v>197</v>
      </c>
      <c r="H75" t="s">
        <v>94</v>
      </c>
      <c r="I75">
        <v>0.8</v>
      </c>
      <c r="J75" t="s">
        <v>195</v>
      </c>
      <c r="K75" t="s">
        <v>195</v>
      </c>
      <c r="L75" t="s">
        <v>94</v>
      </c>
      <c r="M75">
        <v>5.3</v>
      </c>
      <c r="N75" t="s">
        <v>195</v>
      </c>
      <c r="O75" t="s">
        <v>94</v>
      </c>
      <c r="P75">
        <v>5.9</v>
      </c>
      <c r="Q75" t="s">
        <v>195</v>
      </c>
      <c r="R75" t="s">
        <v>49</v>
      </c>
      <c r="T75" t="s">
        <v>76</v>
      </c>
      <c r="U75" t="s">
        <v>197</v>
      </c>
      <c r="V75" t="s">
        <v>197</v>
      </c>
      <c r="W75" t="s">
        <v>197</v>
      </c>
      <c r="X75" t="s">
        <v>195</v>
      </c>
      <c r="Y75" t="s">
        <v>198</v>
      </c>
    </row>
    <row r="76">
      <c r="A76">
        <v>422</v>
      </c>
      <c r="B76" t="s">
        <v>20</v>
      </c>
      <c r="C76" t="s">
        <v>112</v>
      </c>
      <c r="D76" t="s">
        <v>197</v>
      </c>
      <c r="E76" t="s">
        <v>201</v>
      </c>
      <c r="U76" t="s">
        <v>197</v>
      </c>
      <c r="V76" t="s">
        <v>197</v>
      </c>
      <c r="W76" t="s">
        <v>197</v>
      </c>
      <c r="X76" t="s">
        <v>195</v>
      </c>
      <c r="Y76" t="s">
        <v>198</v>
      </c>
    </row>
    <row r="77">
      <c r="A77">
        <v>423</v>
      </c>
      <c r="B77" t="s">
        <v>20</v>
      </c>
      <c r="C77" t="s">
        <v>112</v>
      </c>
      <c r="D77" t="s">
        <v>195</v>
      </c>
      <c r="E77" t="s">
        <v>196</v>
      </c>
      <c r="F77">
        <v>1.5</v>
      </c>
      <c r="G77" t="s">
        <v>197</v>
      </c>
      <c r="H77" t="s">
        <v>94</v>
      </c>
      <c r="I77">
        <v>2.5</v>
      </c>
      <c r="J77" t="s">
        <v>195</v>
      </c>
      <c r="K77" t="s">
        <v>195</v>
      </c>
      <c r="L77" t="s">
        <v>94</v>
      </c>
      <c r="M77">
        <v>5.2</v>
      </c>
      <c r="N77" t="s">
        <v>195</v>
      </c>
      <c r="O77" t="s">
        <v>94</v>
      </c>
      <c r="P77">
        <v>4.1</v>
      </c>
      <c r="Q77" t="s">
        <v>195</v>
      </c>
      <c r="R77" t="s">
        <v>50</v>
      </c>
      <c r="T77" t="s">
        <v>76</v>
      </c>
      <c r="U77" t="s">
        <v>197</v>
      </c>
      <c r="V77" t="s">
        <v>197</v>
      </c>
      <c r="W77" t="s">
        <v>197</v>
      </c>
      <c r="X77" t="s">
        <v>195</v>
      </c>
      <c r="Y77" t="s">
        <v>198</v>
      </c>
    </row>
    <row r="78">
      <c r="A78">
        <v>420</v>
      </c>
      <c r="B78" t="s">
        <v>194</v>
      </c>
      <c r="C78" t="s">
        <v>112</v>
      </c>
      <c r="D78" t="s">
        <v>195</v>
      </c>
      <c r="E78" t="s">
        <v>196</v>
      </c>
      <c r="F78">
        <v>59.5</v>
      </c>
      <c r="G78" t="s">
        <v>197</v>
      </c>
      <c r="H78" t="s">
        <v>95</v>
      </c>
      <c r="I78">
        <v>52.7</v>
      </c>
      <c r="J78" t="s">
        <v>197</v>
      </c>
      <c r="K78" t="s">
        <v>197</v>
      </c>
      <c r="L78">
        <v/>
      </c>
      <c r="N78" t="s">
        <v>197</v>
      </c>
      <c r="R78" t="s">
        <v>53</v>
      </c>
      <c r="S78" t="s">
        <v>64</v>
      </c>
      <c r="T78" t="s">
        <v>76</v>
      </c>
      <c r="U78" t="s">
        <v>197</v>
      </c>
      <c r="V78" t="s">
        <v>197</v>
      </c>
      <c r="W78" t="s">
        <v>197</v>
      </c>
      <c r="X78" t="s">
        <v>195</v>
      </c>
      <c r="Y78" t="s">
        <v>198</v>
      </c>
    </row>
    <row r="79">
      <c r="A79">
        <v>424</v>
      </c>
      <c r="B79" t="s">
        <v>20</v>
      </c>
      <c r="C79" t="s">
        <v>112</v>
      </c>
      <c r="D79" t="s">
        <v>197</v>
      </c>
      <c r="E79" t="s">
        <v>201</v>
      </c>
      <c r="U79" t="s">
        <v>197</v>
      </c>
      <c r="V79" t="s">
        <v>197</v>
      </c>
      <c r="W79" t="s">
        <v>197</v>
      </c>
      <c r="X79" t="s">
        <v>195</v>
      </c>
      <c r="Y79" t="s">
        <v>198</v>
      </c>
    </row>
    <row r="80">
      <c r="A80">
        <v>433</v>
      </c>
      <c r="B80" t="s">
        <v>20</v>
      </c>
      <c r="C80" t="s">
        <v>112</v>
      </c>
      <c r="D80" t="s">
        <v>195</v>
      </c>
      <c r="E80" t="s">
        <v>196</v>
      </c>
      <c r="F80">
        <v>2.1</v>
      </c>
      <c r="G80" t="s">
        <v>197</v>
      </c>
      <c r="H80" t="s">
        <v>93</v>
      </c>
      <c r="I80">
        <v>0.5</v>
      </c>
      <c r="J80" t="s">
        <v>195</v>
      </c>
      <c r="K80" t="s">
        <v>195</v>
      </c>
      <c r="L80" t="s">
        <v>93</v>
      </c>
      <c r="M80">
        <v>6.2</v>
      </c>
      <c r="N80" t="s">
        <v>195</v>
      </c>
      <c r="O80" t="s">
        <v>93</v>
      </c>
      <c r="P80">
        <v>6.6</v>
      </c>
      <c r="Q80" t="s">
        <v>195</v>
      </c>
      <c r="R80" t="s">
        <v>49</v>
      </c>
      <c r="T80" t="s">
        <v>76</v>
      </c>
      <c r="U80" t="s">
        <v>197</v>
      </c>
      <c r="V80" t="s">
        <v>197</v>
      </c>
      <c r="W80" t="s">
        <v>197</v>
      </c>
      <c r="X80" t="s">
        <v>195</v>
      </c>
      <c r="Y80" t="s">
        <v>198</v>
      </c>
    </row>
    <row r="81">
      <c r="A81">
        <v>435</v>
      </c>
      <c r="B81" t="s">
        <v>20</v>
      </c>
      <c r="C81" t="s">
        <v>112</v>
      </c>
      <c r="D81" t="s">
        <v>195</v>
      </c>
      <c r="E81" t="s">
        <v>196</v>
      </c>
      <c r="F81">
        <v>0.4</v>
      </c>
      <c r="G81" t="s">
        <v>197</v>
      </c>
      <c r="H81" t="s">
        <v>95</v>
      </c>
      <c r="I81">
        <v>0.4</v>
      </c>
      <c r="J81" t="s">
        <v>195</v>
      </c>
      <c r="K81" t="s">
        <v>195</v>
      </c>
      <c r="L81" t="s">
        <v>95</v>
      </c>
      <c r="M81">
        <v>3.9</v>
      </c>
      <c r="N81" t="s">
        <v>195</v>
      </c>
      <c r="O81" t="s">
        <v>95</v>
      </c>
      <c r="P81">
        <v>4.8</v>
      </c>
      <c r="Q81" t="s">
        <v>195</v>
      </c>
      <c r="R81" t="s">
        <v>49</v>
      </c>
      <c r="T81" t="s">
        <v>76</v>
      </c>
      <c r="U81" t="s">
        <v>197</v>
      </c>
      <c r="V81" t="s">
        <v>197</v>
      </c>
      <c r="W81" t="s">
        <v>197</v>
      </c>
      <c r="X81" t="s">
        <v>195</v>
      </c>
      <c r="Y81" t="s">
        <v>198</v>
      </c>
    </row>
    <row r="82">
      <c r="A82">
        <v>438</v>
      </c>
      <c r="B82" t="s">
        <v>20</v>
      </c>
      <c r="C82" t="s">
        <v>112</v>
      </c>
      <c r="D82" t="s">
        <v>195</v>
      </c>
      <c r="E82" t="s">
        <v>196</v>
      </c>
      <c r="F82">
        <v>5</v>
      </c>
      <c r="G82" t="s">
        <v>197</v>
      </c>
      <c r="H82" t="s">
        <v>95</v>
      </c>
      <c r="I82">
        <v>3.7</v>
      </c>
      <c r="J82" t="s">
        <v>197</v>
      </c>
      <c r="K82" t="s">
        <v>195</v>
      </c>
      <c r="L82" t="s">
        <v>95</v>
      </c>
      <c r="M82">
        <v>3.7</v>
      </c>
      <c r="N82" t="s">
        <v>195</v>
      </c>
      <c r="O82" t="s">
        <v>95</v>
      </c>
      <c r="P82">
        <v>4.7</v>
      </c>
      <c r="Q82" t="s">
        <v>195</v>
      </c>
      <c r="R82" t="s">
        <v>49</v>
      </c>
      <c r="T82" t="s">
        <v>76</v>
      </c>
      <c r="U82" t="s">
        <v>197</v>
      </c>
      <c r="V82" t="s">
        <v>197</v>
      </c>
      <c r="W82" t="s">
        <v>197</v>
      </c>
      <c r="X82" t="s">
        <v>195</v>
      </c>
      <c r="Y82" t="s">
        <v>198</v>
      </c>
    </row>
    <row r="83">
      <c r="A83">
        <v>442</v>
      </c>
      <c r="B83" t="s">
        <v>20</v>
      </c>
      <c r="C83" t="s">
        <v>112</v>
      </c>
      <c r="D83" t="s">
        <v>197</v>
      </c>
      <c r="E83" t="s">
        <v>201</v>
      </c>
      <c r="U83" t="s">
        <v>197</v>
      </c>
      <c r="V83" t="s">
        <v>197</v>
      </c>
      <c r="W83" t="s">
        <v>197</v>
      </c>
      <c r="X83" t="s">
        <v>195</v>
      </c>
      <c r="Y83" t="s">
        <v>198</v>
      </c>
    </row>
    <row r="84">
      <c r="A84">
        <v>440</v>
      </c>
      <c r="B84" t="s">
        <v>20</v>
      </c>
      <c r="C84" t="s">
        <v>112</v>
      </c>
      <c r="D84" t="s">
        <v>197</v>
      </c>
      <c r="E84" t="s">
        <v>201</v>
      </c>
      <c r="U84" t="s">
        <v>197</v>
      </c>
      <c r="V84" t="s">
        <v>197</v>
      </c>
      <c r="W84" t="s">
        <v>197</v>
      </c>
      <c r="X84" t="s">
        <v>195</v>
      </c>
      <c r="Y84" t="s">
        <v>198</v>
      </c>
    </row>
    <row r="85">
      <c r="A85">
        <v>445</v>
      </c>
      <c r="B85" t="s">
        <v>199</v>
      </c>
      <c r="C85" t="s">
        <v>112</v>
      </c>
      <c r="D85" t="s">
        <v>197</v>
      </c>
      <c r="E85" t="s">
        <v>201</v>
      </c>
      <c r="U85" t="s">
        <v>197</v>
      </c>
      <c r="V85" t="s">
        <v>197</v>
      </c>
      <c r="W85" t="s">
        <v>197</v>
      </c>
      <c r="X85" t="s">
        <v>195</v>
      </c>
      <c r="Y85" t="s">
        <v>198</v>
      </c>
    </row>
    <row r="86">
      <c r="A86">
        <v>446</v>
      </c>
      <c r="B86" t="s">
        <v>199</v>
      </c>
      <c r="C86" t="s">
        <v>112</v>
      </c>
      <c r="D86" t="s">
        <v>195</v>
      </c>
      <c r="E86" t="s">
        <v>196</v>
      </c>
      <c r="F86">
        <v>43.3</v>
      </c>
      <c r="G86" t="s">
        <v>197</v>
      </c>
      <c r="H86" t="s">
        <v>94</v>
      </c>
      <c r="I86">
        <v>5.6</v>
      </c>
      <c r="J86" t="s">
        <v>197</v>
      </c>
      <c r="K86" t="s">
        <v>195</v>
      </c>
      <c r="L86" t="s">
        <v>94</v>
      </c>
      <c r="M86">
        <v>5.6</v>
      </c>
      <c r="N86" t="s">
        <v>195</v>
      </c>
      <c r="O86" t="s">
        <v>94</v>
      </c>
      <c r="P86">
        <v>5.2</v>
      </c>
      <c r="Q86" t="s">
        <v>195</v>
      </c>
      <c r="R86" t="s">
        <v>50</v>
      </c>
      <c r="T86" t="s">
        <v>77</v>
      </c>
      <c r="U86" t="s">
        <v>195</v>
      </c>
      <c r="V86" t="s">
        <v>195</v>
      </c>
      <c r="W86" t="s">
        <v>197</v>
      </c>
      <c r="X86" t="s">
        <v>195</v>
      </c>
      <c r="Y86" t="s">
        <v>198</v>
      </c>
    </row>
    <row r="87">
      <c r="A87">
        <v>449</v>
      </c>
      <c r="B87" t="s">
        <v>199</v>
      </c>
      <c r="C87" t="s">
        <v>112</v>
      </c>
      <c r="D87" t="s">
        <v>195</v>
      </c>
      <c r="E87" t="s">
        <v>196</v>
      </c>
      <c r="F87">
        <v>0.5</v>
      </c>
      <c r="G87" t="s">
        <v>197</v>
      </c>
      <c r="H87" t="s">
        <v>94</v>
      </c>
      <c r="I87">
        <v>5.7</v>
      </c>
      <c r="J87" t="s">
        <v>195</v>
      </c>
      <c r="K87" t="s">
        <v>195</v>
      </c>
      <c r="L87" t="s">
        <v>94</v>
      </c>
      <c r="M87">
        <v>10.6</v>
      </c>
      <c r="N87" t="s">
        <v>195</v>
      </c>
      <c r="O87" t="s">
        <v>94</v>
      </c>
      <c r="P87">
        <v>9.5</v>
      </c>
      <c r="Q87" t="s">
        <v>195</v>
      </c>
      <c r="R87" t="s">
        <v>50</v>
      </c>
      <c r="T87" t="s">
        <v>77</v>
      </c>
      <c r="U87" t="s">
        <v>197</v>
      </c>
      <c r="V87" t="s">
        <v>197</v>
      </c>
      <c r="W87" t="s">
        <v>197</v>
      </c>
      <c r="X87" t="s">
        <v>195</v>
      </c>
      <c r="Y87" t="s">
        <v>198</v>
      </c>
    </row>
    <row r="88">
      <c r="A88">
        <v>450</v>
      </c>
      <c r="B88" t="s">
        <v>20</v>
      </c>
      <c r="C88" t="s">
        <v>112</v>
      </c>
      <c r="D88" t="s">
        <v>195</v>
      </c>
      <c r="E88" t="s">
        <v>196</v>
      </c>
      <c r="F88">
        <v>6.1</v>
      </c>
      <c r="G88" t="s">
        <v>197</v>
      </c>
      <c r="H88" t="s">
        <v>94</v>
      </c>
      <c r="I88">
        <v>2.4</v>
      </c>
      <c r="J88" t="s">
        <v>195</v>
      </c>
      <c r="K88" t="s">
        <v>195</v>
      </c>
      <c r="L88" t="s">
        <v>94</v>
      </c>
      <c r="M88">
        <v>6.5</v>
      </c>
      <c r="N88" t="s">
        <v>195</v>
      </c>
      <c r="O88" t="s">
        <v>94</v>
      </c>
      <c r="P88">
        <v>5.6</v>
      </c>
      <c r="Q88" t="s">
        <v>195</v>
      </c>
      <c r="R88" t="s">
        <v>50</v>
      </c>
      <c r="T88" t="s">
        <v>77</v>
      </c>
      <c r="U88" t="s">
        <v>195</v>
      </c>
      <c r="V88" t="s">
        <v>197</v>
      </c>
      <c r="W88" t="s">
        <v>197</v>
      </c>
      <c r="X88" t="s">
        <v>195</v>
      </c>
      <c r="Y88" t="s">
        <v>198</v>
      </c>
    </row>
    <row r="89">
      <c r="A89">
        <v>455</v>
      </c>
      <c r="B89" t="s">
        <v>20</v>
      </c>
      <c r="C89" t="s">
        <v>112</v>
      </c>
      <c r="D89" t="s">
        <v>195</v>
      </c>
      <c r="E89" t="s">
        <v>196</v>
      </c>
      <c r="F89">
        <v>9.9</v>
      </c>
      <c r="G89" t="s">
        <v>197</v>
      </c>
      <c r="H89" t="s">
        <v>94</v>
      </c>
      <c r="I89">
        <v>1.7</v>
      </c>
      <c r="J89" t="s">
        <v>195</v>
      </c>
      <c r="K89" t="s">
        <v>195</v>
      </c>
      <c r="L89" t="s">
        <v>94</v>
      </c>
      <c r="M89">
        <v>4.8</v>
      </c>
      <c r="N89" t="s">
        <v>195</v>
      </c>
      <c r="O89" t="s">
        <v>94</v>
      </c>
      <c r="P89">
        <v>3.9</v>
      </c>
      <c r="Q89" t="s">
        <v>195</v>
      </c>
      <c r="R89" t="s">
        <v>50</v>
      </c>
      <c r="T89" t="s">
        <v>77</v>
      </c>
      <c r="U89" t="s">
        <v>197</v>
      </c>
      <c r="V89" t="s">
        <v>197</v>
      </c>
      <c r="W89" t="s">
        <v>197</v>
      </c>
      <c r="X89" t="s">
        <v>195</v>
      </c>
      <c r="Y89" t="s">
        <v>198</v>
      </c>
    </row>
    <row r="90">
      <c r="A90">
        <v>454</v>
      </c>
      <c r="B90" t="s">
        <v>20</v>
      </c>
      <c r="C90" t="s">
        <v>112</v>
      </c>
      <c r="D90" t="s">
        <v>197</v>
      </c>
      <c r="E90" t="s">
        <v>201</v>
      </c>
      <c r="U90" t="s">
        <v>197</v>
      </c>
      <c r="V90" t="s">
        <v>197</v>
      </c>
      <c r="W90" t="s">
        <v>197</v>
      </c>
      <c r="X90" t="s">
        <v>195</v>
      </c>
      <c r="Y90" t="s">
        <v>198</v>
      </c>
    </row>
    <row r="91">
      <c r="A91">
        <v>459</v>
      </c>
      <c r="B91" t="s">
        <v>20</v>
      </c>
      <c r="C91" t="s">
        <v>112</v>
      </c>
      <c r="D91" t="s">
        <v>195</v>
      </c>
      <c r="E91" t="s">
        <v>196</v>
      </c>
      <c r="F91">
        <v>1.3</v>
      </c>
      <c r="G91" t="s">
        <v>197</v>
      </c>
      <c r="H91" t="s">
        <v>94</v>
      </c>
      <c r="I91">
        <v>0.3</v>
      </c>
      <c r="J91" t="s">
        <v>195</v>
      </c>
      <c r="K91" t="s">
        <v>195</v>
      </c>
      <c r="L91" t="s">
        <v>94</v>
      </c>
      <c r="M91">
        <v>3.5</v>
      </c>
      <c r="N91" t="s">
        <v>195</v>
      </c>
      <c r="O91" t="s">
        <v>94</v>
      </c>
      <c r="P91">
        <v>0.7</v>
      </c>
      <c r="Q91" t="s">
        <v>195</v>
      </c>
      <c r="R91" t="s">
        <v>50</v>
      </c>
      <c r="T91" t="s">
        <v>77</v>
      </c>
      <c r="U91" t="s">
        <v>197</v>
      </c>
      <c r="V91" t="s">
        <v>197</v>
      </c>
      <c r="W91" t="s">
        <v>197</v>
      </c>
      <c r="X91" t="s">
        <v>195</v>
      </c>
      <c r="Y91" t="s">
        <v>198</v>
      </c>
    </row>
    <row r="92">
      <c r="A92">
        <v>461</v>
      </c>
      <c r="B92" t="s">
        <v>20</v>
      </c>
      <c r="C92" t="s">
        <v>112</v>
      </c>
      <c r="D92" t="s">
        <v>195</v>
      </c>
      <c r="E92" t="s">
        <v>196</v>
      </c>
      <c r="F92">
        <v>0.9</v>
      </c>
      <c r="G92" t="s">
        <v>197</v>
      </c>
      <c r="H92" t="s">
        <v>94</v>
      </c>
      <c r="I92">
        <v>1.2</v>
      </c>
      <c r="J92" t="s">
        <v>195</v>
      </c>
      <c r="K92" t="s">
        <v>195</v>
      </c>
      <c r="L92" t="s">
        <v>94</v>
      </c>
      <c r="M92">
        <v>14.4</v>
      </c>
      <c r="N92" t="s">
        <v>195</v>
      </c>
      <c r="O92" t="s">
        <v>94</v>
      </c>
      <c r="P92">
        <v>14.9</v>
      </c>
      <c r="Q92" t="s">
        <v>195</v>
      </c>
      <c r="R92" t="s">
        <v>49</v>
      </c>
      <c r="T92" t="s">
        <v>77</v>
      </c>
      <c r="U92" t="s">
        <v>197</v>
      </c>
      <c r="V92" t="s">
        <v>197</v>
      </c>
      <c r="W92" t="s">
        <v>197</v>
      </c>
      <c r="X92" t="s">
        <v>195</v>
      </c>
      <c r="Y92" t="s">
        <v>198</v>
      </c>
    </row>
    <row r="93">
      <c r="A93">
        <v>465</v>
      </c>
      <c r="B93" t="s">
        <v>194</v>
      </c>
      <c r="C93" t="s">
        <v>112</v>
      </c>
      <c r="D93" t="s">
        <v>197</v>
      </c>
      <c r="E93" t="s">
        <v>201</v>
      </c>
      <c r="U93" t="s">
        <v>197</v>
      </c>
      <c r="V93" t="s">
        <v>197</v>
      </c>
      <c r="W93" t="s">
        <v>197</v>
      </c>
      <c r="X93" t="s">
        <v>195</v>
      </c>
      <c r="Y93" t="s">
        <v>198</v>
      </c>
    </row>
    <row r="94">
      <c r="A94">
        <v>470</v>
      </c>
      <c r="B94" t="s">
        <v>199</v>
      </c>
      <c r="C94" t="s">
        <v>112</v>
      </c>
      <c r="D94" t="s">
        <v>195</v>
      </c>
      <c r="E94" t="s">
        <v>196</v>
      </c>
      <c r="F94">
        <v>0.6</v>
      </c>
      <c r="G94" t="s">
        <v>197</v>
      </c>
      <c r="H94" t="s">
        <v>95</v>
      </c>
      <c r="I94">
        <v>2.3</v>
      </c>
      <c r="J94" t="s">
        <v>197</v>
      </c>
      <c r="K94" t="s">
        <v>195</v>
      </c>
      <c r="L94" t="s">
        <v>95</v>
      </c>
      <c r="M94">
        <v>2.3</v>
      </c>
      <c r="N94" t="s">
        <v>195</v>
      </c>
      <c r="O94" t="s">
        <v>95</v>
      </c>
      <c r="P94">
        <v>2.9</v>
      </c>
      <c r="Q94" t="s">
        <v>195</v>
      </c>
      <c r="R94" t="s">
        <v>49</v>
      </c>
      <c r="T94" t="s">
        <v>77</v>
      </c>
      <c r="U94" t="s">
        <v>197</v>
      </c>
      <c r="V94" t="s">
        <v>197</v>
      </c>
      <c r="W94" t="s">
        <v>197</v>
      </c>
      <c r="X94" t="s">
        <v>195</v>
      </c>
      <c r="Y94" t="s">
        <v>198</v>
      </c>
    </row>
    <row r="95">
      <c r="A95">
        <v>474</v>
      </c>
      <c r="B95" t="s">
        <v>20</v>
      </c>
      <c r="C95" t="s">
        <v>112</v>
      </c>
      <c r="D95" t="s">
        <v>197</v>
      </c>
      <c r="E95" t="s">
        <v>201</v>
      </c>
      <c r="U95" t="s">
        <v>197</v>
      </c>
      <c r="V95" t="s">
        <v>197</v>
      </c>
      <c r="W95" t="s">
        <v>197</v>
      </c>
      <c r="X95" t="s">
        <v>195</v>
      </c>
      <c r="Y95" t="s">
        <v>198</v>
      </c>
    </row>
    <row r="96">
      <c r="A96">
        <v>467</v>
      </c>
      <c r="B96" t="s">
        <v>20</v>
      </c>
      <c r="C96" t="s">
        <v>112</v>
      </c>
      <c r="D96" t="s">
        <v>195</v>
      </c>
      <c r="E96" t="s">
        <v>200</v>
      </c>
      <c r="F96">
        <v>2191.3</v>
      </c>
      <c r="G96" t="s">
        <v>197</v>
      </c>
      <c r="H96" t="s">
        <v>96</v>
      </c>
      <c r="I96">
        <v>1</v>
      </c>
      <c r="J96" t="s">
        <v>195</v>
      </c>
      <c r="K96" t="s">
        <v>195</v>
      </c>
      <c r="L96" t="s">
        <v>96</v>
      </c>
      <c r="M96">
        <v>7.4</v>
      </c>
      <c r="N96" t="s">
        <v>197</v>
      </c>
      <c r="R96" t="s">
        <v>52</v>
      </c>
      <c r="S96" t="s">
        <v>64</v>
      </c>
      <c r="T96" t="s">
        <v>76</v>
      </c>
      <c r="U96" t="s">
        <v>197</v>
      </c>
      <c r="V96" t="s">
        <v>197</v>
      </c>
      <c r="W96" t="s">
        <v>197</v>
      </c>
      <c r="X96" t="s">
        <v>195</v>
      </c>
      <c r="Y96" t="s">
        <v>198</v>
      </c>
    </row>
    <row r="97">
      <c r="A97">
        <v>478</v>
      </c>
      <c r="B97" t="s">
        <v>20</v>
      </c>
      <c r="C97" t="s">
        <v>112</v>
      </c>
      <c r="D97" t="s">
        <v>195</v>
      </c>
      <c r="E97" t="s">
        <v>196</v>
      </c>
      <c r="F97">
        <v>17</v>
      </c>
      <c r="G97" t="s">
        <v>197</v>
      </c>
      <c r="H97" t="s">
        <v>94</v>
      </c>
      <c r="I97">
        <v>0.4</v>
      </c>
      <c r="J97" t="s">
        <v>195</v>
      </c>
      <c r="K97" t="s">
        <v>195</v>
      </c>
      <c r="L97" t="s">
        <v>94</v>
      </c>
      <c r="M97">
        <v>6.4</v>
      </c>
      <c r="N97" t="s">
        <v>195</v>
      </c>
      <c r="O97" t="s">
        <v>94</v>
      </c>
      <c r="P97">
        <v>0.5</v>
      </c>
      <c r="Q97" t="s">
        <v>195</v>
      </c>
      <c r="R97" t="s">
        <v>50</v>
      </c>
      <c r="T97" t="s">
        <v>78</v>
      </c>
      <c r="U97" t="s">
        <v>197</v>
      </c>
      <c r="V97" t="s">
        <v>197</v>
      </c>
      <c r="W97" t="s">
        <v>197</v>
      </c>
      <c r="X97" t="s">
        <v>195</v>
      </c>
      <c r="Y97" t="s">
        <v>198</v>
      </c>
    </row>
    <row r="98">
      <c r="A98">
        <v>476</v>
      </c>
      <c r="B98" t="s">
        <v>194</v>
      </c>
      <c r="C98" t="s">
        <v>112</v>
      </c>
      <c r="D98" t="s">
        <v>197</v>
      </c>
      <c r="E98" t="s">
        <v>201</v>
      </c>
      <c r="U98" t="s">
        <v>197</v>
      </c>
      <c r="V98" t="s">
        <v>197</v>
      </c>
      <c r="W98" t="s">
        <v>197</v>
      </c>
      <c r="X98" t="s">
        <v>195</v>
      </c>
      <c r="Y98" t="s">
        <v>198</v>
      </c>
    </row>
    <row r="99">
      <c r="A99">
        <v>481</v>
      </c>
      <c r="B99" t="s">
        <v>199</v>
      </c>
      <c r="C99" t="s">
        <v>112</v>
      </c>
      <c r="D99" t="s">
        <v>197</v>
      </c>
      <c r="E99" t="s">
        <v>201</v>
      </c>
      <c r="U99" t="s">
        <v>197</v>
      </c>
      <c r="V99" t="s">
        <v>197</v>
      </c>
      <c r="W99" t="s">
        <v>197</v>
      </c>
      <c r="X99" t="s">
        <v>195</v>
      </c>
      <c r="Y99" t="s">
        <v>198</v>
      </c>
    </row>
    <row r="100">
      <c r="A100">
        <v>484</v>
      </c>
      <c r="B100" t="s">
        <v>20</v>
      </c>
      <c r="C100" t="s">
        <v>112</v>
      </c>
      <c r="D100" t="s">
        <v>195</v>
      </c>
      <c r="E100" t="s">
        <v>196</v>
      </c>
      <c r="F100">
        <v>0.5</v>
      </c>
      <c r="G100" t="s">
        <v>197</v>
      </c>
      <c r="H100" t="s">
        <v>94</v>
      </c>
      <c r="I100">
        <v>0.7</v>
      </c>
      <c r="J100" t="s">
        <v>195</v>
      </c>
      <c r="K100" t="s">
        <v>195</v>
      </c>
      <c r="L100" t="s">
        <v>94</v>
      </c>
      <c r="M100">
        <v>8.199999999999999</v>
      </c>
      <c r="N100" t="s">
        <v>195</v>
      </c>
      <c r="O100" t="s">
        <v>94</v>
      </c>
      <c r="P100">
        <v>3.7</v>
      </c>
      <c r="Q100" t="s">
        <v>195</v>
      </c>
      <c r="R100" t="s">
        <v>50</v>
      </c>
      <c r="T100" t="s">
        <v>78</v>
      </c>
      <c r="U100" t="s">
        <v>197</v>
      </c>
      <c r="V100" t="s">
        <v>197</v>
      </c>
      <c r="W100" t="s">
        <v>197</v>
      </c>
      <c r="X100" t="s">
        <v>195</v>
      </c>
      <c r="Y100" t="s">
        <v>198</v>
      </c>
    </row>
    <row r="101">
      <c r="A101">
        <v>487</v>
      </c>
      <c r="B101" t="s">
        <v>20</v>
      </c>
      <c r="C101" t="s">
        <v>112</v>
      </c>
      <c r="D101" t="s">
        <v>195</v>
      </c>
      <c r="E101" t="s">
        <v>196</v>
      </c>
      <c r="F101">
        <v>4.6</v>
      </c>
      <c r="G101" t="s">
        <v>197</v>
      </c>
      <c r="H101" t="s">
        <v>95</v>
      </c>
      <c r="I101">
        <v>30.7</v>
      </c>
      <c r="J101" t="s">
        <v>197</v>
      </c>
      <c r="K101" t="s">
        <v>195</v>
      </c>
      <c r="L101" t="s">
        <v>95</v>
      </c>
      <c r="M101">
        <v>30.7</v>
      </c>
      <c r="N101" t="s">
        <v>195</v>
      </c>
      <c r="O101" t="s">
        <v>95</v>
      </c>
      <c r="P101">
        <v>31.4</v>
      </c>
      <c r="Q101" t="s">
        <v>195</v>
      </c>
      <c r="R101" t="s">
        <v>49</v>
      </c>
      <c r="T101" t="s">
        <v>78</v>
      </c>
      <c r="U101" t="s">
        <v>197</v>
      </c>
      <c r="V101" t="s">
        <v>197</v>
      </c>
      <c r="W101" t="s">
        <v>197</v>
      </c>
      <c r="X101" t="s">
        <v>195</v>
      </c>
      <c r="Y101" t="s">
        <v>198</v>
      </c>
    </row>
    <row r="102">
      <c r="A102">
        <v>488</v>
      </c>
      <c r="B102" t="s">
        <v>199</v>
      </c>
      <c r="C102" t="s">
        <v>112</v>
      </c>
      <c r="D102" t="s">
        <v>195</v>
      </c>
      <c r="E102" t="s">
        <v>196</v>
      </c>
      <c r="F102">
        <v>0.3</v>
      </c>
      <c r="G102" t="s">
        <v>197</v>
      </c>
      <c r="H102" t="s">
        <v>94</v>
      </c>
      <c r="I102">
        <v>1.6</v>
      </c>
      <c r="J102" t="s">
        <v>195</v>
      </c>
      <c r="K102" t="s">
        <v>195</v>
      </c>
      <c r="L102" t="s">
        <v>95</v>
      </c>
      <c r="M102">
        <v>7.9</v>
      </c>
      <c r="N102" t="s">
        <v>195</v>
      </c>
      <c r="O102" t="s">
        <v>94</v>
      </c>
      <c r="P102">
        <v>1.4</v>
      </c>
      <c r="Q102" t="s">
        <v>195</v>
      </c>
      <c r="R102" t="s">
        <v>50</v>
      </c>
      <c r="T102" t="s">
        <v>78</v>
      </c>
      <c r="U102" t="s">
        <v>197</v>
      </c>
      <c r="V102" t="s">
        <v>197</v>
      </c>
      <c r="W102" t="s">
        <v>197</v>
      </c>
      <c r="X102" t="s">
        <v>195</v>
      </c>
      <c r="Y102" t="s">
        <v>198</v>
      </c>
    </row>
    <row r="103">
      <c r="A103">
        <v>489</v>
      </c>
      <c r="B103" t="s">
        <v>20</v>
      </c>
      <c r="C103" t="s">
        <v>112</v>
      </c>
      <c r="D103" t="s">
        <v>197</v>
      </c>
      <c r="E103" t="s">
        <v>201</v>
      </c>
      <c r="U103" t="s">
        <v>197</v>
      </c>
      <c r="V103" t="s">
        <v>197</v>
      </c>
      <c r="W103" t="s">
        <v>197</v>
      </c>
      <c r="X103" t="s">
        <v>195</v>
      </c>
      <c r="Y103" t="s">
        <v>198</v>
      </c>
    </row>
    <row r="104">
      <c r="A104">
        <v>491</v>
      </c>
      <c r="B104" t="s">
        <v>194</v>
      </c>
      <c r="C104" t="s">
        <v>112</v>
      </c>
      <c r="D104" t="s">
        <v>195</v>
      </c>
      <c r="E104" t="s">
        <v>200</v>
      </c>
      <c r="F104">
        <v>6447.8</v>
      </c>
      <c r="G104" t="s">
        <v>197</v>
      </c>
      <c r="H104">
        <v/>
      </c>
      <c r="J104" t="s">
        <v>197</v>
      </c>
      <c r="K104" t="s">
        <v>197</v>
      </c>
      <c r="L104">
        <v/>
      </c>
      <c r="N104" t="s">
        <v>197</v>
      </c>
      <c r="R104" t="s">
        <v>53</v>
      </c>
      <c r="S104" t="s">
        <v>64</v>
      </c>
      <c r="T104" t="s">
        <v>76</v>
      </c>
      <c r="U104" t="s">
        <v>197</v>
      </c>
      <c r="V104" t="s">
        <v>197</v>
      </c>
      <c r="W104" t="s">
        <v>197</v>
      </c>
      <c r="X104" t="s">
        <v>195</v>
      </c>
      <c r="Y104" t="s">
        <v>198</v>
      </c>
    </row>
    <row r="105">
      <c r="A105">
        <v>492</v>
      </c>
      <c r="B105" t="s">
        <v>20</v>
      </c>
      <c r="C105" t="s">
        <v>112</v>
      </c>
      <c r="D105" t="s">
        <v>197</v>
      </c>
      <c r="E105" t="s">
        <v>201</v>
      </c>
      <c r="U105" t="s">
        <v>197</v>
      </c>
      <c r="V105" t="s">
        <v>197</v>
      </c>
      <c r="W105" t="s">
        <v>197</v>
      </c>
      <c r="X105" t="s">
        <v>195</v>
      </c>
      <c r="Y105" t="s">
        <v>198</v>
      </c>
    </row>
    <row r="106">
      <c r="A106">
        <v>493</v>
      </c>
      <c r="B106" t="s">
        <v>199</v>
      </c>
      <c r="C106" t="s">
        <v>112</v>
      </c>
      <c r="D106" t="s">
        <v>197</v>
      </c>
      <c r="E106" t="s">
        <v>201</v>
      </c>
      <c r="U106" t="s">
        <v>197</v>
      </c>
      <c r="V106" t="s">
        <v>197</v>
      </c>
      <c r="W106" t="s">
        <v>197</v>
      </c>
      <c r="X106" t="s">
        <v>195</v>
      </c>
      <c r="Y106" t="s">
        <v>198</v>
      </c>
    </row>
    <row r="107">
      <c r="A107">
        <v>500</v>
      </c>
      <c r="B107" t="s">
        <v>20</v>
      </c>
      <c r="C107" t="s">
        <v>112</v>
      </c>
      <c r="D107" t="s">
        <v>197</v>
      </c>
      <c r="E107" t="s">
        <v>201</v>
      </c>
      <c r="U107" t="s">
        <v>197</v>
      </c>
      <c r="V107" t="s">
        <v>197</v>
      </c>
      <c r="W107" t="s">
        <v>197</v>
      </c>
      <c r="X107" t="s">
        <v>195</v>
      </c>
      <c r="Y107" t="s">
        <v>198</v>
      </c>
    </row>
    <row r="108">
      <c r="A108">
        <v>502</v>
      </c>
      <c r="B108" t="s">
        <v>20</v>
      </c>
      <c r="C108" t="s">
        <v>112</v>
      </c>
      <c r="D108" t="s">
        <v>197</v>
      </c>
      <c r="E108" t="s">
        <v>201</v>
      </c>
      <c r="U108" t="s">
        <v>197</v>
      </c>
      <c r="V108" t="s">
        <v>197</v>
      </c>
      <c r="W108" t="s">
        <v>197</v>
      </c>
      <c r="X108" t="s">
        <v>195</v>
      </c>
      <c r="Y108" t="s">
        <v>198</v>
      </c>
    </row>
    <row r="109">
      <c r="A109">
        <v>511</v>
      </c>
      <c r="B109" t="s">
        <v>20</v>
      </c>
      <c r="C109" t="s">
        <v>112</v>
      </c>
      <c r="D109" t="s">
        <v>195</v>
      </c>
      <c r="E109" t="s">
        <v>200</v>
      </c>
      <c r="F109">
        <v>438.2</v>
      </c>
      <c r="G109" t="s">
        <v>197</v>
      </c>
      <c r="H109" t="s">
        <v>93</v>
      </c>
      <c r="I109">
        <v>7.4</v>
      </c>
      <c r="J109" t="s">
        <v>197</v>
      </c>
      <c r="K109" t="s">
        <v>195</v>
      </c>
      <c r="L109" t="s">
        <v>93</v>
      </c>
      <c r="M109">
        <v>21.5</v>
      </c>
      <c r="N109" t="s">
        <v>197</v>
      </c>
      <c r="R109" t="s">
        <v>52</v>
      </c>
      <c r="S109" t="s">
        <v>64</v>
      </c>
      <c r="T109" t="s">
        <v>76</v>
      </c>
      <c r="U109" t="s">
        <v>195</v>
      </c>
      <c r="V109" t="s">
        <v>195</v>
      </c>
      <c r="W109" t="s">
        <v>195</v>
      </c>
      <c r="X109" t="s">
        <v>195</v>
      </c>
      <c r="Y109" t="s">
        <v>104</v>
      </c>
    </row>
    <row r="110">
      <c r="A110">
        <v>512</v>
      </c>
      <c r="B110" t="s">
        <v>20</v>
      </c>
      <c r="C110" t="s">
        <v>112</v>
      </c>
      <c r="D110" t="s">
        <v>197</v>
      </c>
      <c r="E110" t="s">
        <v>201</v>
      </c>
      <c r="U110" t="s">
        <v>197</v>
      </c>
      <c r="V110" t="s">
        <v>197</v>
      </c>
      <c r="W110" t="s">
        <v>197</v>
      </c>
      <c r="X110" t="s">
        <v>195</v>
      </c>
      <c r="Y110" t="s">
        <v>198</v>
      </c>
    </row>
    <row r="111">
      <c r="A111">
        <v>517</v>
      </c>
      <c r="B111" t="s">
        <v>199</v>
      </c>
      <c r="C111" t="s">
        <v>112</v>
      </c>
      <c r="D111" t="s">
        <v>197</v>
      </c>
      <c r="E111" t="s">
        <v>201</v>
      </c>
      <c r="U111" t="s">
        <v>197</v>
      </c>
      <c r="V111" t="s">
        <v>197</v>
      </c>
      <c r="W111" t="s">
        <v>197</v>
      </c>
      <c r="X111" t="s">
        <v>195</v>
      </c>
      <c r="Y111" t="s">
        <v>198</v>
      </c>
    </row>
    <row r="112">
      <c r="A112">
        <v>518</v>
      </c>
      <c r="B112" t="s">
        <v>20</v>
      </c>
      <c r="C112" t="s">
        <v>112</v>
      </c>
      <c r="D112" t="s">
        <v>197</v>
      </c>
      <c r="E112" t="s">
        <v>201</v>
      </c>
      <c r="U112" t="s">
        <v>197</v>
      </c>
      <c r="V112" t="s">
        <v>197</v>
      </c>
      <c r="W112" t="s">
        <v>197</v>
      </c>
      <c r="X112" t="s">
        <v>195</v>
      </c>
      <c r="Y112" t="s">
        <v>198</v>
      </c>
    </row>
    <row r="113">
      <c r="A113">
        <v>520</v>
      </c>
      <c r="B113" t="s">
        <v>20</v>
      </c>
      <c r="C113" t="s">
        <v>112</v>
      </c>
      <c r="D113" t="s">
        <v>197</v>
      </c>
      <c r="E113" t="s">
        <v>201</v>
      </c>
      <c r="U113" t="s">
        <v>197</v>
      </c>
      <c r="V113" t="s">
        <v>197</v>
      </c>
      <c r="W113" t="s">
        <v>197</v>
      </c>
      <c r="X113" t="s">
        <v>195</v>
      </c>
      <c r="Y113" t="s">
        <v>198</v>
      </c>
    </row>
    <row r="114">
      <c r="A114">
        <v>501</v>
      </c>
      <c r="B114" t="s">
        <v>194</v>
      </c>
      <c r="C114" t="s">
        <v>112</v>
      </c>
      <c r="D114" t="s">
        <v>197</v>
      </c>
      <c r="E114" t="s">
        <v>201</v>
      </c>
      <c r="U114" t="s">
        <v>197</v>
      </c>
      <c r="V114" t="s">
        <v>197</v>
      </c>
      <c r="W114" t="s">
        <v>197</v>
      </c>
      <c r="X114" t="s">
        <v>195</v>
      </c>
      <c r="Y114" t="s">
        <v>198</v>
      </c>
    </row>
    <row r="115">
      <c r="A115">
        <v>497</v>
      </c>
      <c r="B115" t="s">
        <v>199</v>
      </c>
      <c r="C115" t="s">
        <v>112</v>
      </c>
      <c r="D115" t="s">
        <v>197</v>
      </c>
      <c r="E115" t="s">
        <v>201</v>
      </c>
      <c r="U115" t="s">
        <v>197</v>
      </c>
      <c r="V115" t="s">
        <v>197</v>
      </c>
      <c r="W115" t="s">
        <v>197</v>
      </c>
      <c r="X115" t="s">
        <v>195</v>
      </c>
      <c r="Y115" t="s">
        <v>198</v>
      </c>
    </row>
    <row r="116">
      <c r="A116">
        <v>503</v>
      </c>
      <c r="B116" t="s">
        <v>20</v>
      </c>
      <c r="C116" t="s">
        <v>112</v>
      </c>
      <c r="D116" t="s">
        <v>197</v>
      </c>
      <c r="E116" t="s">
        <v>201</v>
      </c>
      <c r="U116" t="s">
        <v>197</v>
      </c>
      <c r="V116" t="s">
        <v>197</v>
      </c>
      <c r="W116" t="s">
        <v>197</v>
      </c>
      <c r="X116" t="s">
        <v>195</v>
      </c>
      <c r="Y116" t="s">
        <v>198</v>
      </c>
    </row>
    <row r="117">
      <c r="A117">
        <v>507</v>
      </c>
      <c r="B117" t="s">
        <v>20</v>
      </c>
      <c r="C117" t="s">
        <v>112</v>
      </c>
      <c r="D117" t="s">
        <v>197</v>
      </c>
      <c r="E117" t="s">
        <v>201</v>
      </c>
      <c r="U117" t="s">
        <v>197</v>
      </c>
      <c r="V117" t="s">
        <v>197</v>
      </c>
      <c r="W117" t="s">
        <v>197</v>
      </c>
      <c r="X117" t="s">
        <v>195</v>
      </c>
      <c r="Y117" t="s">
        <v>198</v>
      </c>
    </row>
    <row r="118">
      <c r="A118">
        <v>508</v>
      </c>
      <c r="B118" t="s">
        <v>199</v>
      </c>
      <c r="C118" t="s">
        <v>112</v>
      </c>
      <c r="D118" t="s">
        <v>197</v>
      </c>
      <c r="E118" t="s">
        <v>201</v>
      </c>
      <c r="U118" t="s">
        <v>197</v>
      </c>
      <c r="V118" t="s">
        <v>197</v>
      </c>
      <c r="W118" t="s">
        <v>197</v>
      </c>
      <c r="X118" t="s">
        <v>195</v>
      </c>
      <c r="Y118" t="s">
        <v>198</v>
      </c>
    </row>
    <row r="119">
      <c r="A119">
        <v>510</v>
      </c>
      <c r="B119" t="s">
        <v>20</v>
      </c>
      <c r="C119" t="s">
        <v>112</v>
      </c>
      <c r="D119" t="s">
        <v>195</v>
      </c>
      <c r="E119" t="s">
        <v>196</v>
      </c>
      <c r="F119">
        <v>3.1</v>
      </c>
      <c r="G119" t="s">
        <v>197</v>
      </c>
      <c r="H119" t="s">
        <v>93</v>
      </c>
      <c r="I119">
        <v>0.3</v>
      </c>
      <c r="J119" t="s">
        <v>195</v>
      </c>
      <c r="K119" t="s">
        <v>195</v>
      </c>
      <c r="L119" t="s">
        <v>93</v>
      </c>
      <c r="M119">
        <v>3.4</v>
      </c>
      <c r="N119" t="s">
        <v>195</v>
      </c>
      <c r="O119" t="s">
        <v>93</v>
      </c>
      <c r="P119">
        <v>3.6</v>
      </c>
      <c r="Q119" t="s">
        <v>195</v>
      </c>
      <c r="R119" t="s">
        <v>49</v>
      </c>
      <c r="T119" t="s">
        <v>78</v>
      </c>
      <c r="U119" t="s">
        <v>197</v>
      </c>
      <c r="V119" t="s">
        <v>197</v>
      </c>
      <c r="W119" t="s">
        <v>197</v>
      </c>
      <c r="X119" t="s">
        <v>195</v>
      </c>
      <c r="Y119" t="s">
        <v>198</v>
      </c>
    </row>
    <row r="120">
      <c r="A120">
        <v>516</v>
      </c>
      <c r="B120" t="s">
        <v>20</v>
      </c>
      <c r="C120" t="s">
        <v>112</v>
      </c>
      <c r="D120" t="s">
        <v>197</v>
      </c>
      <c r="E120" t="s">
        <v>201</v>
      </c>
      <c r="U120" t="s">
        <v>197</v>
      </c>
      <c r="V120" t="s">
        <v>197</v>
      </c>
      <c r="W120" t="s">
        <v>197</v>
      </c>
      <c r="X120" t="s">
        <v>195</v>
      </c>
      <c r="Y120" t="s">
        <v>198</v>
      </c>
    </row>
    <row r="121">
      <c r="A121">
        <v>524</v>
      </c>
      <c r="B121" t="s">
        <v>20</v>
      </c>
      <c r="C121" t="s">
        <v>112</v>
      </c>
      <c r="D121" t="s">
        <v>197</v>
      </c>
      <c r="E121" t="s">
        <v>201</v>
      </c>
      <c r="U121" t="s">
        <v>197</v>
      </c>
      <c r="V121" t="s">
        <v>197</v>
      </c>
      <c r="W121" t="s">
        <v>197</v>
      </c>
      <c r="X121" t="s">
        <v>195</v>
      </c>
      <c r="Y121" t="s">
        <v>198</v>
      </c>
    </row>
    <row r="122">
      <c r="A122">
        <v>530</v>
      </c>
      <c r="B122" t="s">
        <v>20</v>
      </c>
      <c r="C122" t="s">
        <v>112</v>
      </c>
      <c r="D122" t="s">
        <v>197</v>
      </c>
      <c r="E122" t="s">
        <v>201</v>
      </c>
      <c r="U122" t="s">
        <v>197</v>
      </c>
      <c r="V122" t="s">
        <v>197</v>
      </c>
      <c r="W122" t="s">
        <v>197</v>
      </c>
      <c r="X122" t="s">
        <v>195</v>
      </c>
      <c r="Y122" t="s">
        <v>198</v>
      </c>
    </row>
    <row r="123">
      <c r="A123">
        <v>543</v>
      </c>
      <c r="B123" t="s">
        <v>194</v>
      </c>
      <c r="C123" t="s">
        <v>112</v>
      </c>
      <c r="D123" t="s">
        <v>195</v>
      </c>
      <c r="E123" t="s">
        <v>196</v>
      </c>
      <c r="F123">
        <v>6.7</v>
      </c>
      <c r="G123" t="s">
        <v>197</v>
      </c>
      <c r="H123" t="s">
        <v>93</v>
      </c>
      <c r="I123">
        <v>1.6</v>
      </c>
      <c r="J123" t="s">
        <v>195</v>
      </c>
      <c r="K123" t="s">
        <v>195</v>
      </c>
      <c r="L123" t="s">
        <v>93</v>
      </c>
      <c r="M123">
        <v>5.3</v>
      </c>
      <c r="N123" t="s">
        <v>195</v>
      </c>
      <c r="O123" t="s">
        <v>93</v>
      </c>
      <c r="P123">
        <v>6</v>
      </c>
      <c r="Q123" t="s">
        <v>195</v>
      </c>
      <c r="R123" t="s">
        <v>49</v>
      </c>
      <c r="T123" t="s">
        <v>76</v>
      </c>
      <c r="U123" t="s">
        <v>197</v>
      </c>
      <c r="V123" t="s">
        <v>197</v>
      </c>
      <c r="W123" t="s">
        <v>197</v>
      </c>
      <c r="X123" t="s">
        <v>195</v>
      </c>
      <c r="Y123" t="s">
        <v>198</v>
      </c>
    </row>
    <row r="124">
      <c r="A124">
        <v>545</v>
      </c>
      <c r="B124" t="s">
        <v>20</v>
      </c>
      <c r="C124" t="s">
        <v>112</v>
      </c>
      <c r="D124" t="s">
        <v>195</v>
      </c>
      <c r="E124" t="s">
        <v>200</v>
      </c>
      <c r="F124">
        <v>220.7</v>
      </c>
      <c r="G124" t="s">
        <v>195</v>
      </c>
      <c r="H124" t="s">
        <v>93</v>
      </c>
      <c r="I124">
        <v>36.1</v>
      </c>
      <c r="J124" t="s">
        <v>195</v>
      </c>
      <c r="K124" t="s">
        <v>195</v>
      </c>
      <c r="L124" t="s">
        <v>93</v>
      </c>
      <c r="M124">
        <v>47.4</v>
      </c>
      <c r="N124" t="s">
        <v>195</v>
      </c>
      <c r="O124" t="s">
        <v>93</v>
      </c>
      <c r="P124">
        <v>47.7</v>
      </c>
      <c r="Q124" t="s">
        <v>197</v>
      </c>
      <c r="R124" t="s">
        <v>49</v>
      </c>
      <c r="T124" t="s">
        <v>76</v>
      </c>
      <c r="U124" t="s">
        <v>195</v>
      </c>
      <c r="V124" t="s">
        <v>195</v>
      </c>
      <c r="W124" t="s">
        <v>195</v>
      </c>
      <c r="X124" t="s">
        <v>195</v>
      </c>
      <c r="Y124" t="s">
        <v>104</v>
      </c>
    </row>
    <row r="125">
      <c r="A125">
        <v>546</v>
      </c>
      <c r="B125" t="s">
        <v>194</v>
      </c>
      <c r="C125" t="s">
        <v>112</v>
      </c>
      <c r="D125" t="s">
        <v>197</v>
      </c>
      <c r="E125" t="s">
        <v>201</v>
      </c>
      <c r="U125" t="s">
        <v>197</v>
      </c>
      <c r="V125" t="s">
        <v>197</v>
      </c>
      <c r="W125" t="s">
        <v>197</v>
      </c>
      <c r="X125" t="s">
        <v>195</v>
      </c>
      <c r="Y125" t="s">
        <v>198</v>
      </c>
    </row>
    <row r="126">
      <c r="A126">
        <v>551</v>
      </c>
      <c r="B126" t="s">
        <v>20</v>
      </c>
      <c r="C126" t="s">
        <v>112</v>
      </c>
      <c r="D126" t="s">
        <v>195</v>
      </c>
      <c r="E126" t="s">
        <v>196</v>
      </c>
      <c r="F126">
        <v>1</v>
      </c>
      <c r="G126" t="s">
        <v>197</v>
      </c>
      <c r="H126" t="s">
        <v>96</v>
      </c>
      <c r="I126">
        <v>20.6</v>
      </c>
      <c r="J126" t="s">
        <v>195</v>
      </c>
      <c r="K126" t="s">
        <v>195</v>
      </c>
      <c r="L126" t="s">
        <v>96</v>
      </c>
      <c r="M126">
        <v>20.8</v>
      </c>
      <c r="N126" t="s">
        <v>197</v>
      </c>
      <c r="R126" t="s">
        <v>52</v>
      </c>
      <c r="S126" t="s">
        <v>66</v>
      </c>
      <c r="T126" t="s">
        <v>76</v>
      </c>
      <c r="U126" t="s">
        <v>195</v>
      </c>
      <c r="V126" t="s">
        <v>197</v>
      </c>
      <c r="W126" t="s">
        <v>197</v>
      </c>
      <c r="X126" t="s">
        <v>195</v>
      </c>
      <c r="Y126" t="s">
        <v>198</v>
      </c>
    </row>
    <row r="127">
      <c r="A127">
        <v>555</v>
      </c>
      <c r="B127" t="s">
        <v>194</v>
      </c>
      <c r="C127" t="s">
        <v>112</v>
      </c>
      <c r="D127" t="s">
        <v>195</v>
      </c>
      <c r="E127" t="s">
        <v>196</v>
      </c>
      <c r="F127">
        <v>0.5</v>
      </c>
      <c r="G127" t="s">
        <v>197</v>
      </c>
      <c r="H127" t="s">
        <v>93</v>
      </c>
      <c r="I127">
        <v>2.2</v>
      </c>
      <c r="J127" t="s">
        <v>195</v>
      </c>
      <c r="K127" t="s">
        <v>195</v>
      </c>
      <c r="L127" t="s">
        <v>93</v>
      </c>
      <c r="M127">
        <v>7</v>
      </c>
      <c r="N127" t="s">
        <v>195</v>
      </c>
      <c r="O127" t="s">
        <v>93</v>
      </c>
      <c r="P127">
        <v>7.2</v>
      </c>
      <c r="Q127" t="s">
        <v>195</v>
      </c>
      <c r="R127" t="s">
        <v>49</v>
      </c>
      <c r="T127" t="s">
        <v>76</v>
      </c>
      <c r="U127" t="s">
        <v>197</v>
      </c>
      <c r="V127" t="s">
        <v>197</v>
      </c>
      <c r="W127" t="s">
        <v>197</v>
      </c>
      <c r="X127" t="s">
        <v>195</v>
      </c>
      <c r="Y127" t="s">
        <v>198</v>
      </c>
    </row>
    <row r="128">
      <c r="A128">
        <v>549</v>
      </c>
      <c r="B128" t="s">
        <v>20</v>
      </c>
      <c r="C128" t="s">
        <v>112</v>
      </c>
      <c r="D128" t="s">
        <v>197</v>
      </c>
      <c r="E128" t="s">
        <v>201</v>
      </c>
      <c r="U128" t="s">
        <v>197</v>
      </c>
      <c r="V128" t="s">
        <v>197</v>
      </c>
      <c r="W128" t="s">
        <v>197</v>
      </c>
      <c r="X128" t="s">
        <v>195</v>
      </c>
      <c r="Y128" t="s">
        <v>198</v>
      </c>
    </row>
    <row r="129">
      <c r="A129">
        <v>568</v>
      </c>
      <c r="B129" t="s">
        <v>20</v>
      </c>
      <c r="C129" t="s">
        <v>112</v>
      </c>
      <c r="D129" t="s">
        <v>195</v>
      </c>
      <c r="E129" t="s">
        <v>196</v>
      </c>
      <c r="F129">
        <v>0.3</v>
      </c>
      <c r="G129" t="s">
        <v>197</v>
      </c>
      <c r="H129" t="s">
        <v>96</v>
      </c>
      <c r="I129">
        <v>1.7</v>
      </c>
      <c r="J129" t="s">
        <v>195</v>
      </c>
      <c r="K129" t="s">
        <v>195</v>
      </c>
      <c r="L129" t="s">
        <v>96</v>
      </c>
      <c r="M129">
        <v>6.4</v>
      </c>
      <c r="N129" t="s">
        <v>197</v>
      </c>
      <c r="R129" t="s">
        <v>52</v>
      </c>
      <c r="S129" t="s">
        <v>64</v>
      </c>
      <c r="T129" t="s">
        <v>76</v>
      </c>
      <c r="U129" t="s">
        <v>197</v>
      </c>
      <c r="V129" t="s">
        <v>197</v>
      </c>
      <c r="W129" t="s">
        <v>197</v>
      </c>
      <c r="X129" t="s">
        <v>195</v>
      </c>
      <c r="Y129" t="s">
        <v>198</v>
      </c>
    </row>
    <row r="130">
      <c r="A130">
        <v>570</v>
      </c>
      <c r="B130" t="s">
        <v>20</v>
      </c>
      <c r="C130" t="s">
        <v>112</v>
      </c>
      <c r="D130" t="s">
        <v>195</v>
      </c>
      <c r="E130" t="s">
        <v>200</v>
      </c>
      <c r="F130">
        <v>452.9</v>
      </c>
      <c r="G130" t="s">
        <v>195</v>
      </c>
      <c r="H130" t="s">
        <v>94</v>
      </c>
      <c r="I130">
        <v>4.1</v>
      </c>
      <c r="J130" t="s">
        <v>197</v>
      </c>
      <c r="K130" t="s">
        <v>197</v>
      </c>
      <c r="L130">
        <v/>
      </c>
      <c r="N130" t="s">
        <v>197</v>
      </c>
      <c r="R130" t="s">
        <v>53</v>
      </c>
      <c r="S130" t="s">
        <v>64</v>
      </c>
      <c r="T130" t="s">
        <v>77</v>
      </c>
      <c r="U130" t="s">
        <v>197</v>
      </c>
      <c r="V130" t="s">
        <v>197</v>
      </c>
      <c r="W130" t="s">
        <v>197</v>
      </c>
      <c r="X130" t="s">
        <v>195</v>
      </c>
      <c r="Y130" t="s">
        <v>198</v>
      </c>
    </row>
    <row r="131">
      <c r="A131">
        <v>572</v>
      </c>
      <c r="B131" t="s">
        <v>20</v>
      </c>
      <c r="C131" t="s">
        <v>112</v>
      </c>
      <c r="D131" t="s">
        <v>195</v>
      </c>
      <c r="E131" t="s">
        <v>196</v>
      </c>
      <c r="F131">
        <v>0.3</v>
      </c>
      <c r="G131" t="s">
        <v>197</v>
      </c>
      <c r="H131" t="s">
        <v>96</v>
      </c>
      <c r="I131">
        <v>6.3</v>
      </c>
      <c r="J131" t="s">
        <v>195</v>
      </c>
      <c r="K131" t="s">
        <v>195</v>
      </c>
      <c r="L131" t="s">
        <v>96</v>
      </c>
      <c r="M131">
        <v>10.1</v>
      </c>
      <c r="N131" t="s">
        <v>197</v>
      </c>
      <c r="R131" t="s">
        <v>52</v>
      </c>
      <c r="S131" t="s">
        <v>64</v>
      </c>
      <c r="T131" t="s">
        <v>76</v>
      </c>
      <c r="U131" t="s">
        <v>197</v>
      </c>
      <c r="V131" t="s">
        <v>197</v>
      </c>
      <c r="W131" t="s">
        <v>197</v>
      </c>
      <c r="X131" t="s">
        <v>195</v>
      </c>
      <c r="Y131" t="s">
        <v>198</v>
      </c>
    </row>
    <row r="132">
      <c r="A132">
        <v>565</v>
      </c>
      <c r="B132" t="s">
        <v>199</v>
      </c>
      <c r="C132" t="s">
        <v>112</v>
      </c>
      <c r="D132" t="s">
        <v>197</v>
      </c>
      <c r="E132" t="s">
        <v>201</v>
      </c>
      <c r="U132" t="s">
        <v>197</v>
      </c>
      <c r="V132" t="s">
        <v>197</v>
      </c>
      <c r="W132" t="s">
        <v>197</v>
      </c>
      <c r="X132" t="s">
        <v>195</v>
      </c>
      <c r="Y132" t="s">
        <v>198</v>
      </c>
    </row>
    <row r="133">
      <c r="A133">
        <v>575</v>
      </c>
      <c r="B133" t="s">
        <v>20</v>
      </c>
      <c r="C133" t="s">
        <v>112</v>
      </c>
      <c r="D133" t="s">
        <v>195</v>
      </c>
      <c r="E133" t="s">
        <v>196</v>
      </c>
      <c r="F133">
        <v>12.4</v>
      </c>
      <c r="G133" t="s">
        <v>197</v>
      </c>
      <c r="H133" t="s">
        <v>96</v>
      </c>
      <c r="I133">
        <v>8.199999999999999</v>
      </c>
      <c r="J133" t="s">
        <v>195</v>
      </c>
      <c r="K133" t="s">
        <v>195</v>
      </c>
      <c r="L133" t="s">
        <v>93</v>
      </c>
      <c r="M133">
        <v>14.7</v>
      </c>
      <c r="N133" t="s">
        <v>195</v>
      </c>
      <c r="O133" t="s">
        <v>93</v>
      </c>
      <c r="P133">
        <v>14.9</v>
      </c>
      <c r="Q133" t="s">
        <v>195</v>
      </c>
      <c r="R133" t="s">
        <v>49</v>
      </c>
      <c r="T133" t="s">
        <v>76</v>
      </c>
      <c r="U133" t="s">
        <v>197</v>
      </c>
      <c r="V133" t="s">
        <v>197</v>
      </c>
      <c r="W133" t="s">
        <v>197</v>
      </c>
      <c r="X133" t="s">
        <v>195</v>
      </c>
      <c r="Y133" t="s">
        <v>198</v>
      </c>
    </row>
    <row r="134">
      <c r="A134">
        <v>580</v>
      </c>
      <c r="B134" t="s">
        <v>20</v>
      </c>
      <c r="C134" t="s">
        <v>112</v>
      </c>
      <c r="D134" t="s">
        <v>197</v>
      </c>
      <c r="E134" t="s">
        <v>201</v>
      </c>
      <c r="U134" t="s">
        <v>197</v>
      </c>
      <c r="V134" t="s">
        <v>197</v>
      </c>
      <c r="W134" t="s">
        <v>197</v>
      </c>
      <c r="X134" t="s">
        <v>195</v>
      </c>
      <c r="Y134" t="s">
        <v>198</v>
      </c>
    </row>
    <row r="135">
      <c r="A135">
        <v>581</v>
      </c>
      <c r="B135" t="s">
        <v>20</v>
      </c>
      <c r="C135" t="s">
        <v>112</v>
      </c>
      <c r="D135" t="s">
        <v>197</v>
      </c>
      <c r="E135" t="s">
        <v>201</v>
      </c>
      <c r="U135" t="s">
        <v>197</v>
      </c>
      <c r="V135" t="s">
        <v>197</v>
      </c>
      <c r="W135" t="s">
        <v>197</v>
      </c>
      <c r="X135" t="s">
        <v>195</v>
      </c>
      <c r="Y135" t="s">
        <v>198</v>
      </c>
    </row>
    <row r="136">
      <c r="A136">
        <v>582</v>
      </c>
      <c r="B136" t="s">
        <v>194</v>
      </c>
      <c r="C136" t="s">
        <v>112</v>
      </c>
      <c r="D136" t="s">
        <v>195</v>
      </c>
      <c r="E136" t="s">
        <v>196</v>
      </c>
      <c r="F136">
        <v>1</v>
      </c>
      <c r="G136" t="s">
        <v>197</v>
      </c>
      <c r="H136" t="s">
        <v>93</v>
      </c>
      <c r="I136">
        <v>8</v>
      </c>
      <c r="J136" t="s">
        <v>195</v>
      </c>
      <c r="K136" t="s">
        <v>195</v>
      </c>
      <c r="L136" t="s">
        <v>93</v>
      </c>
      <c r="M136">
        <v>10.2</v>
      </c>
      <c r="N136" t="s">
        <v>195</v>
      </c>
      <c r="O136" t="s">
        <v>93</v>
      </c>
      <c r="P136">
        <v>10.3</v>
      </c>
      <c r="Q136" t="s">
        <v>195</v>
      </c>
      <c r="R136" t="s">
        <v>49</v>
      </c>
      <c r="T136" t="s">
        <v>76</v>
      </c>
      <c r="U136" t="s">
        <v>195</v>
      </c>
      <c r="V136" t="s">
        <v>195</v>
      </c>
      <c r="W136" t="s">
        <v>197</v>
      </c>
      <c r="X136" t="s">
        <v>195</v>
      </c>
      <c r="Y136" t="s">
        <v>198</v>
      </c>
    </row>
    <row r="137">
      <c r="A137">
        <v>585</v>
      </c>
      <c r="B137" t="s">
        <v>20</v>
      </c>
      <c r="C137" t="s">
        <v>112</v>
      </c>
      <c r="D137" t="s">
        <v>195</v>
      </c>
      <c r="E137" t="s">
        <v>196</v>
      </c>
      <c r="F137">
        <v>0.8</v>
      </c>
      <c r="G137" t="s">
        <v>197</v>
      </c>
      <c r="H137" t="s">
        <v>93</v>
      </c>
      <c r="I137">
        <v>0.3</v>
      </c>
      <c r="J137" t="s">
        <v>195</v>
      </c>
      <c r="K137" t="s">
        <v>195</v>
      </c>
      <c r="L137" t="s">
        <v>93</v>
      </c>
      <c r="M137">
        <v>5.2</v>
      </c>
      <c r="N137" t="s">
        <v>195</v>
      </c>
      <c r="O137" t="s">
        <v>93</v>
      </c>
      <c r="P137">
        <v>5.3</v>
      </c>
      <c r="Q137" t="s">
        <v>195</v>
      </c>
      <c r="R137" t="s">
        <v>49</v>
      </c>
      <c r="T137" t="s">
        <v>76</v>
      </c>
      <c r="U137" t="s">
        <v>197</v>
      </c>
      <c r="V137" t="s">
        <v>197</v>
      </c>
      <c r="W137" t="s">
        <v>197</v>
      </c>
      <c r="X137" t="s">
        <v>195</v>
      </c>
      <c r="Y137" t="s">
        <v>198</v>
      </c>
    </row>
    <row r="138">
      <c r="A138">
        <v>578</v>
      </c>
      <c r="B138" t="s">
        <v>20</v>
      </c>
      <c r="C138" t="s">
        <v>112</v>
      </c>
      <c r="D138" t="s">
        <v>197</v>
      </c>
      <c r="E138" t="s">
        <v>201</v>
      </c>
      <c r="U138" t="s">
        <v>197</v>
      </c>
      <c r="V138" t="s">
        <v>197</v>
      </c>
      <c r="W138" t="s">
        <v>197</v>
      </c>
      <c r="X138" t="s">
        <v>195</v>
      </c>
      <c r="Y138" t="s">
        <v>198</v>
      </c>
    </row>
    <row r="139">
      <c r="A139">
        <v>586</v>
      </c>
      <c r="B139" t="s">
        <v>20</v>
      </c>
      <c r="C139" t="s">
        <v>112</v>
      </c>
      <c r="D139" t="s">
        <v>195</v>
      </c>
      <c r="E139" t="s">
        <v>200</v>
      </c>
      <c r="F139">
        <v>174.9</v>
      </c>
      <c r="G139" t="s">
        <v>195</v>
      </c>
      <c r="H139" t="s">
        <v>93</v>
      </c>
      <c r="I139">
        <v>0.4</v>
      </c>
      <c r="J139" t="s">
        <v>195</v>
      </c>
      <c r="K139" t="s">
        <v>195</v>
      </c>
      <c r="L139" t="s">
        <v>93</v>
      </c>
      <c r="M139">
        <v>17.9</v>
      </c>
      <c r="N139" t="s">
        <v>197</v>
      </c>
      <c r="R139" t="s">
        <v>52</v>
      </c>
      <c r="S139" t="s">
        <v>64</v>
      </c>
      <c r="T139" t="s">
        <v>76</v>
      </c>
      <c r="U139" t="s">
        <v>197</v>
      </c>
      <c r="V139" t="s">
        <v>197</v>
      </c>
      <c r="W139" t="s">
        <v>197</v>
      </c>
      <c r="X139" t="s">
        <v>195</v>
      </c>
      <c r="Y139" t="s">
        <v>198</v>
      </c>
    </row>
    <row r="140">
      <c r="A140">
        <v>587</v>
      </c>
      <c r="B140" t="s">
        <v>194</v>
      </c>
      <c r="C140" t="s">
        <v>112</v>
      </c>
      <c r="D140" t="s">
        <v>197</v>
      </c>
      <c r="E140" t="s">
        <v>201</v>
      </c>
      <c r="U140" t="s">
        <v>197</v>
      </c>
      <c r="V140" t="s">
        <v>197</v>
      </c>
      <c r="W140" t="s">
        <v>197</v>
      </c>
      <c r="X140" t="s">
        <v>195</v>
      </c>
      <c r="Y140" t="s">
        <v>198</v>
      </c>
    </row>
    <row r="141">
      <c r="A141">
        <v>588</v>
      </c>
      <c r="B141" t="s">
        <v>194</v>
      </c>
      <c r="C141" t="s">
        <v>112</v>
      </c>
      <c r="D141" t="s">
        <v>197</v>
      </c>
      <c r="E141" t="s">
        <v>201</v>
      </c>
      <c r="U141" t="s">
        <v>197</v>
      </c>
      <c r="V141" t="s">
        <v>197</v>
      </c>
      <c r="W141" t="s">
        <v>197</v>
      </c>
      <c r="X141" t="s">
        <v>195</v>
      </c>
      <c r="Y141" t="s">
        <v>198</v>
      </c>
    </row>
    <row r="142">
      <c r="A142">
        <v>590</v>
      </c>
      <c r="B142" t="s">
        <v>20</v>
      </c>
      <c r="C142" t="s">
        <v>112</v>
      </c>
      <c r="D142" t="s">
        <v>195</v>
      </c>
      <c r="E142" t="s">
        <v>200</v>
      </c>
      <c r="F142">
        <v>1473.6</v>
      </c>
      <c r="G142" t="s">
        <v>197</v>
      </c>
      <c r="H142" t="s">
        <v>93</v>
      </c>
      <c r="I142">
        <v>1</v>
      </c>
      <c r="J142" t="s">
        <v>197</v>
      </c>
      <c r="K142" t="s">
        <v>197</v>
      </c>
      <c r="L142">
        <v/>
      </c>
      <c r="N142" t="s">
        <v>197</v>
      </c>
      <c r="R142" t="s">
        <v>53</v>
      </c>
      <c r="S142" t="s">
        <v>64</v>
      </c>
      <c r="T142" t="s">
        <v>76</v>
      </c>
      <c r="U142" t="s">
        <v>195</v>
      </c>
      <c r="V142" t="s">
        <v>197</v>
      </c>
      <c r="W142" t="s">
        <v>197</v>
      </c>
      <c r="X142" t="s">
        <v>195</v>
      </c>
      <c r="Y142" t="s">
        <v>198</v>
      </c>
    </row>
    <row r="143">
      <c r="A143">
        <v>592</v>
      </c>
      <c r="B143" t="s">
        <v>20</v>
      </c>
      <c r="C143" t="s">
        <v>112</v>
      </c>
      <c r="D143" t="s">
        <v>197</v>
      </c>
      <c r="E143" t="s">
        <v>201</v>
      </c>
      <c r="U143" t="s">
        <v>197</v>
      </c>
      <c r="V143" t="s">
        <v>197</v>
      </c>
      <c r="W143" t="s">
        <v>197</v>
      </c>
      <c r="X143" t="s">
        <v>195</v>
      </c>
      <c r="Y143" t="s">
        <v>198</v>
      </c>
    </row>
    <row r="144">
      <c r="A144">
        <v>589</v>
      </c>
      <c r="B144" t="s">
        <v>199</v>
      </c>
      <c r="C144" t="s">
        <v>112</v>
      </c>
      <c r="D144" t="s">
        <v>197</v>
      </c>
      <c r="E144" t="s">
        <v>201</v>
      </c>
      <c r="U144" t="s">
        <v>197</v>
      </c>
      <c r="V144" t="s">
        <v>197</v>
      </c>
      <c r="W144" t="s">
        <v>197</v>
      </c>
      <c r="X144" t="s">
        <v>195</v>
      </c>
      <c r="Y144" t="s">
        <v>198</v>
      </c>
    </row>
    <row r="145">
      <c r="A145">
        <v>596</v>
      </c>
      <c r="B145" t="s">
        <v>194</v>
      </c>
      <c r="C145" t="s">
        <v>112</v>
      </c>
      <c r="D145" t="s">
        <v>195</v>
      </c>
      <c r="E145" t="s">
        <v>196</v>
      </c>
      <c r="F145">
        <v>6</v>
      </c>
      <c r="G145" t="s">
        <v>197</v>
      </c>
      <c r="H145" t="s">
        <v>95</v>
      </c>
      <c r="I145">
        <v>3</v>
      </c>
      <c r="J145" t="s">
        <v>195</v>
      </c>
      <c r="K145" t="s">
        <v>195</v>
      </c>
      <c r="L145" t="s">
        <v>95</v>
      </c>
      <c r="M145">
        <v>5.2</v>
      </c>
      <c r="N145" t="s">
        <v>195</v>
      </c>
      <c r="O145" t="s">
        <v>95</v>
      </c>
      <c r="P145">
        <v>6</v>
      </c>
      <c r="Q145" t="s">
        <v>195</v>
      </c>
      <c r="R145" t="s">
        <v>49</v>
      </c>
      <c r="T145" t="s">
        <v>76</v>
      </c>
      <c r="U145" t="s">
        <v>197</v>
      </c>
      <c r="V145" t="s">
        <v>197</v>
      </c>
      <c r="W145" t="s">
        <v>197</v>
      </c>
      <c r="X145" t="s">
        <v>195</v>
      </c>
      <c r="Y145" t="s">
        <v>198</v>
      </c>
    </row>
    <row r="146">
      <c r="A146">
        <v>601</v>
      </c>
      <c r="B146" t="s">
        <v>20</v>
      </c>
      <c r="C146" t="s">
        <v>112</v>
      </c>
      <c r="D146" t="s">
        <v>195</v>
      </c>
      <c r="E146" t="s">
        <v>196</v>
      </c>
      <c r="F146">
        <v>1.7</v>
      </c>
      <c r="G146" t="s">
        <v>197</v>
      </c>
      <c r="H146" t="s">
        <v>95</v>
      </c>
      <c r="I146">
        <v>17.6</v>
      </c>
      <c r="J146" t="s">
        <v>197</v>
      </c>
      <c r="K146" t="s">
        <v>195</v>
      </c>
      <c r="L146" t="s">
        <v>95</v>
      </c>
      <c r="M146">
        <v>17.6</v>
      </c>
      <c r="N146" t="s">
        <v>195</v>
      </c>
      <c r="O146" t="s">
        <v>95</v>
      </c>
      <c r="P146">
        <v>18.3</v>
      </c>
      <c r="Q146" t="s">
        <v>195</v>
      </c>
      <c r="R146" t="s">
        <v>49</v>
      </c>
      <c r="T146" t="s">
        <v>76</v>
      </c>
      <c r="U146" t="s">
        <v>195</v>
      </c>
      <c r="V146" t="s">
        <v>197</v>
      </c>
      <c r="W146" t="s">
        <v>197</v>
      </c>
      <c r="X146" t="s">
        <v>195</v>
      </c>
      <c r="Y146" t="s">
        <v>198</v>
      </c>
    </row>
    <row r="147">
      <c r="A147">
        <v>594</v>
      </c>
      <c r="B147" t="s">
        <v>194</v>
      </c>
      <c r="C147" t="s">
        <v>112</v>
      </c>
      <c r="D147" t="s">
        <v>197</v>
      </c>
      <c r="E147" t="s">
        <v>201</v>
      </c>
      <c r="U147" t="s">
        <v>197</v>
      </c>
      <c r="V147" t="s">
        <v>197</v>
      </c>
      <c r="W147" t="s">
        <v>197</v>
      </c>
      <c r="X147" t="s">
        <v>195</v>
      </c>
      <c r="Y147" t="s">
        <v>198</v>
      </c>
    </row>
    <row r="148">
      <c r="A148">
        <v>603</v>
      </c>
      <c r="B148" t="s">
        <v>194</v>
      </c>
      <c r="C148" t="s">
        <v>112</v>
      </c>
      <c r="D148" t="s">
        <v>195</v>
      </c>
      <c r="E148" t="s">
        <v>196</v>
      </c>
      <c r="F148">
        <v>0.5</v>
      </c>
      <c r="G148" t="s">
        <v>197</v>
      </c>
      <c r="H148" t="s">
        <v>95</v>
      </c>
      <c r="I148">
        <v>6.3</v>
      </c>
      <c r="J148" t="s">
        <v>195</v>
      </c>
      <c r="K148" t="s">
        <v>195</v>
      </c>
      <c r="L148" t="s">
        <v>95</v>
      </c>
      <c r="M148">
        <v>13.4</v>
      </c>
      <c r="N148" t="s">
        <v>195</v>
      </c>
      <c r="O148" t="s">
        <v>95</v>
      </c>
      <c r="P148">
        <v>13.8</v>
      </c>
      <c r="Q148" t="s">
        <v>195</v>
      </c>
      <c r="R148" t="s">
        <v>49</v>
      </c>
      <c r="T148" t="s">
        <v>76</v>
      </c>
      <c r="U148" t="s">
        <v>197</v>
      </c>
      <c r="V148" t="s">
        <v>197</v>
      </c>
      <c r="W148" t="s">
        <v>197</v>
      </c>
      <c r="X148" t="s">
        <v>195</v>
      </c>
      <c r="Y148" t="s">
        <v>198</v>
      </c>
    </row>
    <row r="149">
      <c r="A149">
        <v>600</v>
      </c>
      <c r="B149" t="s">
        <v>20</v>
      </c>
      <c r="C149" t="s">
        <v>112</v>
      </c>
      <c r="D149" t="s">
        <v>197</v>
      </c>
      <c r="E149" t="s">
        <v>201</v>
      </c>
      <c r="U149" t="s">
        <v>197</v>
      </c>
      <c r="V149" t="s">
        <v>197</v>
      </c>
      <c r="W149" t="s">
        <v>197</v>
      </c>
      <c r="X149" t="s">
        <v>195</v>
      </c>
      <c r="Y149" t="s">
        <v>198</v>
      </c>
    </row>
    <row r="150">
      <c r="A150">
        <v>602</v>
      </c>
      <c r="B150" t="s">
        <v>199</v>
      </c>
      <c r="C150" t="s">
        <v>112</v>
      </c>
      <c r="D150" t="s">
        <v>197</v>
      </c>
      <c r="E150" t="s">
        <v>201</v>
      </c>
      <c r="U150" t="s">
        <v>197</v>
      </c>
      <c r="V150" t="s">
        <v>197</v>
      </c>
      <c r="W150" t="s">
        <v>197</v>
      </c>
      <c r="X150" t="s">
        <v>195</v>
      </c>
      <c r="Y150" t="s">
        <v>198</v>
      </c>
    </row>
    <row r="151">
      <c r="A151">
        <v>611</v>
      </c>
      <c r="B151" t="s">
        <v>20</v>
      </c>
      <c r="C151" t="s">
        <v>112</v>
      </c>
      <c r="D151" t="s">
        <v>197</v>
      </c>
      <c r="E151" t="s">
        <v>201</v>
      </c>
      <c r="U151" t="s">
        <v>197</v>
      </c>
      <c r="V151" t="s">
        <v>197</v>
      </c>
      <c r="W151" t="s">
        <v>197</v>
      </c>
      <c r="X151" t="s">
        <v>195</v>
      </c>
      <c r="Y151" t="s">
        <v>198</v>
      </c>
    </row>
    <row r="152">
      <c r="A152">
        <v>620</v>
      </c>
      <c r="B152" t="s">
        <v>20</v>
      </c>
      <c r="C152" t="s">
        <v>112</v>
      </c>
      <c r="D152" t="s">
        <v>195</v>
      </c>
      <c r="E152" t="s">
        <v>196</v>
      </c>
      <c r="F152">
        <v>0.3</v>
      </c>
      <c r="G152" t="s">
        <v>197</v>
      </c>
      <c r="H152" t="s">
        <v>94</v>
      </c>
      <c r="I152">
        <v>0.3</v>
      </c>
      <c r="J152" t="s">
        <v>195</v>
      </c>
      <c r="K152" t="s">
        <v>195</v>
      </c>
      <c r="L152" t="s">
        <v>94</v>
      </c>
      <c r="M152">
        <v>5.1</v>
      </c>
      <c r="N152" t="s">
        <v>195</v>
      </c>
      <c r="O152" t="s">
        <v>94</v>
      </c>
      <c r="P152">
        <v>3.5</v>
      </c>
      <c r="Q152" t="s">
        <v>195</v>
      </c>
      <c r="R152" t="s">
        <v>50</v>
      </c>
      <c r="T152" t="s">
        <v>76</v>
      </c>
      <c r="U152" t="s">
        <v>197</v>
      </c>
      <c r="V152" t="s">
        <v>197</v>
      </c>
      <c r="W152" t="s">
        <v>197</v>
      </c>
      <c r="X152" t="s">
        <v>195</v>
      </c>
      <c r="Y152" t="s">
        <v>198</v>
      </c>
    </row>
    <row r="153">
      <c r="A153">
        <v>625</v>
      </c>
      <c r="B153" t="s">
        <v>194</v>
      </c>
      <c r="C153" t="s">
        <v>112</v>
      </c>
      <c r="D153" t="s">
        <v>195</v>
      </c>
      <c r="E153" t="s">
        <v>196</v>
      </c>
      <c r="F153">
        <v>1.7</v>
      </c>
      <c r="G153" t="s">
        <v>197</v>
      </c>
      <c r="H153" t="s">
        <v>94</v>
      </c>
      <c r="I153">
        <v>0.9</v>
      </c>
      <c r="J153" t="s">
        <v>195</v>
      </c>
      <c r="K153" t="s">
        <v>195</v>
      </c>
      <c r="L153" t="s">
        <v>94</v>
      </c>
      <c r="M153">
        <v>4.4</v>
      </c>
      <c r="N153" t="s">
        <v>195</v>
      </c>
      <c r="O153" t="s">
        <v>94</v>
      </c>
      <c r="P153">
        <v>3</v>
      </c>
      <c r="Q153" t="s">
        <v>195</v>
      </c>
      <c r="R153" t="s">
        <v>50</v>
      </c>
      <c r="T153" t="s">
        <v>76</v>
      </c>
      <c r="U153" t="s">
        <v>197</v>
      </c>
      <c r="V153" t="s">
        <v>197</v>
      </c>
      <c r="W153" t="s">
        <v>197</v>
      </c>
      <c r="X153" t="s">
        <v>195</v>
      </c>
      <c r="Y153" t="s">
        <v>198</v>
      </c>
    </row>
    <row r="154">
      <c r="A154">
        <v>626</v>
      </c>
      <c r="B154" t="s">
        <v>20</v>
      </c>
      <c r="C154" t="s">
        <v>112</v>
      </c>
      <c r="D154" t="s">
        <v>197</v>
      </c>
      <c r="E154" t="s">
        <v>201</v>
      </c>
      <c r="U154" t="s">
        <v>197</v>
      </c>
      <c r="V154" t="s">
        <v>197</v>
      </c>
      <c r="W154" t="s">
        <v>197</v>
      </c>
      <c r="X154" t="s">
        <v>195</v>
      </c>
      <c r="Y154" t="s">
        <v>198</v>
      </c>
    </row>
    <row r="155">
      <c r="A155">
        <v>634</v>
      </c>
      <c r="B155" t="s">
        <v>199</v>
      </c>
      <c r="C155" t="s">
        <v>112</v>
      </c>
      <c r="D155" t="s">
        <v>195</v>
      </c>
      <c r="E155" t="s">
        <v>196</v>
      </c>
      <c r="F155">
        <v>0.3</v>
      </c>
      <c r="G155" t="s">
        <v>195</v>
      </c>
      <c r="H155" t="s">
        <v>93</v>
      </c>
      <c r="I155">
        <v>0.4</v>
      </c>
      <c r="J155" t="s">
        <v>195</v>
      </c>
      <c r="K155" t="s">
        <v>195</v>
      </c>
      <c r="L155" t="s">
        <v>93</v>
      </c>
      <c r="M155">
        <v>6.8</v>
      </c>
      <c r="N155" t="s">
        <v>195</v>
      </c>
      <c r="O155" t="s">
        <v>93</v>
      </c>
      <c r="P155">
        <v>7.9</v>
      </c>
      <c r="Q155" t="s">
        <v>195</v>
      </c>
      <c r="R155" t="s">
        <v>49</v>
      </c>
      <c r="T155" t="s">
        <v>76</v>
      </c>
      <c r="U155" t="s">
        <v>197</v>
      </c>
      <c r="V155" t="s">
        <v>197</v>
      </c>
      <c r="W155" t="s">
        <v>197</v>
      </c>
      <c r="X155" t="s">
        <v>195</v>
      </c>
      <c r="Y155" t="s">
        <v>198</v>
      </c>
    </row>
    <row r="156">
      <c r="A156">
        <v>628</v>
      </c>
      <c r="B156" t="s">
        <v>20</v>
      </c>
      <c r="C156" t="s">
        <v>112</v>
      </c>
      <c r="D156" t="s">
        <v>195</v>
      </c>
      <c r="E156" t="s">
        <v>196</v>
      </c>
      <c r="F156">
        <v>17.8</v>
      </c>
      <c r="G156" t="s">
        <v>197</v>
      </c>
      <c r="H156" t="s">
        <v>94</v>
      </c>
      <c r="I156">
        <v>18.3</v>
      </c>
      <c r="J156" t="s">
        <v>195</v>
      </c>
      <c r="K156" t="s">
        <v>195</v>
      </c>
      <c r="L156" t="s">
        <v>94</v>
      </c>
      <c r="M156">
        <v>20.3</v>
      </c>
      <c r="N156" t="s">
        <v>195</v>
      </c>
      <c r="O156" t="s">
        <v>94</v>
      </c>
      <c r="P156">
        <v>18.3</v>
      </c>
      <c r="Q156" t="s">
        <v>195</v>
      </c>
      <c r="R156" t="s">
        <v>50</v>
      </c>
      <c r="T156" t="s">
        <v>76</v>
      </c>
      <c r="U156" t="s">
        <v>197</v>
      </c>
      <c r="V156" t="s">
        <v>197</v>
      </c>
      <c r="W156" t="s">
        <v>197</v>
      </c>
      <c r="X156" t="s">
        <v>195</v>
      </c>
      <c r="Y156" t="s">
        <v>198</v>
      </c>
    </row>
    <row r="157">
      <c r="A157">
        <v>631</v>
      </c>
      <c r="B157" t="s">
        <v>194</v>
      </c>
      <c r="C157" t="s">
        <v>112</v>
      </c>
      <c r="D157" t="s">
        <v>197</v>
      </c>
      <c r="E157" t="s">
        <v>201</v>
      </c>
      <c r="U157" t="s">
        <v>197</v>
      </c>
      <c r="V157" t="s">
        <v>197</v>
      </c>
      <c r="W157" t="s">
        <v>197</v>
      </c>
      <c r="X157" t="s">
        <v>195</v>
      </c>
      <c r="Y157" t="s">
        <v>198</v>
      </c>
    </row>
    <row r="158">
      <c r="A158">
        <v>636</v>
      </c>
      <c r="B158" t="s">
        <v>20</v>
      </c>
      <c r="C158" t="s">
        <v>112</v>
      </c>
      <c r="D158" t="s">
        <v>197</v>
      </c>
      <c r="E158" t="s">
        <v>201</v>
      </c>
      <c r="U158" t="s">
        <v>197</v>
      </c>
      <c r="V158" t="s">
        <v>197</v>
      </c>
      <c r="W158" t="s">
        <v>197</v>
      </c>
      <c r="X158" t="s">
        <v>195</v>
      </c>
      <c r="Y158" t="s">
        <v>198</v>
      </c>
    </row>
    <row r="159">
      <c r="A159">
        <v>642</v>
      </c>
      <c r="B159" t="s">
        <v>20</v>
      </c>
      <c r="C159" t="s">
        <v>112</v>
      </c>
      <c r="D159" t="s">
        <v>195</v>
      </c>
      <c r="E159" t="s">
        <v>196</v>
      </c>
      <c r="F159">
        <v>1.6</v>
      </c>
      <c r="G159" t="s">
        <v>197</v>
      </c>
      <c r="H159" t="s">
        <v>94</v>
      </c>
      <c r="I159">
        <v>4.3</v>
      </c>
      <c r="J159" t="s">
        <v>195</v>
      </c>
      <c r="K159" t="s">
        <v>195</v>
      </c>
      <c r="L159" t="s">
        <v>94</v>
      </c>
      <c r="M159">
        <v>7.2</v>
      </c>
      <c r="N159" t="s">
        <v>195</v>
      </c>
      <c r="O159" t="s">
        <v>94</v>
      </c>
      <c r="P159">
        <v>6.9</v>
      </c>
      <c r="Q159" t="s">
        <v>195</v>
      </c>
      <c r="R159" t="s">
        <v>50</v>
      </c>
      <c r="T159" t="s">
        <v>76</v>
      </c>
      <c r="U159" t="s">
        <v>195</v>
      </c>
      <c r="V159" t="s">
        <v>197</v>
      </c>
      <c r="W159" t="s">
        <v>197</v>
      </c>
      <c r="X159" t="s">
        <v>195</v>
      </c>
      <c r="Y159" t="s">
        <v>198</v>
      </c>
    </row>
    <row r="160">
      <c r="A160">
        <v>641</v>
      </c>
      <c r="B160" t="s">
        <v>194</v>
      </c>
      <c r="C160" t="s">
        <v>112</v>
      </c>
      <c r="D160" t="s">
        <v>197</v>
      </c>
      <c r="E160" t="s">
        <v>201</v>
      </c>
      <c r="U160" t="s">
        <v>197</v>
      </c>
      <c r="V160" t="s">
        <v>197</v>
      </c>
      <c r="W160" t="s">
        <v>197</v>
      </c>
      <c r="X160" t="s">
        <v>195</v>
      </c>
      <c r="Y160" t="s">
        <v>198</v>
      </c>
    </row>
    <row r="161">
      <c r="A161">
        <v>651</v>
      </c>
      <c r="B161" t="s">
        <v>20</v>
      </c>
      <c r="C161" t="s">
        <v>112</v>
      </c>
      <c r="D161" t="s">
        <v>195</v>
      </c>
      <c r="E161" t="s">
        <v>196</v>
      </c>
      <c r="F161">
        <v>2.7</v>
      </c>
      <c r="G161" t="s">
        <v>197</v>
      </c>
      <c r="H161" t="s">
        <v>95</v>
      </c>
      <c r="I161">
        <v>2.6</v>
      </c>
      <c r="J161" t="s">
        <v>195</v>
      </c>
      <c r="K161" t="s">
        <v>195</v>
      </c>
      <c r="L161" t="s">
        <v>95</v>
      </c>
      <c r="M161">
        <v>8</v>
      </c>
      <c r="N161" t="s">
        <v>195</v>
      </c>
      <c r="O161" t="s">
        <v>95</v>
      </c>
      <c r="P161">
        <v>8.5</v>
      </c>
      <c r="Q161" t="s">
        <v>195</v>
      </c>
      <c r="R161" t="s">
        <v>49</v>
      </c>
      <c r="T161" t="s">
        <v>76</v>
      </c>
      <c r="U161" t="s">
        <v>195</v>
      </c>
      <c r="V161" t="s">
        <v>195</v>
      </c>
      <c r="W161" t="s">
        <v>197</v>
      </c>
      <c r="X161" t="s">
        <v>195</v>
      </c>
      <c r="Y161" t="s">
        <v>198</v>
      </c>
    </row>
    <row r="162">
      <c r="A162">
        <v>645</v>
      </c>
      <c r="B162" t="s">
        <v>20</v>
      </c>
      <c r="C162" t="s">
        <v>112</v>
      </c>
      <c r="D162" t="s">
        <v>197</v>
      </c>
      <c r="E162" t="s">
        <v>201</v>
      </c>
      <c r="U162" t="s">
        <v>197</v>
      </c>
      <c r="V162" t="s">
        <v>197</v>
      </c>
      <c r="W162" t="s">
        <v>197</v>
      </c>
      <c r="X162" t="s">
        <v>195</v>
      </c>
      <c r="Y162" t="s">
        <v>198</v>
      </c>
    </row>
    <row r="163">
      <c r="A163">
        <v>646</v>
      </c>
      <c r="B163" t="s">
        <v>199</v>
      </c>
      <c r="C163" t="s">
        <v>112</v>
      </c>
      <c r="D163" t="s">
        <v>197</v>
      </c>
      <c r="E163" t="s">
        <v>201</v>
      </c>
      <c r="U163" t="s">
        <v>197</v>
      </c>
      <c r="V163" t="s">
        <v>197</v>
      </c>
      <c r="W163" t="s">
        <v>197</v>
      </c>
      <c r="X163" t="s">
        <v>195</v>
      </c>
      <c r="Y163" t="s">
        <v>198</v>
      </c>
    </row>
    <row r="164">
      <c r="A164">
        <v>660</v>
      </c>
      <c r="B164" t="s">
        <v>20</v>
      </c>
      <c r="C164" t="s">
        <v>112</v>
      </c>
      <c r="D164" t="s">
        <v>197</v>
      </c>
      <c r="E164" t="s">
        <v>201</v>
      </c>
      <c r="U164" t="s">
        <v>197</v>
      </c>
      <c r="V164" t="s">
        <v>197</v>
      </c>
      <c r="W164" t="s">
        <v>197</v>
      </c>
      <c r="X164" t="s">
        <v>195</v>
      </c>
      <c r="Y164" t="s">
        <v>198</v>
      </c>
    </row>
    <row r="165">
      <c r="A165">
        <v>659</v>
      </c>
      <c r="B165" t="s">
        <v>20</v>
      </c>
      <c r="C165" t="s">
        <v>112</v>
      </c>
      <c r="D165" t="s">
        <v>195</v>
      </c>
      <c r="E165" t="s">
        <v>196</v>
      </c>
      <c r="F165">
        <v>113.3</v>
      </c>
      <c r="G165" t="s">
        <v>197</v>
      </c>
      <c r="H165" t="s">
        <v>93</v>
      </c>
      <c r="I165">
        <v>17.4</v>
      </c>
      <c r="J165" t="s">
        <v>197</v>
      </c>
      <c r="K165" t="s">
        <v>195</v>
      </c>
      <c r="L165" t="s">
        <v>93</v>
      </c>
      <c r="M165">
        <v>17.4</v>
      </c>
      <c r="N165" t="s">
        <v>197</v>
      </c>
      <c r="R165" t="s">
        <v>52</v>
      </c>
      <c r="S165" t="s">
        <v>64</v>
      </c>
      <c r="T165" t="s">
        <v>77</v>
      </c>
      <c r="U165" t="s">
        <v>197</v>
      </c>
      <c r="V165" t="s">
        <v>197</v>
      </c>
      <c r="W165" t="s">
        <v>197</v>
      </c>
      <c r="X165" t="s">
        <v>195</v>
      </c>
      <c r="Y165" t="s">
        <v>198</v>
      </c>
    </row>
    <row r="166">
      <c r="A166">
        <v>663</v>
      </c>
      <c r="B166" t="s">
        <v>20</v>
      </c>
      <c r="C166" t="s">
        <v>112</v>
      </c>
      <c r="D166" t="s">
        <v>195</v>
      </c>
      <c r="E166" t="s">
        <v>196</v>
      </c>
      <c r="F166">
        <v>2</v>
      </c>
      <c r="G166" t="s">
        <v>197</v>
      </c>
      <c r="H166" t="s">
        <v>94</v>
      </c>
      <c r="I166">
        <v>1.8</v>
      </c>
      <c r="J166" t="s">
        <v>197</v>
      </c>
      <c r="K166" t="s">
        <v>197</v>
      </c>
      <c r="L166">
        <v/>
      </c>
      <c r="N166" t="s">
        <v>197</v>
      </c>
      <c r="R166" t="s">
        <v>53</v>
      </c>
      <c r="S166" t="s">
        <v>65</v>
      </c>
      <c r="T166" t="s">
        <v>77</v>
      </c>
      <c r="U166" t="s">
        <v>197</v>
      </c>
      <c r="V166" t="s">
        <v>197</v>
      </c>
      <c r="W166" t="s">
        <v>197</v>
      </c>
      <c r="X166" t="s">
        <v>195</v>
      </c>
      <c r="Y166" t="s">
        <v>198</v>
      </c>
    </row>
    <row r="167">
      <c r="A167">
        <v>670</v>
      </c>
      <c r="B167" t="s">
        <v>20</v>
      </c>
      <c r="C167" t="s">
        <v>112</v>
      </c>
      <c r="D167" t="s">
        <v>195</v>
      </c>
      <c r="E167" t="s">
        <v>196</v>
      </c>
      <c r="F167">
        <v>0.2</v>
      </c>
      <c r="G167" t="s">
        <v>197</v>
      </c>
      <c r="H167" t="s">
        <v>94</v>
      </c>
      <c r="I167">
        <v>1.7</v>
      </c>
      <c r="J167" t="s">
        <v>195</v>
      </c>
      <c r="K167" t="s">
        <v>195</v>
      </c>
      <c r="L167" t="s">
        <v>94</v>
      </c>
      <c r="M167">
        <v>25.5</v>
      </c>
      <c r="N167" t="s">
        <v>195</v>
      </c>
      <c r="O167" t="s">
        <v>94</v>
      </c>
      <c r="P167">
        <v>23.8</v>
      </c>
      <c r="Q167" t="s">
        <v>195</v>
      </c>
      <c r="R167" t="s">
        <v>50</v>
      </c>
      <c r="T167" t="s">
        <v>77</v>
      </c>
      <c r="U167" t="s">
        <v>195</v>
      </c>
      <c r="V167" t="s">
        <v>195</v>
      </c>
      <c r="W167" t="s">
        <v>197</v>
      </c>
      <c r="X167" t="s">
        <v>195</v>
      </c>
      <c r="Y167" t="s">
        <v>198</v>
      </c>
    </row>
    <row r="168">
      <c r="A168">
        <v>666</v>
      </c>
      <c r="B168" t="s">
        <v>20</v>
      </c>
      <c r="C168" t="s">
        <v>112</v>
      </c>
      <c r="D168" t="s">
        <v>195</v>
      </c>
      <c r="E168" t="s">
        <v>200</v>
      </c>
      <c r="F168">
        <v>2655.5</v>
      </c>
      <c r="G168" t="s">
        <v>195</v>
      </c>
      <c r="H168" t="s">
        <v>93</v>
      </c>
      <c r="I168">
        <v>3.1</v>
      </c>
      <c r="J168" t="s">
        <v>197</v>
      </c>
      <c r="K168" t="s">
        <v>197</v>
      </c>
      <c r="L168">
        <v/>
      </c>
      <c r="N168" t="s">
        <v>197</v>
      </c>
      <c r="R168" t="s">
        <v>53</v>
      </c>
      <c r="S168" t="s">
        <v>64</v>
      </c>
      <c r="T168" t="s">
        <v>76</v>
      </c>
      <c r="U168" t="s">
        <v>197</v>
      </c>
      <c r="V168" t="s">
        <v>197</v>
      </c>
      <c r="W168" t="s">
        <v>197</v>
      </c>
      <c r="X168" t="s">
        <v>195</v>
      </c>
      <c r="Y168" t="s">
        <v>198</v>
      </c>
    </row>
    <row r="169">
      <c r="A169">
        <v>682</v>
      </c>
      <c r="B169" t="s">
        <v>20</v>
      </c>
      <c r="C169" t="s">
        <v>112</v>
      </c>
      <c r="D169" t="s">
        <v>195</v>
      </c>
      <c r="E169" t="s">
        <v>196</v>
      </c>
      <c r="F169">
        <v>0.6</v>
      </c>
      <c r="G169" t="s">
        <v>197</v>
      </c>
      <c r="H169" t="s">
        <v>95</v>
      </c>
      <c r="I169">
        <v>0.2</v>
      </c>
      <c r="J169" t="s">
        <v>197</v>
      </c>
      <c r="K169" t="s">
        <v>197</v>
      </c>
      <c r="L169">
        <v/>
      </c>
      <c r="N169" t="s">
        <v>197</v>
      </c>
      <c r="R169" t="s">
        <v>53</v>
      </c>
      <c r="S169" t="s">
        <v>64</v>
      </c>
      <c r="T169" t="s">
        <v>77</v>
      </c>
      <c r="U169" t="s">
        <v>197</v>
      </c>
      <c r="V169" t="s">
        <v>197</v>
      </c>
      <c r="W169" t="s">
        <v>197</v>
      </c>
      <c r="X169" t="s">
        <v>195</v>
      </c>
      <c r="Y169" t="s">
        <v>198</v>
      </c>
    </row>
    <row r="170">
      <c r="A170">
        <v>688</v>
      </c>
      <c r="B170" t="s">
        <v>194</v>
      </c>
      <c r="C170" t="s">
        <v>112</v>
      </c>
      <c r="D170" t="s">
        <v>195</v>
      </c>
      <c r="E170" t="s">
        <v>196</v>
      </c>
      <c r="F170">
        <v>0.8</v>
      </c>
      <c r="G170" t="s">
        <v>197</v>
      </c>
      <c r="H170" t="s">
        <v>95</v>
      </c>
      <c r="I170">
        <v>1.2</v>
      </c>
      <c r="J170" t="s">
        <v>195</v>
      </c>
      <c r="K170" t="s">
        <v>195</v>
      </c>
      <c r="L170" t="s">
        <v>95</v>
      </c>
      <c r="M170">
        <v>5.9</v>
      </c>
      <c r="N170" t="s">
        <v>195</v>
      </c>
      <c r="O170" t="s">
        <v>95</v>
      </c>
      <c r="P170">
        <v>6.6</v>
      </c>
      <c r="Q170" t="s">
        <v>195</v>
      </c>
      <c r="R170" t="s">
        <v>49</v>
      </c>
      <c r="T170" t="s">
        <v>77</v>
      </c>
      <c r="U170" t="s">
        <v>195</v>
      </c>
      <c r="V170" t="s">
        <v>195</v>
      </c>
      <c r="W170" t="s">
        <v>197</v>
      </c>
      <c r="X170" t="s">
        <v>195</v>
      </c>
      <c r="Y170" t="s">
        <v>198</v>
      </c>
    </row>
    <row r="171">
      <c r="A171">
        <v>680</v>
      </c>
      <c r="B171" t="s">
        <v>20</v>
      </c>
      <c r="C171" t="s">
        <v>112</v>
      </c>
      <c r="D171" t="s">
        <v>197</v>
      </c>
      <c r="E171" t="s">
        <v>201</v>
      </c>
      <c r="U171" t="s">
        <v>197</v>
      </c>
      <c r="V171" t="s">
        <v>197</v>
      </c>
      <c r="W171" t="s">
        <v>197</v>
      </c>
      <c r="X171" t="s">
        <v>195</v>
      </c>
      <c r="Y171" t="s">
        <v>198</v>
      </c>
    </row>
    <row r="172">
      <c r="A172">
        <v>687</v>
      </c>
      <c r="B172" t="s">
        <v>20</v>
      </c>
      <c r="C172" t="s">
        <v>112</v>
      </c>
      <c r="D172" t="s">
        <v>197</v>
      </c>
      <c r="E172" t="s">
        <v>201</v>
      </c>
      <c r="U172" t="s">
        <v>197</v>
      </c>
      <c r="V172" t="s">
        <v>197</v>
      </c>
      <c r="W172" t="s">
        <v>197</v>
      </c>
      <c r="X172" t="s">
        <v>195</v>
      </c>
      <c r="Y172" t="s">
        <v>198</v>
      </c>
    </row>
    <row r="173">
      <c r="A173">
        <v>705</v>
      </c>
      <c r="B173" t="s">
        <v>20</v>
      </c>
      <c r="C173" t="s">
        <v>112</v>
      </c>
      <c r="D173" t="s">
        <v>195</v>
      </c>
      <c r="E173" t="s">
        <v>196</v>
      </c>
      <c r="F173">
        <v>0.5</v>
      </c>
      <c r="G173" t="s">
        <v>197</v>
      </c>
      <c r="H173" t="s">
        <v>94</v>
      </c>
      <c r="I173">
        <v>5</v>
      </c>
      <c r="J173" t="s">
        <v>197</v>
      </c>
      <c r="K173" t="s">
        <v>197</v>
      </c>
      <c r="L173">
        <v/>
      </c>
      <c r="N173" t="s">
        <v>197</v>
      </c>
      <c r="R173" t="s">
        <v>53</v>
      </c>
      <c r="S173" t="s">
        <v>64</v>
      </c>
      <c r="T173" t="s">
        <v>77</v>
      </c>
      <c r="U173" t="s">
        <v>197</v>
      </c>
      <c r="V173" t="s">
        <v>197</v>
      </c>
      <c r="W173" t="s">
        <v>197</v>
      </c>
      <c r="X173" t="s">
        <v>195</v>
      </c>
      <c r="Y173" t="s">
        <v>198</v>
      </c>
    </row>
    <row r="174">
      <c r="A174">
        <v>692</v>
      </c>
      <c r="B174" t="s">
        <v>20</v>
      </c>
      <c r="C174" t="s">
        <v>112</v>
      </c>
      <c r="D174" t="s">
        <v>197</v>
      </c>
      <c r="E174" t="s">
        <v>201</v>
      </c>
      <c r="U174" t="s">
        <v>197</v>
      </c>
      <c r="V174" t="s">
        <v>197</v>
      </c>
      <c r="W174" t="s">
        <v>197</v>
      </c>
      <c r="X174" t="s">
        <v>195</v>
      </c>
      <c r="Y174" t="s">
        <v>198</v>
      </c>
    </row>
    <row r="175">
      <c r="A175">
        <v>694</v>
      </c>
      <c r="B175" t="s">
        <v>194</v>
      </c>
      <c r="C175" t="s">
        <v>112</v>
      </c>
      <c r="D175" t="s">
        <v>197</v>
      </c>
      <c r="E175" t="s">
        <v>201</v>
      </c>
      <c r="U175" t="s">
        <v>197</v>
      </c>
      <c r="V175" t="s">
        <v>197</v>
      </c>
      <c r="W175" t="s">
        <v>197</v>
      </c>
      <c r="X175" t="s">
        <v>195</v>
      </c>
      <c r="Y175" t="s">
        <v>198</v>
      </c>
    </row>
    <row r="176">
      <c r="A176">
        <v>701</v>
      </c>
      <c r="B176" t="s">
        <v>199</v>
      </c>
      <c r="C176" t="s">
        <v>112</v>
      </c>
      <c r="D176" t="s">
        <v>195</v>
      </c>
      <c r="E176" t="s">
        <v>196</v>
      </c>
      <c r="F176">
        <v>3</v>
      </c>
      <c r="G176" t="s">
        <v>197</v>
      </c>
      <c r="H176" t="s">
        <v>94</v>
      </c>
      <c r="I176">
        <v>15.9</v>
      </c>
      <c r="J176" t="s">
        <v>197</v>
      </c>
      <c r="K176" t="s">
        <v>197</v>
      </c>
      <c r="L176">
        <v/>
      </c>
      <c r="N176" t="s">
        <v>197</v>
      </c>
      <c r="R176" t="s">
        <v>53</v>
      </c>
      <c r="S176" t="s">
        <v>64</v>
      </c>
      <c r="T176" t="s">
        <v>77</v>
      </c>
      <c r="U176" t="s">
        <v>197</v>
      </c>
      <c r="V176" t="s">
        <v>197</v>
      </c>
      <c r="W176" t="s">
        <v>197</v>
      </c>
      <c r="X176" t="s">
        <v>195</v>
      </c>
      <c r="Y176" t="s">
        <v>198</v>
      </c>
    </row>
    <row r="177">
      <c r="A177">
        <v>702</v>
      </c>
      <c r="B177" t="s">
        <v>20</v>
      </c>
      <c r="C177" t="s">
        <v>112</v>
      </c>
      <c r="D177" t="s">
        <v>197</v>
      </c>
      <c r="E177" t="s">
        <v>201</v>
      </c>
      <c r="U177" t="s">
        <v>197</v>
      </c>
      <c r="V177" t="s">
        <v>197</v>
      </c>
      <c r="W177" t="s">
        <v>197</v>
      </c>
      <c r="X177" t="s">
        <v>195</v>
      </c>
      <c r="Y177" t="s">
        <v>198</v>
      </c>
    </row>
    <row r="178">
      <c r="A178">
        <v>704</v>
      </c>
      <c r="B178" t="s">
        <v>20</v>
      </c>
      <c r="C178" t="s">
        <v>112</v>
      </c>
      <c r="D178" t="s">
        <v>197</v>
      </c>
      <c r="E178" t="s">
        <v>201</v>
      </c>
      <c r="U178" t="s">
        <v>197</v>
      </c>
      <c r="V178" t="s">
        <v>197</v>
      </c>
      <c r="W178" t="s">
        <v>197</v>
      </c>
      <c r="X178" t="s">
        <v>195</v>
      </c>
      <c r="Y178" t="s">
        <v>198</v>
      </c>
    </row>
    <row r="179">
      <c r="A179">
        <v>707</v>
      </c>
      <c r="B179" t="s">
        <v>20</v>
      </c>
      <c r="C179" t="s">
        <v>112</v>
      </c>
      <c r="D179" t="s">
        <v>197</v>
      </c>
      <c r="E179" t="s">
        <v>201</v>
      </c>
      <c r="U179" t="s">
        <v>197</v>
      </c>
      <c r="V179" t="s">
        <v>197</v>
      </c>
      <c r="W179" t="s">
        <v>197</v>
      </c>
      <c r="X179" t="s">
        <v>195</v>
      </c>
      <c r="Y179" t="s">
        <v>198</v>
      </c>
    </row>
    <row r="180">
      <c r="A180">
        <v>710</v>
      </c>
      <c r="B180" t="s">
        <v>20</v>
      </c>
      <c r="C180" t="s">
        <v>112</v>
      </c>
      <c r="D180" t="s">
        <v>197</v>
      </c>
      <c r="E180" t="s">
        <v>201</v>
      </c>
      <c r="U180" t="s">
        <v>197</v>
      </c>
      <c r="V180" t="s">
        <v>197</v>
      </c>
      <c r="W180" t="s">
        <v>197</v>
      </c>
      <c r="X180" t="s">
        <v>195</v>
      </c>
      <c r="Y180" t="s">
        <v>198</v>
      </c>
    </row>
    <row r="181">
      <c r="A181">
        <v>712</v>
      </c>
      <c r="B181" t="s">
        <v>199</v>
      </c>
      <c r="C181" t="s">
        <v>112</v>
      </c>
      <c r="D181" t="s">
        <v>195</v>
      </c>
      <c r="E181" t="s">
        <v>196</v>
      </c>
      <c r="F181">
        <v>0.6</v>
      </c>
      <c r="G181" t="s">
        <v>195</v>
      </c>
      <c r="H181" t="s">
        <v>95</v>
      </c>
      <c r="I181">
        <v>39.9</v>
      </c>
      <c r="J181" t="s">
        <v>195</v>
      </c>
      <c r="K181" t="s">
        <v>195</v>
      </c>
      <c r="L181" t="s">
        <v>95</v>
      </c>
      <c r="M181">
        <v>42.2</v>
      </c>
      <c r="N181" t="s">
        <v>195</v>
      </c>
      <c r="O181" t="s">
        <v>95</v>
      </c>
      <c r="P181">
        <v>42.8</v>
      </c>
      <c r="Q181" t="s">
        <v>195</v>
      </c>
      <c r="R181" t="s">
        <v>49</v>
      </c>
      <c r="T181" t="s">
        <v>77</v>
      </c>
      <c r="U181" t="s">
        <v>197</v>
      </c>
      <c r="V181" t="s">
        <v>197</v>
      </c>
      <c r="W181" t="s">
        <v>197</v>
      </c>
      <c r="X181" t="s">
        <v>195</v>
      </c>
      <c r="Y181" t="s">
        <v>198</v>
      </c>
    </row>
    <row r="182">
      <c r="A182">
        <v>720</v>
      </c>
      <c r="B182" t="s">
        <v>20</v>
      </c>
      <c r="C182" t="s">
        <v>112</v>
      </c>
      <c r="D182" t="s">
        <v>195</v>
      </c>
      <c r="E182" t="s">
        <v>200</v>
      </c>
      <c r="F182">
        <v>758.2</v>
      </c>
      <c r="G182" t="s">
        <v>195</v>
      </c>
      <c r="H182" t="s">
        <v>93</v>
      </c>
      <c r="I182">
        <v>1.5</v>
      </c>
      <c r="J182" t="s">
        <v>197</v>
      </c>
      <c r="K182" t="s">
        <v>197</v>
      </c>
      <c r="L182">
        <v/>
      </c>
      <c r="N182" t="s">
        <v>197</v>
      </c>
      <c r="R182" t="s">
        <v>53</v>
      </c>
      <c r="S182" t="s">
        <v>64</v>
      </c>
      <c r="T182" t="s">
        <v>76</v>
      </c>
      <c r="U182" t="s">
        <v>197</v>
      </c>
      <c r="V182" t="s">
        <v>197</v>
      </c>
      <c r="W182" t="s">
        <v>197</v>
      </c>
      <c r="X182" t="s">
        <v>195</v>
      </c>
      <c r="Y182" t="s">
        <v>198</v>
      </c>
    </row>
    <row r="183">
      <c r="A183">
        <v>721</v>
      </c>
      <c r="B183" t="s">
        <v>20</v>
      </c>
      <c r="C183" t="s">
        <v>112</v>
      </c>
      <c r="D183" t="s">
        <v>195</v>
      </c>
      <c r="E183" t="s">
        <v>196</v>
      </c>
      <c r="F183">
        <v>1.3</v>
      </c>
      <c r="G183" t="s">
        <v>197</v>
      </c>
      <c r="H183" t="s">
        <v>95</v>
      </c>
      <c r="I183">
        <v>3.1</v>
      </c>
      <c r="J183" t="s">
        <v>197</v>
      </c>
      <c r="K183" t="s">
        <v>195</v>
      </c>
      <c r="L183" t="s">
        <v>95</v>
      </c>
      <c r="M183">
        <v>3.1</v>
      </c>
      <c r="N183" t="s">
        <v>195</v>
      </c>
      <c r="O183" t="s">
        <v>95</v>
      </c>
      <c r="P183">
        <v>4</v>
      </c>
      <c r="Q183" t="s">
        <v>195</v>
      </c>
      <c r="R183" t="s">
        <v>49</v>
      </c>
      <c r="T183" t="s">
        <v>77</v>
      </c>
      <c r="U183" t="s">
        <v>197</v>
      </c>
      <c r="V183" t="s">
        <v>197</v>
      </c>
      <c r="W183" t="s">
        <v>197</v>
      </c>
      <c r="X183" t="s">
        <v>195</v>
      </c>
      <c r="Y183" t="s">
        <v>198</v>
      </c>
    </row>
    <row r="184">
      <c r="A184">
        <v>723</v>
      </c>
      <c r="B184" t="s">
        <v>20</v>
      </c>
      <c r="C184" t="s">
        <v>112</v>
      </c>
      <c r="D184" t="s">
        <v>195</v>
      </c>
      <c r="E184" t="s">
        <v>196</v>
      </c>
      <c r="F184">
        <v>3.3</v>
      </c>
      <c r="G184" t="s">
        <v>197</v>
      </c>
      <c r="H184" t="s">
        <v>95</v>
      </c>
      <c r="I184">
        <v>3.8</v>
      </c>
      <c r="J184" t="s">
        <v>197</v>
      </c>
      <c r="K184" t="s">
        <v>195</v>
      </c>
      <c r="L184" t="s">
        <v>95</v>
      </c>
      <c r="M184">
        <v>3.8</v>
      </c>
      <c r="N184" t="s">
        <v>195</v>
      </c>
      <c r="O184" t="s">
        <v>95</v>
      </c>
      <c r="P184">
        <v>4.3</v>
      </c>
      <c r="Q184" t="s">
        <v>195</v>
      </c>
      <c r="R184" t="s">
        <v>49</v>
      </c>
      <c r="T184" t="s">
        <v>77</v>
      </c>
      <c r="U184" t="s">
        <v>195</v>
      </c>
      <c r="V184" t="s">
        <v>197</v>
      </c>
      <c r="W184" t="s">
        <v>197</v>
      </c>
      <c r="X184" t="s">
        <v>195</v>
      </c>
      <c r="Y184" t="s">
        <v>198</v>
      </c>
    </row>
    <row r="185">
      <c r="A185">
        <v>725</v>
      </c>
      <c r="B185" t="s">
        <v>20</v>
      </c>
      <c r="C185" t="s">
        <v>112</v>
      </c>
      <c r="D185" t="s">
        <v>197</v>
      </c>
      <c r="E185" t="s">
        <v>201</v>
      </c>
      <c r="U185" t="s">
        <v>197</v>
      </c>
      <c r="V185" t="s">
        <v>197</v>
      </c>
      <c r="W185" t="s">
        <v>197</v>
      </c>
      <c r="X185" t="s">
        <v>195</v>
      </c>
      <c r="Y185" t="s">
        <v>198</v>
      </c>
    </row>
    <row r="186">
      <c r="A186">
        <v>729</v>
      </c>
      <c r="B186" t="s">
        <v>199</v>
      </c>
      <c r="C186" t="s">
        <v>112</v>
      </c>
      <c r="D186" t="s">
        <v>195</v>
      </c>
      <c r="E186" t="s">
        <v>196</v>
      </c>
      <c r="F186">
        <v>7.9</v>
      </c>
      <c r="G186" t="s">
        <v>197</v>
      </c>
      <c r="H186" t="s">
        <v>94</v>
      </c>
      <c r="I186">
        <v>12.8</v>
      </c>
      <c r="J186" t="s">
        <v>195</v>
      </c>
      <c r="K186" t="s">
        <v>195</v>
      </c>
      <c r="L186" t="s">
        <v>94</v>
      </c>
      <c r="M186">
        <v>14.2</v>
      </c>
      <c r="N186" t="s">
        <v>195</v>
      </c>
      <c r="O186" t="s">
        <v>94</v>
      </c>
      <c r="P186">
        <v>13.7</v>
      </c>
      <c r="Q186" t="s">
        <v>195</v>
      </c>
      <c r="R186" t="s">
        <v>50</v>
      </c>
      <c r="T186" t="s">
        <v>78</v>
      </c>
      <c r="U186" t="s">
        <v>197</v>
      </c>
      <c r="V186" t="s">
        <v>197</v>
      </c>
      <c r="W186" t="s">
        <v>197</v>
      </c>
      <c r="X186" t="s">
        <v>195</v>
      </c>
      <c r="Y186" t="s">
        <v>198</v>
      </c>
    </row>
    <row r="187">
      <c r="A187">
        <v>730</v>
      </c>
      <c r="B187" t="s">
        <v>20</v>
      </c>
      <c r="C187" t="s">
        <v>112</v>
      </c>
      <c r="D187" t="s">
        <v>195</v>
      </c>
      <c r="E187" t="s">
        <v>196</v>
      </c>
      <c r="F187">
        <v>11.9</v>
      </c>
      <c r="G187" t="s">
        <v>197</v>
      </c>
      <c r="H187" t="s">
        <v>94</v>
      </c>
      <c r="I187">
        <v>9.4</v>
      </c>
      <c r="J187" t="s">
        <v>195</v>
      </c>
      <c r="K187" t="s">
        <v>195</v>
      </c>
      <c r="L187" t="s">
        <v>94</v>
      </c>
      <c r="M187">
        <v>11.5</v>
      </c>
      <c r="N187" t="s">
        <v>195</v>
      </c>
      <c r="O187" t="s">
        <v>94</v>
      </c>
      <c r="P187">
        <v>11.8</v>
      </c>
      <c r="Q187" t="s">
        <v>195</v>
      </c>
      <c r="R187" t="s">
        <v>49</v>
      </c>
      <c r="T187" t="s">
        <v>78</v>
      </c>
      <c r="U187" t="s">
        <v>195</v>
      </c>
      <c r="V187" t="s">
        <v>195</v>
      </c>
      <c r="W187" t="s">
        <v>197</v>
      </c>
      <c r="X187" t="s">
        <v>195</v>
      </c>
      <c r="Y187" t="s">
        <v>202</v>
      </c>
    </row>
    <row r="188">
      <c r="A188">
        <v>740</v>
      </c>
      <c r="B188" t="s">
        <v>20</v>
      </c>
      <c r="C188" t="s">
        <v>112</v>
      </c>
      <c r="D188" t="s">
        <v>195</v>
      </c>
      <c r="E188" t="s">
        <v>200</v>
      </c>
      <c r="F188">
        <v>649.4</v>
      </c>
      <c r="G188" t="s">
        <v>197</v>
      </c>
      <c r="H188" t="s">
        <v>93</v>
      </c>
      <c r="I188">
        <v>3.6</v>
      </c>
      <c r="J188" t="s">
        <v>195</v>
      </c>
      <c r="K188" t="s">
        <v>195</v>
      </c>
      <c r="L188" t="s">
        <v>93</v>
      </c>
      <c r="M188">
        <v>19</v>
      </c>
      <c r="N188" t="s">
        <v>197</v>
      </c>
      <c r="R188" t="s">
        <v>52</v>
      </c>
      <c r="S188" t="s">
        <v>64</v>
      </c>
      <c r="T188" t="s">
        <v>76</v>
      </c>
      <c r="U188" t="s">
        <v>197</v>
      </c>
      <c r="V188" t="s">
        <v>197</v>
      </c>
      <c r="W188" t="s">
        <v>197</v>
      </c>
      <c r="X188" t="s">
        <v>195</v>
      </c>
      <c r="Y188" t="s">
        <v>198</v>
      </c>
    </row>
    <row r="189">
      <c r="A189">
        <v>738</v>
      </c>
      <c r="B189" t="s">
        <v>199</v>
      </c>
      <c r="C189" t="s">
        <v>112</v>
      </c>
      <c r="D189" t="s">
        <v>195</v>
      </c>
      <c r="E189" t="s">
        <v>196</v>
      </c>
      <c r="F189">
        <v>2.7</v>
      </c>
      <c r="G189" t="s">
        <v>197</v>
      </c>
      <c r="H189" t="s">
        <v>93</v>
      </c>
      <c r="I189">
        <v>535.3</v>
      </c>
      <c r="J189" t="s">
        <v>195</v>
      </c>
      <c r="K189" t="s">
        <v>195</v>
      </c>
      <c r="L189" t="s">
        <v>93</v>
      </c>
      <c r="M189">
        <v>537.9</v>
      </c>
      <c r="N189" t="s">
        <v>195</v>
      </c>
      <c r="O189" t="s">
        <v>93</v>
      </c>
      <c r="P189">
        <v>538</v>
      </c>
      <c r="Q189" t="s">
        <v>197</v>
      </c>
      <c r="R189" t="s">
        <v>49</v>
      </c>
      <c r="T189" t="s">
        <v>78</v>
      </c>
      <c r="U189" t="s">
        <v>197</v>
      </c>
      <c r="V189" t="s">
        <v>197</v>
      </c>
      <c r="W189" t="s">
        <v>197</v>
      </c>
      <c r="X189" t="s">
        <v>195</v>
      </c>
      <c r="Y189" t="s">
        <v>198</v>
      </c>
    </row>
    <row r="190">
      <c r="A190">
        <v>741</v>
      </c>
      <c r="B190" t="s">
        <v>20</v>
      </c>
      <c r="C190" t="s">
        <v>112</v>
      </c>
      <c r="D190" t="s">
        <v>197</v>
      </c>
      <c r="E190" t="s">
        <v>201</v>
      </c>
      <c r="U190" t="s">
        <v>197</v>
      </c>
      <c r="V190" t="s">
        <v>197</v>
      </c>
      <c r="W190" t="s">
        <v>197</v>
      </c>
      <c r="X190" t="s">
        <v>195</v>
      </c>
      <c r="Y190" t="s">
        <v>198</v>
      </c>
    </row>
    <row r="191">
      <c r="A191">
        <v>760</v>
      </c>
      <c r="B191" t="s">
        <v>199</v>
      </c>
      <c r="C191" t="s">
        <v>112</v>
      </c>
      <c r="D191" t="s">
        <v>197</v>
      </c>
      <c r="E191" t="s">
        <v>201</v>
      </c>
      <c r="U191" t="s">
        <v>197</v>
      </c>
      <c r="V191" t="s">
        <v>197</v>
      </c>
      <c r="W191" t="s">
        <v>197</v>
      </c>
      <c r="X191" t="s">
        <v>195</v>
      </c>
      <c r="Y191" t="s">
        <v>198</v>
      </c>
    </row>
    <row r="192">
      <c r="A192">
        <v>761</v>
      </c>
      <c r="B192" t="s">
        <v>20</v>
      </c>
      <c r="C192" t="s">
        <v>112</v>
      </c>
      <c r="D192" t="s">
        <v>195</v>
      </c>
      <c r="E192" t="s">
        <v>200</v>
      </c>
      <c r="F192">
        <v>1807.6</v>
      </c>
      <c r="G192" t="s">
        <v>197</v>
      </c>
      <c r="H192" t="s">
        <v>93</v>
      </c>
      <c r="I192">
        <v>0.6</v>
      </c>
      <c r="J192" t="s">
        <v>197</v>
      </c>
      <c r="K192" t="s">
        <v>197</v>
      </c>
      <c r="L192">
        <v/>
      </c>
      <c r="N192" t="s">
        <v>197</v>
      </c>
      <c r="R192" t="s">
        <v>53</v>
      </c>
      <c r="S192" t="s">
        <v>64</v>
      </c>
      <c r="T192" t="s">
        <v>76</v>
      </c>
      <c r="U192" t="s">
        <v>197</v>
      </c>
      <c r="V192" t="s">
        <v>197</v>
      </c>
      <c r="W192" t="s">
        <v>197</v>
      </c>
      <c r="X192" t="s">
        <v>195</v>
      </c>
      <c r="Y192" t="s">
        <v>198</v>
      </c>
    </row>
    <row r="193">
      <c r="A193">
        <v>762</v>
      </c>
      <c r="B193" t="s">
        <v>20</v>
      </c>
      <c r="C193" t="s">
        <v>112</v>
      </c>
      <c r="D193" t="s">
        <v>195</v>
      </c>
      <c r="E193" t="s">
        <v>196</v>
      </c>
      <c r="F193">
        <v>2.6</v>
      </c>
      <c r="G193" t="s">
        <v>197</v>
      </c>
      <c r="H193" t="s">
        <v>93</v>
      </c>
      <c r="I193">
        <v>167.2</v>
      </c>
      <c r="J193" t="s">
        <v>195</v>
      </c>
      <c r="K193" t="s">
        <v>195</v>
      </c>
      <c r="L193" t="s">
        <v>93</v>
      </c>
      <c r="M193">
        <v>171.4</v>
      </c>
      <c r="N193" t="s">
        <v>195</v>
      </c>
      <c r="O193" t="s">
        <v>93</v>
      </c>
      <c r="P193">
        <v>171.5</v>
      </c>
      <c r="Q193" t="s">
        <v>197</v>
      </c>
      <c r="R193" t="s">
        <v>49</v>
      </c>
      <c r="T193" t="s">
        <v>78</v>
      </c>
      <c r="U193" t="s">
        <v>195</v>
      </c>
      <c r="V193" t="s">
        <v>195</v>
      </c>
      <c r="W193" t="s">
        <v>197</v>
      </c>
      <c r="X193" t="s">
        <v>195</v>
      </c>
      <c r="Y193" t="s">
        <v>198</v>
      </c>
    </row>
    <row r="194">
      <c r="A194">
        <v>742</v>
      </c>
      <c r="B194" t="s">
        <v>20</v>
      </c>
      <c r="C194" t="s">
        <v>112</v>
      </c>
      <c r="D194" t="s">
        <v>195</v>
      </c>
      <c r="E194" t="s">
        <v>200</v>
      </c>
      <c r="F194">
        <v>170.6</v>
      </c>
      <c r="G194" t="s">
        <v>195</v>
      </c>
      <c r="H194" t="s">
        <v>96</v>
      </c>
      <c r="I194">
        <v>2.3</v>
      </c>
      <c r="J194" t="s">
        <v>197</v>
      </c>
      <c r="K194" t="s">
        <v>197</v>
      </c>
      <c r="L194">
        <v/>
      </c>
      <c r="N194" t="s">
        <v>197</v>
      </c>
      <c r="R194" t="s">
        <v>53</v>
      </c>
      <c r="S194" t="s">
        <v>64</v>
      </c>
      <c r="T194" t="s">
        <v>76</v>
      </c>
      <c r="U194" t="s">
        <v>197</v>
      </c>
      <c r="V194" t="s">
        <v>197</v>
      </c>
      <c r="W194" t="s">
        <v>197</v>
      </c>
      <c r="X194" t="s">
        <v>195</v>
      </c>
      <c r="Y194" t="s">
        <v>198</v>
      </c>
    </row>
    <row r="195">
      <c r="A195">
        <v>745</v>
      </c>
      <c r="B195" t="s">
        <v>20</v>
      </c>
      <c r="C195" t="s">
        <v>112</v>
      </c>
      <c r="D195" t="s">
        <v>197</v>
      </c>
      <c r="E195" t="s">
        <v>201</v>
      </c>
      <c r="U195" t="s">
        <v>197</v>
      </c>
      <c r="V195" t="s">
        <v>197</v>
      </c>
      <c r="W195" t="s">
        <v>197</v>
      </c>
      <c r="X195" t="s">
        <v>195</v>
      </c>
      <c r="Y195" t="s">
        <v>198</v>
      </c>
    </row>
    <row r="196">
      <c r="A196">
        <v>752</v>
      </c>
      <c r="B196" t="s">
        <v>20</v>
      </c>
      <c r="C196" t="s">
        <v>112</v>
      </c>
      <c r="D196" t="s">
        <v>195</v>
      </c>
      <c r="E196" t="s">
        <v>200</v>
      </c>
      <c r="F196">
        <v>154.2</v>
      </c>
      <c r="G196" t="s">
        <v>197</v>
      </c>
      <c r="H196" t="s">
        <v>96</v>
      </c>
      <c r="I196">
        <v>2.1</v>
      </c>
      <c r="J196" t="s">
        <v>197</v>
      </c>
      <c r="K196" t="s">
        <v>197</v>
      </c>
      <c r="L196">
        <v/>
      </c>
      <c r="N196" t="s">
        <v>197</v>
      </c>
      <c r="R196" t="s">
        <v>53</v>
      </c>
      <c r="S196" t="s">
        <v>64</v>
      </c>
      <c r="T196" t="s">
        <v>76</v>
      </c>
      <c r="U196" t="s">
        <v>197</v>
      </c>
      <c r="V196" t="s">
        <v>197</v>
      </c>
      <c r="W196" t="s">
        <v>197</v>
      </c>
      <c r="X196" t="s">
        <v>195</v>
      </c>
      <c r="Y196" t="s">
        <v>198</v>
      </c>
    </row>
    <row r="197">
      <c r="A197">
        <v>753</v>
      </c>
      <c r="B197" t="s">
        <v>199</v>
      </c>
      <c r="C197" t="s">
        <v>112</v>
      </c>
      <c r="D197" t="s">
        <v>197</v>
      </c>
      <c r="E197" t="s">
        <v>201</v>
      </c>
      <c r="U197" t="s">
        <v>197</v>
      </c>
      <c r="V197" t="s">
        <v>197</v>
      </c>
      <c r="W197" t="s">
        <v>197</v>
      </c>
      <c r="X197" t="s">
        <v>195</v>
      </c>
      <c r="Y197" t="s">
        <v>198</v>
      </c>
    </row>
    <row r="198">
      <c r="A198">
        <v>754</v>
      </c>
      <c r="B198" t="s">
        <v>20</v>
      </c>
      <c r="C198" t="s">
        <v>112</v>
      </c>
      <c r="D198" t="s">
        <v>195</v>
      </c>
      <c r="E198" t="s">
        <v>196</v>
      </c>
      <c r="F198">
        <v>1</v>
      </c>
      <c r="G198" t="s">
        <v>197</v>
      </c>
      <c r="H198" t="s">
        <v>93</v>
      </c>
      <c r="I198">
        <v>3</v>
      </c>
      <c r="J198" t="s">
        <v>195</v>
      </c>
      <c r="K198" t="s">
        <v>195</v>
      </c>
      <c r="L198" t="s">
        <v>93</v>
      </c>
      <c r="M198">
        <v>6.6</v>
      </c>
      <c r="N198" t="s">
        <v>195</v>
      </c>
      <c r="O198" t="s">
        <v>93</v>
      </c>
      <c r="P198">
        <v>6.7</v>
      </c>
      <c r="Q198" t="s">
        <v>195</v>
      </c>
      <c r="R198" t="s">
        <v>49</v>
      </c>
      <c r="T198" t="s">
        <v>78</v>
      </c>
      <c r="U198" t="s">
        <v>197</v>
      </c>
      <c r="V198" t="s">
        <v>197</v>
      </c>
      <c r="W198" t="s">
        <v>197</v>
      </c>
      <c r="X198" t="s">
        <v>195</v>
      </c>
      <c r="Y198" t="s">
        <v>198</v>
      </c>
    </row>
    <row r="199">
      <c r="A199">
        <v>757</v>
      </c>
      <c r="B199" t="s">
        <v>20</v>
      </c>
      <c r="C199" t="s">
        <v>112</v>
      </c>
      <c r="D199" t="s">
        <v>197</v>
      </c>
      <c r="E199" t="s">
        <v>201</v>
      </c>
      <c r="U199" t="s">
        <v>197</v>
      </c>
      <c r="V199" t="s">
        <v>197</v>
      </c>
      <c r="W199" t="s">
        <v>197</v>
      </c>
      <c r="X199" t="s">
        <v>195</v>
      </c>
      <c r="Y199" t="s">
        <v>198</v>
      </c>
    </row>
    <row r="200">
      <c r="A200">
        <v>767</v>
      </c>
      <c r="B200" t="s">
        <v>20</v>
      </c>
      <c r="C200" t="s">
        <v>112</v>
      </c>
      <c r="D200" t="s">
        <v>197</v>
      </c>
      <c r="E200" t="s">
        <v>201</v>
      </c>
      <c r="U200" t="s">
        <v>197</v>
      </c>
      <c r="V200" t="s">
        <v>197</v>
      </c>
      <c r="W200" t="s">
        <v>197</v>
      </c>
      <c r="X200" t="s">
        <v>195</v>
      </c>
      <c r="Y200" t="s">
        <v>198</v>
      </c>
    </row>
    <row r="201">
      <c r="A201">
        <v>772</v>
      </c>
      <c r="B201" t="s">
        <v>20</v>
      </c>
      <c r="C201" t="s">
        <v>112</v>
      </c>
      <c r="D201" t="s">
        <v>195</v>
      </c>
      <c r="E201" t="s">
        <v>196</v>
      </c>
      <c r="F201">
        <v>14.3</v>
      </c>
      <c r="G201" t="s">
        <v>197</v>
      </c>
      <c r="H201" t="s">
        <v>93</v>
      </c>
      <c r="I201">
        <v>7.2</v>
      </c>
      <c r="J201" t="s">
        <v>195</v>
      </c>
      <c r="K201" t="s">
        <v>195</v>
      </c>
      <c r="L201" t="s">
        <v>93</v>
      </c>
      <c r="M201">
        <v>11.7</v>
      </c>
      <c r="N201" t="s">
        <v>195</v>
      </c>
      <c r="O201" t="s">
        <v>93</v>
      </c>
      <c r="P201">
        <v>12.8</v>
      </c>
      <c r="Q201" t="s">
        <v>195</v>
      </c>
      <c r="R201" t="s">
        <v>49</v>
      </c>
      <c r="T201" t="s">
        <v>78</v>
      </c>
      <c r="U201" t="s">
        <v>197</v>
      </c>
      <c r="V201" t="s">
        <v>197</v>
      </c>
      <c r="W201" t="s">
        <v>197</v>
      </c>
      <c r="X201" t="s">
        <v>195</v>
      </c>
      <c r="Y201" t="s">
        <v>203</v>
      </c>
    </row>
    <row r="202">
      <c r="A202">
        <v>776</v>
      </c>
      <c r="B202" t="s">
        <v>20</v>
      </c>
      <c r="C202" t="s">
        <v>112</v>
      </c>
      <c r="D202" t="s">
        <v>195</v>
      </c>
      <c r="E202" t="s">
        <v>196</v>
      </c>
      <c r="F202">
        <v>1</v>
      </c>
      <c r="G202" t="s">
        <v>195</v>
      </c>
      <c r="H202" t="s">
        <v>93</v>
      </c>
      <c r="I202">
        <v>9.4</v>
      </c>
      <c r="J202" t="s">
        <v>195</v>
      </c>
      <c r="K202" t="s">
        <v>195</v>
      </c>
      <c r="L202" t="s">
        <v>93</v>
      </c>
      <c r="M202">
        <v>13.2</v>
      </c>
      <c r="N202" t="s">
        <v>197</v>
      </c>
      <c r="R202" t="s">
        <v>52</v>
      </c>
      <c r="S202" t="s">
        <v>68</v>
      </c>
      <c r="T202" t="s">
        <v>78</v>
      </c>
      <c r="U202" t="s">
        <v>197</v>
      </c>
      <c r="V202" t="s">
        <v>197</v>
      </c>
      <c r="W202" t="s">
        <v>197</v>
      </c>
      <c r="X202" t="s">
        <v>195</v>
      </c>
      <c r="Y202" t="s">
        <v>119</v>
      </c>
    </row>
    <row r="203">
      <c r="A203">
        <v>783</v>
      </c>
      <c r="B203" t="s">
        <v>194</v>
      </c>
      <c r="C203" t="s">
        <v>112</v>
      </c>
      <c r="D203" t="s">
        <v>197</v>
      </c>
      <c r="E203" t="s">
        <v>201</v>
      </c>
      <c r="U203" t="s">
        <v>197</v>
      </c>
      <c r="V203" t="s">
        <v>197</v>
      </c>
      <c r="W203" t="s">
        <v>197</v>
      </c>
      <c r="X203" t="s">
        <v>195</v>
      </c>
      <c r="Y203" t="s">
        <v>198</v>
      </c>
    </row>
    <row r="204">
      <c r="A204">
        <v>785</v>
      </c>
      <c r="B204" t="s">
        <v>20</v>
      </c>
      <c r="C204" t="s">
        <v>112</v>
      </c>
      <c r="D204" t="s">
        <v>197</v>
      </c>
      <c r="E204" t="s">
        <v>201</v>
      </c>
      <c r="U204" t="s">
        <v>197</v>
      </c>
      <c r="V204" t="s">
        <v>197</v>
      </c>
      <c r="W204" t="s">
        <v>197</v>
      </c>
      <c r="X204" t="s">
        <v>195</v>
      </c>
      <c r="Y204" t="s">
        <v>198</v>
      </c>
    </row>
    <row r="205">
      <c r="A205">
        <v>794</v>
      </c>
      <c r="B205" t="s">
        <v>194</v>
      </c>
      <c r="C205" t="s">
        <v>112</v>
      </c>
      <c r="D205" t="s">
        <v>197</v>
      </c>
      <c r="E205" t="s">
        <v>201</v>
      </c>
      <c r="U205" t="s">
        <v>197</v>
      </c>
      <c r="V205" t="s">
        <v>197</v>
      </c>
      <c r="W205" t="s">
        <v>197</v>
      </c>
      <c r="X205" t="s">
        <v>195</v>
      </c>
      <c r="Y205" t="s">
        <v>198</v>
      </c>
    </row>
    <row r="206">
      <c r="A206">
        <v>802</v>
      </c>
      <c r="B206" t="s">
        <v>199</v>
      </c>
      <c r="C206" t="s">
        <v>112</v>
      </c>
      <c r="D206" t="s">
        <v>197</v>
      </c>
      <c r="E206" t="s">
        <v>201</v>
      </c>
      <c r="U206" t="s">
        <v>197</v>
      </c>
      <c r="V206" t="s">
        <v>197</v>
      </c>
      <c r="W206" t="s">
        <v>197</v>
      </c>
      <c r="X206" t="s">
        <v>195</v>
      </c>
      <c r="Y206" t="s">
        <v>198</v>
      </c>
    </row>
    <row r="207">
      <c r="A207">
        <v>800</v>
      </c>
      <c r="B207" t="s">
        <v>20</v>
      </c>
      <c r="C207" t="s">
        <v>112</v>
      </c>
      <c r="D207" t="s">
        <v>195</v>
      </c>
      <c r="E207" t="s">
        <v>196</v>
      </c>
      <c r="F207">
        <v>35.7</v>
      </c>
      <c r="G207" t="s">
        <v>197</v>
      </c>
      <c r="H207" t="s">
        <v>96</v>
      </c>
      <c r="I207">
        <v>7.7</v>
      </c>
      <c r="J207" t="s">
        <v>195</v>
      </c>
      <c r="K207" t="s">
        <v>195</v>
      </c>
      <c r="L207" t="s">
        <v>96</v>
      </c>
      <c r="M207">
        <v>13.2</v>
      </c>
      <c r="N207" t="s">
        <v>197</v>
      </c>
      <c r="R207" t="s">
        <v>52</v>
      </c>
      <c r="S207" t="s">
        <v>64</v>
      </c>
      <c r="T207" t="s">
        <v>76</v>
      </c>
      <c r="U207" t="s">
        <v>197</v>
      </c>
      <c r="V207" t="s">
        <v>197</v>
      </c>
      <c r="W207" t="s">
        <v>197</v>
      </c>
      <c r="X207" t="s">
        <v>195</v>
      </c>
      <c r="Y207" t="s">
        <v>198</v>
      </c>
    </row>
    <row r="208">
      <c r="A208">
        <v>803</v>
      </c>
      <c r="B208" t="s">
        <v>20</v>
      </c>
      <c r="C208" t="s">
        <v>112</v>
      </c>
      <c r="D208" t="s">
        <v>195</v>
      </c>
      <c r="E208" t="s">
        <v>200</v>
      </c>
      <c r="F208">
        <v>1397.5</v>
      </c>
      <c r="G208" t="s">
        <v>197</v>
      </c>
      <c r="H208" t="s">
        <v>93</v>
      </c>
      <c r="I208">
        <v>6.6</v>
      </c>
      <c r="J208" t="s">
        <v>197</v>
      </c>
      <c r="K208" t="s">
        <v>197</v>
      </c>
      <c r="L208">
        <v/>
      </c>
      <c r="N208" t="s">
        <v>197</v>
      </c>
      <c r="R208" t="s">
        <v>53</v>
      </c>
      <c r="S208" t="s">
        <v>64</v>
      </c>
      <c r="T208" t="s">
        <v>76</v>
      </c>
      <c r="U208" t="s">
        <v>197</v>
      </c>
      <c r="V208" t="s">
        <v>197</v>
      </c>
      <c r="W208" t="s">
        <v>197</v>
      </c>
      <c r="X208" t="s">
        <v>195</v>
      </c>
      <c r="Y208" t="s">
        <v>198</v>
      </c>
    </row>
    <row r="209">
      <c r="A209">
        <v>806</v>
      </c>
      <c r="B209" t="s">
        <v>20</v>
      </c>
      <c r="C209" t="s">
        <v>112</v>
      </c>
      <c r="D209" t="s">
        <v>197</v>
      </c>
      <c r="E209" t="s">
        <v>201</v>
      </c>
      <c r="U209" t="s">
        <v>197</v>
      </c>
      <c r="V209" t="s">
        <v>197</v>
      </c>
      <c r="W209" t="s">
        <v>197</v>
      </c>
      <c r="X209" t="s">
        <v>195</v>
      </c>
      <c r="Y209" t="s">
        <v>198</v>
      </c>
    </row>
    <row r="210">
      <c r="A210">
        <v>817</v>
      </c>
      <c r="B210" t="s">
        <v>20</v>
      </c>
      <c r="C210" t="s">
        <v>112</v>
      </c>
      <c r="D210" t="s">
        <v>195</v>
      </c>
      <c r="E210" t="s">
        <v>196</v>
      </c>
      <c r="F210">
        <v>17.2</v>
      </c>
      <c r="G210" t="s">
        <v>197</v>
      </c>
      <c r="H210" t="s">
        <v>96</v>
      </c>
      <c r="I210">
        <v>5.7</v>
      </c>
      <c r="J210" t="s">
        <v>197</v>
      </c>
      <c r="K210" t="s">
        <v>197</v>
      </c>
      <c r="L210">
        <v/>
      </c>
      <c r="N210" t="s">
        <v>197</v>
      </c>
      <c r="R210" t="s">
        <v>53</v>
      </c>
      <c r="S210" t="s">
        <v>64</v>
      </c>
      <c r="T210" t="s">
        <v>76</v>
      </c>
      <c r="U210" t="s">
        <v>197</v>
      </c>
      <c r="V210" t="s">
        <v>197</v>
      </c>
      <c r="W210" t="s">
        <v>197</v>
      </c>
      <c r="X210" t="s">
        <v>195</v>
      </c>
      <c r="Y210" t="s">
        <v>198</v>
      </c>
    </row>
    <row r="211">
      <c r="A211">
        <v>822</v>
      </c>
      <c r="B211" t="s">
        <v>20</v>
      </c>
      <c r="C211" t="s">
        <v>112</v>
      </c>
      <c r="D211" t="s">
        <v>195</v>
      </c>
      <c r="E211" t="s">
        <v>200</v>
      </c>
      <c r="F211">
        <v>181.8</v>
      </c>
      <c r="G211" t="s">
        <v>197</v>
      </c>
      <c r="H211" t="s">
        <v>96</v>
      </c>
      <c r="I211">
        <v>7.4</v>
      </c>
      <c r="J211" t="s">
        <v>197</v>
      </c>
      <c r="K211" t="s">
        <v>197</v>
      </c>
      <c r="L211">
        <v/>
      </c>
      <c r="N211" t="s">
        <v>197</v>
      </c>
      <c r="R211" t="s">
        <v>53</v>
      </c>
      <c r="S211" t="s">
        <v>64</v>
      </c>
      <c r="T211" t="s">
        <v>76</v>
      </c>
      <c r="U211" t="s">
        <v>197</v>
      </c>
      <c r="V211" t="s">
        <v>197</v>
      </c>
      <c r="W211" t="s">
        <v>197</v>
      </c>
      <c r="X211" t="s">
        <v>195</v>
      </c>
      <c r="Y211" t="s">
        <v>198</v>
      </c>
    </row>
    <row r="212">
      <c r="A212">
        <v>828</v>
      </c>
      <c r="B212" t="s">
        <v>199</v>
      </c>
      <c r="C212" t="s">
        <v>112</v>
      </c>
      <c r="D212" t="s">
        <v>197</v>
      </c>
      <c r="E212" t="s">
        <v>201</v>
      </c>
      <c r="U212" t="s">
        <v>197</v>
      </c>
      <c r="V212" t="s">
        <v>197</v>
      </c>
      <c r="W212" t="s">
        <v>197</v>
      </c>
      <c r="X212" t="s">
        <v>195</v>
      </c>
      <c r="Y212" t="s">
        <v>198</v>
      </c>
    </row>
    <row r="213">
      <c r="A213">
        <v>825</v>
      </c>
      <c r="B213" t="s">
        <v>20</v>
      </c>
      <c r="C213" t="s">
        <v>112</v>
      </c>
      <c r="D213" t="s">
        <v>195</v>
      </c>
      <c r="E213" t="s">
        <v>200</v>
      </c>
      <c r="F213">
        <v>149.7</v>
      </c>
      <c r="G213" t="s">
        <v>197</v>
      </c>
      <c r="H213" t="s">
        <v>93</v>
      </c>
      <c r="I213">
        <v>1</v>
      </c>
      <c r="J213" t="s">
        <v>195</v>
      </c>
      <c r="K213" t="s">
        <v>195</v>
      </c>
      <c r="L213" t="s">
        <v>93</v>
      </c>
      <c r="M213">
        <v>4.3</v>
      </c>
      <c r="N213" t="s">
        <v>197</v>
      </c>
      <c r="R213" t="s">
        <v>52</v>
      </c>
      <c r="S213" t="s">
        <v>64</v>
      </c>
      <c r="T213" t="s">
        <v>76</v>
      </c>
      <c r="U213" t="s">
        <v>195</v>
      </c>
      <c r="V213" t="s">
        <v>195</v>
      </c>
      <c r="W213" t="s">
        <v>197</v>
      </c>
      <c r="X213" t="s">
        <v>195</v>
      </c>
      <c r="Y213" t="s">
        <v>198</v>
      </c>
    </row>
    <row r="214">
      <c r="A214">
        <v>833</v>
      </c>
      <c r="B214" t="s">
        <v>199</v>
      </c>
      <c r="C214" t="s">
        <v>112</v>
      </c>
      <c r="D214" t="s">
        <v>195</v>
      </c>
      <c r="E214" t="s">
        <v>200</v>
      </c>
      <c r="F214">
        <v>5677.3</v>
      </c>
      <c r="G214" t="s">
        <v>197</v>
      </c>
      <c r="H214">
        <v/>
      </c>
      <c r="J214" t="s">
        <v>197</v>
      </c>
      <c r="K214" t="s">
        <v>197</v>
      </c>
      <c r="L214">
        <v/>
      </c>
      <c r="N214" t="s">
        <v>197</v>
      </c>
      <c r="R214" t="s">
        <v>53</v>
      </c>
      <c r="S214" t="s">
        <v>64</v>
      </c>
      <c r="T214" t="s">
        <v>76</v>
      </c>
      <c r="U214" t="s">
        <v>197</v>
      </c>
      <c r="V214" t="s">
        <v>197</v>
      </c>
      <c r="W214" t="s">
        <v>197</v>
      </c>
      <c r="X214" t="s">
        <v>195</v>
      </c>
      <c r="Y214" t="s">
        <v>198</v>
      </c>
    </row>
    <row r="215">
      <c r="A215">
        <v>836</v>
      </c>
      <c r="B215" t="s">
        <v>20</v>
      </c>
      <c r="C215" t="s">
        <v>112</v>
      </c>
      <c r="D215" t="s">
        <v>195</v>
      </c>
      <c r="E215" t="s">
        <v>196</v>
      </c>
      <c r="F215">
        <v>3.2</v>
      </c>
      <c r="G215" t="s">
        <v>197</v>
      </c>
      <c r="H215" t="s">
        <v>93</v>
      </c>
      <c r="I215">
        <v>6.9</v>
      </c>
      <c r="J215" t="s">
        <v>195</v>
      </c>
      <c r="K215" t="s">
        <v>195</v>
      </c>
      <c r="L215" t="s">
        <v>93</v>
      </c>
      <c r="M215">
        <v>17.5</v>
      </c>
      <c r="N215" t="s">
        <v>195</v>
      </c>
      <c r="O215" t="s">
        <v>93</v>
      </c>
      <c r="P215">
        <v>17.6</v>
      </c>
      <c r="Q215" t="s">
        <v>195</v>
      </c>
      <c r="R215" t="s">
        <v>49</v>
      </c>
      <c r="T215" t="s">
        <v>76</v>
      </c>
      <c r="U215" t="s">
        <v>197</v>
      </c>
      <c r="V215" t="s">
        <v>197</v>
      </c>
      <c r="W215" t="s">
        <v>197</v>
      </c>
      <c r="X215" t="s">
        <v>195</v>
      </c>
      <c r="Y215" t="s">
        <v>198</v>
      </c>
    </row>
    <row r="216">
      <c r="A216">
        <v>835</v>
      </c>
      <c r="B216" t="s">
        <v>20</v>
      </c>
      <c r="C216" t="s">
        <v>112</v>
      </c>
      <c r="D216" t="s">
        <v>195</v>
      </c>
      <c r="E216" t="s">
        <v>196</v>
      </c>
      <c r="F216">
        <v>1.1</v>
      </c>
      <c r="G216" t="s">
        <v>197</v>
      </c>
      <c r="H216" t="s">
        <v>93</v>
      </c>
      <c r="I216">
        <v>3.3</v>
      </c>
      <c r="J216" t="s">
        <v>195</v>
      </c>
      <c r="K216" t="s">
        <v>195</v>
      </c>
      <c r="L216" t="s">
        <v>93</v>
      </c>
      <c r="M216">
        <v>13.8</v>
      </c>
      <c r="N216" t="s">
        <v>195</v>
      </c>
      <c r="O216" t="s">
        <v>93</v>
      </c>
      <c r="P216">
        <v>13.9</v>
      </c>
      <c r="Q216" t="s">
        <v>195</v>
      </c>
      <c r="R216" t="s">
        <v>49</v>
      </c>
      <c r="T216" t="s">
        <v>76</v>
      </c>
      <c r="U216" t="s">
        <v>197</v>
      </c>
      <c r="V216" t="s">
        <v>197</v>
      </c>
      <c r="W216" t="s">
        <v>197</v>
      </c>
      <c r="X216" t="s">
        <v>195</v>
      </c>
      <c r="Y216" t="s">
        <v>198</v>
      </c>
    </row>
    <row r="217">
      <c r="A217">
        <v>827</v>
      </c>
      <c r="B217" t="s">
        <v>20</v>
      </c>
      <c r="C217" t="s">
        <v>112</v>
      </c>
      <c r="D217" t="s">
        <v>195</v>
      </c>
      <c r="E217" t="s">
        <v>196</v>
      </c>
      <c r="F217">
        <v>99.09999999999999</v>
      </c>
      <c r="G217" t="s">
        <v>197</v>
      </c>
      <c r="H217" t="s">
        <v>94</v>
      </c>
      <c r="I217">
        <v>8.699999999999999</v>
      </c>
      <c r="J217" t="s">
        <v>195</v>
      </c>
      <c r="K217" t="s">
        <v>195</v>
      </c>
      <c r="L217" t="s">
        <v>94</v>
      </c>
      <c r="M217">
        <v>13.1</v>
      </c>
      <c r="N217" t="s">
        <v>195</v>
      </c>
      <c r="O217" t="s">
        <v>94</v>
      </c>
      <c r="P217">
        <v>11.6</v>
      </c>
      <c r="Q217" t="s">
        <v>195</v>
      </c>
      <c r="R217" t="s">
        <v>50</v>
      </c>
      <c r="T217" t="s">
        <v>76</v>
      </c>
      <c r="U217" t="s">
        <v>197</v>
      </c>
      <c r="V217" t="s">
        <v>197</v>
      </c>
      <c r="W217" t="s">
        <v>197</v>
      </c>
      <c r="X217" t="s">
        <v>195</v>
      </c>
      <c r="Y217" t="s">
        <v>198</v>
      </c>
    </row>
    <row r="218">
      <c r="A218">
        <v>845</v>
      </c>
      <c r="B218" t="s">
        <v>20</v>
      </c>
      <c r="C218" t="s">
        <v>112</v>
      </c>
      <c r="D218" t="s">
        <v>195</v>
      </c>
      <c r="E218" t="s">
        <v>196</v>
      </c>
      <c r="F218">
        <v>0.9</v>
      </c>
      <c r="G218" t="s">
        <v>197</v>
      </c>
      <c r="H218" t="s">
        <v>96</v>
      </c>
      <c r="I218">
        <v>3.4</v>
      </c>
      <c r="J218" t="s">
        <v>195</v>
      </c>
      <c r="K218" t="s">
        <v>195</v>
      </c>
      <c r="L218" t="s">
        <v>96</v>
      </c>
      <c r="M218">
        <v>6.9</v>
      </c>
      <c r="N218" t="s">
        <v>197</v>
      </c>
      <c r="R218" t="s">
        <v>52</v>
      </c>
      <c r="S218" t="s">
        <v>64</v>
      </c>
      <c r="T218" t="s">
        <v>76</v>
      </c>
      <c r="U218" t="s">
        <v>197</v>
      </c>
      <c r="V218" t="s">
        <v>197</v>
      </c>
      <c r="W218" t="s">
        <v>197</v>
      </c>
      <c r="X218" t="s">
        <v>195</v>
      </c>
      <c r="Y218" t="s">
        <v>198</v>
      </c>
    </row>
    <row r="219">
      <c r="A219">
        <v>847</v>
      </c>
      <c r="B219" t="s">
        <v>194</v>
      </c>
      <c r="C219" t="s">
        <v>112</v>
      </c>
      <c r="D219" t="s">
        <v>197</v>
      </c>
      <c r="E219" t="s">
        <v>201</v>
      </c>
      <c r="U219" t="s">
        <v>197</v>
      </c>
      <c r="V219" t="s">
        <v>197</v>
      </c>
      <c r="W219" t="s">
        <v>197</v>
      </c>
      <c r="X219" t="s">
        <v>195</v>
      </c>
      <c r="Y219" t="s">
        <v>198</v>
      </c>
    </row>
    <row r="220">
      <c r="A220">
        <v>842</v>
      </c>
      <c r="B220" t="s">
        <v>199</v>
      </c>
      <c r="C220" t="s">
        <v>112</v>
      </c>
      <c r="D220" t="s">
        <v>197</v>
      </c>
      <c r="E220" t="s">
        <v>201</v>
      </c>
      <c r="U220" t="s">
        <v>197</v>
      </c>
      <c r="V220" t="s">
        <v>197</v>
      </c>
      <c r="W220" t="s">
        <v>197</v>
      </c>
      <c r="X220" t="s">
        <v>195</v>
      </c>
      <c r="Y220" t="s">
        <v>198</v>
      </c>
    </row>
    <row r="221">
      <c r="A221">
        <v>851</v>
      </c>
      <c r="B221" t="s">
        <v>20</v>
      </c>
      <c r="C221" t="s">
        <v>112</v>
      </c>
      <c r="D221" t="s">
        <v>197</v>
      </c>
      <c r="E221" t="s">
        <v>201</v>
      </c>
      <c r="U221" t="s">
        <v>197</v>
      </c>
      <c r="V221" t="s">
        <v>197</v>
      </c>
      <c r="W221" t="s">
        <v>197</v>
      </c>
      <c r="X221" t="s">
        <v>195</v>
      </c>
      <c r="Y221" t="s">
        <v>198</v>
      </c>
    </row>
    <row r="222">
      <c r="A222">
        <v>852</v>
      </c>
      <c r="B222" t="s">
        <v>20</v>
      </c>
      <c r="C222" t="s">
        <v>112</v>
      </c>
      <c r="D222" t="s">
        <v>197</v>
      </c>
      <c r="E222" t="s">
        <v>201</v>
      </c>
      <c r="U222" t="s">
        <v>197</v>
      </c>
      <c r="V222" t="s">
        <v>197</v>
      </c>
      <c r="W222" t="s">
        <v>197</v>
      </c>
      <c r="X222" t="s">
        <v>195</v>
      </c>
      <c r="Y222" t="s">
        <v>198</v>
      </c>
    </row>
    <row r="223">
      <c r="A223">
        <v>870</v>
      </c>
      <c r="B223" t="s">
        <v>194</v>
      </c>
      <c r="C223" t="s">
        <v>112</v>
      </c>
      <c r="D223" t="s">
        <v>195</v>
      </c>
      <c r="E223" t="s">
        <v>196</v>
      </c>
      <c r="F223">
        <v>8.199999999999999</v>
      </c>
      <c r="G223" t="s">
        <v>197</v>
      </c>
      <c r="H223" t="s">
        <v>94</v>
      </c>
      <c r="I223">
        <v>3.3</v>
      </c>
      <c r="J223" t="s">
        <v>195</v>
      </c>
      <c r="K223" t="s">
        <v>195</v>
      </c>
      <c r="L223" t="s">
        <v>94</v>
      </c>
      <c r="M223">
        <v>5.5</v>
      </c>
      <c r="N223" t="s">
        <v>195</v>
      </c>
      <c r="O223" t="s">
        <v>94</v>
      </c>
      <c r="P223">
        <v>6.2</v>
      </c>
      <c r="Q223" t="s">
        <v>195</v>
      </c>
      <c r="R223" t="s">
        <v>49</v>
      </c>
      <c r="T223" t="s">
        <v>76</v>
      </c>
      <c r="U223" t="s">
        <v>197</v>
      </c>
      <c r="V223" t="s">
        <v>197</v>
      </c>
      <c r="W223" t="s">
        <v>197</v>
      </c>
      <c r="X223" t="s">
        <v>195</v>
      </c>
      <c r="Y223" t="s">
        <v>198</v>
      </c>
    </row>
    <row r="224">
      <c r="A224">
        <v>864</v>
      </c>
      <c r="B224" t="s">
        <v>199</v>
      </c>
      <c r="C224" t="s">
        <v>112</v>
      </c>
      <c r="D224" t="s">
        <v>197</v>
      </c>
      <c r="E224" t="s">
        <v>201</v>
      </c>
      <c r="U224" t="s">
        <v>197</v>
      </c>
      <c r="V224" t="s">
        <v>197</v>
      </c>
      <c r="W224" t="s">
        <v>197</v>
      </c>
      <c r="X224" t="s">
        <v>195</v>
      </c>
      <c r="Y224" t="s">
        <v>198</v>
      </c>
    </row>
    <row r="225">
      <c r="A225">
        <v>874</v>
      </c>
      <c r="B225" t="s">
        <v>20</v>
      </c>
      <c r="C225" t="s">
        <v>112</v>
      </c>
      <c r="D225" t="s">
        <v>197</v>
      </c>
      <c r="E225" t="s">
        <v>201</v>
      </c>
      <c r="U225" t="s">
        <v>197</v>
      </c>
      <c r="V225" t="s">
        <v>197</v>
      </c>
      <c r="W225" t="s">
        <v>197</v>
      </c>
      <c r="X225" t="s">
        <v>195</v>
      </c>
      <c r="Y225" t="s">
        <v>198</v>
      </c>
    </row>
    <row r="226">
      <c r="A226">
        <v>877</v>
      </c>
      <c r="B226" t="s">
        <v>199</v>
      </c>
      <c r="C226" t="s">
        <v>112</v>
      </c>
      <c r="D226" t="s">
        <v>197</v>
      </c>
      <c r="E226" t="s">
        <v>201</v>
      </c>
      <c r="U226" t="s">
        <v>197</v>
      </c>
      <c r="V226" t="s">
        <v>197</v>
      </c>
      <c r="W226" t="s">
        <v>197</v>
      </c>
      <c r="X226" t="s">
        <v>195</v>
      </c>
      <c r="Y226" t="s">
        <v>198</v>
      </c>
    </row>
    <row r="227">
      <c r="A227">
        <v>880</v>
      </c>
      <c r="B227" t="s">
        <v>20</v>
      </c>
      <c r="C227" t="s">
        <v>112</v>
      </c>
      <c r="D227" t="s">
        <v>195</v>
      </c>
      <c r="E227" t="s">
        <v>196</v>
      </c>
      <c r="F227">
        <v>14.8</v>
      </c>
      <c r="G227" t="s">
        <v>197</v>
      </c>
      <c r="H227" t="s">
        <v>93</v>
      </c>
      <c r="I227">
        <v>21.7</v>
      </c>
      <c r="J227" t="s">
        <v>195</v>
      </c>
      <c r="K227" t="s">
        <v>195</v>
      </c>
      <c r="L227" t="s">
        <v>93</v>
      </c>
      <c r="M227">
        <v>68.8</v>
      </c>
      <c r="N227" t="s">
        <v>195</v>
      </c>
      <c r="O227" t="s">
        <v>93</v>
      </c>
      <c r="P227">
        <v>68.90000000000001</v>
      </c>
      <c r="Q227" t="s">
        <v>195</v>
      </c>
      <c r="R227" t="s">
        <v>49</v>
      </c>
      <c r="T227" t="s">
        <v>76</v>
      </c>
      <c r="U227" t="s">
        <v>195</v>
      </c>
      <c r="V227" t="s">
        <v>195</v>
      </c>
      <c r="W227" t="s">
        <v>197</v>
      </c>
      <c r="X227" t="s">
        <v>195</v>
      </c>
      <c r="Y227" t="s">
        <v>198</v>
      </c>
    </row>
    <row r="228">
      <c r="A228">
        <v>882</v>
      </c>
      <c r="B228" t="s">
        <v>20</v>
      </c>
      <c r="C228" t="s">
        <v>112</v>
      </c>
      <c r="D228" t="s">
        <v>195</v>
      </c>
      <c r="E228" t="s">
        <v>196</v>
      </c>
      <c r="F228">
        <v>4.5</v>
      </c>
      <c r="G228" t="s">
        <v>197</v>
      </c>
      <c r="H228" t="s">
        <v>93</v>
      </c>
      <c r="I228">
        <v>0.8</v>
      </c>
      <c r="J228" t="s">
        <v>195</v>
      </c>
      <c r="K228" t="s">
        <v>195</v>
      </c>
      <c r="L228" t="s">
        <v>93</v>
      </c>
      <c r="M228">
        <v>7.3</v>
      </c>
      <c r="N228" t="s">
        <v>195</v>
      </c>
      <c r="O228" t="s">
        <v>93</v>
      </c>
      <c r="P228">
        <v>7.5</v>
      </c>
      <c r="Q228" t="s">
        <v>195</v>
      </c>
      <c r="R228" t="s">
        <v>49</v>
      </c>
      <c r="T228" t="s">
        <v>76</v>
      </c>
      <c r="U228" t="s">
        <v>197</v>
      </c>
      <c r="V228" t="s">
        <v>197</v>
      </c>
      <c r="W228" t="s">
        <v>197</v>
      </c>
      <c r="X228" t="s">
        <v>195</v>
      </c>
      <c r="Y228" t="s">
        <v>198</v>
      </c>
    </row>
    <row r="229">
      <c r="A229">
        <v>887</v>
      </c>
      <c r="B229" t="s">
        <v>20</v>
      </c>
      <c r="C229" t="s">
        <v>112</v>
      </c>
      <c r="D229" t="s">
        <v>197</v>
      </c>
      <c r="E229" t="s">
        <v>201</v>
      </c>
      <c r="U229" t="s">
        <v>197</v>
      </c>
      <c r="V229" t="s">
        <v>197</v>
      </c>
      <c r="W229" t="s">
        <v>197</v>
      </c>
      <c r="X229" t="s">
        <v>195</v>
      </c>
      <c r="Y229" t="s">
        <v>198</v>
      </c>
    </row>
    <row r="230">
      <c r="A230">
        <v>891</v>
      </c>
      <c r="B230" t="s">
        <v>20</v>
      </c>
      <c r="C230" t="s">
        <v>112</v>
      </c>
      <c r="D230" t="s">
        <v>195</v>
      </c>
      <c r="E230" t="s">
        <v>196</v>
      </c>
      <c r="F230">
        <v>1.2</v>
      </c>
      <c r="G230" t="s">
        <v>197</v>
      </c>
      <c r="H230" t="s">
        <v>94</v>
      </c>
      <c r="I230">
        <v>0.8</v>
      </c>
      <c r="J230" t="s">
        <v>197</v>
      </c>
      <c r="K230" t="s">
        <v>197</v>
      </c>
      <c r="L230">
        <v/>
      </c>
      <c r="N230" t="s">
        <v>197</v>
      </c>
      <c r="R230" t="s">
        <v>53</v>
      </c>
      <c r="S230" t="s">
        <v>64</v>
      </c>
      <c r="T230" t="s">
        <v>76</v>
      </c>
      <c r="U230" t="s">
        <v>197</v>
      </c>
      <c r="V230" t="s">
        <v>197</v>
      </c>
      <c r="W230" t="s">
        <v>197</v>
      </c>
      <c r="X230" t="s">
        <v>195</v>
      </c>
      <c r="Y230" t="s">
        <v>198</v>
      </c>
    </row>
    <row r="231">
      <c r="A231">
        <v>892</v>
      </c>
      <c r="B231" t="s">
        <v>20</v>
      </c>
      <c r="C231" t="s">
        <v>112</v>
      </c>
      <c r="D231" t="s">
        <v>195</v>
      </c>
      <c r="E231" t="s">
        <v>200</v>
      </c>
      <c r="F231">
        <v>154.8</v>
      </c>
      <c r="G231" t="s">
        <v>197</v>
      </c>
      <c r="H231" t="s">
        <v>93</v>
      </c>
      <c r="I231">
        <v>0.8</v>
      </c>
      <c r="J231" t="s">
        <v>197</v>
      </c>
      <c r="K231" t="s">
        <v>197</v>
      </c>
      <c r="L231">
        <v/>
      </c>
      <c r="N231" t="s">
        <v>197</v>
      </c>
      <c r="R231" t="s">
        <v>53</v>
      </c>
      <c r="S231" t="s">
        <v>64</v>
      </c>
      <c r="T231" t="s">
        <v>77</v>
      </c>
      <c r="U231" t="s">
        <v>197</v>
      </c>
      <c r="V231" t="s">
        <v>197</v>
      </c>
      <c r="W231" t="s">
        <v>197</v>
      </c>
      <c r="X231" t="s">
        <v>195</v>
      </c>
      <c r="Y231" t="s">
        <v>198</v>
      </c>
    </row>
    <row r="232">
      <c r="A232">
        <v>896</v>
      </c>
      <c r="B232" t="s">
        <v>20</v>
      </c>
      <c r="C232" t="s">
        <v>112</v>
      </c>
      <c r="D232" t="s">
        <v>197</v>
      </c>
      <c r="E232" t="s">
        <v>201</v>
      </c>
      <c r="U232" t="s">
        <v>197</v>
      </c>
      <c r="V232" t="s">
        <v>197</v>
      </c>
      <c r="W232" t="s">
        <v>197</v>
      </c>
      <c r="X232" t="s">
        <v>195</v>
      </c>
      <c r="Y232" t="s">
        <v>198</v>
      </c>
    </row>
    <row r="233">
      <c r="A233">
        <v>898</v>
      </c>
      <c r="B233" t="s">
        <v>194</v>
      </c>
      <c r="C233" t="s">
        <v>112</v>
      </c>
      <c r="D233" t="s">
        <v>197</v>
      </c>
      <c r="E233" t="s">
        <v>201</v>
      </c>
      <c r="U233" t="s">
        <v>197</v>
      </c>
      <c r="V233" t="s">
        <v>197</v>
      </c>
      <c r="W233" t="s">
        <v>197</v>
      </c>
      <c r="X233" t="s">
        <v>195</v>
      </c>
      <c r="Y233" t="s">
        <v>198</v>
      </c>
    </row>
    <row r="234">
      <c r="A234">
        <v>901</v>
      </c>
      <c r="B234" t="s">
        <v>20</v>
      </c>
      <c r="C234" t="s">
        <v>112</v>
      </c>
      <c r="D234" t="s">
        <v>197</v>
      </c>
      <c r="E234" t="s">
        <v>201</v>
      </c>
      <c r="U234" t="s">
        <v>197</v>
      </c>
      <c r="V234" t="s">
        <v>197</v>
      </c>
      <c r="W234" t="s">
        <v>197</v>
      </c>
      <c r="X234" t="s">
        <v>195</v>
      </c>
      <c r="Y234" t="s">
        <v>198</v>
      </c>
    </row>
    <row r="235">
      <c r="A235">
        <v>894</v>
      </c>
      <c r="B235" t="s">
        <v>20</v>
      </c>
      <c r="C235" t="s">
        <v>112</v>
      </c>
      <c r="D235" t="s">
        <v>197</v>
      </c>
      <c r="E235" t="s">
        <v>201</v>
      </c>
      <c r="U235" t="s">
        <v>197</v>
      </c>
      <c r="V235" t="s">
        <v>197</v>
      </c>
      <c r="W235" t="s">
        <v>197</v>
      </c>
      <c r="X235" t="s">
        <v>195</v>
      </c>
      <c r="Y235" t="s">
        <v>198</v>
      </c>
    </row>
    <row r="236">
      <c r="A236">
        <v>899</v>
      </c>
      <c r="B236" t="s">
        <v>20</v>
      </c>
      <c r="C236" t="s">
        <v>112</v>
      </c>
      <c r="D236" t="s">
        <v>197</v>
      </c>
      <c r="E236" t="s">
        <v>201</v>
      </c>
      <c r="U236" t="s">
        <v>197</v>
      </c>
      <c r="V236" t="s">
        <v>197</v>
      </c>
      <c r="W236" t="s">
        <v>197</v>
      </c>
      <c r="X236" t="s">
        <v>195</v>
      </c>
      <c r="Y236" t="s">
        <v>198</v>
      </c>
    </row>
    <row r="237">
      <c r="A237">
        <v>906</v>
      </c>
      <c r="B237" t="s">
        <v>20</v>
      </c>
      <c r="C237" t="s">
        <v>112</v>
      </c>
      <c r="D237" t="s">
        <v>195</v>
      </c>
      <c r="E237" t="s">
        <v>196</v>
      </c>
      <c r="F237">
        <v>1.3</v>
      </c>
      <c r="G237" t="s">
        <v>197</v>
      </c>
      <c r="H237" t="s">
        <v>94</v>
      </c>
      <c r="I237">
        <v>0.5</v>
      </c>
      <c r="J237" t="s">
        <v>195</v>
      </c>
      <c r="K237" t="s">
        <v>195</v>
      </c>
      <c r="L237" t="s">
        <v>94</v>
      </c>
      <c r="M237">
        <v>4.1</v>
      </c>
      <c r="N237" t="s">
        <v>195</v>
      </c>
      <c r="O237" t="s">
        <v>94</v>
      </c>
      <c r="P237">
        <v>4.8</v>
      </c>
      <c r="Q237" t="s">
        <v>195</v>
      </c>
      <c r="R237" t="s">
        <v>49</v>
      </c>
      <c r="T237" t="s">
        <v>77</v>
      </c>
      <c r="U237" t="s">
        <v>197</v>
      </c>
      <c r="V237" t="s">
        <v>197</v>
      </c>
      <c r="W237" t="s">
        <v>197</v>
      </c>
      <c r="X237" t="s">
        <v>195</v>
      </c>
      <c r="Y237" t="s">
        <v>198</v>
      </c>
    </row>
    <row r="238">
      <c r="A238">
        <v>909</v>
      </c>
      <c r="B238" t="s">
        <v>199</v>
      </c>
      <c r="C238" t="s">
        <v>112</v>
      </c>
      <c r="D238" t="s">
        <v>197</v>
      </c>
      <c r="E238" t="s">
        <v>201</v>
      </c>
      <c r="U238" t="s">
        <v>197</v>
      </c>
      <c r="V238" t="s">
        <v>197</v>
      </c>
      <c r="W238" t="s">
        <v>197</v>
      </c>
      <c r="X238" t="s">
        <v>195</v>
      </c>
      <c r="Y238" t="s">
        <v>198</v>
      </c>
    </row>
    <row r="239">
      <c r="A239">
        <v>905</v>
      </c>
      <c r="B239" t="s">
        <v>20</v>
      </c>
      <c r="C239" t="s">
        <v>112</v>
      </c>
      <c r="D239" t="s">
        <v>197</v>
      </c>
      <c r="E239" t="s">
        <v>201</v>
      </c>
      <c r="U239" t="s">
        <v>197</v>
      </c>
      <c r="V239" t="s">
        <v>197</v>
      </c>
      <c r="W239" t="s">
        <v>197</v>
      </c>
      <c r="X239" t="s">
        <v>195</v>
      </c>
      <c r="Y239" t="s">
        <v>198</v>
      </c>
    </row>
    <row r="240">
      <c r="A240">
        <v>910</v>
      </c>
      <c r="B240" t="s">
        <v>20</v>
      </c>
      <c r="C240" t="s">
        <v>112</v>
      </c>
      <c r="D240" t="s">
        <v>195</v>
      </c>
      <c r="E240" t="s">
        <v>196</v>
      </c>
      <c r="F240">
        <v>1.2</v>
      </c>
      <c r="G240" t="s">
        <v>197</v>
      </c>
      <c r="H240" t="s">
        <v>94</v>
      </c>
      <c r="I240">
        <v>3.1</v>
      </c>
      <c r="J240" t="s">
        <v>197</v>
      </c>
      <c r="K240" t="s">
        <v>195</v>
      </c>
      <c r="L240" t="s">
        <v>94</v>
      </c>
      <c r="M240">
        <v>5.6</v>
      </c>
      <c r="N240" t="s">
        <v>195</v>
      </c>
      <c r="O240" t="s">
        <v>94</v>
      </c>
      <c r="P240">
        <v>6.4</v>
      </c>
      <c r="Q240" t="s">
        <v>195</v>
      </c>
      <c r="R240" t="s">
        <v>49</v>
      </c>
      <c r="T240" t="s">
        <v>77</v>
      </c>
      <c r="U240" t="s">
        <v>197</v>
      </c>
      <c r="V240" t="s">
        <v>197</v>
      </c>
      <c r="W240" t="s">
        <v>197</v>
      </c>
      <c r="X240" t="s">
        <v>195</v>
      </c>
      <c r="Y240" t="s">
        <v>198</v>
      </c>
    </row>
    <row r="241">
      <c r="A241">
        <v>913</v>
      </c>
      <c r="B241" t="s">
        <v>194</v>
      </c>
      <c r="C241" t="s">
        <v>112</v>
      </c>
      <c r="D241" t="s">
        <v>197</v>
      </c>
      <c r="E241" t="s">
        <v>201</v>
      </c>
      <c r="U241" t="s">
        <v>197</v>
      </c>
      <c r="V241" t="s">
        <v>197</v>
      </c>
      <c r="W241" t="s">
        <v>197</v>
      </c>
      <c r="X241" t="s">
        <v>195</v>
      </c>
      <c r="Y241" t="s">
        <v>198</v>
      </c>
    </row>
    <row r="242">
      <c r="A242">
        <v>915</v>
      </c>
      <c r="B242" t="s">
        <v>20</v>
      </c>
      <c r="C242" t="s">
        <v>112</v>
      </c>
      <c r="D242" t="s">
        <v>195</v>
      </c>
      <c r="E242" t="s">
        <v>196</v>
      </c>
      <c r="F242">
        <v>0.9</v>
      </c>
      <c r="G242" t="s">
        <v>195</v>
      </c>
      <c r="H242" t="s">
        <v>94</v>
      </c>
      <c r="I242">
        <v>6.4</v>
      </c>
      <c r="J242" t="s">
        <v>197</v>
      </c>
      <c r="K242" t="s">
        <v>195</v>
      </c>
      <c r="L242" t="s">
        <v>94</v>
      </c>
      <c r="M242">
        <v>6.4</v>
      </c>
      <c r="N242" t="s">
        <v>195</v>
      </c>
      <c r="O242" t="s">
        <v>94</v>
      </c>
      <c r="P242">
        <v>7</v>
      </c>
      <c r="Q242" t="s">
        <v>195</v>
      </c>
      <c r="R242" t="s">
        <v>49</v>
      </c>
      <c r="T242" t="s">
        <v>77</v>
      </c>
      <c r="U242" t="s">
        <v>195</v>
      </c>
      <c r="V242" t="s">
        <v>197</v>
      </c>
      <c r="W242" t="s">
        <v>197</v>
      </c>
      <c r="X242" t="s">
        <v>195</v>
      </c>
      <c r="Y242" t="s">
        <v>198</v>
      </c>
    </row>
    <row r="243">
      <c r="A243">
        <v>918</v>
      </c>
      <c r="B243" t="s">
        <v>194</v>
      </c>
      <c r="C243" t="s">
        <v>112</v>
      </c>
      <c r="D243" t="s">
        <v>197</v>
      </c>
      <c r="E243" t="s">
        <v>201</v>
      </c>
      <c r="U243" t="s">
        <v>197</v>
      </c>
      <c r="V243" t="s">
        <v>197</v>
      </c>
      <c r="W243" t="s">
        <v>197</v>
      </c>
      <c r="X243" t="s">
        <v>195</v>
      </c>
      <c r="Y243" t="s">
        <v>198</v>
      </c>
    </row>
    <row r="244">
      <c r="A244">
        <v>920</v>
      </c>
      <c r="B244" t="s">
        <v>194</v>
      </c>
      <c r="C244" t="s">
        <v>112</v>
      </c>
      <c r="D244" t="s">
        <v>195</v>
      </c>
      <c r="E244" t="s">
        <v>196</v>
      </c>
      <c r="F244">
        <v>3.9</v>
      </c>
      <c r="G244" t="s">
        <v>197</v>
      </c>
      <c r="H244" t="s">
        <v>94</v>
      </c>
      <c r="I244">
        <v>1.3</v>
      </c>
      <c r="J244" t="s">
        <v>195</v>
      </c>
      <c r="K244" t="s">
        <v>195</v>
      </c>
      <c r="L244" t="s">
        <v>94</v>
      </c>
      <c r="M244">
        <v>4.3</v>
      </c>
      <c r="N244" t="s">
        <v>195</v>
      </c>
      <c r="O244" t="s">
        <v>94</v>
      </c>
      <c r="P244">
        <v>4.8</v>
      </c>
      <c r="Q244" t="s">
        <v>195</v>
      </c>
      <c r="R244" t="s">
        <v>49</v>
      </c>
      <c r="T244" t="s">
        <v>77</v>
      </c>
      <c r="U244" t="s">
        <v>197</v>
      </c>
      <c r="V244" t="s">
        <v>197</v>
      </c>
      <c r="W244" t="s">
        <v>197</v>
      </c>
      <c r="X244" t="s">
        <v>195</v>
      </c>
      <c r="Y244" t="s">
        <v>198</v>
      </c>
    </row>
    <row r="245">
      <c r="A245">
        <v>919</v>
      </c>
      <c r="B245" t="s">
        <v>20</v>
      </c>
      <c r="C245" t="s">
        <v>112</v>
      </c>
      <c r="D245" t="s">
        <v>197</v>
      </c>
      <c r="E245" t="s">
        <v>201</v>
      </c>
      <c r="U245" t="s">
        <v>197</v>
      </c>
      <c r="V245" t="s">
        <v>197</v>
      </c>
      <c r="W245" t="s">
        <v>197</v>
      </c>
      <c r="X245" t="s">
        <v>195</v>
      </c>
      <c r="Y245" t="s">
        <v>198</v>
      </c>
    </row>
    <row r="246">
      <c r="A246">
        <v>924</v>
      </c>
      <c r="B246" t="s">
        <v>194</v>
      </c>
      <c r="C246" t="s">
        <v>112</v>
      </c>
      <c r="D246" t="s">
        <v>195</v>
      </c>
      <c r="E246" t="s">
        <v>196</v>
      </c>
      <c r="F246">
        <v>0.6</v>
      </c>
      <c r="G246" t="s">
        <v>197</v>
      </c>
      <c r="H246" t="s">
        <v>94</v>
      </c>
      <c r="I246">
        <v>18.7</v>
      </c>
      <c r="J246" t="s">
        <v>195</v>
      </c>
      <c r="K246" t="s">
        <v>195</v>
      </c>
      <c r="L246" t="s">
        <v>94</v>
      </c>
      <c r="M246">
        <v>24</v>
      </c>
      <c r="N246" t="s">
        <v>195</v>
      </c>
      <c r="O246" t="s">
        <v>94</v>
      </c>
      <c r="P246">
        <v>23.3</v>
      </c>
      <c r="Q246" t="s">
        <v>195</v>
      </c>
      <c r="R246" t="s">
        <v>50</v>
      </c>
      <c r="T246" t="s">
        <v>77</v>
      </c>
      <c r="U246" t="s">
        <v>197</v>
      </c>
      <c r="V246" t="s">
        <v>197</v>
      </c>
      <c r="W246" t="s">
        <v>197</v>
      </c>
      <c r="X246" t="s">
        <v>195</v>
      </c>
      <c r="Y246" t="s">
        <v>198</v>
      </c>
    </row>
    <row r="247">
      <c r="A247">
        <v>925</v>
      </c>
      <c r="B247" t="s">
        <v>199</v>
      </c>
      <c r="C247" t="s">
        <v>112</v>
      </c>
      <c r="D247" t="s">
        <v>197</v>
      </c>
      <c r="E247" t="s">
        <v>201</v>
      </c>
      <c r="U247" t="s">
        <v>197</v>
      </c>
      <c r="V247" t="s">
        <v>197</v>
      </c>
      <c r="W247" t="s">
        <v>197</v>
      </c>
      <c r="X247" t="s">
        <v>195</v>
      </c>
      <c r="Y247" t="s">
        <v>198</v>
      </c>
    </row>
    <row r="248">
      <c r="A248">
        <v>927</v>
      </c>
      <c r="B248" t="s">
        <v>194</v>
      </c>
      <c r="C248" t="s">
        <v>112</v>
      </c>
      <c r="D248" t="s">
        <v>197</v>
      </c>
      <c r="E248" t="s">
        <v>201</v>
      </c>
      <c r="U248" t="s">
        <v>197</v>
      </c>
      <c r="V248" t="s">
        <v>197</v>
      </c>
      <c r="W248" t="s">
        <v>197</v>
      </c>
      <c r="X248" t="s">
        <v>195</v>
      </c>
      <c r="Y248" t="s">
        <v>198</v>
      </c>
    </row>
    <row r="249">
      <c r="A249">
        <v>936</v>
      </c>
      <c r="B249" t="s">
        <v>194</v>
      </c>
      <c r="C249" t="s">
        <v>112</v>
      </c>
      <c r="D249" t="s">
        <v>197</v>
      </c>
      <c r="E249" t="s">
        <v>201</v>
      </c>
      <c r="U249" t="s">
        <v>197</v>
      </c>
      <c r="V249" t="s">
        <v>197</v>
      </c>
      <c r="W249" t="s">
        <v>197</v>
      </c>
      <c r="X249" t="s">
        <v>195</v>
      </c>
      <c r="Y249" t="s">
        <v>198</v>
      </c>
    </row>
    <row r="250">
      <c r="A250">
        <v>937</v>
      </c>
      <c r="B250" t="s">
        <v>20</v>
      </c>
      <c r="C250" t="s">
        <v>112</v>
      </c>
      <c r="D250" t="s">
        <v>195</v>
      </c>
      <c r="E250" t="s">
        <v>196</v>
      </c>
      <c r="F250">
        <v>0.6</v>
      </c>
      <c r="G250" t="s">
        <v>195</v>
      </c>
      <c r="H250" t="s">
        <v>94</v>
      </c>
      <c r="I250">
        <v>1.6</v>
      </c>
      <c r="J250" t="s">
        <v>197</v>
      </c>
      <c r="K250" t="s">
        <v>197</v>
      </c>
      <c r="L250">
        <v/>
      </c>
      <c r="N250" t="s">
        <v>197</v>
      </c>
      <c r="R250" t="s">
        <v>53</v>
      </c>
      <c r="S250" t="s">
        <v>65</v>
      </c>
      <c r="T250" t="s">
        <v>77</v>
      </c>
      <c r="U250" t="s">
        <v>197</v>
      </c>
      <c r="V250" t="s">
        <v>197</v>
      </c>
      <c r="W250" t="s">
        <v>197</v>
      </c>
      <c r="X250" t="s">
        <v>195</v>
      </c>
      <c r="Y250" t="s">
        <v>198</v>
      </c>
    </row>
    <row r="251">
      <c r="A251">
        <v>930</v>
      </c>
      <c r="B251" t="s">
        <v>20</v>
      </c>
      <c r="C251" t="s">
        <v>112</v>
      </c>
      <c r="D251" t="s">
        <v>197</v>
      </c>
      <c r="E251" t="s">
        <v>201</v>
      </c>
      <c r="U251" t="s">
        <v>197</v>
      </c>
      <c r="V251" t="s">
        <v>197</v>
      </c>
      <c r="W251" t="s">
        <v>197</v>
      </c>
      <c r="X251" t="s">
        <v>195</v>
      </c>
      <c r="Y251" t="s">
        <v>198</v>
      </c>
    </row>
    <row r="252">
      <c r="A252">
        <v>932</v>
      </c>
      <c r="B252" t="s">
        <v>20</v>
      </c>
      <c r="C252" t="s">
        <v>112</v>
      </c>
      <c r="D252" t="s">
        <v>197</v>
      </c>
      <c r="E252" t="s">
        <v>201</v>
      </c>
      <c r="U252" t="s">
        <v>197</v>
      </c>
      <c r="V252" t="s">
        <v>197</v>
      </c>
      <c r="W252" t="s">
        <v>197</v>
      </c>
      <c r="X252" t="s">
        <v>195</v>
      </c>
      <c r="Y252" t="s">
        <v>198</v>
      </c>
    </row>
    <row r="253">
      <c r="A253">
        <v>944</v>
      </c>
      <c r="B253" t="s">
        <v>20</v>
      </c>
      <c r="C253" t="s">
        <v>112</v>
      </c>
      <c r="D253" t="s">
        <v>197</v>
      </c>
      <c r="E253" t="s">
        <v>201</v>
      </c>
      <c r="U253" t="s">
        <v>197</v>
      </c>
      <c r="V253" t="s">
        <v>197</v>
      </c>
      <c r="W253" t="s">
        <v>197</v>
      </c>
      <c r="X253" t="s">
        <v>195</v>
      </c>
      <c r="Y253" t="s">
        <v>198</v>
      </c>
    </row>
    <row r="254">
      <c r="A254">
        <v>938</v>
      </c>
      <c r="B254" t="s">
        <v>20</v>
      </c>
      <c r="C254" t="s">
        <v>112</v>
      </c>
      <c r="D254" t="s">
        <v>197</v>
      </c>
      <c r="E254" t="s">
        <v>201</v>
      </c>
      <c r="U254" t="s">
        <v>197</v>
      </c>
      <c r="V254" t="s">
        <v>197</v>
      </c>
      <c r="W254" t="s">
        <v>197</v>
      </c>
      <c r="X254" t="s">
        <v>195</v>
      </c>
      <c r="Y254" t="s">
        <v>198</v>
      </c>
    </row>
    <row r="255">
      <c r="A255">
        <v>960</v>
      </c>
      <c r="B255" t="s">
        <v>199</v>
      </c>
      <c r="C255" t="s">
        <v>112</v>
      </c>
      <c r="D255" t="s">
        <v>197</v>
      </c>
      <c r="E255" t="s">
        <v>201</v>
      </c>
      <c r="U255" t="s">
        <v>197</v>
      </c>
      <c r="V255" t="s">
        <v>197</v>
      </c>
      <c r="W255" t="s">
        <v>197</v>
      </c>
      <c r="X255" t="s">
        <v>195</v>
      </c>
      <c r="Y255" t="s">
        <v>198</v>
      </c>
    </row>
    <row r="256">
      <c r="A256">
        <v>961</v>
      </c>
      <c r="B256" t="s">
        <v>20</v>
      </c>
      <c r="C256" t="s">
        <v>112</v>
      </c>
      <c r="D256" t="s">
        <v>195</v>
      </c>
      <c r="E256" t="s">
        <v>196</v>
      </c>
      <c r="F256">
        <v>41.4</v>
      </c>
      <c r="G256" t="s">
        <v>197</v>
      </c>
      <c r="H256" t="s">
        <v>93</v>
      </c>
      <c r="I256">
        <v>311.1</v>
      </c>
      <c r="J256" t="s">
        <v>195</v>
      </c>
      <c r="K256" t="s">
        <v>195</v>
      </c>
      <c r="L256" t="s">
        <v>93</v>
      </c>
      <c r="M256">
        <v>313.6</v>
      </c>
      <c r="N256" t="s">
        <v>195</v>
      </c>
      <c r="O256" t="s">
        <v>93</v>
      </c>
      <c r="P256">
        <v>313.6</v>
      </c>
      <c r="Q256" t="s">
        <v>197</v>
      </c>
      <c r="R256" t="s">
        <v>49</v>
      </c>
      <c r="T256" t="s">
        <v>78</v>
      </c>
      <c r="U256" t="s">
        <v>197</v>
      </c>
      <c r="V256" t="s">
        <v>197</v>
      </c>
      <c r="W256" t="s">
        <v>197</v>
      </c>
      <c r="X256" t="s">
        <v>195</v>
      </c>
      <c r="Y256" t="s">
        <v>198</v>
      </c>
    </row>
    <row r="257">
      <c r="A257">
        <v>957</v>
      </c>
      <c r="B257" t="s">
        <v>194</v>
      </c>
      <c r="C257" t="s">
        <v>112</v>
      </c>
      <c r="D257" t="s">
        <v>195</v>
      </c>
      <c r="E257" t="s">
        <v>200</v>
      </c>
      <c r="F257">
        <v>1823.3</v>
      </c>
      <c r="G257" t="s">
        <v>195</v>
      </c>
      <c r="H257" t="s">
        <v>93</v>
      </c>
      <c r="I257">
        <v>2678.7</v>
      </c>
      <c r="J257" t="s">
        <v>197</v>
      </c>
      <c r="K257" t="s">
        <v>197</v>
      </c>
      <c r="L257">
        <v/>
      </c>
      <c r="N257" t="s">
        <v>197</v>
      </c>
      <c r="R257" t="s">
        <v>53</v>
      </c>
      <c r="S257" t="s">
        <v>64</v>
      </c>
      <c r="T257" t="s">
        <v>76</v>
      </c>
      <c r="U257" t="s">
        <v>195</v>
      </c>
      <c r="V257" t="s">
        <v>195</v>
      </c>
      <c r="W257" t="s">
        <v>195</v>
      </c>
      <c r="X257" t="s">
        <v>195</v>
      </c>
      <c r="Y257" t="s">
        <v>104</v>
      </c>
    </row>
    <row r="258">
      <c r="A258">
        <v>959</v>
      </c>
      <c r="B258" t="s">
        <v>20</v>
      </c>
      <c r="C258" t="s">
        <v>112</v>
      </c>
      <c r="D258" t="s">
        <v>197</v>
      </c>
      <c r="E258" t="s">
        <v>201</v>
      </c>
      <c r="U258" t="s">
        <v>197</v>
      </c>
      <c r="V258" t="s">
        <v>197</v>
      </c>
      <c r="W258" t="s">
        <v>197</v>
      </c>
      <c r="X258" t="s">
        <v>195</v>
      </c>
      <c r="Y258" t="s">
        <v>198</v>
      </c>
    </row>
    <row r="259">
      <c r="A259">
        <v>969</v>
      </c>
      <c r="B259" t="s">
        <v>194</v>
      </c>
      <c r="C259" t="s">
        <v>112</v>
      </c>
      <c r="D259" t="s">
        <v>197</v>
      </c>
      <c r="E259" t="s">
        <v>201</v>
      </c>
      <c r="U259" t="s">
        <v>197</v>
      </c>
      <c r="V259" t="s">
        <v>197</v>
      </c>
      <c r="W259" t="s">
        <v>197</v>
      </c>
      <c r="X259" t="s">
        <v>195</v>
      </c>
      <c r="Y259" t="s">
        <v>198</v>
      </c>
    </row>
    <row r="260">
      <c r="A260">
        <v>973</v>
      </c>
      <c r="B260" t="s">
        <v>20</v>
      </c>
      <c r="C260" t="s">
        <v>112</v>
      </c>
      <c r="D260" t="s">
        <v>195</v>
      </c>
      <c r="E260" t="s">
        <v>196</v>
      </c>
      <c r="F260">
        <v>1.5</v>
      </c>
      <c r="G260" t="s">
        <v>197</v>
      </c>
      <c r="H260" t="s">
        <v>93</v>
      </c>
      <c r="I260">
        <v>0.4</v>
      </c>
      <c r="J260" t="s">
        <v>197</v>
      </c>
      <c r="K260" t="s">
        <v>195</v>
      </c>
      <c r="L260" t="s">
        <v>93</v>
      </c>
      <c r="M260">
        <v>31.9</v>
      </c>
      <c r="N260" t="s">
        <v>197</v>
      </c>
      <c r="R260" t="s">
        <v>52</v>
      </c>
      <c r="S260" t="s">
        <v>64</v>
      </c>
      <c r="T260" t="s">
        <v>78</v>
      </c>
      <c r="U260" t="s">
        <v>197</v>
      </c>
      <c r="V260" t="s">
        <v>197</v>
      </c>
      <c r="W260" t="s">
        <v>197</v>
      </c>
      <c r="X260" t="s">
        <v>195</v>
      </c>
      <c r="Y260" t="s">
        <v>198</v>
      </c>
    </row>
    <row r="261">
      <c r="A261">
        <v>982</v>
      </c>
      <c r="B261" t="s">
        <v>194</v>
      </c>
      <c r="C261" t="s">
        <v>112</v>
      </c>
      <c r="D261" t="s">
        <v>197</v>
      </c>
      <c r="E261" t="s">
        <v>201</v>
      </c>
      <c r="U261" t="s">
        <v>197</v>
      </c>
      <c r="V261" t="s">
        <v>197</v>
      </c>
      <c r="W261" t="s">
        <v>197</v>
      </c>
      <c r="X261" t="s">
        <v>195</v>
      </c>
      <c r="Y261" t="s">
        <v>198</v>
      </c>
    </row>
    <row r="262">
      <c r="A262">
        <v>985</v>
      </c>
      <c r="B262" t="s">
        <v>194</v>
      </c>
      <c r="C262" t="s">
        <v>112</v>
      </c>
      <c r="D262" t="s">
        <v>195</v>
      </c>
      <c r="E262" t="s">
        <v>196</v>
      </c>
      <c r="F262">
        <v>13.1</v>
      </c>
      <c r="G262" t="s">
        <v>197</v>
      </c>
      <c r="H262" t="s">
        <v>96</v>
      </c>
      <c r="I262">
        <v>4.7</v>
      </c>
      <c r="J262" t="s">
        <v>195</v>
      </c>
      <c r="K262" t="s">
        <v>195</v>
      </c>
      <c r="L262" t="s">
        <v>96</v>
      </c>
      <c r="M262">
        <v>10.5</v>
      </c>
      <c r="N262" t="s">
        <v>197</v>
      </c>
      <c r="R262" t="s">
        <v>52</v>
      </c>
      <c r="S262" t="s">
        <v>64</v>
      </c>
      <c r="T262" t="s">
        <v>76</v>
      </c>
      <c r="U262" t="s">
        <v>197</v>
      </c>
      <c r="V262" t="s">
        <v>197</v>
      </c>
      <c r="W262" t="s">
        <v>197</v>
      </c>
      <c r="X262" t="s">
        <v>195</v>
      </c>
      <c r="Y262" t="s">
        <v>198</v>
      </c>
    </row>
    <row r="263">
      <c r="A263">
        <v>991</v>
      </c>
      <c r="B263" t="s">
        <v>20</v>
      </c>
      <c r="C263" t="s">
        <v>112</v>
      </c>
      <c r="D263" t="s">
        <v>197</v>
      </c>
      <c r="E263" t="s">
        <v>201</v>
      </c>
      <c r="U263" t="s">
        <v>197</v>
      </c>
      <c r="V263" t="s">
        <v>197</v>
      </c>
      <c r="W263" t="s">
        <v>197</v>
      </c>
      <c r="X263" t="s">
        <v>195</v>
      </c>
      <c r="Y263" t="s">
        <v>198</v>
      </c>
    </row>
    <row r="264">
      <c r="A264">
        <v>992</v>
      </c>
      <c r="B264" t="s">
        <v>199</v>
      </c>
      <c r="C264" t="s">
        <v>112</v>
      </c>
      <c r="D264" t="s">
        <v>195</v>
      </c>
      <c r="E264" t="s">
        <v>196</v>
      </c>
      <c r="F264">
        <v>3.9</v>
      </c>
      <c r="G264" t="s">
        <v>197</v>
      </c>
      <c r="H264" t="s">
        <v>96</v>
      </c>
      <c r="I264">
        <v>1</v>
      </c>
      <c r="J264" t="s">
        <v>195</v>
      </c>
      <c r="K264" t="s">
        <v>195</v>
      </c>
      <c r="L264" t="s">
        <v>96</v>
      </c>
      <c r="M264">
        <v>5.9</v>
      </c>
      <c r="N264" t="s">
        <v>197</v>
      </c>
      <c r="R264" t="s">
        <v>52</v>
      </c>
      <c r="S264" t="s">
        <v>64</v>
      </c>
      <c r="T264" t="s">
        <v>76</v>
      </c>
      <c r="U264" t="s">
        <v>197</v>
      </c>
      <c r="V264" t="s">
        <v>197</v>
      </c>
      <c r="W264" t="s">
        <v>197</v>
      </c>
      <c r="X264" t="s">
        <v>195</v>
      </c>
      <c r="Y264" t="s">
        <v>198</v>
      </c>
    </row>
    <row r="265">
      <c r="A265">
        <v>993</v>
      </c>
      <c r="B265" t="s">
        <v>194</v>
      </c>
      <c r="C265" t="s">
        <v>112</v>
      </c>
      <c r="D265" t="s">
        <v>195</v>
      </c>
      <c r="E265" t="s">
        <v>196</v>
      </c>
      <c r="F265">
        <v>6.2</v>
      </c>
      <c r="G265" t="s">
        <v>197</v>
      </c>
      <c r="H265" t="s">
        <v>93</v>
      </c>
      <c r="I265">
        <v>1.6</v>
      </c>
      <c r="J265" t="s">
        <v>195</v>
      </c>
      <c r="K265" t="s">
        <v>195</v>
      </c>
      <c r="L265" t="s">
        <v>93</v>
      </c>
      <c r="M265">
        <v>6.5</v>
      </c>
      <c r="N265" t="s">
        <v>195</v>
      </c>
      <c r="O265" t="s">
        <v>93</v>
      </c>
      <c r="P265">
        <v>6.7</v>
      </c>
      <c r="Q265" t="s">
        <v>195</v>
      </c>
      <c r="R265" t="s">
        <v>49</v>
      </c>
      <c r="T265" t="s">
        <v>76</v>
      </c>
      <c r="U265" t="s">
        <v>197</v>
      </c>
      <c r="V265" t="s">
        <v>197</v>
      </c>
      <c r="W265" t="s">
        <v>197</v>
      </c>
      <c r="X265" t="s">
        <v>195</v>
      </c>
      <c r="Y265" t="s">
        <v>198</v>
      </c>
    </row>
    <row r="266">
      <c r="A266">
        <v>995</v>
      </c>
      <c r="B266" t="s">
        <v>20</v>
      </c>
      <c r="C266" t="s">
        <v>112</v>
      </c>
      <c r="D266" t="s">
        <v>197</v>
      </c>
      <c r="E266" t="s">
        <v>201</v>
      </c>
      <c r="U266" t="s">
        <v>197</v>
      </c>
      <c r="V266" t="s">
        <v>197</v>
      </c>
      <c r="W266" t="s">
        <v>197</v>
      </c>
      <c r="X266" t="s">
        <v>195</v>
      </c>
      <c r="Y266" t="s">
        <v>198</v>
      </c>
    </row>
    <row r="267">
      <c r="A267">
        <v>1007</v>
      </c>
      <c r="B267" t="s">
        <v>20</v>
      </c>
      <c r="C267" t="s">
        <v>112</v>
      </c>
      <c r="D267" t="s">
        <v>195</v>
      </c>
      <c r="E267" t="s">
        <v>196</v>
      </c>
      <c r="F267">
        <v>0.7</v>
      </c>
      <c r="G267" t="s">
        <v>197</v>
      </c>
      <c r="H267" t="s">
        <v>96</v>
      </c>
      <c r="I267">
        <v>3.6</v>
      </c>
      <c r="J267" t="s">
        <v>195</v>
      </c>
      <c r="K267" t="s">
        <v>195</v>
      </c>
      <c r="L267" t="s">
        <v>96</v>
      </c>
      <c r="M267">
        <v>7.7</v>
      </c>
      <c r="N267" t="s">
        <v>197</v>
      </c>
      <c r="R267" t="s">
        <v>52</v>
      </c>
      <c r="S267" t="s">
        <v>64</v>
      </c>
      <c r="T267" t="s">
        <v>76</v>
      </c>
      <c r="U267" t="s">
        <v>197</v>
      </c>
      <c r="V267" t="s">
        <v>197</v>
      </c>
      <c r="W267" t="s">
        <v>197</v>
      </c>
      <c r="X267" t="s">
        <v>195</v>
      </c>
      <c r="Y267" t="s">
        <v>198</v>
      </c>
    </row>
    <row r="268">
      <c r="A268">
        <v>1008</v>
      </c>
      <c r="B268" t="s">
        <v>199</v>
      </c>
      <c r="C268" t="s">
        <v>112</v>
      </c>
      <c r="D268" t="s">
        <v>197</v>
      </c>
      <c r="E268" t="s">
        <v>201</v>
      </c>
      <c r="U268" t="s">
        <v>197</v>
      </c>
      <c r="V268" t="s">
        <v>197</v>
      </c>
      <c r="W268" t="s">
        <v>197</v>
      </c>
      <c r="X268" t="s">
        <v>195</v>
      </c>
      <c r="Y268" t="s">
        <v>198</v>
      </c>
    </row>
    <row r="269">
      <c r="A269">
        <v>1014</v>
      </c>
      <c r="B269" t="s">
        <v>20</v>
      </c>
      <c r="C269" t="s">
        <v>112</v>
      </c>
      <c r="D269" t="s">
        <v>195</v>
      </c>
      <c r="E269" t="s">
        <v>196</v>
      </c>
      <c r="F269">
        <v>3.3</v>
      </c>
      <c r="G269" t="s">
        <v>197</v>
      </c>
      <c r="H269" t="s">
        <v>96</v>
      </c>
      <c r="I269">
        <v>0.8</v>
      </c>
      <c r="J269" t="s">
        <v>195</v>
      </c>
      <c r="K269" t="s">
        <v>195</v>
      </c>
      <c r="L269" t="s">
        <v>96</v>
      </c>
      <c r="M269">
        <v>7.9</v>
      </c>
      <c r="N269" t="s">
        <v>197</v>
      </c>
      <c r="R269" t="s">
        <v>52</v>
      </c>
      <c r="S269" t="s">
        <v>64</v>
      </c>
      <c r="T269" t="s">
        <v>76</v>
      </c>
      <c r="U269" t="s">
        <v>197</v>
      </c>
      <c r="V269" t="s">
        <v>197</v>
      </c>
      <c r="W269" t="s">
        <v>197</v>
      </c>
      <c r="X269" t="s">
        <v>195</v>
      </c>
      <c r="Y269" t="s">
        <v>198</v>
      </c>
    </row>
    <row r="270">
      <c r="A270">
        <v>1018</v>
      </c>
      <c r="B270" t="s">
        <v>199</v>
      </c>
      <c r="C270" t="s">
        <v>112</v>
      </c>
      <c r="D270" t="s">
        <v>195</v>
      </c>
      <c r="E270" t="s">
        <v>196</v>
      </c>
      <c r="F270">
        <v>1.2</v>
      </c>
      <c r="G270" t="s">
        <v>197</v>
      </c>
      <c r="H270" t="s">
        <v>93</v>
      </c>
      <c r="I270">
        <v>4</v>
      </c>
      <c r="J270" t="s">
        <v>195</v>
      </c>
      <c r="K270" t="s">
        <v>195</v>
      </c>
      <c r="L270" t="s">
        <v>93</v>
      </c>
      <c r="M270">
        <v>7.1</v>
      </c>
      <c r="N270" t="s">
        <v>195</v>
      </c>
      <c r="O270" t="s">
        <v>93</v>
      </c>
      <c r="P270">
        <v>7.2</v>
      </c>
      <c r="Q270" t="s">
        <v>195</v>
      </c>
      <c r="R270" t="s">
        <v>49</v>
      </c>
      <c r="T270" t="s">
        <v>76</v>
      </c>
      <c r="U270" t="s">
        <v>197</v>
      </c>
      <c r="V270" t="s">
        <v>197</v>
      </c>
      <c r="W270" t="s">
        <v>197</v>
      </c>
      <c r="X270" t="s">
        <v>195</v>
      </c>
      <c r="Y270" t="s">
        <v>198</v>
      </c>
    </row>
    <row r="271">
      <c r="A271">
        <v>1019</v>
      </c>
      <c r="B271" t="s">
        <v>20</v>
      </c>
      <c r="C271" t="s">
        <v>112</v>
      </c>
      <c r="D271" t="s">
        <v>197</v>
      </c>
      <c r="E271" t="s">
        <v>201</v>
      </c>
      <c r="U271" t="s">
        <v>197</v>
      </c>
      <c r="V271" t="s">
        <v>197</v>
      </c>
      <c r="W271" t="s">
        <v>197</v>
      </c>
      <c r="X271" t="s">
        <v>195</v>
      </c>
      <c r="Y271" t="s">
        <v>198</v>
      </c>
    </row>
    <row r="272">
      <c r="A272">
        <v>1037</v>
      </c>
      <c r="B272" t="s">
        <v>199</v>
      </c>
      <c r="C272" t="s">
        <v>112</v>
      </c>
      <c r="D272" t="s">
        <v>195</v>
      </c>
      <c r="E272" t="s">
        <v>196</v>
      </c>
      <c r="F272">
        <v>0.8</v>
      </c>
      <c r="G272" t="s">
        <v>195</v>
      </c>
      <c r="H272" t="s">
        <v>93</v>
      </c>
      <c r="I272">
        <v>1.2</v>
      </c>
      <c r="J272" t="s">
        <v>197</v>
      </c>
      <c r="K272" t="s">
        <v>197</v>
      </c>
      <c r="L272">
        <v/>
      </c>
      <c r="N272" t="s">
        <v>197</v>
      </c>
      <c r="R272" t="s">
        <v>53</v>
      </c>
      <c r="S272" t="s">
        <v>64</v>
      </c>
      <c r="T272" t="s">
        <v>76</v>
      </c>
      <c r="U272" t="s">
        <v>197</v>
      </c>
      <c r="V272" t="s">
        <v>197</v>
      </c>
      <c r="W272" t="s">
        <v>197</v>
      </c>
      <c r="X272" t="s">
        <v>195</v>
      </c>
      <c r="Y272" t="s">
        <v>198</v>
      </c>
    </row>
    <row r="273">
      <c r="A273">
        <v>1040</v>
      </c>
      <c r="B273" t="s">
        <v>194</v>
      </c>
      <c r="C273" t="s">
        <v>112</v>
      </c>
      <c r="D273" t="s">
        <v>195</v>
      </c>
      <c r="E273" t="s">
        <v>196</v>
      </c>
      <c r="F273">
        <v>1.5</v>
      </c>
      <c r="G273" t="s">
        <v>197</v>
      </c>
      <c r="H273" t="s">
        <v>95</v>
      </c>
      <c r="I273">
        <v>0.7</v>
      </c>
      <c r="J273" t="s">
        <v>195</v>
      </c>
      <c r="K273" t="s">
        <v>195</v>
      </c>
      <c r="L273" t="s">
        <v>95</v>
      </c>
      <c r="M273">
        <v>2.8</v>
      </c>
      <c r="N273" t="s">
        <v>195</v>
      </c>
      <c r="O273" t="s">
        <v>95</v>
      </c>
      <c r="P273">
        <v>3.5</v>
      </c>
      <c r="Q273" t="s">
        <v>195</v>
      </c>
      <c r="R273" t="s">
        <v>49</v>
      </c>
      <c r="T273" t="s">
        <v>76</v>
      </c>
      <c r="U273" t="s">
        <v>197</v>
      </c>
      <c r="V273" t="s">
        <v>197</v>
      </c>
      <c r="W273" t="s">
        <v>197</v>
      </c>
      <c r="X273" t="s">
        <v>195</v>
      </c>
      <c r="Y273" t="s">
        <v>198</v>
      </c>
    </row>
    <row r="274">
      <c r="A274">
        <v>1038</v>
      </c>
      <c r="B274" t="s">
        <v>199</v>
      </c>
      <c r="C274" t="s">
        <v>112</v>
      </c>
      <c r="D274" t="s">
        <v>195</v>
      </c>
      <c r="E274" t="s">
        <v>200</v>
      </c>
      <c r="F274">
        <v>2998.1</v>
      </c>
      <c r="G274" t="s">
        <v>197</v>
      </c>
      <c r="H274">
        <v/>
      </c>
      <c r="J274" t="s">
        <v>197</v>
      </c>
      <c r="K274" t="s">
        <v>197</v>
      </c>
      <c r="L274">
        <v/>
      </c>
      <c r="N274" t="s">
        <v>197</v>
      </c>
      <c r="R274" t="s">
        <v>53</v>
      </c>
      <c r="S274" t="s">
        <v>64</v>
      </c>
      <c r="T274" t="s">
        <v>76</v>
      </c>
      <c r="U274" t="s">
        <v>197</v>
      </c>
      <c r="V274" t="s">
        <v>197</v>
      </c>
      <c r="W274" t="s">
        <v>197</v>
      </c>
      <c r="X274" t="s">
        <v>195</v>
      </c>
      <c r="Y274" t="s">
        <v>198</v>
      </c>
    </row>
    <row r="275">
      <c r="A275">
        <v>1043</v>
      </c>
      <c r="B275" t="s">
        <v>20</v>
      </c>
      <c r="C275" t="s">
        <v>112</v>
      </c>
      <c r="D275" t="s">
        <v>195</v>
      </c>
      <c r="E275" t="s">
        <v>196</v>
      </c>
      <c r="F275">
        <v>5.4</v>
      </c>
      <c r="G275" t="s">
        <v>197</v>
      </c>
      <c r="H275" t="s">
        <v>95</v>
      </c>
      <c r="I275">
        <v>0.8</v>
      </c>
      <c r="J275" t="s">
        <v>195</v>
      </c>
      <c r="K275" t="s">
        <v>195</v>
      </c>
      <c r="L275" t="s">
        <v>95</v>
      </c>
      <c r="M275">
        <v>5.6</v>
      </c>
      <c r="N275" t="s">
        <v>195</v>
      </c>
      <c r="O275" t="s">
        <v>95</v>
      </c>
      <c r="P275">
        <v>6.4</v>
      </c>
      <c r="Q275" t="s">
        <v>195</v>
      </c>
      <c r="R275" t="s">
        <v>49</v>
      </c>
      <c r="T275" t="s">
        <v>76</v>
      </c>
      <c r="U275" t="s">
        <v>197</v>
      </c>
      <c r="V275" t="s">
        <v>197</v>
      </c>
      <c r="W275" t="s">
        <v>197</v>
      </c>
      <c r="X275" t="s">
        <v>195</v>
      </c>
      <c r="Y275" t="s">
        <v>198</v>
      </c>
    </row>
    <row r="276">
      <c r="A276">
        <v>1044</v>
      </c>
      <c r="B276" t="s">
        <v>20</v>
      </c>
      <c r="C276" t="s">
        <v>112</v>
      </c>
      <c r="D276" t="s">
        <v>197</v>
      </c>
      <c r="E276" t="s">
        <v>201</v>
      </c>
      <c r="U276" t="s">
        <v>197</v>
      </c>
      <c r="V276" t="s">
        <v>197</v>
      </c>
      <c r="W276" t="s">
        <v>197</v>
      </c>
      <c r="X276" t="s">
        <v>195</v>
      </c>
      <c r="Y276" t="s">
        <v>198</v>
      </c>
    </row>
    <row r="277">
      <c r="A277">
        <v>1061</v>
      </c>
      <c r="B277" t="s">
        <v>194</v>
      </c>
      <c r="C277" t="s">
        <v>112</v>
      </c>
      <c r="D277" t="s">
        <v>195</v>
      </c>
      <c r="E277" t="s">
        <v>196</v>
      </c>
      <c r="F277">
        <v>0.2</v>
      </c>
      <c r="G277" t="s">
        <v>197</v>
      </c>
      <c r="H277" t="s">
        <v>93</v>
      </c>
      <c r="I277">
        <v>0.2</v>
      </c>
      <c r="J277" t="s">
        <v>195</v>
      </c>
      <c r="K277" t="s">
        <v>195</v>
      </c>
      <c r="L277" t="s">
        <v>93</v>
      </c>
      <c r="M277">
        <v>3.8</v>
      </c>
      <c r="N277" t="s">
        <v>195</v>
      </c>
      <c r="O277" t="s">
        <v>93</v>
      </c>
      <c r="P277">
        <v>4.1</v>
      </c>
      <c r="Q277" t="s">
        <v>195</v>
      </c>
      <c r="R277" t="s">
        <v>49</v>
      </c>
      <c r="T277" t="s">
        <v>76</v>
      </c>
      <c r="U277" t="s">
        <v>197</v>
      </c>
      <c r="V277" t="s">
        <v>197</v>
      </c>
      <c r="W277" t="s">
        <v>197</v>
      </c>
      <c r="X277" t="s">
        <v>195</v>
      </c>
      <c r="Y277" t="s">
        <v>198</v>
      </c>
    </row>
    <row r="278">
      <c r="A278">
        <v>1063</v>
      </c>
      <c r="B278" t="s">
        <v>194</v>
      </c>
      <c r="C278" t="s">
        <v>112</v>
      </c>
      <c r="D278" t="s">
        <v>195</v>
      </c>
      <c r="E278" t="s">
        <v>196</v>
      </c>
      <c r="F278">
        <v>1.1</v>
      </c>
      <c r="G278" t="s">
        <v>197</v>
      </c>
      <c r="H278" t="s">
        <v>93</v>
      </c>
      <c r="I278">
        <v>0.3</v>
      </c>
      <c r="J278" t="s">
        <v>195</v>
      </c>
      <c r="K278" t="s">
        <v>195</v>
      </c>
      <c r="L278" t="s">
        <v>93</v>
      </c>
      <c r="M278">
        <v>4</v>
      </c>
      <c r="N278" t="s">
        <v>195</v>
      </c>
      <c r="O278" t="s">
        <v>93</v>
      </c>
      <c r="P278">
        <v>4.2</v>
      </c>
      <c r="Q278" t="s">
        <v>195</v>
      </c>
      <c r="R278" t="s">
        <v>49</v>
      </c>
      <c r="T278" t="s">
        <v>76</v>
      </c>
      <c r="U278" t="s">
        <v>195</v>
      </c>
      <c r="V278" t="s">
        <v>195</v>
      </c>
      <c r="W278" t="s">
        <v>197</v>
      </c>
      <c r="X278" t="s">
        <v>195</v>
      </c>
      <c r="Y278" t="s">
        <v>198</v>
      </c>
    </row>
    <row r="279">
      <c r="A279">
        <v>1066</v>
      </c>
      <c r="B279" t="s">
        <v>194</v>
      </c>
      <c r="C279" t="s">
        <v>112</v>
      </c>
      <c r="D279" t="s">
        <v>195</v>
      </c>
      <c r="E279" t="s">
        <v>196</v>
      </c>
      <c r="F279">
        <v>1.6</v>
      </c>
      <c r="G279" t="s">
        <v>197</v>
      </c>
      <c r="H279" t="s">
        <v>95</v>
      </c>
      <c r="I279">
        <v>1.4</v>
      </c>
      <c r="J279" t="s">
        <v>195</v>
      </c>
      <c r="K279" t="s">
        <v>195</v>
      </c>
      <c r="L279" t="s">
        <v>95</v>
      </c>
      <c r="M279">
        <v>3.3</v>
      </c>
      <c r="N279" t="s">
        <v>195</v>
      </c>
      <c r="O279" t="s">
        <v>95</v>
      </c>
      <c r="P279">
        <v>4.2</v>
      </c>
      <c r="Q279" t="s">
        <v>195</v>
      </c>
      <c r="R279" t="s">
        <v>49</v>
      </c>
      <c r="T279" t="s">
        <v>76</v>
      </c>
      <c r="U279" t="s">
        <v>195</v>
      </c>
      <c r="V279" t="s">
        <v>195</v>
      </c>
      <c r="W279" t="s">
        <v>197</v>
      </c>
      <c r="X279" t="s">
        <v>195</v>
      </c>
      <c r="Y279" t="s">
        <v>198</v>
      </c>
    </row>
    <row r="280">
      <c r="A280">
        <v>1072</v>
      </c>
      <c r="B280" t="s">
        <v>20</v>
      </c>
      <c r="C280" t="s">
        <v>112</v>
      </c>
      <c r="D280" t="s">
        <v>195</v>
      </c>
      <c r="E280" t="s">
        <v>196</v>
      </c>
      <c r="F280">
        <v>11.9</v>
      </c>
      <c r="G280" t="s">
        <v>195</v>
      </c>
      <c r="H280" t="s">
        <v>95</v>
      </c>
      <c r="I280">
        <v>0.3</v>
      </c>
      <c r="J280" t="s">
        <v>195</v>
      </c>
      <c r="K280" t="s">
        <v>195</v>
      </c>
      <c r="L280" t="s">
        <v>95</v>
      </c>
      <c r="M280">
        <v>2.2</v>
      </c>
      <c r="N280" t="s">
        <v>195</v>
      </c>
      <c r="O280" t="s">
        <v>95</v>
      </c>
      <c r="P280">
        <v>3.1</v>
      </c>
      <c r="Q280" t="s">
        <v>195</v>
      </c>
      <c r="R280" t="s">
        <v>49</v>
      </c>
      <c r="T280" t="s">
        <v>76</v>
      </c>
      <c r="U280" t="s">
        <v>195</v>
      </c>
      <c r="V280" t="s">
        <v>197</v>
      </c>
      <c r="W280" t="s">
        <v>197</v>
      </c>
      <c r="X280" t="s">
        <v>195</v>
      </c>
      <c r="Y280" t="s">
        <v>198</v>
      </c>
    </row>
    <row r="281">
      <c r="A281">
        <v>1073</v>
      </c>
      <c r="B281" t="s">
        <v>20</v>
      </c>
      <c r="C281" t="s">
        <v>112</v>
      </c>
      <c r="D281" t="s">
        <v>197</v>
      </c>
      <c r="E281" t="s">
        <v>201</v>
      </c>
      <c r="U281" t="s">
        <v>197</v>
      </c>
      <c r="V281" t="s">
        <v>197</v>
      </c>
      <c r="W281" t="s">
        <v>197</v>
      </c>
      <c r="X281" t="s">
        <v>195</v>
      </c>
      <c r="Y281" t="s">
        <v>198</v>
      </c>
    </row>
    <row r="282">
      <c r="A282">
        <v>1075</v>
      </c>
      <c r="B282" t="s">
        <v>199</v>
      </c>
      <c r="C282" t="s">
        <v>112</v>
      </c>
      <c r="D282" t="s">
        <v>195</v>
      </c>
      <c r="E282" t="s">
        <v>196</v>
      </c>
      <c r="F282">
        <v>1.3</v>
      </c>
      <c r="G282" t="s">
        <v>197</v>
      </c>
      <c r="H282" t="s">
        <v>94</v>
      </c>
      <c r="I282">
        <v>4.4</v>
      </c>
      <c r="J282" t="s">
        <v>197</v>
      </c>
      <c r="K282" t="s">
        <v>195</v>
      </c>
      <c r="L282" t="s">
        <v>94</v>
      </c>
      <c r="M282">
        <v>4.4</v>
      </c>
      <c r="N282" t="s">
        <v>195</v>
      </c>
      <c r="O282" t="s">
        <v>94</v>
      </c>
      <c r="P282">
        <v>2.9</v>
      </c>
      <c r="Q282" t="s">
        <v>195</v>
      </c>
      <c r="R282" t="s">
        <v>50</v>
      </c>
      <c r="T282" t="s">
        <v>77</v>
      </c>
      <c r="U282" t="s">
        <v>197</v>
      </c>
      <c r="V282" t="s">
        <v>197</v>
      </c>
      <c r="W282" t="s">
        <v>197</v>
      </c>
      <c r="X282" t="s">
        <v>195</v>
      </c>
      <c r="Y282" t="s">
        <v>198</v>
      </c>
    </row>
    <row r="283">
      <c r="A283">
        <v>1078</v>
      </c>
      <c r="B283" t="s">
        <v>194</v>
      </c>
      <c r="C283" t="s">
        <v>112</v>
      </c>
      <c r="D283" t="s">
        <v>197</v>
      </c>
      <c r="E283" t="s">
        <v>201</v>
      </c>
      <c r="U283" t="s">
        <v>197</v>
      </c>
      <c r="V283" t="s">
        <v>197</v>
      </c>
      <c r="W283" t="s">
        <v>197</v>
      </c>
      <c r="X283" t="s">
        <v>195</v>
      </c>
      <c r="Y283" t="s">
        <v>198</v>
      </c>
    </row>
    <row r="284">
      <c r="A284">
        <v>1079</v>
      </c>
      <c r="B284" t="s">
        <v>20</v>
      </c>
      <c r="C284" t="s">
        <v>112</v>
      </c>
      <c r="D284" t="s">
        <v>197</v>
      </c>
      <c r="E284" t="s">
        <v>201</v>
      </c>
      <c r="U284" t="s">
        <v>197</v>
      </c>
      <c r="V284" t="s">
        <v>197</v>
      </c>
      <c r="W284" t="s">
        <v>197</v>
      </c>
      <c r="X284" t="s">
        <v>195</v>
      </c>
      <c r="Y284" t="s">
        <v>198</v>
      </c>
    </row>
    <row r="285">
      <c r="A285">
        <v>1082</v>
      </c>
      <c r="B285" t="s">
        <v>20</v>
      </c>
      <c r="C285" t="s">
        <v>112</v>
      </c>
      <c r="D285" t="s">
        <v>195</v>
      </c>
      <c r="E285" t="s">
        <v>196</v>
      </c>
      <c r="F285">
        <v>71.90000000000001</v>
      </c>
      <c r="G285" t="s">
        <v>197</v>
      </c>
      <c r="H285" t="s">
        <v>95</v>
      </c>
      <c r="I285">
        <v>3.6</v>
      </c>
      <c r="J285" t="s">
        <v>197</v>
      </c>
      <c r="K285" t="s">
        <v>195</v>
      </c>
      <c r="L285" t="s">
        <v>95</v>
      </c>
      <c r="M285">
        <v>3.6</v>
      </c>
      <c r="N285" t="s">
        <v>195</v>
      </c>
      <c r="O285" t="s">
        <v>95</v>
      </c>
      <c r="P285">
        <v>4.2</v>
      </c>
      <c r="Q285" t="s">
        <v>195</v>
      </c>
      <c r="R285" t="s">
        <v>49</v>
      </c>
      <c r="T285" t="s">
        <v>77</v>
      </c>
      <c r="U285" t="s">
        <v>197</v>
      </c>
      <c r="V285" t="s">
        <v>197</v>
      </c>
      <c r="W285" t="s">
        <v>197</v>
      </c>
      <c r="X285" t="s">
        <v>195</v>
      </c>
      <c r="Y285" t="s">
        <v>198</v>
      </c>
    </row>
    <row r="286">
      <c r="A286">
        <v>1086</v>
      </c>
      <c r="B286" t="s">
        <v>199</v>
      </c>
      <c r="C286" t="s">
        <v>112</v>
      </c>
      <c r="D286" t="s">
        <v>197</v>
      </c>
      <c r="E286" t="s">
        <v>201</v>
      </c>
      <c r="U286" t="s">
        <v>197</v>
      </c>
      <c r="V286" t="s">
        <v>197</v>
      </c>
      <c r="W286" t="s">
        <v>197</v>
      </c>
      <c r="X286" t="s">
        <v>195</v>
      </c>
      <c r="Y286" t="s">
        <v>198</v>
      </c>
    </row>
    <row r="287">
      <c r="A287">
        <v>1100</v>
      </c>
      <c r="B287" t="s">
        <v>20</v>
      </c>
      <c r="C287" t="s">
        <v>112</v>
      </c>
      <c r="D287" t="s">
        <v>195</v>
      </c>
      <c r="E287" t="s">
        <v>196</v>
      </c>
      <c r="F287">
        <v>0.8</v>
      </c>
      <c r="G287" t="s">
        <v>197</v>
      </c>
      <c r="H287" t="s">
        <v>94</v>
      </c>
      <c r="I287">
        <v>2</v>
      </c>
      <c r="J287" t="s">
        <v>197</v>
      </c>
      <c r="K287" t="s">
        <v>197</v>
      </c>
      <c r="L287">
        <v/>
      </c>
      <c r="N287" t="s">
        <v>197</v>
      </c>
      <c r="R287" t="s">
        <v>53</v>
      </c>
      <c r="S287" t="s">
        <v>64</v>
      </c>
      <c r="T287" t="s">
        <v>77</v>
      </c>
      <c r="U287" t="s">
        <v>197</v>
      </c>
      <c r="V287" t="s">
        <v>197</v>
      </c>
      <c r="W287" t="s">
        <v>197</v>
      </c>
      <c r="X287" t="s">
        <v>195</v>
      </c>
      <c r="Y287" t="s">
        <v>198</v>
      </c>
    </row>
    <row r="288">
      <c r="A288">
        <v>1106</v>
      </c>
      <c r="B288" t="s">
        <v>20</v>
      </c>
      <c r="C288" t="s">
        <v>112</v>
      </c>
      <c r="D288" t="s">
        <v>195</v>
      </c>
      <c r="E288" t="s">
        <v>196</v>
      </c>
      <c r="F288">
        <v>12.9</v>
      </c>
      <c r="G288" t="s">
        <v>195</v>
      </c>
      <c r="H288" t="s">
        <v>95</v>
      </c>
      <c r="I288">
        <v>2.2</v>
      </c>
      <c r="J288" t="s">
        <v>195</v>
      </c>
      <c r="K288" t="s">
        <v>195</v>
      </c>
      <c r="L288" t="s">
        <v>95</v>
      </c>
      <c r="M288">
        <v>6.7</v>
      </c>
      <c r="N288" t="s">
        <v>195</v>
      </c>
      <c r="O288" t="s">
        <v>95</v>
      </c>
      <c r="P288">
        <v>7.3</v>
      </c>
      <c r="Q288" t="s">
        <v>195</v>
      </c>
      <c r="R288" t="s">
        <v>49</v>
      </c>
      <c r="T288" t="s">
        <v>77</v>
      </c>
      <c r="U288" t="s">
        <v>197</v>
      </c>
      <c r="V288" t="s">
        <v>197</v>
      </c>
      <c r="W288" t="s">
        <v>197</v>
      </c>
      <c r="X288" t="s">
        <v>195</v>
      </c>
      <c r="Y288" t="s">
        <v>198</v>
      </c>
    </row>
    <row r="289">
      <c r="A289">
        <v>1109</v>
      </c>
      <c r="B289" t="s">
        <v>20</v>
      </c>
      <c r="C289" t="s">
        <v>112</v>
      </c>
      <c r="D289" t="s">
        <v>197</v>
      </c>
      <c r="E289" t="s">
        <v>201</v>
      </c>
      <c r="U289" t="s">
        <v>197</v>
      </c>
      <c r="V289" t="s">
        <v>197</v>
      </c>
      <c r="W289" t="s">
        <v>197</v>
      </c>
      <c r="X289" t="s">
        <v>195</v>
      </c>
      <c r="Y289" t="s">
        <v>198</v>
      </c>
    </row>
    <row r="290">
      <c r="A290">
        <v>1112</v>
      </c>
      <c r="B290" t="s">
        <v>20</v>
      </c>
      <c r="C290" t="s">
        <v>112</v>
      </c>
      <c r="D290" t="s">
        <v>195</v>
      </c>
      <c r="E290" t="s">
        <v>196</v>
      </c>
      <c r="F290">
        <v>0</v>
      </c>
      <c r="G290" t="s">
        <v>197</v>
      </c>
      <c r="H290" t="s">
        <v>95</v>
      </c>
      <c r="I290">
        <v>4.9</v>
      </c>
      <c r="J290" t="s">
        <v>197</v>
      </c>
      <c r="K290" t="s">
        <v>197</v>
      </c>
      <c r="L290">
        <v/>
      </c>
      <c r="N290" t="s">
        <v>197</v>
      </c>
      <c r="R290" t="s">
        <v>53</v>
      </c>
      <c r="S290" t="s">
        <v>64</v>
      </c>
      <c r="T290" t="s">
        <v>78</v>
      </c>
      <c r="U290" t="s">
        <v>197</v>
      </c>
      <c r="V290" t="s">
        <v>197</v>
      </c>
      <c r="W290" t="s">
        <v>197</v>
      </c>
      <c r="X290" t="s">
        <v>195</v>
      </c>
      <c r="Y290" t="s">
        <v>198</v>
      </c>
    </row>
    <row r="291">
      <c r="A291">
        <v>1113</v>
      </c>
      <c r="B291" t="s">
        <v>199</v>
      </c>
      <c r="C291" t="s">
        <v>112</v>
      </c>
      <c r="D291" t="s">
        <v>195</v>
      </c>
      <c r="E291" t="s">
        <v>196</v>
      </c>
      <c r="F291">
        <v>0.8</v>
      </c>
      <c r="G291" t="s">
        <v>195</v>
      </c>
      <c r="H291" t="s">
        <v>94</v>
      </c>
      <c r="I291">
        <v>2.4</v>
      </c>
      <c r="J291" t="s">
        <v>197</v>
      </c>
      <c r="K291" t="s">
        <v>195</v>
      </c>
      <c r="L291" t="s">
        <v>94</v>
      </c>
      <c r="M291">
        <v>2.4</v>
      </c>
      <c r="N291" t="s">
        <v>195</v>
      </c>
      <c r="O291" t="s">
        <v>94</v>
      </c>
      <c r="P291">
        <v>1.2</v>
      </c>
      <c r="Q291" t="s">
        <v>195</v>
      </c>
      <c r="R291" t="s">
        <v>50</v>
      </c>
      <c r="T291" t="s">
        <v>78</v>
      </c>
      <c r="U291" t="s">
        <v>195</v>
      </c>
      <c r="V291" t="s">
        <v>195</v>
      </c>
      <c r="W291" t="s">
        <v>195</v>
      </c>
      <c r="X291" t="s">
        <v>195</v>
      </c>
      <c r="Y291" t="s">
        <v>104</v>
      </c>
    </row>
    <row r="292">
      <c r="A292">
        <v>1122</v>
      </c>
      <c r="B292" t="s">
        <v>20</v>
      </c>
      <c r="C292" t="s">
        <v>112</v>
      </c>
      <c r="D292" t="s">
        <v>195</v>
      </c>
      <c r="E292" t="s">
        <v>196</v>
      </c>
      <c r="F292">
        <v>0.4</v>
      </c>
      <c r="G292" t="s">
        <v>197</v>
      </c>
      <c r="H292" t="s">
        <v>96</v>
      </c>
      <c r="I292">
        <v>573.1</v>
      </c>
      <c r="J292" t="s">
        <v>197</v>
      </c>
      <c r="K292" t="s">
        <v>197</v>
      </c>
      <c r="L292">
        <v/>
      </c>
      <c r="N292" t="s">
        <v>197</v>
      </c>
      <c r="R292" t="s">
        <v>53</v>
      </c>
      <c r="S292" t="s">
        <v>64</v>
      </c>
      <c r="T292" t="s">
        <v>78</v>
      </c>
      <c r="U292" t="s">
        <v>197</v>
      </c>
      <c r="V292" t="s">
        <v>197</v>
      </c>
      <c r="W292" t="s">
        <v>197</v>
      </c>
      <c r="X292" t="s">
        <v>195</v>
      </c>
      <c r="Y292" t="s">
        <v>198</v>
      </c>
    </row>
    <row r="293">
      <c r="A293">
        <v>1133</v>
      </c>
      <c r="B293" t="s">
        <v>194</v>
      </c>
      <c r="C293" t="s">
        <v>112</v>
      </c>
      <c r="D293" t="s">
        <v>197</v>
      </c>
      <c r="E293" t="s">
        <v>201</v>
      </c>
      <c r="U293" t="s">
        <v>197</v>
      </c>
      <c r="V293" t="s">
        <v>197</v>
      </c>
      <c r="W293" t="s">
        <v>197</v>
      </c>
      <c r="X293" t="s">
        <v>195</v>
      </c>
      <c r="Y293" t="s">
        <v>198</v>
      </c>
    </row>
    <row r="294">
      <c r="A294">
        <v>1141</v>
      </c>
      <c r="B294" t="s">
        <v>194</v>
      </c>
      <c r="C294" t="s">
        <v>112</v>
      </c>
      <c r="D294" t="s">
        <v>197</v>
      </c>
      <c r="E294" t="s">
        <v>201</v>
      </c>
      <c r="U294" t="s">
        <v>197</v>
      </c>
      <c r="V294" t="s">
        <v>197</v>
      </c>
      <c r="W294" t="s">
        <v>197</v>
      </c>
      <c r="X294" t="s">
        <v>195</v>
      </c>
      <c r="Y294" t="s">
        <v>198</v>
      </c>
    </row>
    <row r="295">
      <c r="A295">
        <v>1145</v>
      </c>
      <c r="B295" t="s">
        <v>20</v>
      </c>
      <c r="C295" t="s">
        <v>112</v>
      </c>
      <c r="D295" t="s">
        <v>195</v>
      </c>
      <c r="E295" t="s">
        <v>196</v>
      </c>
      <c r="F295">
        <v>5</v>
      </c>
      <c r="G295" t="s">
        <v>197</v>
      </c>
      <c r="H295" t="s">
        <v>96</v>
      </c>
      <c r="I295">
        <v>46.1</v>
      </c>
      <c r="J295" t="s">
        <v>195</v>
      </c>
      <c r="K295" t="s">
        <v>195</v>
      </c>
      <c r="L295" t="s">
        <v>96</v>
      </c>
      <c r="M295">
        <v>61.4</v>
      </c>
      <c r="N295" t="s">
        <v>197</v>
      </c>
      <c r="R295" t="s">
        <v>52</v>
      </c>
      <c r="S295" t="s">
        <v>65</v>
      </c>
      <c r="T295" t="s">
        <v>78</v>
      </c>
      <c r="U295" t="s">
        <v>197</v>
      </c>
      <c r="V295" t="s">
        <v>197</v>
      </c>
      <c r="W295" t="s">
        <v>197</v>
      </c>
      <c r="X295" t="s">
        <v>195</v>
      </c>
      <c r="Y295" t="s">
        <v>198</v>
      </c>
    </row>
    <row r="296">
      <c r="A296">
        <v>1147</v>
      </c>
      <c r="B296" t="s">
        <v>199</v>
      </c>
      <c r="C296" t="s">
        <v>112</v>
      </c>
      <c r="D296" t="s">
        <v>195</v>
      </c>
      <c r="E296" t="s">
        <v>200</v>
      </c>
      <c r="F296">
        <v>251.5</v>
      </c>
      <c r="G296" t="s">
        <v>197</v>
      </c>
      <c r="H296" t="s">
        <v>96</v>
      </c>
      <c r="I296">
        <v>3051.5</v>
      </c>
      <c r="J296" t="s">
        <v>197</v>
      </c>
      <c r="K296" t="s">
        <v>197</v>
      </c>
      <c r="L296">
        <v/>
      </c>
      <c r="N296" t="s">
        <v>197</v>
      </c>
      <c r="R296" t="s">
        <v>53</v>
      </c>
      <c r="S296" t="s">
        <v>64</v>
      </c>
      <c r="T296" t="s">
        <v>76</v>
      </c>
      <c r="U296" t="s">
        <v>197</v>
      </c>
      <c r="V296" t="s">
        <v>197</v>
      </c>
      <c r="W296" t="s">
        <v>197</v>
      </c>
      <c r="X296" t="s">
        <v>195</v>
      </c>
      <c r="Y296" t="s">
        <v>198</v>
      </c>
    </row>
    <row r="297">
      <c r="A297">
        <v>1131</v>
      </c>
      <c r="B297" t="s">
        <v>20</v>
      </c>
      <c r="C297" t="s">
        <v>112</v>
      </c>
      <c r="D297" t="s">
        <v>195</v>
      </c>
      <c r="E297" t="s">
        <v>196</v>
      </c>
      <c r="F297">
        <v>0.5</v>
      </c>
      <c r="G297" t="s">
        <v>197</v>
      </c>
      <c r="H297" t="s">
        <v>96</v>
      </c>
      <c r="I297">
        <v>21.8</v>
      </c>
      <c r="J297" t="s">
        <v>195</v>
      </c>
      <c r="K297" t="s">
        <v>195</v>
      </c>
      <c r="L297" t="s">
        <v>96</v>
      </c>
      <c r="M297">
        <v>24.5</v>
      </c>
      <c r="N297" t="s">
        <v>195</v>
      </c>
      <c r="O297" t="s">
        <v>94</v>
      </c>
      <c r="P297">
        <v>788.4</v>
      </c>
      <c r="Q297" t="s">
        <v>195</v>
      </c>
      <c r="R297" t="s">
        <v>49</v>
      </c>
      <c r="T297" t="s">
        <v>78</v>
      </c>
      <c r="U297" t="s">
        <v>197</v>
      </c>
      <c r="V297" t="s">
        <v>197</v>
      </c>
      <c r="W297" t="s">
        <v>197</v>
      </c>
      <c r="X297" t="s">
        <v>195</v>
      </c>
      <c r="Y297" t="s">
        <v>198</v>
      </c>
    </row>
    <row r="298">
      <c r="A298">
        <v>1134</v>
      </c>
      <c r="B298" t="s">
        <v>199</v>
      </c>
      <c r="C298" t="s">
        <v>112</v>
      </c>
      <c r="D298" t="s">
        <v>195</v>
      </c>
      <c r="E298" t="s">
        <v>196</v>
      </c>
      <c r="F298">
        <v>1.9</v>
      </c>
      <c r="G298" t="s">
        <v>197</v>
      </c>
      <c r="H298" t="s">
        <v>96</v>
      </c>
      <c r="I298">
        <v>31.4</v>
      </c>
      <c r="J298" t="s">
        <v>195</v>
      </c>
      <c r="K298" t="s">
        <v>195</v>
      </c>
      <c r="L298" t="s">
        <v>96</v>
      </c>
      <c r="M298">
        <v>34.7</v>
      </c>
      <c r="N298" t="s">
        <v>197</v>
      </c>
      <c r="R298" t="s">
        <v>52</v>
      </c>
      <c r="S298" t="s">
        <v>65</v>
      </c>
      <c r="T298" t="s">
        <v>78</v>
      </c>
      <c r="U298" t="s">
        <v>197</v>
      </c>
      <c r="V298" t="s">
        <v>197</v>
      </c>
      <c r="W298" t="s">
        <v>197</v>
      </c>
      <c r="X298" t="s">
        <v>195</v>
      </c>
      <c r="Y298" t="s">
        <v>198</v>
      </c>
    </row>
    <row r="299">
      <c r="A299">
        <v>1136</v>
      </c>
      <c r="B299" t="s">
        <v>199</v>
      </c>
      <c r="C299" t="s">
        <v>112</v>
      </c>
      <c r="D299" t="s">
        <v>197</v>
      </c>
      <c r="E299" t="s">
        <v>201</v>
      </c>
      <c r="U299" t="s">
        <v>197</v>
      </c>
      <c r="V299" t="s">
        <v>197</v>
      </c>
      <c r="W299" t="s">
        <v>197</v>
      </c>
      <c r="X299" t="s">
        <v>195</v>
      </c>
      <c r="Y299" t="s">
        <v>198</v>
      </c>
    </row>
    <row r="300">
      <c r="A300">
        <v>1137</v>
      </c>
      <c r="B300" t="s">
        <v>20</v>
      </c>
      <c r="C300" t="s">
        <v>112</v>
      </c>
      <c r="D300" t="s">
        <v>195</v>
      </c>
      <c r="E300" t="s">
        <v>196</v>
      </c>
      <c r="F300">
        <v>2.2</v>
      </c>
      <c r="G300" t="s">
        <v>197</v>
      </c>
      <c r="H300" t="s">
        <v>96</v>
      </c>
      <c r="I300">
        <v>34.3</v>
      </c>
      <c r="J300" t="s">
        <v>195</v>
      </c>
      <c r="K300" t="s">
        <v>195</v>
      </c>
      <c r="L300" t="s">
        <v>96</v>
      </c>
      <c r="M300">
        <v>38.5</v>
      </c>
      <c r="N300" t="s">
        <v>197</v>
      </c>
      <c r="R300" t="s">
        <v>52</v>
      </c>
      <c r="S300" t="s">
        <v>66</v>
      </c>
      <c r="T300" t="s">
        <v>78</v>
      </c>
      <c r="U300" t="s">
        <v>195</v>
      </c>
      <c r="V300" t="s">
        <v>195</v>
      </c>
      <c r="W300" t="s">
        <v>197</v>
      </c>
      <c r="X300" t="s">
        <v>195</v>
      </c>
      <c r="Y300" t="s">
        <v>198</v>
      </c>
    </row>
    <row r="301">
      <c r="A301">
        <v>1142</v>
      </c>
      <c r="B301" t="s">
        <v>20</v>
      </c>
      <c r="C301" t="s">
        <v>112</v>
      </c>
      <c r="D301" t="s">
        <v>197</v>
      </c>
      <c r="E301" t="s">
        <v>201</v>
      </c>
      <c r="U301" t="s">
        <v>197</v>
      </c>
      <c r="V301" t="s">
        <v>197</v>
      </c>
      <c r="W301" t="s">
        <v>197</v>
      </c>
      <c r="X301" t="s">
        <v>195</v>
      </c>
      <c r="Y301" t="s">
        <v>198</v>
      </c>
    </row>
    <row r="302">
      <c r="A302">
        <v>1143</v>
      </c>
      <c r="B302" t="s">
        <v>20</v>
      </c>
      <c r="C302" t="s">
        <v>112</v>
      </c>
      <c r="D302" t="s">
        <v>195</v>
      </c>
      <c r="E302" t="s">
        <v>196</v>
      </c>
      <c r="F302">
        <v>42.8</v>
      </c>
      <c r="G302" t="s">
        <v>197</v>
      </c>
      <c r="H302" t="s">
        <v>96</v>
      </c>
      <c r="I302">
        <v>24.4</v>
      </c>
      <c r="J302" t="s">
        <v>195</v>
      </c>
      <c r="K302" t="s">
        <v>195</v>
      </c>
      <c r="L302" t="s">
        <v>96</v>
      </c>
      <c r="M302">
        <v>30</v>
      </c>
      <c r="N302" t="s">
        <v>197</v>
      </c>
      <c r="R302" t="s">
        <v>52</v>
      </c>
      <c r="S302" t="s">
        <v>65</v>
      </c>
      <c r="T302" t="s">
        <v>76</v>
      </c>
      <c r="U302" t="s">
        <v>197</v>
      </c>
      <c r="V302" t="s">
        <v>197</v>
      </c>
      <c r="W302" t="s">
        <v>197</v>
      </c>
      <c r="X302" t="s">
        <v>195</v>
      </c>
      <c r="Y302" t="s">
        <v>198</v>
      </c>
    </row>
    <row r="303">
      <c r="A303">
        <v>1150</v>
      </c>
      <c r="B303" t="s">
        <v>20</v>
      </c>
      <c r="C303" t="s">
        <v>112</v>
      </c>
      <c r="D303" t="s">
        <v>195</v>
      </c>
      <c r="E303" t="s">
        <v>196</v>
      </c>
      <c r="F303">
        <v>1.4</v>
      </c>
      <c r="G303" t="s">
        <v>197</v>
      </c>
      <c r="H303" t="s">
        <v>96</v>
      </c>
      <c r="I303">
        <v>40.5</v>
      </c>
      <c r="J303" t="s">
        <v>195</v>
      </c>
      <c r="K303" t="s">
        <v>195</v>
      </c>
      <c r="L303" t="s">
        <v>96</v>
      </c>
      <c r="M303">
        <v>47.9</v>
      </c>
      <c r="N303" t="s">
        <v>197</v>
      </c>
      <c r="R303" t="s">
        <v>52</v>
      </c>
      <c r="S303" t="s">
        <v>65</v>
      </c>
      <c r="T303" t="s">
        <v>76</v>
      </c>
      <c r="U303" t="s">
        <v>197</v>
      </c>
      <c r="V303" t="s">
        <v>197</v>
      </c>
      <c r="W303" t="s">
        <v>197</v>
      </c>
      <c r="X303" t="s">
        <v>195</v>
      </c>
      <c r="Y303" t="s">
        <v>198</v>
      </c>
    </row>
    <row r="304">
      <c r="A304">
        <v>1151</v>
      </c>
      <c r="B304" t="s">
        <v>20</v>
      </c>
      <c r="C304" t="s">
        <v>112</v>
      </c>
      <c r="D304" t="s">
        <v>195</v>
      </c>
      <c r="E304" t="s">
        <v>196</v>
      </c>
      <c r="F304">
        <v>0.5</v>
      </c>
      <c r="G304" t="s">
        <v>197</v>
      </c>
      <c r="H304" t="s">
        <v>96</v>
      </c>
      <c r="I304">
        <v>37.9</v>
      </c>
      <c r="J304" t="s">
        <v>195</v>
      </c>
      <c r="K304" t="s">
        <v>195</v>
      </c>
      <c r="L304" t="s">
        <v>94</v>
      </c>
      <c r="M304">
        <v>690.8</v>
      </c>
      <c r="N304" t="s">
        <v>195</v>
      </c>
      <c r="O304" t="s">
        <v>94</v>
      </c>
      <c r="P304">
        <v>691.2</v>
      </c>
      <c r="Q304" t="s">
        <v>195</v>
      </c>
      <c r="R304" t="s">
        <v>49</v>
      </c>
      <c r="T304" t="s">
        <v>76</v>
      </c>
      <c r="U304" t="s">
        <v>197</v>
      </c>
      <c r="V304" t="s">
        <v>197</v>
      </c>
      <c r="W304" t="s">
        <v>197</v>
      </c>
      <c r="X304" t="s">
        <v>195</v>
      </c>
      <c r="Y304" t="s">
        <v>198</v>
      </c>
    </row>
    <row r="305">
      <c r="A305">
        <v>1159</v>
      </c>
      <c r="B305" t="s">
        <v>199</v>
      </c>
      <c r="C305" t="s">
        <v>112</v>
      </c>
      <c r="D305" t="s">
        <v>197</v>
      </c>
      <c r="E305" t="s">
        <v>201</v>
      </c>
      <c r="U305" t="s">
        <v>197</v>
      </c>
      <c r="V305" t="s">
        <v>197</v>
      </c>
      <c r="W305" t="s">
        <v>197</v>
      </c>
      <c r="X305" t="s">
        <v>195</v>
      </c>
      <c r="Y305" t="s">
        <v>198</v>
      </c>
    </row>
    <row r="306">
      <c r="A306">
        <v>1170</v>
      </c>
      <c r="B306" t="s">
        <v>20</v>
      </c>
      <c r="C306" t="s">
        <v>112</v>
      </c>
      <c r="D306" t="s">
        <v>195</v>
      </c>
      <c r="E306" t="s">
        <v>196</v>
      </c>
      <c r="F306">
        <v>0.8</v>
      </c>
      <c r="G306" t="s">
        <v>197</v>
      </c>
      <c r="H306" t="s">
        <v>96</v>
      </c>
      <c r="I306">
        <v>0.5</v>
      </c>
      <c r="J306" t="s">
        <v>195</v>
      </c>
      <c r="K306" t="s">
        <v>195</v>
      </c>
      <c r="L306" t="s">
        <v>96</v>
      </c>
      <c r="M306">
        <v>5.4</v>
      </c>
      <c r="N306" t="s">
        <v>197</v>
      </c>
      <c r="R306" t="s">
        <v>52</v>
      </c>
      <c r="S306" t="s">
        <v>64</v>
      </c>
      <c r="T306" t="s">
        <v>76</v>
      </c>
      <c r="U306" t="s">
        <v>195</v>
      </c>
      <c r="V306" t="s">
        <v>197</v>
      </c>
      <c r="W306" t="s">
        <v>197</v>
      </c>
      <c r="X306" t="s">
        <v>195</v>
      </c>
      <c r="Y306" t="s">
        <v>198</v>
      </c>
    </row>
    <row r="307">
      <c r="A307">
        <v>1171</v>
      </c>
      <c r="B307" t="s">
        <v>194</v>
      </c>
      <c r="C307" t="s">
        <v>112</v>
      </c>
      <c r="D307" t="s">
        <v>195</v>
      </c>
      <c r="E307" t="s">
        <v>196</v>
      </c>
      <c r="F307">
        <v>0.6</v>
      </c>
      <c r="G307" t="s">
        <v>197</v>
      </c>
      <c r="H307" t="s">
        <v>96</v>
      </c>
      <c r="I307">
        <v>1.8</v>
      </c>
      <c r="J307" t="s">
        <v>195</v>
      </c>
      <c r="K307" t="s">
        <v>195</v>
      </c>
      <c r="L307" t="s">
        <v>96</v>
      </c>
      <c r="M307">
        <v>7</v>
      </c>
      <c r="N307" t="s">
        <v>195</v>
      </c>
      <c r="O307" t="s">
        <v>94</v>
      </c>
      <c r="P307">
        <v>639.3</v>
      </c>
      <c r="Q307" t="s">
        <v>195</v>
      </c>
      <c r="R307" t="s">
        <v>49</v>
      </c>
      <c r="T307" t="s">
        <v>76</v>
      </c>
      <c r="U307" t="s">
        <v>197</v>
      </c>
      <c r="V307" t="s">
        <v>197</v>
      </c>
      <c r="W307" t="s">
        <v>197</v>
      </c>
      <c r="X307" t="s">
        <v>195</v>
      </c>
      <c r="Y307" t="s">
        <v>198</v>
      </c>
    </row>
    <row r="308">
      <c r="A308">
        <v>1176</v>
      </c>
      <c r="B308" t="s">
        <v>20</v>
      </c>
      <c r="C308" t="s">
        <v>112</v>
      </c>
      <c r="D308" t="s">
        <v>195</v>
      </c>
      <c r="E308" t="s">
        <v>196</v>
      </c>
      <c r="F308">
        <v>0.5</v>
      </c>
      <c r="G308" t="s">
        <v>197</v>
      </c>
      <c r="H308" t="s">
        <v>96</v>
      </c>
      <c r="I308">
        <v>0.3</v>
      </c>
      <c r="J308" t="s">
        <v>195</v>
      </c>
      <c r="K308" t="s">
        <v>195</v>
      </c>
      <c r="L308" t="s">
        <v>96</v>
      </c>
      <c r="M308">
        <v>4.4</v>
      </c>
      <c r="N308" t="s">
        <v>197</v>
      </c>
      <c r="R308" t="s">
        <v>52</v>
      </c>
      <c r="S308" t="s">
        <v>64</v>
      </c>
      <c r="T308" t="s">
        <v>76</v>
      </c>
      <c r="U308" t="s">
        <v>197</v>
      </c>
      <c r="V308" t="s">
        <v>197</v>
      </c>
      <c r="W308" t="s">
        <v>197</v>
      </c>
      <c r="X308" t="s">
        <v>195</v>
      </c>
      <c r="Y308" t="s">
        <v>198</v>
      </c>
    </row>
    <row r="309">
      <c r="A309">
        <v>1177</v>
      </c>
      <c r="B309" t="s">
        <v>20</v>
      </c>
      <c r="C309" t="s">
        <v>112</v>
      </c>
      <c r="D309" t="s">
        <v>195</v>
      </c>
      <c r="E309" t="s">
        <v>196</v>
      </c>
      <c r="F309">
        <v>8.800000000000001</v>
      </c>
      <c r="G309" t="s">
        <v>197</v>
      </c>
      <c r="H309" t="s">
        <v>96</v>
      </c>
      <c r="I309">
        <v>4.7</v>
      </c>
      <c r="J309" t="s">
        <v>195</v>
      </c>
      <c r="K309" t="s">
        <v>195</v>
      </c>
      <c r="L309" t="s">
        <v>96</v>
      </c>
      <c r="M309">
        <v>36.8</v>
      </c>
      <c r="N309" t="s">
        <v>197</v>
      </c>
      <c r="R309" t="s">
        <v>52</v>
      </c>
      <c r="S309" t="s">
        <v>64</v>
      </c>
      <c r="T309" t="s">
        <v>76</v>
      </c>
      <c r="U309" t="s">
        <v>197</v>
      </c>
      <c r="V309" t="s">
        <v>197</v>
      </c>
      <c r="W309" t="s">
        <v>197</v>
      </c>
      <c r="X309" t="s">
        <v>195</v>
      </c>
      <c r="Y309" t="s">
        <v>198</v>
      </c>
    </row>
    <row r="310">
      <c r="A310">
        <v>1175</v>
      </c>
      <c r="B310" t="s">
        <v>20</v>
      </c>
      <c r="C310" t="s">
        <v>112</v>
      </c>
      <c r="D310" t="s">
        <v>197</v>
      </c>
      <c r="E310" t="s">
        <v>201</v>
      </c>
      <c r="U310" t="s">
        <v>197</v>
      </c>
      <c r="V310" t="s">
        <v>197</v>
      </c>
      <c r="W310" t="s">
        <v>197</v>
      </c>
      <c r="X310" t="s">
        <v>195</v>
      </c>
      <c r="Y310" t="s">
        <v>198</v>
      </c>
    </row>
    <row r="311">
      <c r="A311">
        <v>1178</v>
      </c>
      <c r="B311" t="s">
        <v>20</v>
      </c>
      <c r="C311" t="s">
        <v>112</v>
      </c>
      <c r="D311" t="s">
        <v>195</v>
      </c>
      <c r="E311" t="s">
        <v>196</v>
      </c>
      <c r="F311">
        <v>9.199999999999999</v>
      </c>
      <c r="G311" t="s">
        <v>197</v>
      </c>
      <c r="H311" t="s">
        <v>96</v>
      </c>
      <c r="I311">
        <v>2.7</v>
      </c>
      <c r="J311" t="s">
        <v>195</v>
      </c>
      <c r="K311" t="s">
        <v>195</v>
      </c>
      <c r="L311" t="s">
        <v>96</v>
      </c>
      <c r="M311">
        <v>11.1</v>
      </c>
      <c r="N311" t="s">
        <v>197</v>
      </c>
      <c r="R311" t="s">
        <v>52</v>
      </c>
      <c r="S311" t="s">
        <v>65</v>
      </c>
      <c r="T311" t="s">
        <v>76</v>
      </c>
      <c r="U311" t="s">
        <v>197</v>
      </c>
      <c r="V311" t="s">
        <v>197</v>
      </c>
      <c r="W311" t="s">
        <v>197</v>
      </c>
      <c r="X311" t="s">
        <v>195</v>
      </c>
      <c r="Y311" t="s">
        <v>198</v>
      </c>
    </row>
    <row r="312">
      <c r="A312">
        <v>1181</v>
      </c>
      <c r="B312" t="s">
        <v>20</v>
      </c>
      <c r="C312" t="s">
        <v>112</v>
      </c>
      <c r="D312" t="s">
        <v>195</v>
      </c>
      <c r="E312" t="s">
        <v>196</v>
      </c>
      <c r="F312">
        <v>0.5</v>
      </c>
      <c r="G312" t="s">
        <v>197</v>
      </c>
      <c r="H312" t="s">
        <v>96</v>
      </c>
      <c r="I312">
        <v>3.7</v>
      </c>
      <c r="J312" t="s">
        <v>195</v>
      </c>
      <c r="K312" t="s">
        <v>195</v>
      </c>
      <c r="L312" t="s">
        <v>96</v>
      </c>
      <c r="M312">
        <v>12.9</v>
      </c>
      <c r="N312" t="s">
        <v>197</v>
      </c>
      <c r="R312" t="s">
        <v>52</v>
      </c>
      <c r="S312" t="s">
        <v>66</v>
      </c>
      <c r="T312" t="s">
        <v>76</v>
      </c>
      <c r="U312" t="s">
        <v>195</v>
      </c>
      <c r="V312" t="s">
        <v>195</v>
      </c>
      <c r="W312" t="s">
        <v>195</v>
      </c>
      <c r="X312" t="s">
        <v>195</v>
      </c>
      <c r="Y312" t="s">
        <v>104</v>
      </c>
    </row>
    <row r="313">
      <c r="A313">
        <v>1180</v>
      </c>
      <c r="B313" t="s">
        <v>20</v>
      </c>
      <c r="C313" t="s">
        <v>112</v>
      </c>
      <c r="D313" t="s">
        <v>195</v>
      </c>
      <c r="E313" t="s">
        <v>196</v>
      </c>
      <c r="F313">
        <v>22.3</v>
      </c>
      <c r="G313" t="s">
        <v>197</v>
      </c>
      <c r="H313" t="s">
        <v>96</v>
      </c>
      <c r="I313">
        <v>12.6</v>
      </c>
      <c r="J313" t="s">
        <v>195</v>
      </c>
      <c r="K313" t="s">
        <v>195</v>
      </c>
      <c r="L313" t="s">
        <v>96</v>
      </c>
      <c r="M313">
        <v>17.8</v>
      </c>
      <c r="N313" t="s">
        <v>197</v>
      </c>
      <c r="R313" t="s">
        <v>52</v>
      </c>
      <c r="S313" t="s">
        <v>64</v>
      </c>
      <c r="T313" t="s">
        <v>76</v>
      </c>
      <c r="U313" t="s">
        <v>197</v>
      </c>
      <c r="V313" t="s">
        <v>197</v>
      </c>
      <c r="W313" t="s">
        <v>197</v>
      </c>
      <c r="X313" t="s">
        <v>195</v>
      </c>
      <c r="Y313" t="s">
        <v>198</v>
      </c>
    </row>
    <row r="314">
      <c r="A314">
        <v>1183</v>
      </c>
      <c r="B314" t="s">
        <v>194</v>
      </c>
      <c r="C314" t="s">
        <v>112</v>
      </c>
      <c r="D314" t="s">
        <v>195</v>
      </c>
      <c r="E314" t="s">
        <v>196</v>
      </c>
      <c r="F314">
        <v>0.4</v>
      </c>
      <c r="G314" t="s">
        <v>195</v>
      </c>
      <c r="H314" t="s">
        <v>95</v>
      </c>
      <c r="I314">
        <v>8.9</v>
      </c>
      <c r="J314" t="s">
        <v>195</v>
      </c>
      <c r="K314" t="s">
        <v>195</v>
      </c>
      <c r="L314" t="s">
        <v>95</v>
      </c>
      <c r="M314">
        <v>11.4</v>
      </c>
      <c r="N314" t="s">
        <v>195</v>
      </c>
      <c r="O314" t="s">
        <v>95</v>
      </c>
      <c r="P314">
        <v>12.3</v>
      </c>
      <c r="Q314" t="s">
        <v>195</v>
      </c>
      <c r="R314" t="s">
        <v>49</v>
      </c>
      <c r="T314" t="s">
        <v>76</v>
      </c>
      <c r="U314" t="s">
        <v>195</v>
      </c>
      <c r="V314" t="s">
        <v>195</v>
      </c>
      <c r="W314" t="s">
        <v>197</v>
      </c>
      <c r="X314" t="s">
        <v>195</v>
      </c>
      <c r="Y314" t="s">
        <v>198</v>
      </c>
    </row>
    <row r="315">
      <c r="A315">
        <v>1185</v>
      </c>
      <c r="B315" t="s">
        <v>20</v>
      </c>
      <c r="C315" t="s">
        <v>112</v>
      </c>
      <c r="D315" t="s">
        <v>195</v>
      </c>
      <c r="E315" t="s">
        <v>196</v>
      </c>
      <c r="F315">
        <v>2.4</v>
      </c>
      <c r="G315" t="s">
        <v>197</v>
      </c>
      <c r="H315" t="s">
        <v>95</v>
      </c>
      <c r="I315">
        <v>4.5</v>
      </c>
      <c r="J315" t="s">
        <v>195</v>
      </c>
      <c r="K315" t="s">
        <v>195</v>
      </c>
      <c r="L315" t="s">
        <v>95</v>
      </c>
      <c r="M315">
        <v>9.800000000000001</v>
      </c>
      <c r="N315" t="s">
        <v>195</v>
      </c>
      <c r="O315" t="s">
        <v>95</v>
      </c>
      <c r="P315">
        <v>10.5</v>
      </c>
      <c r="Q315" t="s">
        <v>195</v>
      </c>
      <c r="R315" t="s">
        <v>49</v>
      </c>
      <c r="T315" t="s">
        <v>76</v>
      </c>
      <c r="U315" t="s">
        <v>197</v>
      </c>
      <c r="V315" t="s">
        <v>197</v>
      </c>
      <c r="W315" t="s">
        <v>197</v>
      </c>
      <c r="X315" t="s">
        <v>195</v>
      </c>
      <c r="Y315" t="s">
        <v>198</v>
      </c>
    </row>
    <row r="316">
      <c r="A316">
        <v>1189</v>
      </c>
      <c r="B316" t="s">
        <v>20</v>
      </c>
      <c r="C316" t="s">
        <v>112</v>
      </c>
      <c r="D316" t="s">
        <v>197</v>
      </c>
      <c r="E316" t="s">
        <v>201</v>
      </c>
      <c r="U316" t="s">
        <v>197</v>
      </c>
      <c r="V316" t="s">
        <v>197</v>
      </c>
      <c r="W316" t="s">
        <v>197</v>
      </c>
      <c r="X316" t="s">
        <v>195</v>
      </c>
      <c r="Y316" t="s">
        <v>198</v>
      </c>
    </row>
    <row r="317">
      <c r="A317">
        <v>1191</v>
      </c>
      <c r="B317" t="s">
        <v>20</v>
      </c>
      <c r="C317" t="s">
        <v>112</v>
      </c>
      <c r="D317" t="s">
        <v>195</v>
      </c>
      <c r="E317" t="s">
        <v>196</v>
      </c>
      <c r="F317">
        <v>45.4</v>
      </c>
      <c r="G317" t="s">
        <v>197</v>
      </c>
      <c r="H317" t="s">
        <v>94</v>
      </c>
      <c r="I317">
        <v>5.1</v>
      </c>
      <c r="J317" t="s">
        <v>195</v>
      </c>
      <c r="K317" t="s">
        <v>195</v>
      </c>
      <c r="L317" t="s">
        <v>94</v>
      </c>
      <c r="M317">
        <v>8.9</v>
      </c>
      <c r="N317" t="s">
        <v>195</v>
      </c>
      <c r="O317" t="s">
        <v>94</v>
      </c>
      <c r="P317">
        <v>8.1</v>
      </c>
      <c r="Q317" t="s">
        <v>195</v>
      </c>
      <c r="R317" t="s">
        <v>50</v>
      </c>
      <c r="T317" t="s">
        <v>76</v>
      </c>
      <c r="U317" t="s">
        <v>197</v>
      </c>
      <c r="V317" t="s">
        <v>197</v>
      </c>
      <c r="W317" t="s">
        <v>197</v>
      </c>
      <c r="X317" t="s">
        <v>195</v>
      </c>
      <c r="Y317" t="s">
        <v>198</v>
      </c>
    </row>
    <row r="318">
      <c r="A318">
        <v>1192</v>
      </c>
      <c r="B318" t="s">
        <v>20</v>
      </c>
      <c r="C318" t="s">
        <v>112</v>
      </c>
      <c r="D318" t="s">
        <v>195</v>
      </c>
      <c r="E318" t="s">
        <v>196</v>
      </c>
      <c r="F318">
        <v>0.4</v>
      </c>
      <c r="G318" t="s">
        <v>197</v>
      </c>
      <c r="H318" t="s">
        <v>94</v>
      </c>
      <c r="I318">
        <v>2.7</v>
      </c>
      <c r="J318" t="s">
        <v>195</v>
      </c>
      <c r="K318" t="s">
        <v>195</v>
      </c>
      <c r="L318" t="s">
        <v>94</v>
      </c>
      <c r="M318">
        <v>6</v>
      </c>
      <c r="N318" t="s">
        <v>195</v>
      </c>
      <c r="O318" t="s">
        <v>94</v>
      </c>
      <c r="P318">
        <v>6.3</v>
      </c>
      <c r="Q318" t="s">
        <v>195</v>
      </c>
      <c r="R318" t="s">
        <v>49</v>
      </c>
      <c r="T318" t="s">
        <v>76</v>
      </c>
      <c r="U318" t="s">
        <v>197</v>
      </c>
      <c r="V318" t="s">
        <v>197</v>
      </c>
      <c r="W318" t="s">
        <v>197</v>
      </c>
      <c r="X318" t="s">
        <v>195</v>
      </c>
      <c r="Y318" t="s">
        <v>198</v>
      </c>
    </row>
    <row r="319">
      <c r="A319">
        <v>1194</v>
      </c>
      <c r="B319" t="s">
        <v>20</v>
      </c>
      <c r="C319" t="s">
        <v>112</v>
      </c>
      <c r="D319" t="s">
        <v>195</v>
      </c>
      <c r="E319" t="s">
        <v>196</v>
      </c>
      <c r="F319">
        <v>14.6</v>
      </c>
      <c r="G319" t="s">
        <v>197</v>
      </c>
      <c r="H319" t="s">
        <v>94</v>
      </c>
      <c r="I319">
        <v>6.8</v>
      </c>
      <c r="J319" t="s">
        <v>195</v>
      </c>
      <c r="K319" t="s">
        <v>195</v>
      </c>
      <c r="L319" t="s">
        <v>94</v>
      </c>
      <c r="M319">
        <v>11.4</v>
      </c>
      <c r="N319" t="s">
        <v>195</v>
      </c>
      <c r="O319" t="s">
        <v>94</v>
      </c>
      <c r="P319">
        <v>10.1</v>
      </c>
      <c r="Q319" t="s">
        <v>195</v>
      </c>
      <c r="R319" t="s">
        <v>50</v>
      </c>
      <c r="T319" t="s">
        <v>76</v>
      </c>
      <c r="U319" t="s">
        <v>195</v>
      </c>
      <c r="V319" t="s">
        <v>195</v>
      </c>
      <c r="W319" t="s">
        <v>195</v>
      </c>
      <c r="X319" t="s">
        <v>195</v>
      </c>
      <c r="Y319" t="s">
        <v>104</v>
      </c>
    </row>
    <row r="320">
      <c r="A320">
        <v>1197</v>
      </c>
      <c r="B320" t="s">
        <v>20</v>
      </c>
      <c r="C320" t="s">
        <v>112</v>
      </c>
      <c r="D320" t="s">
        <v>197</v>
      </c>
      <c r="E320" t="s">
        <v>201</v>
      </c>
      <c r="U320" t="s">
        <v>197</v>
      </c>
      <c r="V320" t="s">
        <v>197</v>
      </c>
      <c r="W320" t="s">
        <v>197</v>
      </c>
      <c r="X320" t="s">
        <v>195</v>
      </c>
      <c r="Y320" t="s">
        <v>198</v>
      </c>
    </row>
    <row r="321">
      <c r="A321">
        <v>1199</v>
      </c>
      <c r="B321" t="s">
        <v>20</v>
      </c>
      <c r="C321" t="s">
        <v>112</v>
      </c>
      <c r="D321" t="s">
        <v>197</v>
      </c>
      <c r="E321" t="s">
        <v>201</v>
      </c>
      <c r="U321" t="s">
        <v>197</v>
      </c>
      <c r="V321" t="s">
        <v>197</v>
      </c>
      <c r="W321" t="s">
        <v>197</v>
      </c>
      <c r="X321" t="s">
        <v>195</v>
      </c>
      <c r="Y321" t="s">
        <v>198</v>
      </c>
    </row>
    <row r="322">
      <c r="A322">
        <v>1204</v>
      </c>
      <c r="B322" t="s">
        <v>20</v>
      </c>
      <c r="C322" t="s">
        <v>112</v>
      </c>
      <c r="D322" t="s">
        <v>197</v>
      </c>
      <c r="E322" t="s">
        <v>201</v>
      </c>
      <c r="U322" t="s">
        <v>197</v>
      </c>
      <c r="V322" t="s">
        <v>197</v>
      </c>
      <c r="W322" t="s">
        <v>197</v>
      </c>
      <c r="X322" t="s">
        <v>195</v>
      </c>
      <c r="Y322" t="s">
        <v>198</v>
      </c>
    </row>
    <row r="323">
      <c r="A323">
        <v>1202</v>
      </c>
      <c r="B323" t="s">
        <v>20</v>
      </c>
      <c r="C323" t="s">
        <v>112</v>
      </c>
      <c r="D323" t="s">
        <v>195</v>
      </c>
      <c r="E323" t="s">
        <v>200</v>
      </c>
      <c r="F323">
        <v>4149.9</v>
      </c>
      <c r="G323" t="s">
        <v>195</v>
      </c>
      <c r="H323" t="s">
        <v>94</v>
      </c>
      <c r="I323">
        <v>3</v>
      </c>
      <c r="J323" t="s">
        <v>197</v>
      </c>
      <c r="K323" t="s">
        <v>197</v>
      </c>
      <c r="L323">
        <v/>
      </c>
      <c r="N323" t="s">
        <v>197</v>
      </c>
      <c r="R323" t="s">
        <v>53</v>
      </c>
      <c r="S323" t="s">
        <v>64</v>
      </c>
      <c r="T323" t="s">
        <v>76</v>
      </c>
      <c r="U323" t="s">
        <v>197</v>
      </c>
      <c r="V323" t="s">
        <v>197</v>
      </c>
      <c r="W323" t="s">
        <v>197</v>
      </c>
      <c r="X323" t="s">
        <v>195</v>
      </c>
      <c r="Y323" t="s">
        <v>198</v>
      </c>
    </row>
    <row r="324">
      <c r="A324">
        <v>1207</v>
      </c>
      <c r="B324" t="s">
        <v>20</v>
      </c>
      <c r="C324" t="s">
        <v>112</v>
      </c>
      <c r="D324" t="s">
        <v>197</v>
      </c>
      <c r="E324" t="s">
        <v>201</v>
      </c>
      <c r="U324" t="s">
        <v>197</v>
      </c>
      <c r="V324" t="s">
        <v>197</v>
      </c>
      <c r="W324" t="s">
        <v>197</v>
      </c>
      <c r="X324" t="s">
        <v>195</v>
      </c>
      <c r="Y324" t="s">
        <v>198</v>
      </c>
    </row>
    <row r="325">
      <c r="A325">
        <v>1210</v>
      </c>
      <c r="B325" t="s">
        <v>20</v>
      </c>
      <c r="C325" t="s">
        <v>112</v>
      </c>
      <c r="D325" t="s">
        <v>197</v>
      </c>
      <c r="E325" t="s">
        <v>201</v>
      </c>
      <c r="U325" t="s">
        <v>197</v>
      </c>
      <c r="V325" t="s">
        <v>197</v>
      </c>
      <c r="W325" t="s">
        <v>197</v>
      </c>
      <c r="X325" t="s">
        <v>195</v>
      </c>
      <c r="Y325" t="s">
        <v>198</v>
      </c>
    </row>
    <row r="326">
      <c r="A326">
        <v>1213</v>
      </c>
      <c r="B326" t="s">
        <v>20</v>
      </c>
      <c r="C326" t="s">
        <v>112</v>
      </c>
      <c r="D326" t="s">
        <v>195</v>
      </c>
      <c r="E326" t="s">
        <v>196</v>
      </c>
      <c r="F326">
        <v>1.4</v>
      </c>
      <c r="G326" t="s">
        <v>197</v>
      </c>
      <c r="H326" t="s">
        <v>94</v>
      </c>
      <c r="I326">
        <v>0.4</v>
      </c>
      <c r="J326" t="s">
        <v>195</v>
      </c>
      <c r="K326" t="s">
        <v>195</v>
      </c>
      <c r="L326" t="s">
        <v>94</v>
      </c>
      <c r="M326">
        <v>5.3</v>
      </c>
      <c r="N326" t="s">
        <v>195</v>
      </c>
      <c r="O326" t="s">
        <v>94</v>
      </c>
      <c r="P326">
        <v>5.2</v>
      </c>
      <c r="Q326" t="s">
        <v>195</v>
      </c>
      <c r="R326" t="s">
        <v>50</v>
      </c>
      <c r="T326" t="s">
        <v>77</v>
      </c>
      <c r="U326" t="s">
        <v>195</v>
      </c>
      <c r="V326" t="s">
        <v>197</v>
      </c>
      <c r="W326" t="s">
        <v>197</v>
      </c>
      <c r="X326" t="s">
        <v>195</v>
      </c>
      <c r="Y326" t="s">
        <v>198</v>
      </c>
    </row>
    <row r="327">
      <c r="A327">
        <v>1216</v>
      </c>
      <c r="B327" t="s">
        <v>194</v>
      </c>
      <c r="C327" t="s">
        <v>112</v>
      </c>
      <c r="D327" t="s">
        <v>195</v>
      </c>
      <c r="E327" t="s">
        <v>196</v>
      </c>
      <c r="F327">
        <v>1.7</v>
      </c>
      <c r="G327" t="s">
        <v>197</v>
      </c>
      <c r="H327" t="s">
        <v>94</v>
      </c>
      <c r="I327">
        <v>0.5</v>
      </c>
      <c r="J327" t="s">
        <v>195</v>
      </c>
      <c r="K327" t="s">
        <v>195</v>
      </c>
      <c r="L327" t="s">
        <v>94</v>
      </c>
      <c r="M327">
        <v>4</v>
      </c>
      <c r="N327" t="s">
        <v>195</v>
      </c>
      <c r="O327" t="s">
        <v>94</v>
      </c>
      <c r="P327">
        <v>4.4</v>
      </c>
      <c r="Q327" t="s">
        <v>195</v>
      </c>
      <c r="R327" t="s">
        <v>49</v>
      </c>
      <c r="T327" t="s">
        <v>77</v>
      </c>
      <c r="U327" t="s">
        <v>197</v>
      </c>
      <c r="V327" t="s">
        <v>197</v>
      </c>
      <c r="W327" t="s">
        <v>197</v>
      </c>
      <c r="X327" t="s">
        <v>195</v>
      </c>
      <c r="Y327" t="s">
        <v>204</v>
      </c>
    </row>
    <row r="328">
      <c r="A328">
        <v>1215</v>
      </c>
      <c r="B328" t="s">
        <v>199</v>
      </c>
      <c r="C328" t="s">
        <v>112</v>
      </c>
      <c r="D328" t="s">
        <v>197</v>
      </c>
      <c r="E328" t="s">
        <v>201</v>
      </c>
      <c r="U328" t="s">
        <v>197</v>
      </c>
      <c r="V328" t="s">
        <v>197</v>
      </c>
      <c r="W328" t="s">
        <v>197</v>
      </c>
      <c r="X328" t="s">
        <v>195</v>
      </c>
      <c r="Y328" t="s">
        <v>198</v>
      </c>
    </row>
    <row r="329">
      <c r="A329">
        <v>1221</v>
      </c>
      <c r="B329" t="s">
        <v>20</v>
      </c>
      <c r="C329" t="s">
        <v>112</v>
      </c>
      <c r="D329" t="s">
        <v>197</v>
      </c>
      <c r="E329" t="s">
        <v>201</v>
      </c>
      <c r="U329" t="s">
        <v>197</v>
      </c>
      <c r="V329" t="s">
        <v>197</v>
      </c>
      <c r="W329" t="s">
        <v>197</v>
      </c>
      <c r="X329" t="s">
        <v>195</v>
      </c>
      <c r="Y329" t="s">
        <v>198</v>
      </c>
    </row>
    <row r="330">
      <c r="A330">
        <v>1227</v>
      </c>
      <c r="B330" t="s">
        <v>194</v>
      </c>
      <c r="C330" t="s">
        <v>112</v>
      </c>
      <c r="D330" t="s">
        <v>197</v>
      </c>
      <c r="E330" t="s">
        <v>201</v>
      </c>
      <c r="U330" t="s">
        <v>197</v>
      </c>
      <c r="V330" t="s">
        <v>197</v>
      </c>
      <c r="W330" t="s">
        <v>197</v>
      </c>
      <c r="X330" t="s">
        <v>195</v>
      </c>
      <c r="Y330" t="s">
        <v>198</v>
      </c>
    </row>
    <row r="331">
      <c r="A331">
        <v>1226</v>
      </c>
      <c r="B331" t="s">
        <v>199</v>
      </c>
      <c r="C331" t="s">
        <v>112</v>
      </c>
      <c r="D331" t="s">
        <v>197</v>
      </c>
      <c r="E331" t="s">
        <v>201</v>
      </c>
      <c r="U331" t="s">
        <v>197</v>
      </c>
      <c r="V331" t="s">
        <v>197</v>
      </c>
      <c r="W331" t="s">
        <v>197</v>
      </c>
      <c r="X331" t="s">
        <v>195</v>
      </c>
      <c r="Y331" t="s">
        <v>198</v>
      </c>
    </row>
    <row r="332">
      <c r="A332">
        <v>1234</v>
      </c>
      <c r="B332" t="s">
        <v>20</v>
      </c>
      <c r="C332" t="s">
        <v>112</v>
      </c>
      <c r="D332" t="s">
        <v>195</v>
      </c>
      <c r="E332" t="s">
        <v>196</v>
      </c>
      <c r="F332">
        <v>0.3</v>
      </c>
      <c r="G332" t="s">
        <v>197</v>
      </c>
      <c r="H332" t="s">
        <v>94</v>
      </c>
      <c r="I332">
        <v>0.6</v>
      </c>
      <c r="J332" t="s">
        <v>195</v>
      </c>
      <c r="K332" t="s">
        <v>195</v>
      </c>
      <c r="L332" t="s">
        <v>94</v>
      </c>
      <c r="M332">
        <v>3.6</v>
      </c>
      <c r="N332" t="s">
        <v>195</v>
      </c>
      <c r="O332" t="s">
        <v>94</v>
      </c>
      <c r="P332">
        <v>4.4</v>
      </c>
      <c r="Q332" t="s">
        <v>195</v>
      </c>
      <c r="R332" t="s">
        <v>49</v>
      </c>
      <c r="T332" t="s">
        <v>77</v>
      </c>
      <c r="U332" t="s">
        <v>197</v>
      </c>
      <c r="V332" t="s">
        <v>197</v>
      </c>
      <c r="W332" t="s">
        <v>197</v>
      </c>
      <c r="X332" t="s">
        <v>195</v>
      </c>
      <c r="Y332" t="s">
        <v>198</v>
      </c>
    </row>
    <row r="333">
      <c r="A333">
        <v>1233</v>
      </c>
      <c r="B333" t="s">
        <v>20</v>
      </c>
      <c r="C333" t="s">
        <v>112</v>
      </c>
      <c r="D333" t="s">
        <v>195</v>
      </c>
      <c r="E333" t="s">
        <v>196</v>
      </c>
      <c r="F333">
        <v>1</v>
      </c>
      <c r="G333" t="s">
        <v>197</v>
      </c>
      <c r="H333" t="s">
        <v>94</v>
      </c>
      <c r="I333">
        <v>1.7</v>
      </c>
      <c r="J333" t="s">
        <v>195</v>
      </c>
      <c r="K333" t="s">
        <v>195</v>
      </c>
      <c r="L333" t="s">
        <v>94</v>
      </c>
      <c r="M333">
        <v>3.8</v>
      </c>
      <c r="N333" t="s">
        <v>195</v>
      </c>
      <c r="O333" t="s">
        <v>94</v>
      </c>
      <c r="P333">
        <v>4.4</v>
      </c>
      <c r="Q333" t="s">
        <v>195</v>
      </c>
      <c r="R333" t="s">
        <v>49</v>
      </c>
      <c r="T333" t="s">
        <v>77</v>
      </c>
      <c r="U333" t="s">
        <v>197</v>
      </c>
      <c r="V333" t="s">
        <v>197</v>
      </c>
      <c r="W333" t="s">
        <v>197</v>
      </c>
      <c r="X333" t="s">
        <v>195</v>
      </c>
      <c r="Y333" t="s">
        <v>198</v>
      </c>
    </row>
    <row r="334">
      <c r="A334">
        <v>1237</v>
      </c>
      <c r="B334" t="s">
        <v>20</v>
      </c>
      <c r="C334" t="s">
        <v>112</v>
      </c>
      <c r="D334" t="s">
        <v>195</v>
      </c>
      <c r="E334" t="s">
        <v>196</v>
      </c>
      <c r="F334">
        <v>4.5</v>
      </c>
      <c r="G334" t="s">
        <v>195</v>
      </c>
      <c r="H334" t="s">
        <v>95</v>
      </c>
      <c r="I334">
        <v>5.5</v>
      </c>
      <c r="J334" t="s">
        <v>197</v>
      </c>
      <c r="K334" t="s">
        <v>197</v>
      </c>
      <c r="L334">
        <v/>
      </c>
      <c r="N334" t="s">
        <v>197</v>
      </c>
      <c r="R334" t="s">
        <v>53</v>
      </c>
      <c r="S334" t="s">
        <v>64</v>
      </c>
      <c r="T334" t="s">
        <v>77</v>
      </c>
      <c r="U334" t="s">
        <v>195</v>
      </c>
      <c r="V334" t="s">
        <v>195</v>
      </c>
      <c r="W334" t="s">
        <v>195</v>
      </c>
      <c r="X334" t="s">
        <v>195</v>
      </c>
      <c r="Y334" t="s">
        <v>104</v>
      </c>
    </row>
    <row r="335">
      <c r="A335">
        <v>1236</v>
      </c>
      <c r="B335" t="s">
        <v>199</v>
      </c>
      <c r="C335" t="s">
        <v>112</v>
      </c>
      <c r="D335" t="s">
        <v>197</v>
      </c>
      <c r="E335" t="s">
        <v>201</v>
      </c>
      <c r="U335" t="s">
        <v>197</v>
      </c>
      <c r="V335" t="s">
        <v>197</v>
      </c>
      <c r="W335" t="s">
        <v>197</v>
      </c>
      <c r="X335" t="s">
        <v>195</v>
      </c>
      <c r="Y335" t="s">
        <v>198</v>
      </c>
    </row>
    <row r="336">
      <c r="A336">
        <v>1243</v>
      </c>
      <c r="B336" t="s">
        <v>20</v>
      </c>
      <c r="C336" t="s">
        <v>112</v>
      </c>
      <c r="D336" t="s">
        <v>197</v>
      </c>
      <c r="E336" t="s">
        <v>201</v>
      </c>
      <c r="U336" t="s">
        <v>197</v>
      </c>
      <c r="V336" t="s">
        <v>197</v>
      </c>
      <c r="W336" t="s">
        <v>197</v>
      </c>
      <c r="X336" t="s">
        <v>195</v>
      </c>
      <c r="Y336" t="s">
        <v>198</v>
      </c>
    </row>
    <row r="337">
      <c r="A337">
        <v>1240</v>
      </c>
      <c r="B337" t="s">
        <v>20</v>
      </c>
      <c r="C337" t="s">
        <v>112</v>
      </c>
      <c r="D337" t="s">
        <v>197</v>
      </c>
      <c r="E337" t="s">
        <v>201</v>
      </c>
      <c r="U337" t="s">
        <v>197</v>
      </c>
      <c r="V337" t="s">
        <v>197</v>
      </c>
      <c r="W337" t="s">
        <v>197</v>
      </c>
      <c r="X337" t="s">
        <v>195</v>
      </c>
      <c r="Y337" t="s">
        <v>198</v>
      </c>
    </row>
    <row r="338">
      <c r="A338">
        <v>1242</v>
      </c>
      <c r="B338" t="s">
        <v>20</v>
      </c>
      <c r="C338" t="s">
        <v>112</v>
      </c>
      <c r="D338" t="s">
        <v>197</v>
      </c>
      <c r="E338" t="s">
        <v>201</v>
      </c>
      <c r="U338" t="s">
        <v>197</v>
      </c>
      <c r="V338" t="s">
        <v>197</v>
      </c>
      <c r="W338" t="s">
        <v>197</v>
      </c>
      <c r="X338" t="s">
        <v>195</v>
      </c>
      <c r="Y338" t="s">
        <v>198</v>
      </c>
    </row>
    <row r="339">
      <c r="A339">
        <v>1249</v>
      </c>
      <c r="B339" t="s">
        <v>20</v>
      </c>
      <c r="C339" t="s">
        <v>112</v>
      </c>
      <c r="D339" t="s">
        <v>197</v>
      </c>
      <c r="E339" t="s">
        <v>201</v>
      </c>
      <c r="U339" t="s">
        <v>197</v>
      </c>
      <c r="V339" t="s">
        <v>197</v>
      </c>
      <c r="W339" t="s">
        <v>197</v>
      </c>
      <c r="X339" t="s">
        <v>195</v>
      </c>
      <c r="Y339" t="s">
        <v>198</v>
      </c>
    </row>
    <row r="340">
      <c r="A340">
        <v>1256</v>
      </c>
      <c r="B340" t="s">
        <v>194</v>
      </c>
      <c r="C340" t="s">
        <v>112</v>
      </c>
      <c r="D340" t="s">
        <v>197</v>
      </c>
      <c r="E340" t="s">
        <v>201</v>
      </c>
      <c r="U340" t="s">
        <v>197</v>
      </c>
      <c r="V340" t="s">
        <v>197</v>
      </c>
      <c r="W340" t="s">
        <v>197</v>
      </c>
      <c r="X340" t="s">
        <v>195</v>
      </c>
      <c r="Y340" t="s">
        <v>198</v>
      </c>
    </row>
    <row r="341">
      <c r="A341">
        <v>1253</v>
      </c>
      <c r="B341" t="s">
        <v>194</v>
      </c>
      <c r="C341" t="s">
        <v>112</v>
      </c>
      <c r="D341" t="s">
        <v>197</v>
      </c>
      <c r="E341" t="s">
        <v>201</v>
      </c>
      <c r="U341" t="s">
        <v>197</v>
      </c>
      <c r="V341" t="s">
        <v>197</v>
      </c>
      <c r="W341" t="s">
        <v>197</v>
      </c>
      <c r="X341" t="s">
        <v>195</v>
      </c>
      <c r="Y341" t="s">
        <v>198</v>
      </c>
    </row>
    <row r="342">
      <c r="A342">
        <v>1257</v>
      </c>
      <c r="B342" t="s">
        <v>20</v>
      </c>
      <c r="C342" t="s">
        <v>112</v>
      </c>
      <c r="D342" t="s">
        <v>197</v>
      </c>
      <c r="E342" t="s">
        <v>201</v>
      </c>
      <c r="U342" t="s">
        <v>197</v>
      </c>
      <c r="V342" t="s">
        <v>197</v>
      </c>
      <c r="W342" t="s">
        <v>197</v>
      </c>
      <c r="X342" t="s">
        <v>195</v>
      </c>
      <c r="Y342" t="s">
        <v>198</v>
      </c>
    </row>
    <row r="343">
      <c r="A343">
        <v>1260</v>
      </c>
      <c r="B343" t="s">
        <v>20</v>
      </c>
      <c r="C343" t="s">
        <v>112</v>
      </c>
      <c r="D343" t="s">
        <v>195</v>
      </c>
      <c r="E343" t="s">
        <v>200</v>
      </c>
      <c r="F343">
        <v>1545.6</v>
      </c>
      <c r="G343" t="s">
        <v>197</v>
      </c>
      <c r="H343" t="s">
        <v>93</v>
      </c>
      <c r="I343">
        <v>0.6</v>
      </c>
      <c r="J343" t="s">
        <v>197</v>
      </c>
      <c r="K343" t="s">
        <v>197</v>
      </c>
      <c r="L343">
        <v/>
      </c>
      <c r="N343" t="s">
        <v>197</v>
      </c>
      <c r="R343" t="s">
        <v>53</v>
      </c>
      <c r="S343" t="s">
        <v>64</v>
      </c>
      <c r="T343" t="s">
        <v>76</v>
      </c>
      <c r="U343" t="s">
        <v>197</v>
      </c>
      <c r="V343" t="s">
        <v>197</v>
      </c>
      <c r="W343" t="s">
        <v>197</v>
      </c>
      <c r="X343" t="s">
        <v>195</v>
      </c>
      <c r="Y343" t="s">
        <v>198</v>
      </c>
    </row>
    <row r="344">
      <c r="A344">
        <v>1263</v>
      </c>
      <c r="B344" t="s">
        <v>20</v>
      </c>
      <c r="C344" t="s">
        <v>112</v>
      </c>
      <c r="D344" t="s">
        <v>195</v>
      </c>
      <c r="E344" t="s">
        <v>200</v>
      </c>
      <c r="F344">
        <v>161.1</v>
      </c>
      <c r="G344" t="s">
        <v>197</v>
      </c>
      <c r="H344" t="s">
        <v>93</v>
      </c>
      <c r="I344">
        <v>0.4</v>
      </c>
      <c r="J344" t="s">
        <v>197</v>
      </c>
      <c r="K344" t="s">
        <v>197</v>
      </c>
      <c r="L344">
        <v/>
      </c>
      <c r="N344" t="s">
        <v>197</v>
      </c>
      <c r="R344" t="s">
        <v>53</v>
      </c>
      <c r="S344" t="s">
        <v>64</v>
      </c>
      <c r="T344" t="s">
        <v>76</v>
      </c>
      <c r="U344" t="s">
        <v>197</v>
      </c>
      <c r="V344" t="s">
        <v>197</v>
      </c>
      <c r="W344" t="s">
        <v>197</v>
      </c>
      <c r="X344" t="s">
        <v>195</v>
      </c>
      <c r="Y344" t="s">
        <v>198</v>
      </c>
    </row>
    <row r="345">
      <c r="A345">
        <v>1270</v>
      </c>
      <c r="B345" t="s">
        <v>20</v>
      </c>
      <c r="C345" t="s">
        <v>112</v>
      </c>
      <c r="D345" t="s">
        <v>195</v>
      </c>
      <c r="E345" t="s">
        <v>200</v>
      </c>
      <c r="F345">
        <v>564.9</v>
      </c>
      <c r="G345" t="s">
        <v>197</v>
      </c>
      <c r="H345" t="s">
        <v>95</v>
      </c>
      <c r="I345">
        <v>4.2</v>
      </c>
      <c r="J345" t="s">
        <v>197</v>
      </c>
      <c r="K345" t="s">
        <v>197</v>
      </c>
      <c r="L345">
        <v/>
      </c>
      <c r="N345" t="s">
        <v>197</v>
      </c>
      <c r="R345" t="s">
        <v>53</v>
      </c>
      <c r="S345" t="s">
        <v>64</v>
      </c>
      <c r="T345" t="s">
        <v>77</v>
      </c>
      <c r="U345" t="s">
        <v>197</v>
      </c>
      <c r="V345" t="s">
        <v>197</v>
      </c>
      <c r="W345" t="s">
        <v>197</v>
      </c>
      <c r="X345" t="s">
        <v>195</v>
      </c>
      <c r="Y345" t="s">
        <v>198</v>
      </c>
    </row>
    <row r="346">
      <c r="A346">
        <v>1272</v>
      </c>
      <c r="B346" t="s">
        <v>20</v>
      </c>
      <c r="C346" t="s">
        <v>112</v>
      </c>
      <c r="D346" t="s">
        <v>197</v>
      </c>
      <c r="E346" t="s">
        <v>201</v>
      </c>
      <c r="U346" t="s">
        <v>197</v>
      </c>
      <c r="V346" t="s">
        <v>197</v>
      </c>
      <c r="W346" t="s">
        <v>197</v>
      </c>
      <c r="X346" t="s">
        <v>195</v>
      </c>
      <c r="Y346" t="s">
        <v>198</v>
      </c>
    </row>
    <row r="347">
      <c r="A347">
        <v>1279</v>
      </c>
      <c r="B347" t="s">
        <v>20</v>
      </c>
      <c r="C347" t="s">
        <v>112</v>
      </c>
      <c r="D347" t="s">
        <v>197</v>
      </c>
      <c r="E347" t="s">
        <v>201</v>
      </c>
      <c r="U347" t="s">
        <v>197</v>
      </c>
      <c r="V347" t="s">
        <v>197</v>
      </c>
      <c r="W347" t="s">
        <v>197</v>
      </c>
      <c r="X347" t="s">
        <v>195</v>
      </c>
      <c r="Y347" t="s">
        <v>198</v>
      </c>
    </row>
    <row r="348">
      <c r="A348">
        <v>1280</v>
      </c>
      <c r="B348" t="s">
        <v>20</v>
      </c>
      <c r="C348" t="s">
        <v>112</v>
      </c>
      <c r="D348" t="s">
        <v>195</v>
      </c>
      <c r="E348" t="s">
        <v>200</v>
      </c>
      <c r="F348">
        <v>141.7</v>
      </c>
      <c r="G348" t="s">
        <v>197</v>
      </c>
      <c r="H348" t="s">
        <v>93</v>
      </c>
      <c r="I348">
        <v>0.5</v>
      </c>
      <c r="J348" t="s">
        <v>197</v>
      </c>
      <c r="K348" t="s">
        <v>197</v>
      </c>
      <c r="L348">
        <v/>
      </c>
      <c r="N348" t="s">
        <v>197</v>
      </c>
      <c r="R348" t="s">
        <v>53</v>
      </c>
      <c r="S348" t="s">
        <v>64</v>
      </c>
      <c r="T348" t="s">
        <v>76</v>
      </c>
      <c r="U348" t="s">
        <v>197</v>
      </c>
      <c r="V348" t="s">
        <v>197</v>
      </c>
      <c r="W348" t="s">
        <v>197</v>
      </c>
      <c r="X348" t="s">
        <v>195</v>
      </c>
      <c r="Y348" t="s">
        <v>198</v>
      </c>
    </row>
    <row r="349">
      <c r="A349">
        <v>1282</v>
      </c>
      <c r="B349" t="s">
        <v>20</v>
      </c>
      <c r="C349" t="s">
        <v>112</v>
      </c>
      <c r="D349" t="s">
        <v>195</v>
      </c>
      <c r="E349" t="s">
        <v>196</v>
      </c>
      <c r="F349">
        <v>3</v>
      </c>
      <c r="G349" t="s">
        <v>197</v>
      </c>
      <c r="H349" t="s">
        <v>93</v>
      </c>
      <c r="I349">
        <v>13.3</v>
      </c>
      <c r="J349" t="s">
        <v>195</v>
      </c>
      <c r="K349" t="s">
        <v>195</v>
      </c>
      <c r="L349" t="s">
        <v>93</v>
      </c>
      <c r="M349">
        <v>19.2</v>
      </c>
      <c r="N349" t="s">
        <v>195</v>
      </c>
      <c r="O349" t="s">
        <v>93</v>
      </c>
      <c r="P349">
        <v>19.3</v>
      </c>
      <c r="Q349" t="s">
        <v>195</v>
      </c>
      <c r="R349" t="s">
        <v>49</v>
      </c>
      <c r="T349" t="s">
        <v>76</v>
      </c>
      <c r="U349" t="s">
        <v>197</v>
      </c>
      <c r="V349" t="s">
        <v>197</v>
      </c>
      <c r="W349" t="s">
        <v>197</v>
      </c>
      <c r="X349" t="s">
        <v>195</v>
      </c>
      <c r="Y349" t="s">
        <v>198</v>
      </c>
    </row>
    <row r="350">
      <c r="A350">
        <v>1288</v>
      </c>
      <c r="B350" t="s">
        <v>20</v>
      </c>
      <c r="C350" t="s">
        <v>112</v>
      </c>
      <c r="D350" t="s">
        <v>195</v>
      </c>
      <c r="E350" t="s">
        <v>196</v>
      </c>
      <c r="F350">
        <v>0.7</v>
      </c>
      <c r="G350" t="s">
        <v>195</v>
      </c>
      <c r="H350" t="s">
        <v>93</v>
      </c>
      <c r="I350">
        <v>0.4</v>
      </c>
      <c r="J350" t="s">
        <v>195</v>
      </c>
      <c r="K350" t="s">
        <v>195</v>
      </c>
      <c r="L350" t="s">
        <v>93</v>
      </c>
      <c r="M350">
        <v>4.8</v>
      </c>
      <c r="N350" t="s">
        <v>195</v>
      </c>
      <c r="O350" t="s">
        <v>93</v>
      </c>
      <c r="P350">
        <v>4.8</v>
      </c>
      <c r="Q350" t="s">
        <v>195</v>
      </c>
      <c r="R350" t="s">
        <v>49</v>
      </c>
      <c r="T350" t="s">
        <v>76</v>
      </c>
      <c r="U350" t="s">
        <v>197</v>
      </c>
      <c r="V350" t="s">
        <v>197</v>
      </c>
      <c r="W350" t="s">
        <v>197</v>
      </c>
      <c r="X350" t="s">
        <v>195</v>
      </c>
      <c r="Y350" t="s">
        <v>198</v>
      </c>
    </row>
    <row r="351">
      <c r="A351">
        <v>1298</v>
      </c>
      <c r="B351" t="s">
        <v>20</v>
      </c>
      <c r="C351" t="s">
        <v>112</v>
      </c>
      <c r="D351" t="s">
        <v>195</v>
      </c>
      <c r="E351" t="s">
        <v>196</v>
      </c>
      <c r="F351">
        <v>1.4</v>
      </c>
      <c r="G351" t="s">
        <v>197</v>
      </c>
      <c r="H351" t="s">
        <v>93</v>
      </c>
      <c r="I351">
        <v>0.2</v>
      </c>
      <c r="J351" t="s">
        <v>195</v>
      </c>
      <c r="K351" t="s">
        <v>195</v>
      </c>
      <c r="L351" t="s">
        <v>93</v>
      </c>
      <c r="M351">
        <v>3.4</v>
      </c>
      <c r="N351" t="s">
        <v>195</v>
      </c>
      <c r="O351" t="s">
        <v>93</v>
      </c>
      <c r="P351">
        <v>3.5</v>
      </c>
      <c r="Q351" t="s">
        <v>195</v>
      </c>
      <c r="R351" t="s">
        <v>49</v>
      </c>
      <c r="T351" t="s">
        <v>76</v>
      </c>
      <c r="U351" t="s">
        <v>195</v>
      </c>
      <c r="V351" t="s">
        <v>197</v>
      </c>
      <c r="W351" t="s">
        <v>197</v>
      </c>
      <c r="X351" t="s">
        <v>195</v>
      </c>
      <c r="Y351" t="s">
        <v>198</v>
      </c>
    </row>
    <row r="352">
      <c r="A352">
        <v>1299</v>
      </c>
      <c r="B352" t="s">
        <v>20</v>
      </c>
      <c r="C352" t="s">
        <v>112</v>
      </c>
      <c r="D352" t="s">
        <v>195</v>
      </c>
      <c r="E352" t="s">
        <v>200</v>
      </c>
      <c r="F352">
        <v>193.1</v>
      </c>
      <c r="G352" t="s">
        <v>197</v>
      </c>
      <c r="H352" t="s">
        <v>93</v>
      </c>
      <c r="I352">
        <v>0.2</v>
      </c>
      <c r="J352" t="s">
        <v>195</v>
      </c>
      <c r="K352" t="s">
        <v>195</v>
      </c>
      <c r="L352" t="s">
        <v>93</v>
      </c>
      <c r="M352">
        <v>6.1</v>
      </c>
      <c r="N352" t="s">
        <v>195</v>
      </c>
      <c r="O352" t="s">
        <v>93</v>
      </c>
      <c r="P352">
        <v>6.3</v>
      </c>
      <c r="Q352" t="s">
        <v>197</v>
      </c>
      <c r="R352" t="s">
        <v>49</v>
      </c>
      <c r="T352" t="s">
        <v>76</v>
      </c>
      <c r="U352" t="s">
        <v>197</v>
      </c>
      <c r="V352" t="s">
        <v>197</v>
      </c>
      <c r="W352" t="s">
        <v>197</v>
      </c>
      <c r="X352" t="s">
        <v>195</v>
      </c>
      <c r="Y352" t="s">
        <v>198</v>
      </c>
    </row>
    <row r="353">
      <c r="A353">
        <v>1296</v>
      </c>
      <c r="B353" t="s">
        <v>20</v>
      </c>
      <c r="C353" t="s">
        <v>112</v>
      </c>
      <c r="D353" t="s">
        <v>195</v>
      </c>
      <c r="E353" t="s">
        <v>200</v>
      </c>
      <c r="F353">
        <v>1321.1</v>
      </c>
      <c r="G353" t="s">
        <v>197</v>
      </c>
      <c r="H353" t="s">
        <v>96</v>
      </c>
      <c r="I353">
        <v>1371.6</v>
      </c>
      <c r="J353" t="s">
        <v>197</v>
      </c>
      <c r="K353" t="s">
        <v>197</v>
      </c>
      <c r="L353">
        <v/>
      </c>
      <c r="N353" t="s">
        <v>197</v>
      </c>
      <c r="R353" t="s">
        <v>53</v>
      </c>
      <c r="S353" t="s">
        <v>64</v>
      </c>
      <c r="T353" t="s">
        <v>76</v>
      </c>
      <c r="U353" t="s">
        <v>197</v>
      </c>
      <c r="V353" t="s">
        <v>197</v>
      </c>
      <c r="W353" t="s">
        <v>197</v>
      </c>
      <c r="X353" t="s">
        <v>195</v>
      </c>
      <c r="Y353" t="s">
        <v>198</v>
      </c>
    </row>
    <row r="354">
      <c r="A354">
        <v>1305</v>
      </c>
      <c r="B354" t="s">
        <v>20</v>
      </c>
      <c r="C354" t="s">
        <v>112</v>
      </c>
      <c r="D354" t="s">
        <v>197</v>
      </c>
      <c r="E354" t="s">
        <v>201</v>
      </c>
      <c r="U354" t="s">
        <v>197</v>
      </c>
      <c r="V354" t="s">
        <v>197</v>
      </c>
      <c r="W354" t="s">
        <v>197</v>
      </c>
      <c r="X354" t="s">
        <v>195</v>
      </c>
      <c r="Y354" t="s">
        <v>198</v>
      </c>
    </row>
    <row r="355">
      <c r="A355">
        <v>1311</v>
      </c>
      <c r="B355" t="s">
        <v>199</v>
      </c>
      <c r="C355" t="s">
        <v>112</v>
      </c>
      <c r="D355" t="s">
        <v>197</v>
      </c>
      <c r="E355" t="s">
        <v>201</v>
      </c>
      <c r="U355" t="s">
        <v>197</v>
      </c>
      <c r="V355" t="s">
        <v>197</v>
      </c>
      <c r="W355" t="s">
        <v>197</v>
      </c>
      <c r="X355" t="s">
        <v>195</v>
      </c>
      <c r="Y355" t="s">
        <v>198</v>
      </c>
    </row>
    <row r="356">
      <c r="A356">
        <v>1312</v>
      </c>
      <c r="B356" t="s">
        <v>20</v>
      </c>
      <c r="C356" t="s">
        <v>112</v>
      </c>
      <c r="D356" t="s">
        <v>197</v>
      </c>
      <c r="E356" t="s">
        <v>201</v>
      </c>
      <c r="U356" t="s">
        <v>197</v>
      </c>
      <c r="V356" t="s">
        <v>197</v>
      </c>
      <c r="W356" t="s">
        <v>197</v>
      </c>
      <c r="X356" t="s">
        <v>195</v>
      </c>
      <c r="Y356" t="s">
        <v>198</v>
      </c>
    </row>
    <row r="357">
      <c r="A357">
        <v>1313</v>
      </c>
      <c r="B357" t="s">
        <v>199</v>
      </c>
      <c r="C357" t="s">
        <v>112</v>
      </c>
      <c r="D357" t="s">
        <v>195</v>
      </c>
      <c r="E357" t="s">
        <v>196</v>
      </c>
      <c r="F357">
        <v>0.3</v>
      </c>
      <c r="G357" t="s">
        <v>197</v>
      </c>
      <c r="H357" t="s">
        <v>93</v>
      </c>
      <c r="I357">
        <v>0.3</v>
      </c>
      <c r="J357" t="s">
        <v>195</v>
      </c>
      <c r="K357" t="s">
        <v>195</v>
      </c>
      <c r="L357" t="s">
        <v>93</v>
      </c>
      <c r="M357">
        <v>3.6</v>
      </c>
      <c r="N357" t="s">
        <v>195</v>
      </c>
      <c r="O357" t="s">
        <v>93</v>
      </c>
      <c r="P357">
        <v>3.9</v>
      </c>
      <c r="Q357" t="s">
        <v>195</v>
      </c>
      <c r="R357" t="s">
        <v>49</v>
      </c>
      <c r="T357" t="s">
        <v>76</v>
      </c>
      <c r="U357" t="s">
        <v>197</v>
      </c>
      <c r="V357" t="s">
        <v>197</v>
      </c>
      <c r="W357" t="s">
        <v>197</v>
      </c>
      <c r="X357" t="s">
        <v>195</v>
      </c>
      <c r="Y357" t="s">
        <v>198</v>
      </c>
    </row>
    <row r="358">
      <c r="A358">
        <v>1318</v>
      </c>
      <c r="B358" t="s">
        <v>199</v>
      </c>
      <c r="C358" t="s">
        <v>112</v>
      </c>
      <c r="D358" t="s">
        <v>195</v>
      </c>
      <c r="E358" t="s">
        <v>196</v>
      </c>
      <c r="F358">
        <v>21.9</v>
      </c>
      <c r="G358" t="s">
        <v>197</v>
      </c>
      <c r="H358" t="s">
        <v>93</v>
      </c>
      <c r="I358">
        <v>0.4</v>
      </c>
      <c r="J358" t="s">
        <v>195</v>
      </c>
      <c r="K358" t="s">
        <v>195</v>
      </c>
      <c r="L358" t="s">
        <v>93</v>
      </c>
      <c r="M358">
        <v>5.2</v>
      </c>
      <c r="N358" t="s">
        <v>195</v>
      </c>
      <c r="O358" t="s">
        <v>93</v>
      </c>
      <c r="P358">
        <v>5.6</v>
      </c>
      <c r="Q358" t="s">
        <v>195</v>
      </c>
      <c r="R358" t="s">
        <v>49</v>
      </c>
      <c r="T358" t="s">
        <v>76</v>
      </c>
      <c r="U358" t="s">
        <v>197</v>
      </c>
      <c r="V358" t="s">
        <v>197</v>
      </c>
      <c r="W358" t="s">
        <v>197</v>
      </c>
      <c r="X358" t="s">
        <v>195</v>
      </c>
      <c r="Y358" t="s">
        <v>198</v>
      </c>
    </row>
    <row r="359">
      <c r="A359">
        <v>1320</v>
      </c>
      <c r="B359" t="s">
        <v>20</v>
      </c>
      <c r="C359" t="s">
        <v>112</v>
      </c>
      <c r="D359" t="s">
        <v>197</v>
      </c>
      <c r="E359" t="s">
        <v>201</v>
      </c>
      <c r="U359" t="s">
        <v>197</v>
      </c>
      <c r="V359" t="s">
        <v>197</v>
      </c>
      <c r="W359" t="s">
        <v>197</v>
      </c>
      <c r="X359" t="s">
        <v>195</v>
      </c>
      <c r="Y359" t="s">
        <v>198</v>
      </c>
    </row>
    <row r="360">
      <c r="A360">
        <v>1326</v>
      </c>
      <c r="B360" t="s">
        <v>199</v>
      </c>
      <c r="C360" t="s">
        <v>112</v>
      </c>
      <c r="D360" t="s">
        <v>195</v>
      </c>
      <c r="E360" t="s">
        <v>196</v>
      </c>
      <c r="F360">
        <v>8</v>
      </c>
      <c r="G360" t="s">
        <v>197</v>
      </c>
      <c r="H360" t="s">
        <v>95</v>
      </c>
      <c r="I360">
        <v>2.5</v>
      </c>
      <c r="J360" t="s">
        <v>197</v>
      </c>
      <c r="K360" t="s">
        <v>195</v>
      </c>
      <c r="L360" t="s">
        <v>95</v>
      </c>
      <c r="M360">
        <v>11.9</v>
      </c>
      <c r="N360" t="s">
        <v>195</v>
      </c>
      <c r="O360" t="s">
        <v>95</v>
      </c>
      <c r="P360">
        <v>12.6</v>
      </c>
      <c r="Q360" t="s">
        <v>195</v>
      </c>
      <c r="R360" t="s">
        <v>49</v>
      </c>
      <c r="T360" t="s">
        <v>76</v>
      </c>
      <c r="U360" t="s">
        <v>195</v>
      </c>
      <c r="V360" t="s">
        <v>195</v>
      </c>
      <c r="W360" t="s">
        <v>195</v>
      </c>
      <c r="X360" t="s">
        <v>195</v>
      </c>
      <c r="Y360" t="s">
        <v>104</v>
      </c>
    </row>
    <row r="361">
      <c r="A361">
        <v>1330</v>
      </c>
      <c r="B361" t="s">
        <v>20</v>
      </c>
      <c r="C361" t="s">
        <v>112</v>
      </c>
      <c r="D361" t="s">
        <v>197</v>
      </c>
      <c r="E361" t="s">
        <v>201</v>
      </c>
      <c r="U361" t="s">
        <v>197</v>
      </c>
      <c r="V361" t="s">
        <v>197</v>
      </c>
      <c r="W361" t="s">
        <v>197</v>
      </c>
      <c r="X361" t="s">
        <v>195</v>
      </c>
      <c r="Y361" t="s">
        <v>198</v>
      </c>
    </row>
    <row r="362">
      <c r="A362">
        <v>1328</v>
      </c>
      <c r="B362" t="s">
        <v>199</v>
      </c>
      <c r="C362" t="s">
        <v>112</v>
      </c>
      <c r="D362" t="s">
        <v>195</v>
      </c>
      <c r="E362" t="s">
        <v>196</v>
      </c>
      <c r="F362">
        <v>1.3</v>
      </c>
      <c r="G362" t="s">
        <v>195</v>
      </c>
      <c r="H362" t="s">
        <v>95</v>
      </c>
      <c r="I362">
        <v>1.2</v>
      </c>
      <c r="J362" t="s">
        <v>195</v>
      </c>
      <c r="K362" t="s">
        <v>195</v>
      </c>
      <c r="L362" t="s">
        <v>95</v>
      </c>
      <c r="M362">
        <v>3.9</v>
      </c>
      <c r="N362" t="s">
        <v>195</v>
      </c>
      <c r="O362" t="s">
        <v>95</v>
      </c>
      <c r="P362">
        <v>4.7</v>
      </c>
      <c r="Q362" t="s">
        <v>195</v>
      </c>
      <c r="R362" t="s">
        <v>49</v>
      </c>
      <c r="T362" t="s">
        <v>77</v>
      </c>
      <c r="U362" t="s">
        <v>195</v>
      </c>
      <c r="V362" t="s">
        <v>195</v>
      </c>
      <c r="W362" t="s">
        <v>197</v>
      </c>
      <c r="X362" t="s">
        <v>195</v>
      </c>
      <c r="Y362" t="s">
        <v>198</v>
      </c>
    </row>
    <row r="363">
      <c r="A363">
        <v>1334</v>
      </c>
      <c r="B363" t="s">
        <v>20</v>
      </c>
      <c r="C363" t="s">
        <v>112</v>
      </c>
      <c r="D363" t="s">
        <v>195</v>
      </c>
      <c r="E363" t="s">
        <v>196</v>
      </c>
      <c r="F363">
        <v>0.6</v>
      </c>
      <c r="G363" t="s">
        <v>197</v>
      </c>
      <c r="H363" t="s">
        <v>95</v>
      </c>
      <c r="I363">
        <v>4.4</v>
      </c>
      <c r="J363" t="s">
        <v>195</v>
      </c>
      <c r="K363" t="s">
        <v>195</v>
      </c>
      <c r="L363" t="s">
        <v>95</v>
      </c>
      <c r="M363">
        <v>7.6</v>
      </c>
      <c r="N363" t="s">
        <v>195</v>
      </c>
      <c r="O363" t="s">
        <v>95</v>
      </c>
      <c r="P363">
        <v>8.5</v>
      </c>
      <c r="Q363" t="s">
        <v>195</v>
      </c>
      <c r="R363" t="s">
        <v>49</v>
      </c>
      <c r="T363" t="s">
        <v>77</v>
      </c>
      <c r="U363" t="s">
        <v>197</v>
      </c>
      <c r="V363" t="s">
        <v>197</v>
      </c>
      <c r="W363" t="s">
        <v>197</v>
      </c>
      <c r="X363" t="s">
        <v>195</v>
      </c>
      <c r="Y363" t="s">
        <v>198</v>
      </c>
    </row>
    <row r="364">
      <c r="A364">
        <v>1335</v>
      </c>
      <c r="B364" t="s">
        <v>199</v>
      </c>
      <c r="C364" t="s">
        <v>112</v>
      </c>
      <c r="D364" t="s">
        <v>195</v>
      </c>
      <c r="E364" t="s">
        <v>196</v>
      </c>
      <c r="F364">
        <v>4.4</v>
      </c>
      <c r="G364" t="s">
        <v>197</v>
      </c>
      <c r="H364" t="s">
        <v>95</v>
      </c>
      <c r="I364">
        <v>0.2</v>
      </c>
      <c r="J364" t="s">
        <v>195</v>
      </c>
      <c r="K364" t="s">
        <v>195</v>
      </c>
      <c r="L364" t="s">
        <v>95</v>
      </c>
      <c r="M364">
        <v>7.1</v>
      </c>
      <c r="N364" t="s">
        <v>195</v>
      </c>
      <c r="O364" t="s">
        <v>95</v>
      </c>
      <c r="P364">
        <v>7.7</v>
      </c>
      <c r="Q364" t="s">
        <v>195</v>
      </c>
      <c r="R364" t="s">
        <v>49</v>
      </c>
      <c r="T364" t="s">
        <v>77</v>
      </c>
      <c r="U364" t="s">
        <v>195</v>
      </c>
      <c r="V364" t="s">
        <v>195</v>
      </c>
      <c r="W364" t="s">
        <v>195</v>
      </c>
      <c r="X364" t="s">
        <v>195</v>
      </c>
      <c r="Y364" t="s">
        <v>104</v>
      </c>
    </row>
    <row r="365">
      <c r="A365">
        <v>1338</v>
      </c>
      <c r="B365" t="s">
        <v>20</v>
      </c>
      <c r="C365" t="s">
        <v>112</v>
      </c>
      <c r="D365" t="s">
        <v>195</v>
      </c>
      <c r="E365" t="s">
        <v>200</v>
      </c>
      <c r="F365">
        <v>2644.2</v>
      </c>
      <c r="G365" t="s">
        <v>195</v>
      </c>
      <c r="H365" t="s">
        <v>93</v>
      </c>
      <c r="I365">
        <v>1.1</v>
      </c>
      <c r="J365" t="s">
        <v>197</v>
      </c>
      <c r="K365" t="s">
        <v>197</v>
      </c>
      <c r="L365">
        <v/>
      </c>
      <c r="N365" t="s">
        <v>197</v>
      </c>
      <c r="R365" t="s">
        <v>53</v>
      </c>
      <c r="S365" t="s">
        <v>64</v>
      </c>
      <c r="T365" t="s">
        <v>76</v>
      </c>
      <c r="U365" t="s">
        <v>195</v>
      </c>
      <c r="V365" t="s">
        <v>195</v>
      </c>
      <c r="W365" t="s">
        <v>195</v>
      </c>
      <c r="X365" t="s">
        <v>195</v>
      </c>
      <c r="Y365" t="s">
        <v>104</v>
      </c>
    </row>
    <row r="366">
      <c r="A366">
        <v>1340</v>
      </c>
      <c r="B366" t="s">
        <v>20</v>
      </c>
      <c r="C366" t="s">
        <v>112</v>
      </c>
      <c r="D366" t="s">
        <v>195</v>
      </c>
      <c r="E366" t="s">
        <v>200</v>
      </c>
      <c r="F366">
        <v>2895.3</v>
      </c>
      <c r="G366" t="s">
        <v>195</v>
      </c>
      <c r="H366" t="s">
        <v>94</v>
      </c>
      <c r="I366">
        <v>5.3</v>
      </c>
      <c r="J366" t="s">
        <v>197</v>
      </c>
      <c r="K366" t="s">
        <v>197</v>
      </c>
      <c r="L366">
        <v/>
      </c>
      <c r="N366" t="s">
        <v>197</v>
      </c>
      <c r="R366" t="s">
        <v>53</v>
      </c>
      <c r="S366" t="s">
        <v>64</v>
      </c>
      <c r="T366" t="s">
        <v>77</v>
      </c>
      <c r="U366" t="s">
        <v>195</v>
      </c>
      <c r="V366" t="s">
        <v>195</v>
      </c>
      <c r="W366" t="s">
        <v>197</v>
      </c>
      <c r="X366" t="s">
        <v>195</v>
      </c>
      <c r="Y366" t="s">
        <v>198</v>
      </c>
    </row>
    <row r="367">
      <c r="A367">
        <v>1343</v>
      </c>
      <c r="B367" t="s">
        <v>20</v>
      </c>
      <c r="C367" t="s">
        <v>112</v>
      </c>
      <c r="D367" t="s">
        <v>195</v>
      </c>
      <c r="E367" t="s">
        <v>196</v>
      </c>
      <c r="F367">
        <v>1.4</v>
      </c>
      <c r="G367" t="s">
        <v>197</v>
      </c>
      <c r="H367" t="s">
        <v>95</v>
      </c>
      <c r="I367">
        <v>9.6</v>
      </c>
      <c r="J367" t="s">
        <v>197</v>
      </c>
      <c r="K367" t="s">
        <v>195</v>
      </c>
      <c r="L367" t="s">
        <v>95</v>
      </c>
      <c r="M367">
        <v>9.6</v>
      </c>
      <c r="N367" t="s">
        <v>195</v>
      </c>
      <c r="O367" t="s">
        <v>95</v>
      </c>
      <c r="P367">
        <v>10.2</v>
      </c>
      <c r="Q367" t="s">
        <v>195</v>
      </c>
      <c r="R367" t="s">
        <v>49</v>
      </c>
      <c r="T367" t="s">
        <v>77</v>
      </c>
      <c r="U367" t="s">
        <v>197</v>
      </c>
      <c r="V367" t="s">
        <v>197</v>
      </c>
      <c r="W367" t="s">
        <v>197</v>
      </c>
      <c r="X367" t="s">
        <v>195</v>
      </c>
      <c r="Y367" t="s">
        <v>198</v>
      </c>
    </row>
    <row r="368">
      <c r="A368">
        <v>1347</v>
      </c>
      <c r="B368" t="s">
        <v>20</v>
      </c>
      <c r="C368" t="s">
        <v>112</v>
      </c>
      <c r="D368" t="s">
        <v>197</v>
      </c>
      <c r="E368" t="s">
        <v>201</v>
      </c>
      <c r="U368" t="s">
        <v>197</v>
      </c>
      <c r="V368" t="s">
        <v>197</v>
      </c>
      <c r="W368" t="s">
        <v>197</v>
      </c>
      <c r="X368" t="s">
        <v>195</v>
      </c>
      <c r="Y368" t="s">
        <v>198</v>
      </c>
    </row>
    <row r="369">
      <c r="A369">
        <v>1353</v>
      </c>
      <c r="B369" t="s">
        <v>199</v>
      </c>
      <c r="C369" t="s">
        <v>112</v>
      </c>
      <c r="D369" t="s">
        <v>195</v>
      </c>
      <c r="E369" t="s">
        <v>196</v>
      </c>
      <c r="F369">
        <v>1.7</v>
      </c>
      <c r="G369" t="s">
        <v>197</v>
      </c>
      <c r="H369" t="s">
        <v>95</v>
      </c>
      <c r="I369">
        <v>0.9</v>
      </c>
      <c r="J369" t="s">
        <v>195</v>
      </c>
      <c r="K369" t="s">
        <v>195</v>
      </c>
      <c r="L369" t="s">
        <v>94</v>
      </c>
      <c r="M369">
        <v>15684.5</v>
      </c>
      <c r="N369" t="s">
        <v>195</v>
      </c>
      <c r="O369" t="s">
        <v>94</v>
      </c>
      <c r="P369">
        <v>15684.6</v>
      </c>
      <c r="Q369" t="s">
        <v>197</v>
      </c>
      <c r="R369" t="s">
        <v>49</v>
      </c>
      <c r="T369" t="s">
        <v>77</v>
      </c>
      <c r="U369" t="s">
        <v>197</v>
      </c>
      <c r="V369" t="s">
        <v>197</v>
      </c>
      <c r="W369" t="s">
        <v>197</v>
      </c>
      <c r="X369" t="s">
        <v>195</v>
      </c>
      <c r="Y369" t="s">
        <v>198</v>
      </c>
    </row>
    <row r="370">
      <c r="A370">
        <v>1356</v>
      </c>
      <c r="B370" t="s">
        <v>194</v>
      </c>
      <c r="C370" t="s">
        <v>112</v>
      </c>
      <c r="D370" t="s">
        <v>197</v>
      </c>
      <c r="E370" t="s">
        <v>201</v>
      </c>
      <c r="U370" t="s">
        <v>197</v>
      </c>
      <c r="V370" t="s">
        <v>197</v>
      </c>
      <c r="W370" t="s">
        <v>197</v>
      </c>
      <c r="X370" t="s">
        <v>195</v>
      </c>
      <c r="Y370" t="s">
        <v>198</v>
      </c>
    </row>
    <row r="371">
      <c r="A371">
        <v>1368</v>
      </c>
      <c r="B371" t="s">
        <v>20</v>
      </c>
      <c r="C371" t="s">
        <v>112</v>
      </c>
      <c r="D371" t="s">
        <v>195</v>
      </c>
      <c r="E371" t="s">
        <v>196</v>
      </c>
      <c r="F371">
        <v>0.5</v>
      </c>
      <c r="G371" t="s">
        <v>197</v>
      </c>
      <c r="H371" t="s">
        <v>95</v>
      </c>
      <c r="I371">
        <v>1</v>
      </c>
      <c r="J371" t="s">
        <v>195</v>
      </c>
      <c r="K371" t="s">
        <v>195</v>
      </c>
      <c r="L371" t="s">
        <v>95</v>
      </c>
      <c r="M371">
        <v>2.9</v>
      </c>
      <c r="N371" t="s">
        <v>195</v>
      </c>
      <c r="O371" t="s">
        <v>95</v>
      </c>
      <c r="P371">
        <v>3.5</v>
      </c>
      <c r="Q371" t="s">
        <v>195</v>
      </c>
      <c r="R371" t="s">
        <v>49</v>
      </c>
      <c r="T371" t="s">
        <v>78</v>
      </c>
      <c r="U371" t="s">
        <v>197</v>
      </c>
      <c r="V371" t="s">
        <v>197</v>
      </c>
      <c r="W371" t="s">
        <v>197</v>
      </c>
      <c r="X371" t="s">
        <v>195</v>
      </c>
      <c r="Y371" t="s">
        <v>198</v>
      </c>
    </row>
    <row r="372">
      <c r="A372">
        <v>1373</v>
      </c>
      <c r="B372" t="s">
        <v>194</v>
      </c>
      <c r="C372" t="s">
        <v>112</v>
      </c>
      <c r="D372" t="s">
        <v>195</v>
      </c>
      <c r="E372" t="s">
        <v>196</v>
      </c>
      <c r="F372">
        <v>1</v>
      </c>
      <c r="G372" t="s">
        <v>197</v>
      </c>
      <c r="H372" t="s">
        <v>95</v>
      </c>
      <c r="I372">
        <v>0.6</v>
      </c>
      <c r="J372" t="s">
        <v>195</v>
      </c>
      <c r="K372" t="s">
        <v>195</v>
      </c>
      <c r="L372" t="s">
        <v>95</v>
      </c>
      <c r="M372">
        <v>2.4</v>
      </c>
      <c r="N372" t="s">
        <v>195</v>
      </c>
      <c r="O372" t="s">
        <v>95</v>
      </c>
      <c r="P372">
        <v>2.8</v>
      </c>
      <c r="Q372" t="s">
        <v>195</v>
      </c>
      <c r="R372" t="s">
        <v>49</v>
      </c>
      <c r="T372" t="s">
        <v>78</v>
      </c>
      <c r="U372" t="s">
        <v>197</v>
      </c>
      <c r="V372" t="s">
        <v>197</v>
      </c>
      <c r="W372" t="s">
        <v>197</v>
      </c>
      <c r="X372" t="s">
        <v>195</v>
      </c>
      <c r="Y372" t="s">
        <v>198</v>
      </c>
    </row>
    <row r="373">
      <c r="A373">
        <v>1372</v>
      </c>
      <c r="B373" t="s">
        <v>199</v>
      </c>
      <c r="C373" t="s">
        <v>112</v>
      </c>
      <c r="D373" t="s">
        <v>197</v>
      </c>
      <c r="E373" t="s">
        <v>201</v>
      </c>
      <c r="U373" t="s">
        <v>197</v>
      </c>
      <c r="V373" t="s">
        <v>197</v>
      </c>
      <c r="W373" t="s">
        <v>197</v>
      </c>
      <c r="X373" t="s">
        <v>195</v>
      </c>
      <c r="Y373" t="s">
        <v>198</v>
      </c>
    </row>
    <row r="374">
      <c r="A374">
        <v>1381</v>
      </c>
      <c r="B374" t="s">
        <v>20</v>
      </c>
      <c r="C374" t="s">
        <v>113</v>
      </c>
      <c r="D374" t="s">
        <v>197</v>
      </c>
      <c r="E374" t="s">
        <v>201</v>
      </c>
      <c r="U374" t="s">
        <v>197</v>
      </c>
      <c r="V374" t="s">
        <v>197</v>
      </c>
      <c r="W374" t="s">
        <v>197</v>
      </c>
      <c r="X374" t="s">
        <v>195</v>
      </c>
      <c r="Y374" t="s">
        <v>198</v>
      </c>
    </row>
    <row r="375">
      <c r="A375">
        <v>1386</v>
      </c>
      <c r="B375" t="s">
        <v>20</v>
      </c>
      <c r="C375" t="s">
        <v>113</v>
      </c>
      <c r="D375" t="s">
        <v>197</v>
      </c>
      <c r="E375" t="s">
        <v>201</v>
      </c>
      <c r="U375" t="s">
        <v>197</v>
      </c>
      <c r="V375" t="s">
        <v>197</v>
      </c>
      <c r="W375" t="s">
        <v>197</v>
      </c>
      <c r="X375" t="s">
        <v>195</v>
      </c>
      <c r="Y375" t="s">
        <v>198</v>
      </c>
    </row>
    <row r="376">
      <c r="A376">
        <v>1388</v>
      </c>
      <c r="B376" t="s">
        <v>20</v>
      </c>
      <c r="C376" t="s">
        <v>113</v>
      </c>
      <c r="D376" t="s">
        <v>197</v>
      </c>
      <c r="E376" t="s">
        <v>201</v>
      </c>
      <c r="U376" t="s">
        <v>197</v>
      </c>
      <c r="V376" t="s">
        <v>197</v>
      </c>
      <c r="W376" t="s">
        <v>197</v>
      </c>
      <c r="X376" t="s">
        <v>195</v>
      </c>
      <c r="Y376" t="s">
        <v>198</v>
      </c>
    </row>
    <row r="377">
      <c r="A377">
        <v>1390</v>
      </c>
      <c r="B377" t="s">
        <v>20</v>
      </c>
      <c r="C377" t="s">
        <v>113</v>
      </c>
      <c r="D377" t="s">
        <v>197</v>
      </c>
      <c r="E377" t="s">
        <v>201</v>
      </c>
      <c r="U377" t="s">
        <v>197</v>
      </c>
      <c r="V377" t="s">
        <v>197</v>
      </c>
      <c r="W377" t="s">
        <v>197</v>
      </c>
      <c r="X377" t="s">
        <v>195</v>
      </c>
      <c r="Y377" t="s">
        <v>198</v>
      </c>
    </row>
    <row r="378">
      <c r="A378">
        <v>1391</v>
      </c>
      <c r="B378" t="s">
        <v>194</v>
      </c>
      <c r="C378" t="s">
        <v>113</v>
      </c>
      <c r="D378" t="s">
        <v>195</v>
      </c>
      <c r="E378" t="s">
        <v>200</v>
      </c>
      <c r="F378">
        <v>1904.7</v>
      </c>
      <c r="G378" t="s">
        <v>197</v>
      </c>
      <c r="H378" t="s">
        <v>93</v>
      </c>
      <c r="I378">
        <v>0.6</v>
      </c>
      <c r="J378" t="s">
        <v>195</v>
      </c>
      <c r="K378" t="s">
        <v>195</v>
      </c>
      <c r="L378" t="s">
        <v>93</v>
      </c>
      <c r="M378">
        <v>10.9</v>
      </c>
      <c r="N378" t="s">
        <v>195</v>
      </c>
      <c r="O378" t="s">
        <v>93</v>
      </c>
      <c r="P378">
        <v>11.2</v>
      </c>
      <c r="Q378" t="s">
        <v>197</v>
      </c>
      <c r="R378" t="s">
        <v>49</v>
      </c>
      <c r="T378" t="s">
        <v>76</v>
      </c>
      <c r="U378" t="s">
        <v>197</v>
      </c>
      <c r="V378" t="s">
        <v>197</v>
      </c>
      <c r="W378" t="s">
        <v>197</v>
      </c>
      <c r="X378" t="s">
        <v>195</v>
      </c>
      <c r="Y378" t="s">
        <v>198</v>
      </c>
    </row>
    <row r="379">
      <c r="A379">
        <v>1393</v>
      </c>
      <c r="B379" t="s">
        <v>20</v>
      </c>
      <c r="C379" t="s">
        <v>113</v>
      </c>
      <c r="D379" t="s">
        <v>197</v>
      </c>
      <c r="E379" t="s">
        <v>201</v>
      </c>
      <c r="U379" t="s">
        <v>197</v>
      </c>
      <c r="V379" t="s">
        <v>197</v>
      </c>
      <c r="W379" t="s">
        <v>197</v>
      </c>
      <c r="X379" t="s">
        <v>195</v>
      </c>
      <c r="Y379" t="s">
        <v>198</v>
      </c>
    </row>
    <row r="380">
      <c r="A380">
        <v>1377</v>
      </c>
      <c r="B380" t="s">
        <v>20</v>
      </c>
      <c r="C380" t="s">
        <v>113</v>
      </c>
      <c r="D380" t="s">
        <v>197</v>
      </c>
      <c r="E380" t="s">
        <v>201</v>
      </c>
      <c r="U380" t="s">
        <v>197</v>
      </c>
      <c r="V380" t="s">
        <v>197</v>
      </c>
      <c r="W380" t="s">
        <v>197</v>
      </c>
      <c r="X380" t="s">
        <v>195</v>
      </c>
      <c r="Y380" t="s">
        <v>198</v>
      </c>
    </row>
    <row r="381">
      <c r="A381">
        <v>1385</v>
      </c>
      <c r="B381" t="s">
        <v>20</v>
      </c>
      <c r="C381" t="s">
        <v>113</v>
      </c>
      <c r="D381" t="s">
        <v>195</v>
      </c>
      <c r="E381" t="s">
        <v>200</v>
      </c>
      <c r="F381">
        <v>4585.4</v>
      </c>
      <c r="G381" t="s">
        <v>197</v>
      </c>
      <c r="H381">
        <v/>
      </c>
      <c r="J381" t="s">
        <v>197</v>
      </c>
      <c r="K381" t="s">
        <v>197</v>
      </c>
      <c r="L381">
        <v/>
      </c>
      <c r="N381" t="s">
        <v>197</v>
      </c>
      <c r="R381" t="s">
        <v>53</v>
      </c>
      <c r="S381" t="s">
        <v>64</v>
      </c>
      <c r="T381" t="s">
        <v>76</v>
      </c>
      <c r="U381" t="s">
        <v>197</v>
      </c>
      <c r="V381" t="s">
        <v>197</v>
      </c>
      <c r="W381" t="s">
        <v>197</v>
      </c>
      <c r="X381" t="s">
        <v>195</v>
      </c>
      <c r="Y381" t="s">
        <v>198</v>
      </c>
    </row>
    <row r="382">
      <c r="A382">
        <v>1402</v>
      </c>
      <c r="B382" t="s">
        <v>20</v>
      </c>
      <c r="C382" t="s">
        <v>113</v>
      </c>
      <c r="D382" t="s">
        <v>197</v>
      </c>
      <c r="E382" t="s">
        <v>201</v>
      </c>
      <c r="U382" t="s">
        <v>197</v>
      </c>
      <c r="V382" t="s">
        <v>197</v>
      </c>
      <c r="W382" t="s">
        <v>197</v>
      </c>
      <c r="X382" t="s">
        <v>195</v>
      </c>
      <c r="Y382" t="s">
        <v>198</v>
      </c>
    </row>
    <row r="383">
      <c r="A383">
        <v>1403</v>
      </c>
      <c r="B383" t="s">
        <v>20</v>
      </c>
      <c r="C383" t="s">
        <v>113</v>
      </c>
      <c r="D383" t="s">
        <v>195</v>
      </c>
      <c r="E383" t="s">
        <v>196</v>
      </c>
      <c r="F383">
        <v>1.1</v>
      </c>
      <c r="G383" t="s">
        <v>195</v>
      </c>
      <c r="H383" t="s">
        <v>93</v>
      </c>
      <c r="I383">
        <v>0.5</v>
      </c>
      <c r="J383" t="s">
        <v>195</v>
      </c>
      <c r="K383" t="s">
        <v>195</v>
      </c>
      <c r="L383" t="s">
        <v>93</v>
      </c>
      <c r="M383">
        <v>3.1</v>
      </c>
      <c r="N383" t="s">
        <v>195</v>
      </c>
      <c r="O383" t="s">
        <v>93</v>
      </c>
      <c r="P383">
        <v>3.3</v>
      </c>
      <c r="Q383" t="s">
        <v>195</v>
      </c>
      <c r="R383" t="s">
        <v>49</v>
      </c>
      <c r="T383" t="s">
        <v>78</v>
      </c>
      <c r="U383" t="s">
        <v>197</v>
      </c>
      <c r="V383" t="s">
        <v>197</v>
      </c>
      <c r="W383" t="s">
        <v>197</v>
      </c>
      <c r="X383" t="s">
        <v>195</v>
      </c>
      <c r="Y383" t="s">
        <v>198</v>
      </c>
    </row>
    <row r="384">
      <c r="A384">
        <v>1405</v>
      </c>
      <c r="B384" t="s">
        <v>20</v>
      </c>
      <c r="C384" t="s">
        <v>113</v>
      </c>
      <c r="D384" t="s">
        <v>195</v>
      </c>
      <c r="E384" t="s">
        <v>200</v>
      </c>
      <c r="F384">
        <v>320.9</v>
      </c>
      <c r="G384" t="s">
        <v>195</v>
      </c>
      <c r="H384" t="s">
        <v>96</v>
      </c>
      <c r="I384">
        <v>0.6</v>
      </c>
      <c r="J384" t="s">
        <v>197</v>
      </c>
      <c r="K384" t="s">
        <v>197</v>
      </c>
      <c r="L384">
        <v/>
      </c>
      <c r="N384" t="s">
        <v>197</v>
      </c>
      <c r="R384" t="s">
        <v>53</v>
      </c>
      <c r="S384" t="s">
        <v>64</v>
      </c>
      <c r="T384" t="s">
        <v>76</v>
      </c>
      <c r="U384" t="s">
        <v>197</v>
      </c>
      <c r="V384" t="s">
        <v>197</v>
      </c>
      <c r="W384" t="s">
        <v>197</v>
      </c>
      <c r="X384" t="s">
        <v>195</v>
      </c>
      <c r="Y384" t="s">
        <v>198</v>
      </c>
    </row>
    <row r="385">
      <c r="A385">
        <v>1406</v>
      </c>
      <c r="B385" t="s">
        <v>194</v>
      </c>
      <c r="C385" t="s">
        <v>113</v>
      </c>
      <c r="D385" t="s">
        <v>195</v>
      </c>
      <c r="E385" t="s">
        <v>196</v>
      </c>
      <c r="F385">
        <v>8.6</v>
      </c>
      <c r="G385" t="s">
        <v>197</v>
      </c>
      <c r="H385" t="s">
        <v>93</v>
      </c>
      <c r="I385">
        <v>0.2</v>
      </c>
      <c r="J385" t="s">
        <v>195</v>
      </c>
      <c r="K385" t="s">
        <v>195</v>
      </c>
      <c r="L385" t="s">
        <v>93</v>
      </c>
      <c r="M385">
        <v>12</v>
      </c>
      <c r="N385" t="s">
        <v>195</v>
      </c>
      <c r="O385" t="s">
        <v>93</v>
      </c>
      <c r="P385">
        <v>12.2</v>
      </c>
      <c r="Q385" t="s">
        <v>195</v>
      </c>
      <c r="R385" t="s">
        <v>49</v>
      </c>
      <c r="T385" t="s">
        <v>76</v>
      </c>
      <c r="U385" t="s">
        <v>197</v>
      </c>
      <c r="V385" t="s">
        <v>197</v>
      </c>
      <c r="W385" t="s">
        <v>197</v>
      </c>
      <c r="X385" t="s">
        <v>195</v>
      </c>
      <c r="Y385" t="s">
        <v>198</v>
      </c>
    </row>
    <row r="386">
      <c r="A386">
        <v>1407</v>
      </c>
      <c r="B386" t="s">
        <v>20</v>
      </c>
      <c r="C386" t="s">
        <v>113</v>
      </c>
      <c r="D386" t="s">
        <v>195</v>
      </c>
      <c r="E386" t="s">
        <v>200</v>
      </c>
      <c r="F386">
        <v>4476.3</v>
      </c>
      <c r="G386" t="s">
        <v>195</v>
      </c>
      <c r="H386" t="s">
        <v>96</v>
      </c>
      <c r="I386">
        <v>3.2</v>
      </c>
      <c r="J386" t="s">
        <v>197</v>
      </c>
      <c r="K386" t="s">
        <v>197</v>
      </c>
      <c r="L386">
        <v/>
      </c>
      <c r="N386" t="s">
        <v>197</v>
      </c>
      <c r="R386" t="s">
        <v>53</v>
      </c>
      <c r="S386" t="s">
        <v>64</v>
      </c>
      <c r="T386" t="s">
        <v>76</v>
      </c>
      <c r="U386" t="s">
        <v>197</v>
      </c>
      <c r="V386" t="s">
        <v>197</v>
      </c>
      <c r="W386" t="s">
        <v>197</v>
      </c>
      <c r="X386" t="s">
        <v>195</v>
      </c>
      <c r="Y386" t="s">
        <v>198</v>
      </c>
    </row>
    <row r="387">
      <c r="A387">
        <v>1409</v>
      </c>
      <c r="B387" t="s">
        <v>194</v>
      </c>
      <c r="C387" t="s">
        <v>113</v>
      </c>
      <c r="D387" t="s">
        <v>195</v>
      </c>
      <c r="E387" t="s">
        <v>196</v>
      </c>
      <c r="F387">
        <v>1.2</v>
      </c>
      <c r="G387" t="s">
        <v>197</v>
      </c>
      <c r="H387" t="s">
        <v>96</v>
      </c>
      <c r="I387">
        <v>4.1</v>
      </c>
      <c r="J387" t="s">
        <v>195</v>
      </c>
      <c r="K387" t="s">
        <v>195</v>
      </c>
      <c r="L387" t="s">
        <v>96</v>
      </c>
      <c r="M387">
        <v>11</v>
      </c>
      <c r="N387" t="s">
        <v>197</v>
      </c>
      <c r="R387" t="s">
        <v>52</v>
      </c>
      <c r="S387" t="s">
        <v>65</v>
      </c>
      <c r="T387" t="s">
        <v>76</v>
      </c>
      <c r="U387" t="s">
        <v>197</v>
      </c>
      <c r="V387" t="s">
        <v>197</v>
      </c>
      <c r="W387" t="s">
        <v>197</v>
      </c>
      <c r="X387" t="s">
        <v>195</v>
      </c>
      <c r="Y387" t="s">
        <v>198</v>
      </c>
    </row>
    <row r="388">
      <c r="A388">
        <v>1412</v>
      </c>
      <c r="B388" t="s">
        <v>20</v>
      </c>
      <c r="C388" t="s">
        <v>113</v>
      </c>
      <c r="D388" t="s">
        <v>195</v>
      </c>
      <c r="E388" t="s">
        <v>196</v>
      </c>
      <c r="F388">
        <v>59.2</v>
      </c>
      <c r="G388" t="s">
        <v>195</v>
      </c>
      <c r="H388" t="s">
        <v>93</v>
      </c>
      <c r="I388">
        <v>1</v>
      </c>
      <c r="J388" t="s">
        <v>195</v>
      </c>
      <c r="K388" t="s">
        <v>195</v>
      </c>
      <c r="L388" t="s">
        <v>93</v>
      </c>
      <c r="M388">
        <v>4.8</v>
      </c>
      <c r="N388" t="s">
        <v>195</v>
      </c>
      <c r="O388" t="s">
        <v>93</v>
      </c>
      <c r="P388">
        <v>4.9</v>
      </c>
      <c r="Q388" t="s">
        <v>195</v>
      </c>
      <c r="R388" t="s">
        <v>49</v>
      </c>
      <c r="T388" t="s">
        <v>76</v>
      </c>
      <c r="U388" t="s">
        <v>197</v>
      </c>
      <c r="V388" t="s">
        <v>197</v>
      </c>
      <c r="W388" t="s">
        <v>197</v>
      </c>
      <c r="X388" t="s">
        <v>195</v>
      </c>
      <c r="Y388" t="s">
        <v>198</v>
      </c>
    </row>
    <row r="389">
      <c r="A389">
        <v>1430</v>
      </c>
      <c r="B389" t="s">
        <v>194</v>
      </c>
      <c r="C389" t="s">
        <v>113</v>
      </c>
      <c r="D389" t="s">
        <v>197</v>
      </c>
      <c r="E389" t="s">
        <v>201</v>
      </c>
      <c r="U389" t="s">
        <v>197</v>
      </c>
      <c r="V389" t="s">
        <v>197</v>
      </c>
      <c r="W389" t="s">
        <v>197</v>
      </c>
      <c r="X389" t="s">
        <v>195</v>
      </c>
      <c r="Y389" t="s">
        <v>198</v>
      </c>
    </row>
    <row r="390">
      <c r="A390">
        <v>1423</v>
      </c>
      <c r="B390" t="s">
        <v>20</v>
      </c>
      <c r="C390" t="s">
        <v>113</v>
      </c>
      <c r="D390" t="s">
        <v>195</v>
      </c>
      <c r="E390" t="s">
        <v>196</v>
      </c>
      <c r="F390">
        <v>20</v>
      </c>
      <c r="G390" t="s">
        <v>197</v>
      </c>
      <c r="H390" t="s">
        <v>96</v>
      </c>
      <c r="I390">
        <v>11.9</v>
      </c>
      <c r="J390" t="s">
        <v>195</v>
      </c>
      <c r="K390" t="s">
        <v>195</v>
      </c>
      <c r="L390" t="s">
        <v>93</v>
      </c>
      <c r="M390">
        <v>30.4</v>
      </c>
      <c r="N390" t="s">
        <v>195</v>
      </c>
      <c r="O390" t="s">
        <v>93</v>
      </c>
      <c r="P390">
        <v>30.6</v>
      </c>
      <c r="Q390" t="s">
        <v>195</v>
      </c>
      <c r="R390" t="s">
        <v>49</v>
      </c>
      <c r="T390" t="s">
        <v>76</v>
      </c>
      <c r="U390" t="s">
        <v>197</v>
      </c>
      <c r="V390" t="s">
        <v>197</v>
      </c>
      <c r="W390" t="s">
        <v>197</v>
      </c>
      <c r="X390" t="s">
        <v>195</v>
      </c>
      <c r="Y390" t="s">
        <v>198</v>
      </c>
    </row>
    <row r="391">
      <c r="A391">
        <v>1439</v>
      </c>
      <c r="B391" t="s">
        <v>20</v>
      </c>
      <c r="C391" t="s">
        <v>113</v>
      </c>
      <c r="D391" t="s">
        <v>195</v>
      </c>
      <c r="E391" t="s">
        <v>196</v>
      </c>
      <c r="F391">
        <v>4.8</v>
      </c>
      <c r="G391" t="s">
        <v>197</v>
      </c>
      <c r="H391" t="s">
        <v>96</v>
      </c>
      <c r="I391">
        <v>5.4</v>
      </c>
      <c r="J391" t="s">
        <v>195</v>
      </c>
      <c r="K391" t="s">
        <v>195</v>
      </c>
      <c r="L391" t="s">
        <v>96</v>
      </c>
      <c r="M391">
        <v>16.3</v>
      </c>
      <c r="N391" t="s">
        <v>197</v>
      </c>
      <c r="R391" t="s">
        <v>52</v>
      </c>
      <c r="S391" t="s">
        <v>64</v>
      </c>
      <c r="T391" t="s">
        <v>76</v>
      </c>
      <c r="U391" t="s">
        <v>197</v>
      </c>
      <c r="V391" t="s">
        <v>197</v>
      </c>
      <c r="W391" t="s">
        <v>197</v>
      </c>
      <c r="X391" t="s">
        <v>195</v>
      </c>
      <c r="Y391" t="s">
        <v>198</v>
      </c>
    </row>
    <row r="392">
      <c r="A392">
        <v>1443</v>
      </c>
      <c r="B392" t="s">
        <v>20</v>
      </c>
      <c r="C392" t="s">
        <v>113</v>
      </c>
      <c r="D392" t="s">
        <v>197</v>
      </c>
      <c r="E392" t="s">
        <v>201</v>
      </c>
      <c r="U392" t="s">
        <v>197</v>
      </c>
      <c r="V392" t="s">
        <v>197</v>
      </c>
      <c r="W392" t="s">
        <v>197</v>
      </c>
      <c r="X392" t="s">
        <v>195</v>
      </c>
      <c r="Y392" t="s">
        <v>198</v>
      </c>
    </row>
    <row r="393">
      <c r="A393">
        <v>1431</v>
      </c>
      <c r="B393" t="s">
        <v>20</v>
      </c>
      <c r="C393" t="s">
        <v>113</v>
      </c>
      <c r="D393" t="s">
        <v>197</v>
      </c>
      <c r="E393" t="s">
        <v>201</v>
      </c>
      <c r="U393" t="s">
        <v>197</v>
      </c>
      <c r="V393" t="s">
        <v>197</v>
      </c>
      <c r="W393" t="s">
        <v>197</v>
      </c>
      <c r="X393" t="s">
        <v>195</v>
      </c>
      <c r="Y393" t="s">
        <v>198</v>
      </c>
    </row>
    <row r="394">
      <c r="A394">
        <v>1456</v>
      </c>
      <c r="B394" t="s">
        <v>20</v>
      </c>
      <c r="C394" t="s">
        <v>113</v>
      </c>
      <c r="D394" t="s">
        <v>195</v>
      </c>
      <c r="E394" t="s">
        <v>196</v>
      </c>
      <c r="F394">
        <v>3.3</v>
      </c>
      <c r="G394" t="s">
        <v>195</v>
      </c>
      <c r="H394" t="s">
        <v>93</v>
      </c>
      <c r="I394">
        <v>2</v>
      </c>
      <c r="J394" t="s">
        <v>195</v>
      </c>
      <c r="K394" t="s">
        <v>195</v>
      </c>
      <c r="L394" t="s">
        <v>93</v>
      </c>
      <c r="M394">
        <v>6.1</v>
      </c>
      <c r="N394" t="s">
        <v>195</v>
      </c>
      <c r="O394" t="s">
        <v>93</v>
      </c>
      <c r="P394">
        <v>6.4</v>
      </c>
      <c r="Q394" t="s">
        <v>195</v>
      </c>
      <c r="R394" t="s">
        <v>49</v>
      </c>
      <c r="T394" t="s">
        <v>76</v>
      </c>
      <c r="U394" t="s">
        <v>195</v>
      </c>
      <c r="V394" t="s">
        <v>195</v>
      </c>
      <c r="W394" t="s">
        <v>195</v>
      </c>
      <c r="X394" t="s">
        <v>195</v>
      </c>
      <c r="Y394" t="s">
        <v>104</v>
      </c>
    </row>
    <row r="395">
      <c r="A395">
        <v>1451</v>
      </c>
      <c r="B395" t="s">
        <v>20</v>
      </c>
      <c r="C395" t="s">
        <v>113</v>
      </c>
      <c r="D395" t="s">
        <v>197</v>
      </c>
      <c r="E395" t="s">
        <v>201</v>
      </c>
      <c r="U395" t="s">
        <v>197</v>
      </c>
      <c r="V395" t="s">
        <v>197</v>
      </c>
      <c r="W395" t="s">
        <v>197</v>
      </c>
      <c r="X395" t="s">
        <v>195</v>
      </c>
      <c r="Y395" t="s">
        <v>198</v>
      </c>
    </row>
    <row r="396">
      <c r="A396">
        <v>1461</v>
      </c>
      <c r="B396" t="s">
        <v>194</v>
      </c>
      <c r="C396" t="s">
        <v>113</v>
      </c>
      <c r="D396" t="s">
        <v>195</v>
      </c>
      <c r="E396" t="s">
        <v>196</v>
      </c>
      <c r="F396">
        <v>34.7</v>
      </c>
      <c r="G396" t="s">
        <v>197</v>
      </c>
      <c r="H396" t="s">
        <v>93</v>
      </c>
      <c r="I396">
        <v>0.6</v>
      </c>
      <c r="J396" t="s">
        <v>195</v>
      </c>
      <c r="K396" t="s">
        <v>195</v>
      </c>
      <c r="L396" t="s">
        <v>93</v>
      </c>
      <c r="M396">
        <v>3</v>
      </c>
      <c r="N396" t="s">
        <v>195</v>
      </c>
      <c r="O396" t="s">
        <v>93</v>
      </c>
      <c r="P396">
        <v>3.2</v>
      </c>
      <c r="Q396" t="s">
        <v>195</v>
      </c>
      <c r="R396" t="s">
        <v>49</v>
      </c>
      <c r="T396" t="s">
        <v>76</v>
      </c>
      <c r="U396" t="s">
        <v>197</v>
      </c>
      <c r="V396" t="s">
        <v>197</v>
      </c>
      <c r="W396" t="s">
        <v>197</v>
      </c>
      <c r="X396" t="s">
        <v>195</v>
      </c>
      <c r="Y396" t="s">
        <v>198</v>
      </c>
    </row>
    <row r="397">
      <c r="A397">
        <v>1463</v>
      </c>
      <c r="B397" t="s">
        <v>194</v>
      </c>
      <c r="C397" t="s">
        <v>113</v>
      </c>
      <c r="D397" t="s">
        <v>195</v>
      </c>
      <c r="E397" t="s">
        <v>196</v>
      </c>
      <c r="F397">
        <v>2.4</v>
      </c>
      <c r="G397" t="s">
        <v>197</v>
      </c>
      <c r="H397" t="s">
        <v>93</v>
      </c>
      <c r="I397">
        <v>0.3</v>
      </c>
      <c r="J397" t="s">
        <v>195</v>
      </c>
      <c r="K397" t="s">
        <v>195</v>
      </c>
      <c r="L397" t="s">
        <v>93</v>
      </c>
      <c r="M397">
        <v>2.9</v>
      </c>
      <c r="N397" t="s">
        <v>195</v>
      </c>
      <c r="O397" t="s">
        <v>93</v>
      </c>
      <c r="P397">
        <v>3.1</v>
      </c>
      <c r="Q397" t="s">
        <v>195</v>
      </c>
      <c r="R397" t="s">
        <v>49</v>
      </c>
      <c r="T397" t="s">
        <v>76</v>
      </c>
      <c r="U397" t="s">
        <v>197</v>
      </c>
      <c r="V397" t="s">
        <v>197</v>
      </c>
      <c r="W397" t="s">
        <v>197</v>
      </c>
      <c r="X397" t="s">
        <v>195</v>
      </c>
      <c r="Y397" t="s">
        <v>198</v>
      </c>
    </row>
    <row r="398">
      <c r="A398">
        <v>1471</v>
      </c>
      <c r="B398" t="s">
        <v>20</v>
      </c>
      <c r="C398" t="s">
        <v>113</v>
      </c>
      <c r="D398" t="s">
        <v>195</v>
      </c>
      <c r="E398" t="s">
        <v>196</v>
      </c>
      <c r="F398">
        <v>0.9</v>
      </c>
      <c r="G398" t="s">
        <v>197</v>
      </c>
      <c r="H398" t="s">
        <v>93</v>
      </c>
      <c r="I398">
        <v>0.2</v>
      </c>
      <c r="J398" t="s">
        <v>195</v>
      </c>
      <c r="K398" t="s">
        <v>195</v>
      </c>
      <c r="L398" t="s">
        <v>93</v>
      </c>
      <c r="M398">
        <v>3.3</v>
      </c>
      <c r="N398" t="s">
        <v>195</v>
      </c>
      <c r="O398" t="s">
        <v>93</v>
      </c>
      <c r="P398">
        <v>3.4</v>
      </c>
      <c r="Q398" t="s">
        <v>195</v>
      </c>
      <c r="R398" t="s">
        <v>49</v>
      </c>
      <c r="T398" t="s">
        <v>76</v>
      </c>
      <c r="U398" t="s">
        <v>197</v>
      </c>
      <c r="V398" t="s">
        <v>197</v>
      </c>
      <c r="W398" t="s">
        <v>197</v>
      </c>
      <c r="X398" t="s">
        <v>195</v>
      </c>
      <c r="Y398" t="s">
        <v>198</v>
      </c>
    </row>
    <row r="399">
      <c r="A399">
        <v>1473</v>
      </c>
      <c r="B399" t="s">
        <v>20</v>
      </c>
      <c r="C399" t="s">
        <v>113</v>
      </c>
      <c r="D399" t="s">
        <v>197</v>
      </c>
      <c r="E399" t="s">
        <v>201</v>
      </c>
      <c r="U399" t="s">
        <v>197</v>
      </c>
      <c r="V399" t="s">
        <v>197</v>
      </c>
      <c r="W399" t="s">
        <v>197</v>
      </c>
      <c r="X399" t="s">
        <v>195</v>
      </c>
      <c r="Y399" t="s">
        <v>198</v>
      </c>
    </row>
    <row r="400">
      <c r="A400">
        <v>1482</v>
      </c>
      <c r="B400" t="s">
        <v>199</v>
      </c>
      <c r="C400" t="s">
        <v>113</v>
      </c>
      <c r="D400" t="s">
        <v>197</v>
      </c>
      <c r="E400" t="s">
        <v>201</v>
      </c>
      <c r="U400" t="s">
        <v>197</v>
      </c>
      <c r="V400" t="s">
        <v>197</v>
      </c>
      <c r="W400" t="s">
        <v>197</v>
      </c>
      <c r="X400" t="s">
        <v>195</v>
      </c>
      <c r="Y400" t="s">
        <v>198</v>
      </c>
    </row>
    <row r="401">
      <c r="A401">
        <v>1484</v>
      </c>
      <c r="B401" t="s">
        <v>199</v>
      </c>
      <c r="C401" t="s">
        <v>113</v>
      </c>
      <c r="D401" t="s">
        <v>195</v>
      </c>
      <c r="E401" t="s">
        <v>196</v>
      </c>
      <c r="F401">
        <v>0.7</v>
      </c>
      <c r="G401" t="s">
        <v>197</v>
      </c>
      <c r="H401" t="s">
        <v>94</v>
      </c>
      <c r="I401">
        <v>15.5</v>
      </c>
      <c r="J401" t="s">
        <v>197</v>
      </c>
      <c r="K401" t="s">
        <v>197</v>
      </c>
      <c r="L401">
        <v/>
      </c>
      <c r="N401" t="s">
        <v>197</v>
      </c>
      <c r="R401" t="s">
        <v>53</v>
      </c>
      <c r="S401" t="s">
        <v>205</v>
      </c>
      <c r="T401" t="s">
        <v>76</v>
      </c>
      <c r="U401" t="s">
        <v>197</v>
      </c>
      <c r="V401" t="s">
        <v>197</v>
      </c>
      <c r="W401" t="s">
        <v>197</v>
      </c>
      <c r="X401" t="s">
        <v>195</v>
      </c>
      <c r="Y401" t="s">
        <v>198</v>
      </c>
    </row>
    <row r="402">
      <c r="A402">
        <v>1477</v>
      </c>
      <c r="B402" t="s">
        <v>199</v>
      </c>
      <c r="C402" t="s">
        <v>113</v>
      </c>
      <c r="D402" t="s">
        <v>197</v>
      </c>
      <c r="E402" t="s">
        <v>201</v>
      </c>
      <c r="U402" t="s">
        <v>197</v>
      </c>
      <c r="V402" t="s">
        <v>197</v>
      </c>
      <c r="W402" t="s">
        <v>197</v>
      </c>
      <c r="X402" t="s">
        <v>195</v>
      </c>
      <c r="Y402" t="s">
        <v>198</v>
      </c>
    </row>
    <row r="403">
      <c r="A403">
        <v>1480</v>
      </c>
      <c r="B403" t="s">
        <v>20</v>
      </c>
      <c r="C403" t="s">
        <v>113</v>
      </c>
      <c r="D403" t="s">
        <v>197</v>
      </c>
      <c r="E403" t="s">
        <v>201</v>
      </c>
      <c r="U403" t="s">
        <v>197</v>
      </c>
      <c r="V403" t="s">
        <v>197</v>
      </c>
      <c r="W403" t="s">
        <v>197</v>
      </c>
      <c r="X403" t="s">
        <v>195</v>
      </c>
      <c r="Y403" t="s">
        <v>198</v>
      </c>
    </row>
    <row r="404">
      <c r="A404">
        <v>1485</v>
      </c>
      <c r="B404" t="s">
        <v>20</v>
      </c>
      <c r="C404" t="s">
        <v>113</v>
      </c>
      <c r="D404" t="s">
        <v>195</v>
      </c>
      <c r="E404" t="s">
        <v>196</v>
      </c>
      <c r="F404">
        <v>2.7</v>
      </c>
      <c r="G404" t="s">
        <v>197</v>
      </c>
      <c r="H404" t="s">
        <v>93</v>
      </c>
      <c r="I404">
        <v>1</v>
      </c>
      <c r="J404" t="s">
        <v>195</v>
      </c>
      <c r="K404" t="s">
        <v>195</v>
      </c>
      <c r="L404" t="s">
        <v>93</v>
      </c>
      <c r="M404">
        <v>3.8</v>
      </c>
      <c r="N404" t="s">
        <v>195</v>
      </c>
      <c r="O404" t="s">
        <v>93</v>
      </c>
      <c r="P404">
        <v>3.9</v>
      </c>
      <c r="Q404" t="s">
        <v>195</v>
      </c>
      <c r="R404" t="s">
        <v>49</v>
      </c>
      <c r="T404" t="s">
        <v>76</v>
      </c>
      <c r="U404" t="s">
        <v>197</v>
      </c>
      <c r="V404" t="s">
        <v>197</v>
      </c>
      <c r="W404" t="s">
        <v>197</v>
      </c>
      <c r="X404" t="s">
        <v>195</v>
      </c>
      <c r="Y404" t="s">
        <v>198</v>
      </c>
    </row>
    <row r="405">
      <c r="A405">
        <v>1491</v>
      </c>
      <c r="B405" t="s">
        <v>20</v>
      </c>
      <c r="C405" t="s">
        <v>113</v>
      </c>
      <c r="D405" t="s">
        <v>197</v>
      </c>
      <c r="E405" t="s">
        <v>201</v>
      </c>
      <c r="U405" t="s">
        <v>197</v>
      </c>
      <c r="V405" t="s">
        <v>197</v>
      </c>
      <c r="W405" t="s">
        <v>197</v>
      </c>
      <c r="X405" t="s">
        <v>195</v>
      </c>
      <c r="Y405" t="s">
        <v>198</v>
      </c>
    </row>
    <row r="406">
      <c r="A406">
        <v>1492</v>
      </c>
      <c r="B406" t="s">
        <v>20</v>
      </c>
      <c r="C406" t="s">
        <v>113</v>
      </c>
      <c r="D406" t="s">
        <v>195</v>
      </c>
      <c r="E406" t="s">
        <v>196</v>
      </c>
      <c r="F406">
        <v>7.6</v>
      </c>
      <c r="G406" t="s">
        <v>197</v>
      </c>
      <c r="H406" t="s">
        <v>96</v>
      </c>
      <c r="I406">
        <v>3952.4</v>
      </c>
      <c r="J406" t="s">
        <v>197</v>
      </c>
      <c r="K406" t="s">
        <v>197</v>
      </c>
      <c r="L406">
        <v/>
      </c>
      <c r="N406" t="s">
        <v>197</v>
      </c>
      <c r="R406" t="s">
        <v>53</v>
      </c>
      <c r="S406" t="s">
        <v>64</v>
      </c>
      <c r="T406" t="s">
        <v>76</v>
      </c>
      <c r="U406" t="s">
        <v>197</v>
      </c>
      <c r="V406" t="s">
        <v>197</v>
      </c>
      <c r="W406" t="s">
        <v>197</v>
      </c>
      <c r="X406" t="s">
        <v>195</v>
      </c>
      <c r="Y406" t="s">
        <v>198</v>
      </c>
    </row>
    <row r="407">
      <c r="A407">
        <v>1493</v>
      </c>
      <c r="B407" t="s">
        <v>20</v>
      </c>
      <c r="C407" t="s">
        <v>113</v>
      </c>
      <c r="D407" t="s">
        <v>195</v>
      </c>
      <c r="E407" t="s">
        <v>196</v>
      </c>
      <c r="F407">
        <v>1</v>
      </c>
      <c r="G407" t="s">
        <v>195</v>
      </c>
      <c r="H407" t="s">
        <v>94</v>
      </c>
      <c r="I407">
        <v>0.4</v>
      </c>
      <c r="J407" t="s">
        <v>195</v>
      </c>
      <c r="K407" t="s">
        <v>195</v>
      </c>
      <c r="L407" t="s">
        <v>94</v>
      </c>
      <c r="M407">
        <v>3.7</v>
      </c>
      <c r="N407" t="s">
        <v>195</v>
      </c>
      <c r="O407" t="s">
        <v>94</v>
      </c>
      <c r="P407">
        <v>3</v>
      </c>
      <c r="Q407" t="s">
        <v>195</v>
      </c>
      <c r="R407" t="s">
        <v>50</v>
      </c>
      <c r="T407" t="s">
        <v>76</v>
      </c>
      <c r="U407" t="s">
        <v>197</v>
      </c>
      <c r="V407" t="s">
        <v>197</v>
      </c>
      <c r="W407" t="s">
        <v>197</v>
      </c>
      <c r="X407" t="s">
        <v>195</v>
      </c>
      <c r="Y407" t="s">
        <v>198</v>
      </c>
    </row>
    <row r="408">
      <c r="A408">
        <v>1497</v>
      </c>
      <c r="B408" t="s">
        <v>199</v>
      </c>
      <c r="C408" t="s">
        <v>113</v>
      </c>
      <c r="D408" t="s">
        <v>195</v>
      </c>
      <c r="E408" t="s">
        <v>196</v>
      </c>
      <c r="F408">
        <v>0.3</v>
      </c>
      <c r="G408" t="s">
        <v>197</v>
      </c>
      <c r="H408" t="s">
        <v>93</v>
      </c>
      <c r="I408">
        <v>2.5</v>
      </c>
      <c r="J408" t="s">
        <v>195</v>
      </c>
      <c r="K408" t="s">
        <v>195</v>
      </c>
      <c r="L408" t="s">
        <v>94</v>
      </c>
      <c r="M408">
        <v>8.699999999999999</v>
      </c>
      <c r="N408" t="s">
        <v>195</v>
      </c>
      <c r="O408" t="s">
        <v>94</v>
      </c>
      <c r="P408">
        <v>10.1</v>
      </c>
      <c r="Q408" t="s">
        <v>195</v>
      </c>
      <c r="R408" t="s">
        <v>49</v>
      </c>
      <c r="T408" t="s">
        <v>76</v>
      </c>
      <c r="U408" t="s">
        <v>197</v>
      </c>
      <c r="V408" t="s">
        <v>197</v>
      </c>
      <c r="W408" t="s">
        <v>197</v>
      </c>
      <c r="X408" t="s">
        <v>195</v>
      </c>
      <c r="Y408" t="s">
        <v>198</v>
      </c>
    </row>
    <row r="409">
      <c r="A409">
        <v>1498</v>
      </c>
      <c r="B409" t="s">
        <v>20</v>
      </c>
      <c r="C409" t="s">
        <v>113</v>
      </c>
      <c r="D409" t="s">
        <v>195</v>
      </c>
      <c r="E409" t="s">
        <v>196</v>
      </c>
      <c r="F409">
        <v>0.5</v>
      </c>
      <c r="G409" t="s">
        <v>195</v>
      </c>
      <c r="H409" t="s">
        <v>94</v>
      </c>
      <c r="I409">
        <v>0.3</v>
      </c>
      <c r="J409" t="s">
        <v>195</v>
      </c>
      <c r="K409" t="s">
        <v>195</v>
      </c>
      <c r="L409" t="s">
        <v>94</v>
      </c>
      <c r="M409">
        <v>3.7</v>
      </c>
      <c r="N409" t="s">
        <v>195</v>
      </c>
      <c r="O409" t="s">
        <v>94</v>
      </c>
      <c r="P409">
        <v>2.5</v>
      </c>
      <c r="Q409" t="s">
        <v>195</v>
      </c>
      <c r="R409" t="s">
        <v>50</v>
      </c>
      <c r="T409" t="s">
        <v>76</v>
      </c>
      <c r="U409" t="s">
        <v>197</v>
      </c>
      <c r="V409" t="s">
        <v>197</v>
      </c>
      <c r="W409" t="s">
        <v>197</v>
      </c>
      <c r="X409" t="s">
        <v>195</v>
      </c>
      <c r="Y409" t="s">
        <v>203</v>
      </c>
    </row>
    <row r="410">
      <c r="A410">
        <v>1500</v>
      </c>
      <c r="B410" t="s">
        <v>194</v>
      </c>
      <c r="C410" t="s">
        <v>113</v>
      </c>
      <c r="D410" t="s">
        <v>195</v>
      </c>
      <c r="E410" t="s">
        <v>196</v>
      </c>
      <c r="F410">
        <v>3.4</v>
      </c>
      <c r="G410" t="s">
        <v>197</v>
      </c>
      <c r="H410" t="s">
        <v>93</v>
      </c>
      <c r="I410">
        <v>0.2</v>
      </c>
      <c r="J410" t="s">
        <v>195</v>
      </c>
      <c r="K410" t="s">
        <v>195</v>
      </c>
      <c r="L410" t="s">
        <v>93</v>
      </c>
      <c r="M410">
        <v>12.6</v>
      </c>
      <c r="N410" t="s">
        <v>195</v>
      </c>
      <c r="O410" t="s">
        <v>93</v>
      </c>
      <c r="P410">
        <v>12.7</v>
      </c>
      <c r="Q410" t="s">
        <v>195</v>
      </c>
      <c r="R410" t="s">
        <v>49</v>
      </c>
      <c r="T410" t="s">
        <v>76</v>
      </c>
      <c r="U410" t="s">
        <v>197</v>
      </c>
      <c r="V410" t="s">
        <v>197</v>
      </c>
      <c r="W410" t="s">
        <v>197</v>
      </c>
      <c r="X410" t="s">
        <v>195</v>
      </c>
      <c r="Y410" t="s">
        <v>198</v>
      </c>
    </row>
    <row r="411">
      <c r="A411">
        <v>1501</v>
      </c>
      <c r="B411" t="s">
        <v>20</v>
      </c>
      <c r="C411" t="s">
        <v>113</v>
      </c>
      <c r="D411" t="s">
        <v>195</v>
      </c>
      <c r="E411" t="s">
        <v>196</v>
      </c>
      <c r="F411">
        <v>0.9</v>
      </c>
      <c r="G411" t="s">
        <v>197</v>
      </c>
      <c r="H411" t="s">
        <v>93</v>
      </c>
      <c r="I411">
        <v>0.4</v>
      </c>
      <c r="J411" t="s">
        <v>195</v>
      </c>
      <c r="K411" t="s">
        <v>195</v>
      </c>
      <c r="L411" t="s">
        <v>93</v>
      </c>
      <c r="M411">
        <v>4.2</v>
      </c>
      <c r="N411" t="s">
        <v>195</v>
      </c>
      <c r="O411" t="s">
        <v>93</v>
      </c>
      <c r="P411">
        <v>4.3</v>
      </c>
      <c r="Q411" t="s">
        <v>195</v>
      </c>
      <c r="R411" t="s">
        <v>49</v>
      </c>
      <c r="T411" t="s">
        <v>76</v>
      </c>
      <c r="U411" t="s">
        <v>197</v>
      </c>
      <c r="V411" t="s">
        <v>197</v>
      </c>
      <c r="W411" t="s">
        <v>197</v>
      </c>
      <c r="X411" t="s">
        <v>195</v>
      </c>
      <c r="Y411" t="s">
        <v>198</v>
      </c>
    </row>
    <row r="412">
      <c r="A412">
        <v>1508</v>
      </c>
      <c r="B412" t="s">
        <v>20</v>
      </c>
      <c r="C412" t="s">
        <v>113</v>
      </c>
      <c r="D412" t="s">
        <v>197</v>
      </c>
      <c r="E412" t="s">
        <v>201</v>
      </c>
      <c r="U412" t="s">
        <v>197</v>
      </c>
      <c r="V412" t="s">
        <v>197</v>
      </c>
      <c r="W412" t="s">
        <v>197</v>
      </c>
      <c r="X412" t="s">
        <v>195</v>
      </c>
      <c r="Y412" t="s">
        <v>198</v>
      </c>
    </row>
    <row r="413">
      <c r="A413">
        <v>1502</v>
      </c>
      <c r="B413" t="s">
        <v>20</v>
      </c>
      <c r="C413" t="s">
        <v>113</v>
      </c>
      <c r="D413" t="s">
        <v>195</v>
      </c>
      <c r="E413" t="s">
        <v>200</v>
      </c>
      <c r="F413">
        <v>2464.2</v>
      </c>
      <c r="G413" t="s">
        <v>197</v>
      </c>
      <c r="H413" t="s">
        <v>96</v>
      </c>
      <c r="I413">
        <v>1.4</v>
      </c>
      <c r="J413" t="s">
        <v>195</v>
      </c>
      <c r="K413" t="s">
        <v>195</v>
      </c>
      <c r="L413" t="s">
        <v>96</v>
      </c>
      <c r="M413">
        <v>9.1</v>
      </c>
      <c r="N413" t="s">
        <v>197</v>
      </c>
      <c r="R413" t="s">
        <v>52</v>
      </c>
      <c r="S413" t="s">
        <v>64</v>
      </c>
      <c r="T413" t="s">
        <v>76</v>
      </c>
      <c r="U413" t="s">
        <v>197</v>
      </c>
      <c r="V413" t="s">
        <v>197</v>
      </c>
      <c r="W413" t="s">
        <v>197</v>
      </c>
      <c r="X413" t="s">
        <v>195</v>
      </c>
      <c r="Y413" t="s">
        <v>198</v>
      </c>
    </row>
    <row r="414">
      <c r="A414">
        <v>1505</v>
      </c>
      <c r="B414" t="s">
        <v>20</v>
      </c>
      <c r="C414" t="s">
        <v>113</v>
      </c>
      <c r="D414" t="s">
        <v>197</v>
      </c>
      <c r="E414" t="s">
        <v>201</v>
      </c>
      <c r="U414" t="s">
        <v>197</v>
      </c>
      <c r="V414" t="s">
        <v>197</v>
      </c>
      <c r="W414" t="s">
        <v>197</v>
      </c>
      <c r="X414" t="s">
        <v>195</v>
      </c>
      <c r="Y414" t="s">
        <v>198</v>
      </c>
    </row>
    <row r="415">
      <c r="A415">
        <v>1514</v>
      </c>
      <c r="B415" t="s">
        <v>194</v>
      </c>
      <c r="C415" t="s">
        <v>113</v>
      </c>
      <c r="D415" t="s">
        <v>197</v>
      </c>
      <c r="E415" t="s">
        <v>201</v>
      </c>
      <c r="U415" t="s">
        <v>197</v>
      </c>
      <c r="V415" t="s">
        <v>197</v>
      </c>
      <c r="W415" t="s">
        <v>197</v>
      </c>
      <c r="X415" t="s">
        <v>195</v>
      </c>
      <c r="Y415" t="s">
        <v>198</v>
      </c>
    </row>
    <row r="416">
      <c r="A416">
        <v>1509</v>
      </c>
      <c r="B416" t="s">
        <v>20</v>
      </c>
      <c r="C416" t="s">
        <v>113</v>
      </c>
      <c r="D416" t="s">
        <v>195</v>
      </c>
      <c r="E416" t="s">
        <v>196</v>
      </c>
      <c r="F416">
        <v>2.1</v>
      </c>
      <c r="G416" t="s">
        <v>197</v>
      </c>
      <c r="H416" t="s">
        <v>95</v>
      </c>
      <c r="I416">
        <v>0.6</v>
      </c>
      <c r="J416" t="s">
        <v>195</v>
      </c>
      <c r="K416" t="s">
        <v>195</v>
      </c>
      <c r="L416" t="s">
        <v>95</v>
      </c>
      <c r="M416">
        <v>3</v>
      </c>
      <c r="N416" t="s">
        <v>197</v>
      </c>
      <c r="R416" t="s">
        <v>52</v>
      </c>
      <c r="S416" t="s">
        <v>64</v>
      </c>
      <c r="T416" t="s">
        <v>76</v>
      </c>
      <c r="U416" t="s">
        <v>197</v>
      </c>
      <c r="V416" t="s">
        <v>197</v>
      </c>
      <c r="W416" t="s">
        <v>197</v>
      </c>
      <c r="X416" t="s">
        <v>195</v>
      </c>
      <c r="Y416" t="s">
        <v>198</v>
      </c>
    </row>
    <row r="417">
      <c r="A417">
        <v>1518</v>
      </c>
      <c r="B417" t="s">
        <v>20</v>
      </c>
      <c r="C417" t="s">
        <v>113</v>
      </c>
      <c r="D417" t="s">
        <v>197</v>
      </c>
      <c r="E417" t="s">
        <v>201</v>
      </c>
      <c r="U417" t="s">
        <v>197</v>
      </c>
      <c r="V417" t="s">
        <v>197</v>
      </c>
      <c r="W417" t="s">
        <v>197</v>
      </c>
      <c r="X417" t="s">
        <v>195</v>
      </c>
      <c r="Y417" t="s">
        <v>198</v>
      </c>
    </row>
    <row r="418">
      <c r="A418">
        <v>1513</v>
      </c>
      <c r="B418" t="s">
        <v>20</v>
      </c>
      <c r="C418" t="s">
        <v>113</v>
      </c>
      <c r="D418" t="s">
        <v>197</v>
      </c>
      <c r="E418" t="s">
        <v>201</v>
      </c>
      <c r="U418" t="s">
        <v>197</v>
      </c>
      <c r="V418" t="s">
        <v>197</v>
      </c>
      <c r="W418" t="s">
        <v>197</v>
      </c>
      <c r="X418" t="s">
        <v>195</v>
      </c>
      <c r="Y418" t="s">
        <v>198</v>
      </c>
    </row>
    <row r="419">
      <c r="A419">
        <v>1519</v>
      </c>
      <c r="B419" t="s">
        <v>20</v>
      </c>
      <c r="C419" t="s">
        <v>113</v>
      </c>
      <c r="D419" t="s">
        <v>197</v>
      </c>
      <c r="E419" t="s">
        <v>201</v>
      </c>
      <c r="U419" t="s">
        <v>197</v>
      </c>
      <c r="V419" t="s">
        <v>197</v>
      </c>
      <c r="W419" t="s">
        <v>197</v>
      </c>
      <c r="X419" t="s">
        <v>195</v>
      </c>
      <c r="Y419" t="s">
        <v>198</v>
      </c>
    </row>
    <row r="420">
      <c r="A420">
        <v>1525</v>
      </c>
      <c r="B420" t="s">
        <v>20</v>
      </c>
      <c r="C420" t="s">
        <v>113</v>
      </c>
      <c r="D420" t="s">
        <v>197</v>
      </c>
      <c r="E420" t="s">
        <v>201</v>
      </c>
      <c r="U420" t="s">
        <v>197</v>
      </c>
      <c r="V420" t="s">
        <v>197</v>
      </c>
      <c r="W420" t="s">
        <v>197</v>
      </c>
      <c r="X420" t="s">
        <v>195</v>
      </c>
      <c r="Y420" t="s">
        <v>198</v>
      </c>
    </row>
    <row r="421">
      <c r="A421">
        <v>1529</v>
      </c>
      <c r="B421" t="s">
        <v>20</v>
      </c>
      <c r="C421" t="s">
        <v>113</v>
      </c>
      <c r="D421" t="s">
        <v>195</v>
      </c>
      <c r="E421" t="s">
        <v>196</v>
      </c>
      <c r="F421">
        <v>2.5</v>
      </c>
      <c r="G421" t="s">
        <v>197</v>
      </c>
      <c r="H421" t="s">
        <v>94</v>
      </c>
      <c r="I421">
        <v>7.9</v>
      </c>
      <c r="J421" t="s">
        <v>195</v>
      </c>
      <c r="K421" t="s">
        <v>195</v>
      </c>
      <c r="L421" t="s">
        <v>94</v>
      </c>
      <c r="M421">
        <v>10.6</v>
      </c>
      <c r="N421" t="s">
        <v>197</v>
      </c>
      <c r="R421" t="s">
        <v>52</v>
      </c>
      <c r="S421" t="s">
        <v>66</v>
      </c>
      <c r="T421" t="s">
        <v>77</v>
      </c>
      <c r="U421" t="s">
        <v>195</v>
      </c>
      <c r="V421" t="s">
        <v>197</v>
      </c>
      <c r="W421" t="s">
        <v>197</v>
      </c>
      <c r="X421" t="s">
        <v>195</v>
      </c>
      <c r="Y421" t="s">
        <v>198</v>
      </c>
    </row>
    <row r="422">
      <c r="A422">
        <v>1533</v>
      </c>
      <c r="B422" t="s">
        <v>20</v>
      </c>
      <c r="C422" t="s">
        <v>113</v>
      </c>
      <c r="D422" t="s">
        <v>195</v>
      </c>
      <c r="E422" t="s">
        <v>200</v>
      </c>
      <c r="F422">
        <v>932.6</v>
      </c>
      <c r="G422" t="s">
        <v>197</v>
      </c>
      <c r="H422" t="s">
        <v>93</v>
      </c>
      <c r="I422">
        <v>0.8</v>
      </c>
      <c r="J422" t="s">
        <v>197</v>
      </c>
      <c r="K422" t="s">
        <v>195</v>
      </c>
      <c r="L422" t="s">
        <v>93</v>
      </c>
      <c r="M422">
        <v>1546.8</v>
      </c>
      <c r="N422" t="s">
        <v>197</v>
      </c>
      <c r="R422" t="s">
        <v>52</v>
      </c>
      <c r="S422" t="s">
        <v>64</v>
      </c>
      <c r="T422" t="s">
        <v>76</v>
      </c>
      <c r="U422" t="s">
        <v>195</v>
      </c>
      <c r="V422" t="s">
        <v>195</v>
      </c>
      <c r="W422" t="s">
        <v>195</v>
      </c>
      <c r="X422" t="s">
        <v>195</v>
      </c>
      <c r="Y422" t="s">
        <v>104</v>
      </c>
    </row>
    <row r="423">
      <c r="A423">
        <v>1532</v>
      </c>
      <c r="B423" t="s">
        <v>20</v>
      </c>
      <c r="C423" t="s">
        <v>113</v>
      </c>
      <c r="D423" t="s">
        <v>195</v>
      </c>
      <c r="E423" t="s">
        <v>200</v>
      </c>
      <c r="F423">
        <v>912.9</v>
      </c>
      <c r="G423" t="s">
        <v>197</v>
      </c>
      <c r="H423" t="s">
        <v>96</v>
      </c>
      <c r="I423">
        <v>3.7</v>
      </c>
      <c r="J423" t="s">
        <v>197</v>
      </c>
      <c r="K423" t="s">
        <v>195</v>
      </c>
      <c r="L423" t="s">
        <v>93</v>
      </c>
      <c r="M423">
        <v>131.9</v>
      </c>
      <c r="N423" t="s">
        <v>197</v>
      </c>
      <c r="R423" t="s">
        <v>52</v>
      </c>
      <c r="S423" t="s">
        <v>64</v>
      </c>
      <c r="T423" t="s">
        <v>76</v>
      </c>
      <c r="U423" t="s">
        <v>197</v>
      </c>
      <c r="V423" t="s">
        <v>197</v>
      </c>
      <c r="W423" t="s">
        <v>197</v>
      </c>
      <c r="X423" t="s">
        <v>195</v>
      </c>
      <c r="Y423" t="s">
        <v>198</v>
      </c>
    </row>
    <row r="424">
      <c r="A424">
        <v>1534</v>
      </c>
      <c r="B424" t="s">
        <v>20</v>
      </c>
      <c r="C424" t="s">
        <v>113</v>
      </c>
      <c r="D424" t="s">
        <v>197</v>
      </c>
      <c r="E424" t="s">
        <v>201</v>
      </c>
      <c r="U424" t="s">
        <v>197</v>
      </c>
      <c r="V424" t="s">
        <v>197</v>
      </c>
      <c r="W424" t="s">
        <v>197</v>
      </c>
      <c r="X424" t="s">
        <v>195</v>
      </c>
      <c r="Y424" t="s">
        <v>198</v>
      </c>
    </row>
    <row r="425">
      <c r="A425">
        <v>1536</v>
      </c>
      <c r="B425" t="s">
        <v>199</v>
      </c>
      <c r="C425" t="s">
        <v>113</v>
      </c>
      <c r="D425" t="s">
        <v>197</v>
      </c>
      <c r="E425" t="s">
        <v>201</v>
      </c>
      <c r="U425" t="s">
        <v>197</v>
      </c>
      <c r="V425" t="s">
        <v>197</v>
      </c>
      <c r="W425" t="s">
        <v>197</v>
      </c>
      <c r="X425" t="s">
        <v>195</v>
      </c>
      <c r="Y425" t="s">
        <v>198</v>
      </c>
    </row>
    <row r="426">
      <c r="A426">
        <v>1546</v>
      </c>
      <c r="B426" t="s">
        <v>20</v>
      </c>
      <c r="C426" t="s">
        <v>113</v>
      </c>
      <c r="D426" t="s">
        <v>195</v>
      </c>
      <c r="E426" t="s">
        <v>196</v>
      </c>
      <c r="F426">
        <v>81.3</v>
      </c>
      <c r="G426" t="s">
        <v>197</v>
      </c>
      <c r="H426" t="s">
        <v>95</v>
      </c>
      <c r="I426">
        <v>4.9</v>
      </c>
      <c r="J426" t="s">
        <v>195</v>
      </c>
      <c r="K426" t="s">
        <v>195</v>
      </c>
      <c r="L426" t="s">
        <v>95</v>
      </c>
      <c r="M426">
        <v>10.1</v>
      </c>
      <c r="N426" t="s">
        <v>195</v>
      </c>
      <c r="O426" t="s">
        <v>95</v>
      </c>
      <c r="P426">
        <v>10.6</v>
      </c>
      <c r="Q426" t="s">
        <v>195</v>
      </c>
      <c r="R426" t="s">
        <v>49</v>
      </c>
      <c r="T426" t="s">
        <v>77</v>
      </c>
      <c r="U426" t="s">
        <v>197</v>
      </c>
      <c r="V426" t="s">
        <v>197</v>
      </c>
      <c r="W426" t="s">
        <v>197</v>
      </c>
      <c r="X426" t="s">
        <v>195</v>
      </c>
      <c r="Y426" t="s">
        <v>198</v>
      </c>
    </row>
    <row r="427">
      <c r="A427">
        <v>1551</v>
      </c>
      <c r="B427" t="s">
        <v>20</v>
      </c>
      <c r="C427" t="s">
        <v>113</v>
      </c>
      <c r="D427" t="s">
        <v>195</v>
      </c>
      <c r="E427" t="s">
        <v>196</v>
      </c>
      <c r="F427">
        <v>0.5</v>
      </c>
      <c r="G427" t="s">
        <v>197</v>
      </c>
      <c r="H427" t="s">
        <v>94</v>
      </c>
      <c r="I427">
        <v>2.5</v>
      </c>
      <c r="J427" t="s">
        <v>197</v>
      </c>
      <c r="K427" t="s">
        <v>195</v>
      </c>
      <c r="L427" t="s">
        <v>94</v>
      </c>
      <c r="M427">
        <v>1204.1</v>
      </c>
      <c r="N427" t="s">
        <v>195</v>
      </c>
      <c r="O427" t="s">
        <v>94</v>
      </c>
      <c r="P427">
        <v>1205.2</v>
      </c>
      <c r="Q427" t="s">
        <v>197</v>
      </c>
      <c r="R427" t="s">
        <v>49</v>
      </c>
      <c r="T427" t="s">
        <v>77</v>
      </c>
      <c r="U427" t="s">
        <v>197</v>
      </c>
      <c r="V427" t="s">
        <v>197</v>
      </c>
      <c r="W427" t="s">
        <v>197</v>
      </c>
      <c r="X427" t="s">
        <v>195</v>
      </c>
      <c r="Y427" t="s">
        <v>198</v>
      </c>
    </row>
    <row r="428">
      <c r="A428">
        <v>1550</v>
      </c>
      <c r="B428" t="s">
        <v>20</v>
      </c>
      <c r="C428" t="s">
        <v>113</v>
      </c>
      <c r="D428" t="s">
        <v>195</v>
      </c>
      <c r="E428" t="s">
        <v>196</v>
      </c>
      <c r="F428">
        <v>1.3</v>
      </c>
      <c r="G428" t="s">
        <v>197</v>
      </c>
      <c r="H428" t="s">
        <v>94</v>
      </c>
      <c r="I428">
        <v>4</v>
      </c>
      <c r="J428" t="s">
        <v>195</v>
      </c>
      <c r="K428" t="s">
        <v>195</v>
      </c>
      <c r="L428" t="s">
        <v>94</v>
      </c>
      <c r="M428">
        <v>8.300000000000001</v>
      </c>
      <c r="N428" t="s">
        <v>195</v>
      </c>
      <c r="O428" t="s">
        <v>94</v>
      </c>
      <c r="P428">
        <v>7.4</v>
      </c>
      <c r="Q428" t="s">
        <v>195</v>
      </c>
      <c r="R428" t="s">
        <v>50</v>
      </c>
      <c r="T428" t="s">
        <v>77</v>
      </c>
      <c r="U428" t="s">
        <v>195</v>
      </c>
      <c r="V428" t="s">
        <v>195</v>
      </c>
      <c r="W428" t="s">
        <v>197</v>
      </c>
      <c r="X428" t="s">
        <v>195</v>
      </c>
      <c r="Y428" t="s">
        <v>198</v>
      </c>
    </row>
    <row r="429">
      <c r="A429">
        <v>1554</v>
      </c>
      <c r="B429" t="s">
        <v>199</v>
      </c>
      <c r="C429" t="s">
        <v>113</v>
      </c>
      <c r="D429" t="s">
        <v>195</v>
      </c>
      <c r="E429" t="s">
        <v>196</v>
      </c>
      <c r="F429">
        <v>1.8</v>
      </c>
      <c r="G429" t="s">
        <v>197</v>
      </c>
      <c r="H429" t="s">
        <v>94</v>
      </c>
      <c r="I429">
        <v>5.7</v>
      </c>
      <c r="J429" t="s">
        <v>195</v>
      </c>
      <c r="K429" t="s">
        <v>195</v>
      </c>
      <c r="L429" t="s">
        <v>94</v>
      </c>
      <c r="M429">
        <v>7.2</v>
      </c>
      <c r="N429" t="s">
        <v>195</v>
      </c>
      <c r="O429" t="s">
        <v>94</v>
      </c>
      <c r="P429">
        <v>7.3</v>
      </c>
      <c r="Q429" t="s">
        <v>195</v>
      </c>
      <c r="R429" t="s">
        <v>49</v>
      </c>
      <c r="T429" t="s">
        <v>77</v>
      </c>
      <c r="U429" t="s">
        <v>197</v>
      </c>
      <c r="V429" t="s">
        <v>197</v>
      </c>
      <c r="W429" t="s">
        <v>197</v>
      </c>
      <c r="X429" t="s">
        <v>195</v>
      </c>
      <c r="Y429" t="s">
        <v>198</v>
      </c>
    </row>
    <row r="430">
      <c r="A430">
        <v>1553</v>
      </c>
      <c r="B430" t="s">
        <v>20</v>
      </c>
      <c r="C430" t="s">
        <v>113</v>
      </c>
      <c r="D430" t="s">
        <v>197</v>
      </c>
      <c r="E430" t="s">
        <v>201</v>
      </c>
      <c r="U430" t="s">
        <v>197</v>
      </c>
      <c r="V430" t="s">
        <v>197</v>
      </c>
      <c r="W430" t="s">
        <v>197</v>
      </c>
      <c r="X430" t="s">
        <v>195</v>
      </c>
      <c r="Y430" t="s">
        <v>198</v>
      </c>
    </row>
    <row r="431">
      <c r="A431">
        <v>1567</v>
      </c>
      <c r="B431" t="s">
        <v>20</v>
      </c>
      <c r="C431" t="s">
        <v>113</v>
      </c>
      <c r="D431" t="s">
        <v>195</v>
      </c>
      <c r="E431" t="s">
        <v>196</v>
      </c>
      <c r="F431">
        <v>5.1</v>
      </c>
      <c r="G431" t="s">
        <v>195</v>
      </c>
      <c r="H431" t="s">
        <v>94</v>
      </c>
      <c r="I431">
        <v>0.7</v>
      </c>
      <c r="J431" t="s">
        <v>195</v>
      </c>
      <c r="K431" t="s">
        <v>195</v>
      </c>
      <c r="L431" t="s">
        <v>94</v>
      </c>
      <c r="M431">
        <v>3.1</v>
      </c>
      <c r="N431" t="s">
        <v>195</v>
      </c>
      <c r="O431" t="s">
        <v>94</v>
      </c>
      <c r="P431">
        <v>4</v>
      </c>
      <c r="Q431" t="s">
        <v>195</v>
      </c>
      <c r="R431" t="s">
        <v>49</v>
      </c>
      <c r="T431" t="s">
        <v>78</v>
      </c>
      <c r="U431" t="s">
        <v>197</v>
      </c>
      <c r="V431" t="s">
        <v>197</v>
      </c>
      <c r="W431" t="s">
        <v>197</v>
      </c>
      <c r="X431" t="s">
        <v>195</v>
      </c>
      <c r="Y431" t="s">
        <v>198</v>
      </c>
    </row>
    <row r="432">
      <c r="A432">
        <v>1566</v>
      </c>
      <c r="B432" t="s">
        <v>199</v>
      </c>
      <c r="C432" t="s">
        <v>113</v>
      </c>
      <c r="D432" t="s">
        <v>197</v>
      </c>
      <c r="E432" t="s">
        <v>201</v>
      </c>
      <c r="U432" t="s">
        <v>197</v>
      </c>
      <c r="V432" t="s">
        <v>197</v>
      </c>
      <c r="W432" t="s">
        <v>197</v>
      </c>
      <c r="X432" t="s">
        <v>195</v>
      </c>
      <c r="Y432" t="s">
        <v>198</v>
      </c>
    </row>
    <row r="433">
      <c r="A433">
        <v>1571</v>
      </c>
      <c r="B433" t="s">
        <v>20</v>
      </c>
      <c r="C433" t="s">
        <v>113</v>
      </c>
      <c r="D433" t="s">
        <v>197</v>
      </c>
      <c r="E433" t="s">
        <v>201</v>
      </c>
      <c r="U433" t="s">
        <v>197</v>
      </c>
      <c r="V433" t="s">
        <v>197</v>
      </c>
      <c r="W433" t="s">
        <v>197</v>
      </c>
      <c r="X433" t="s">
        <v>195</v>
      </c>
      <c r="Y433" t="s">
        <v>198</v>
      </c>
    </row>
    <row r="434">
      <c r="A434">
        <v>1576</v>
      </c>
      <c r="B434" t="s">
        <v>199</v>
      </c>
      <c r="C434" t="s">
        <v>113</v>
      </c>
      <c r="D434" t="s">
        <v>195</v>
      </c>
      <c r="E434" t="s">
        <v>196</v>
      </c>
      <c r="F434">
        <v>1.7</v>
      </c>
      <c r="G434" t="s">
        <v>197</v>
      </c>
      <c r="H434" t="s">
        <v>94</v>
      </c>
      <c r="I434">
        <v>7.2</v>
      </c>
      <c r="J434" t="s">
        <v>195</v>
      </c>
      <c r="K434" t="s">
        <v>195</v>
      </c>
      <c r="L434" t="s">
        <v>94</v>
      </c>
      <c r="M434">
        <v>11.6</v>
      </c>
      <c r="N434" t="s">
        <v>195</v>
      </c>
      <c r="O434" t="s">
        <v>94</v>
      </c>
      <c r="P434">
        <v>12</v>
      </c>
      <c r="Q434" t="s">
        <v>195</v>
      </c>
      <c r="R434" t="s">
        <v>49</v>
      </c>
      <c r="T434" t="s">
        <v>78</v>
      </c>
      <c r="U434" t="s">
        <v>195</v>
      </c>
      <c r="V434" t="s">
        <v>197</v>
      </c>
      <c r="W434" t="s">
        <v>197</v>
      </c>
      <c r="X434" t="s">
        <v>195</v>
      </c>
      <c r="Y434" t="s">
        <v>206</v>
      </c>
    </row>
    <row r="435">
      <c r="A435">
        <v>1574</v>
      </c>
      <c r="B435" t="s">
        <v>194</v>
      </c>
      <c r="C435" t="s">
        <v>113</v>
      </c>
      <c r="D435" t="s">
        <v>197</v>
      </c>
      <c r="E435" t="s">
        <v>201</v>
      </c>
      <c r="U435" t="s">
        <v>197</v>
      </c>
      <c r="V435" t="s">
        <v>197</v>
      </c>
      <c r="W435" t="s">
        <v>197</v>
      </c>
      <c r="X435" t="s">
        <v>195</v>
      </c>
      <c r="Y435" t="s">
        <v>198</v>
      </c>
    </row>
    <row r="436">
      <c r="A436">
        <v>1583</v>
      </c>
      <c r="B436" t="s">
        <v>194</v>
      </c>
      <c r="C436" t="s">
        <v>113</v>
      </c>
      <c r="D436" t="s">
        <v>195</v>
      </c>
      <c r="E436" t="s">
        <v>196</v>
      </c>
      <c r="F436">
        <v>1.4</v>
      </c>
      <c r="G436" t="s">
        <v>197</v>
      </c>
      <c r="H436" t="s">
        <v>93</v>
      </c>
      <c r="I436">
        <v>541.7</v>
      </c>
      <c r="J436" t="s">
        <v>195</v>
      </c>
      <c r="K436" t="s">
        <v>195</v>
      </c>
      <c r="L436" t="s">
        <v>93</v>
      </c>
      <c r="M436">
        <v>545.8</v>
      </c>
      <c r="N436" t="s">
        <v>195</v>
      </c>
      <c r="O436" t="s">
        <v>93</v>
      </c>
      <c r="P436">
        <v>545.9</v>
      </c>
      <c r="Q436" t="s">
        <v>197</v>
      </c>
      <c r="R436" t="s">
        <v>49</v>
      </c>
      <c r="T436" t="s">
        <v>78</v>
      </c>
      <c r="U436" t="s">
        <v>197</v>
      </c>
      <c r="V436" t="s">
        <v>197</v>
      </c>
      <c r="W436" t="s">
        <v>197</v>
      </c>
      <c r="X436" t="s">
        <v>195</v>
      </c>
      <c r="Y436" t="s">
        <v>198</v>
      </c>
    </row>
    <row r="437">
      <c r="A437">
        <v>1584</v>
      </c>
      <c r="B437" t="s">
        <v>199</v>
      </c>
      <c r="C437" t="s">
        <v>113</v>
      </c>
      <c r="D437" t="s">
        <v>197</v>
      </c>
      <c r="E437" t="s">
        <v>201</v>
      </c>
      <c r="U437" t="s">
        <v>197</v>
      </c>
      <c r="V437" t="s">
        <v>197</v>
      </c>
      <c r="W437" t="s">
        <v>197</v>
      </c>
      <c r="X437" t="s">
        <v>195</v>
      </c>
      <c r="Y437" t="s">
        <v>198</v>
      </c>
    </row>
    <row r="438">
      <c r="A438">
        <v>1585</v>
      </c>
      <c r="B438" t="s">
        <v>194</v>
      </c>
      <c r="C438" t="s">
        <v>113</v>
      </c>
      <c r="D438" t="s">
        <v>197</v>
      </c>
      <c r="E438" t="s">
        <v>201</v>
      </c>
      <c r="U438" t="s">
        <v>197</v>
      </c>
      <c r="V438" t="s">
        <v>197</v>
      </c>
      <c r="W438" t="s">
        <v>197</v>
      </c>
      <c r="X438" t="s">
        <v>195</v>
      </c>
      <c r="Y438" t="s">
        <v>198</v>
      </c>
    </row>
    <row r="439">
      <c r="A439">
        <v>1586</v>
      </c>
      <c r="B439" t="s">
        <v>20</v>
      </c>
      <c r="C439" t="s">
        <v>113</v>
      </c>
      <c r="D439" t="s">
        <v>195</v>
      </c>
      <c r="E439" t="s">
        <v>196</v>
      </c>
      <c r="F439">
        <v>2.2</v>
      </c>
      <c r="G439" t="s">
        <v>197</v>
      </c>
      <c r="H439" t="s">
        <v>93</v>
      </c>
      <c r="I439">
        <v>493.8</v>
      </c>
      <c r="J439" t="s">
        <v>195</v>
      </c>
      <c r="K439" t="s">
        <v>195</v>
      </c>
      <c r="L439" t="s">
        <v>93</v>
      </c>
      <c r="M439">
        <v>496.2</v>
      </c>
      <c r="N439" t="s">
        <v>195</v>
      </c>
      <c r="O439" t="s">
        <v>93</v>
      </c>
      <c r="P439">
        <v>496.3</v>
      </c>
      <c r="Q439" t="s">
        <v>197</v>
      </c>
      <c r="R439" t="s">
        <v>49</v>
      </c>
      <c r="T439" t="s">
        <v>78</v>
      </c>
      <c r="U439" t="s">
        <v>197</v>
      </c>
      <c r="V439" t="s">
        <v>197</v>
      </c>
      <c r="W439" t="s">
        <v>197</v>
      </c>
      <c r="X439" t="s">
        <v>195</v>
      </c>
      <c r="Y439" t="s">
        <v>198</v>
      </c>
    </row>
    <row r="440">
      <c r="A440">
        <v>1587</v>
      </c>
      <c r="B440" t="s">
        <v>194</v>
      </c>
      <c r="C440" t="s">
        <v>113</v>
      </c>
      <c r="D440" t="s">
        <v>197</v>
      </c>
      <c r="E440" t="s">
        <v>201</v>
      </c>
      <c r="U440" t="s">
        <v>197</v>
      </c>
      <c r="V440" t="s">
        <v>197</v>
      </c>
      <c r="W440" t="s">
        <v>197</v>
      </c>
      <c r="X440" t="s">
        <v>195</v>
      </c>
      <c r="Y440" t="s">
        <v>198</v>
      </c>
    </row>
    <row r="441">
      <c r="A441">
        <v>1592</v>
      </c>
      <c r="B441" t="s">
        <v>199</v>
      </c>
      <c r="C441" t="s">
        <v>113</v>
      </c>
      <c r="D441" t="s">
        <v>195</v>
      </c>
      <c r="E441" t="s">
        <v>196</v>
      </c>
      <c r="F441">
        <v>0.7</v>
      </c>
      <c r="G441" t="s">
        <v>197</v>
      </c>
      <c r="H441" t="s">
        <v>93</v>
      </c>
      <c r="I441">
        <v>491</v>
      </c>
      <c r="J441" t="s">
        <v>195</v>
      </c>
      <c r="K441" t="s">
        <v>195</v>
      </c>
      <c r="L441" t="s">
        <v>93</v>
      </c>
      <c r="M441">
        <v>493.2</v>
      </c>
      <c r="N441" t="s">
        <v>195</v>
      </c>
      <c r="O441" t="s">
        <v>93</v>
      </c>
      <c r="P441">
        <v>493.2</v>
      </c>
      <c r="Q441" t="s">
        <v>197</v>
      </c>
      <c r="R441" t="s">
        <v>49</v>
      </c>
      <c r="T441" t="s">
        <v>78</v>
      </c>
      <c r="U441" t="s">
        <v>197</v>
      </c>
      <c r="V441" t="s">
        <v>197</v>
      </c>
      <c r="W441" t="s">
        <v>197</v>
      </c>
      <c r="X441" t="s">
        <v>195</v>
      </c>
      <c r="Y441" t="s">
        <v>198</v>
      </c>
    </row>
    <row r="442">
      <c r="A442">
        <v>1588</v>
      </c>
      <c r="B442" t="s">
        <v>20</v>
      </c>
      <c r="C442" t="s">
        <v>113</v>
      </c>
      <c r="D442" t="s">
        <v>197</v>
      </c>
      <c r="E442" t="s">
        <v>201</v>
      </c>
      <c r="U442" t="s">
        <v>197</v>
      </c>
      <c r="V442" t="s">
        <v>197</v>
      </c>
      <c r="W442" t="s">
        <v>197</v>
      </c>
      <c r="X442" t="s">
        <v>195</v>
      </c>
      <c r="Y442" t="s">
        <v>198</v>
      </c>
    </row>
    <row r="443">
      <c r="A443">
        <v>1599</v>
      </c>
      <c r="B443" t="s">
        <v>20</v>
      </c>
      <c r="C443" t="s">
        <v>113</v>
      </c>
      <c r="D443" t="s">
        <v>197</v>
      </c>
      <c r="E443" t="s">
        <v>201</v>
      </c>
      <c r="U443" t="s">
        <v>197</v>
      </c>
      <c r="V443" t="s">
        <v>197</v>
      </c>
      <c r="W443" t="s">
        <v>197</v>
      </c>
      <c r="X443" t="s">
        <v>195</v>
      </c>
      <c r="Y443" t="s">
        <v>198</v>
      </c>
    </row>
    <row r="444">
      <c r="A444">
        <v>1597</v>
      </c>
      <c r="B444" t="s">
        <v>20</v>
      </c>
      <c r="C444" t="s">
        <v>113</v>
      </c>
      <c r="D444" t="s">
        <v>197</v>
      </c>
      <c r="E444" t="s">
        <v>201</v>
      </c>
      <c r="U444" t="s">
        <v>197</v>
      </c>
      <c r="V444" t="s">
        <v>197</v>
      </c>
      <c r="W444" t="s">
        <v>197</v>
      </c>
      <c r="X444" t="s">
        <v>195</v>
      </c>
      <c r="Y444" t="s">
        <v>198</v>
      </c>
    </row>
    <row r="445">
      <c r="A445">
        <v>1608</v>
      </c>
      <c r="B445" t="s">
        <v>20</v>
      </c>
      <c r="C445" t="s">
        <v>113</v>
      </c>
      <c r="D445" t="s">
        <v>197</v>
      </c>
      <c r="E445" t="s">
        <v>201</v>
      </c>
      <c r="U445" t="s">
        <v>197</v>
      </c>
      <c r="V445" t="s">
        <v>197</v>
      </c>
      <c r="W445" t="s">
        <v>197</v>
      </c>
      <c r="X445" t="s">
        <v>195</v>
      </c>
      <c r="Y445" t="s">
        <v>198</v>
      </c>
    </row>
    <row r="446">
      <c r="A446">
        <v>1613</v>
      </c>
      <c r="B446" t="s">
        <v>194</v>
      </c>
      <c r="C446" t="s">
        <v>113</v>
      </c>
      <c r="D446" t="s">
        <v>195</v>
      </c>
      <c r="E446" t="s">
        <v>196</v>
      </c>
      <c r="F446">
        <v>1.7</v>
      </c>
      <c r="G446" t="s">
        <v>197</v>
      </c>
      <c r="H446" t="s">
        <v>93</v>
      </c>
      <c r="I446">
        <v>1.3</v>
      </c>
      <c r="J446" t="s">
        <v>195</v>
      </c>
      <c r="K446" t="s">
        <v>195</v>
      </c>
      <c r="L446" t="s">
        <v>93</v>
      </c>
      <c r="M446">
        <v>3.8</v>
      </c>
      <c r="N446" t="s">
        <v>195</v>
      </c>
      <c r="O446" t="s">
        <v>93</v>
      </c>
      <c r="P446">
        <v>4</v>
      </c>
      <c r="Q446" t="s">
        <v>195</v>
      </c>
      <c r="R446" t="s">
        <v>49</v>
      </c>
      <c r="T446" t="s">
        <v>76</v>
      </c>
      <c r="U446" t="s">
        <v>195</v>
      </c>
      <c r="V446" t="s">
        <v>197</v>
      </c>
      <c r="W446" t="s">
        <v>197</v>
      </c>
      <c r="X446" t="s">
        <v>195</v>
      </c>
      <c r="Y446" t="s">
        <v>198</v>
      </c>
    </row>
    <row r="447">
      <c r="A447">
        <v>1619</v>
      </c>
      <c r="B447" t="s">
        <v>199</v>
      </c>
      <c r="C447" t="s">
        <v>113</v>
      </c>
      <c r="D447" t="s">
        <v>197</v>
      </c>
      <c r="E447" t="s">
        <v>201</v>
      </c>
      <c r="U447" t="s">
        <v>197</v>
      </c>
      <c r="V447" t="s">
        <v>197</v>
      </c>
      <c r="W447" t="s">
        <v>197</v>
      </c>
      <c r="X447" t="s">
        <v>195</v>
      </c>
      <c r="Y447" t="s">
        <v>198</v>
      </c>
    </row>
    <row r="448">
      <c r="A448">
        <v>1628</v>
      </c>
      <c r="B448" t="s">
        <v>20</v>
      </c>
      <c r="C448" t="s">
        <v>113</v>
      </c>
      <c r="D448" t="s">
        <v>197</v>
      </c>
      <c r="E448" t="s">
        <v>201</v>
      </c>
      <c r="U448" t="s">
        <v>197</v>
      </c>
      <c r="V448" t="s">
        <v>197</v>
      </c>
      <c r="W448" t="s">
        <v>197</v>
      </c>
      <c r="X448" t="s">
        <v>195</v>
      </c>
      <c r="Y448" t="s">
        <v>198</v>
      </c>
    </row>
    <row r="449">
      <c r="A449">
        <v>1623</v>
      </c>
      <c r="B449" t="s">
        <v>20</v>
      </c>
      <c r="C449" t="s">
        <v>113</v>
      </c>
      <c r="D449" t="s">
        <v>197</v>
      </c>
      <c r="E449" t="s">
        <v>201</v>
      </c>
      <c r="U449" t="s">
        <v>197</v>
      </c>
      <c r="V449" t="s">
        <v>197</v>
      </c>
      <c r="W449" t="s">
        <v>197</v>
      </c>
      <c r="X449" t="s">
        <v>195</v>
      </c>
      <c r="Y449" t="s">
        <v>198</v>
      </c>
    </row>
    <row r="450">
      <c r="A450">
        <v>1625</v>
      </c>
      <c r="B450" t="s">
        <v>20</v>
      </c>
      <c r="C450" t="s">
        <v>113</v>
      </c>
      <c r="D450" t="s">
        <v>197</v>
      </c>
      <c r="E450" t="s">
        <v>201</v>
      </c>
      <c r="U450" t="s">
        <v>197</v>
      </c>
      <c r="V450" t="s">
        <v>197</v>
      </c>
      <c r="W450" t="s">
        <v>197</v>
      </c>
      <c r="X450" t="s">
        <v>195</v>
      </c>
      <c r="Y450" t="s">
        <v>198</v>
      </c>
    </row>
    <row r="451">
      <c r="A451">
        <v>1632</v>
      </c>
      <c r="B451" t="s">
        <v>20</v>
      </c>
      <c r="C451" t="s">
        <v>113</v>
      </c>
      <c r="D451" t="s">
        <v>197</v>
      </c>
      <c r="E451" t="s">
        <v>201</v>
      </c>
      <c r="U451" t="s">
        <v>197</v>
      </c>
      <c r="V451" t="s">
        <v>197</v>
      </c>
      <c r="W451" t="s">
        <v>197</v>
      </c>
      <c r="X451" t="s">
        <v>195</v>
      </c>
      <c r="Y451" t="s">
        <v>198</v>
      </c>
    </row>
    <row r="452">
      <c r="A452">
        <v>1630</v>
      </c>
      <c r="B452" t="s">
        <v>20</v>
      </c>
      <c r="C452" t="s">
        <v>113</v>
      </c>
      <c r="D452" t="s">
        <v>197</v>
      </c>
      <c r="E452" t="s">
        <v>201</v>
      </c>
      <c r="U452" t="s">
        <v>197</v>
      </c>
      <c r="V452" t="s">
        <v>197</v>
      </c>
      <c r="W452" t="s">
        <v>197</v>
      </c>
      <c r="X452" t="s">
        <v>195</v>
      </c>
      <c r="Y452" t="s">
        <v>198</v>
      </c>
    </row>
    <row r="453">
      <c r="A453">
        <v>1637</v>
      </c>
      <c r="B453" t="s">
        <v>199</v>
      </c>
      <c r="C453" t="s">
        <v>113</v>
      </c>
      <c r="D453" t="s">
        <v>195</v>
      </c>
      <c r="E453" t="s">
        <v>196</v>
      </c>
      <c r="F453">
        <v>3.4</v>
      </c>
      <c r="G453" t="s">
        <v>197</v>
      </c>
      <c r="H453" t="s">
        <v>96</v>
      </c>
      <c r="I453">
        <v>1.8</v>
      </c>
      <c r="J453" t="s">
        <v>195</v>
      </c>
      <c r="K453" t="s">
        <v>195</v>
      </c>
      <c r="L453" t="s">
        <v>96</v>
      </c>
      <c r="M453">
        <v>5.9</v>
      </c>
      <c r="N453" t="s">
        <v>197</v>
      </c>
      <c r="R453" t="s">
        <v>52</v>
      </c>
      <c r="S453" t="s">
        <v>64</v>
      </c>
      <c r="T453" t="s">
        <v>76</v>
      </c>
      <c r="U453" t="s">
        <v>197</v>
      </c>
      <c r="V453" t="s">
        <v>197</v>
      </c>
      <c r="W453" t="s">
        <v>197</v>
      </c>
      <c r="X453" t="s">
        <v>195</v>
      </c>
      <c r="Y453" t="s">
        <v>198</v>
      </c>
    </row>
    <row r="454">
      <c r="A454">
        <v>1633</v>
      </c>
      <c r="B454" t="s">
        <v>20</v>
      </c>
      <c r="C454" t="s">
        <v>113</v>
      </c>
      <c r="D454" t="s">
        <v>197</v>
      </c>
      <c r="E454" t="s">
        <v>201</v>
      </c>
      <c r="U454" t="s">
        <v>197</v>
      </c>
      <c r="V454" t="s">
        <v>197</v>
      </c>
      <c r="W454" t="s">
        <v>197</v>
      </c>
      <c r="X454" t="s">
        <v>195</v>
      </c>
      <c r="Y454" t="s">
        <v>198</v>
      </c>
    </row>
    <row r="455">
      <c r="A455">
        <v>1635</v>
      </c>
      <c r="B455" t="s">
        <v>20</v>
      </c>
      <c r="C455" t="s">
        <v>113</v>
      </c>
      <c r="D455" t="s">
        <v>195</v>
      </c>
      <c r="E455" t="s">
        <v>196</v>
      </c>
      <c r="F455">
        <v>4.4</v>
      </c>
      <c r="G455" t="s">
        <v>197</v>
      </c>
      <c r="H455" t="s">
        <v>93</v>
      </c>
      <c r="I455">
        <v>1.2</v>
      </c>
      <c r="J455" t="s">
        <v>197</v>
      </c>
      <c r="K455" t="s">
        <v>197</v>
      </c>
      <c r="L455">
        <v/>
      </c>
      <c r="N455" t="s">
        <v>197</v>
      </c>
      <c r="R455" t="s">
        <v>53</v>
      </c>
      <c r="S455" t="s">
        <v>64</v>
      </c>
      <c r="T455" t="s">
        <v>76</v>
      </c>
      <c r="U455" t="s">
        <v>197</v>
      </c>
      <c r="V455" t="s">
        <v>197</v>
      </c>
      <c r="W455" t="s">
        <v>197</v>
      </c>
      <c r="X455" t="s">
        <v>195</v>
      </c>
      <c r="Y455" t="s">
        <v>198</v>
      </c>
    </row>
    <row r="456">
      <c r="A456">
        <v>1641</v>
      </c>
      <c r="B456" t="s">
        <v>20</v>
      </c>
      <c r="C456" t="s">
        <v>113</v>
      </c>
      <c r="D456" t="s">
        <v>197</v>
      </c>
      <c r="E456" t="s">
        <v>201</v>
      </c>
      <c r="U456" t="s">
        <v>197</v>
      </c>
      <c r="V456" t="s">
        <v>197</v>
      </c>
      <c r="W456" t="s">
        <v>197</v>
      </c>
      <c r="X456" t="s">
        <v>195</v>
      </c>
      <c r="Y456" t="s">
        <v>198</v>
      </c>
    </row>
    <row r="457">
      <c r="A457">
        <v>1643</v>
      </c>
      <c r="B457" t="s">
        <v>194</v>
      </c>
      <c r="C457" t="s">
        <v>113</v>
      </c>
      <c r="D457" t="s">
        <v>197</v>
      </c>
      <c r="E457" t="s">
        <v>201</v>
      </c>
      <c r="U457" t="s">
        <v>197</v>
      </c>
      <c r="V457" t="s">
        <v>197</v>
      </c>
      <c r="W457" t="s">
        <v>197</v>
      </c>
      <c r="X457" t="s">
        <v>195</v>
      </c>
      <c r="Y457" t="s">
        <v>198</v>
      </c>
    </row>
    <row r="458">
      <c r="A458">
        <v>1640</v>
      </c>
      <c r="B458" t="s">
        <v>20</v>
      </c>
      <c r="C458" t="s">
        <v>113</v>
      </c>
      <c r="D458" t="s">
        <v>197</v>
      </c>
      <c r="E458" t="s">
        <v>201</v>
      </c>
      <c r="U458" t="s">
        <v>197</v>
      </c>
      <c r="V458" t="s">
        <v>197</v>
      </c>
      <c r="W458" t="s">
        <v>197</v>
      </c>
      <c r="X458" t="s">
        <v>195</v>
      </c>
      <c r="Y458" t="s">
        <v>198</v>
      </c>
    </row>
    <row r="459">
      <c r="A459">
        <v>1642</v>
      </c>
      <c r="B459" t="s">
        <v>194</v>
      </c>
      <c r="C459" t="s">
        <v>113</v>
      </c>
      <c r="D459" t="s">
        <v>197</v>
      </c>
      <c r="E459" t="s">
        <v>201</v>
      </c>
      <c r="U459" t="s">
        <v>197</v>
      </c>
      <c r="V459" t="s">
        <v>197</v>
      </c>
      <c r="W459" t="s">
        <v>197</v>
      </c>
      <c r="X459" t="s">
        <v>195</v>
      </c>
      <c r="Y459" t="s">
        <v>198</v>
      </c>
    </row>
    <row r="460">
      <c r="A460">
        <v>1644</v>
      </c>
      <c r="B460" t="s">
        <v>20</v>
      </c>
      <c r="C460" t="s">
        <v>113</v>
      </c>
      <c r="D460" t="s">
        <v>197</v>
      </c>
      <c r="E460" t="s">
        <v>201</v>
      </c>
      <c r="U460" t="s">
        <v>197</v>
      </c>
      <c r="V460" t="s">
        <v>197</v>
      </c>
      <c r="W460" t="s">
        <v>197</v>
      </c>
      <c r="X460" t="s">
        <v>195</v>
      </c>
      <c r="Y460" t="s">
        <v>198</v>
      </c>
    </row>
    <row r="461">
      <c r="A461">
        <v>1651</v>
      </c>
      <c r="B461" t="s">
        <v>20</v>
      </c>
      <c r="C461" t="s">
        <v>113</v>
      </c>
      <c r="D461" t="s">
        <v>195</v>
      </c>
      <c r="E461" t="s">
        <v>196</v>
      </c>
      <c r="F461">
        <v>2.8</v>
      </c>
      <c r="G461" t="s">
        <v>197</v>
      </c>
      <c r="H461" t="s">
        <v>93</v>
      </c>
      <c r="I461">
        <v>2.7</v>
      </c>
      <c r="J461" t="s">
        <v>195</v>
      </c>
      <c r="K461" t="s">
        <v>195</v>
      </c>
      <c r="L461" t="s">
        <v>93</v>
      </c>
      <c r="M461">
        <v>5.6</v>
      </c>
      <c r="N461" t="s">
        <v>195</v>
      </c>
      <c r="O461" t="s">
        <v>93</v>
      </c>
      <c r="P461">
        <v>5.7</v>
      </c>
      <c r="Q461" t="s">
        <v>195</v>
      </c>
      <c r="R461" t="s">
        <v>49</v>
      </c>
      <c r="T461" t="s">
        <v>76</v>
      </c>
      <c r="U461" t="s">
        <v>197</v>
      </c>
      <c r="V461" t="s">
        <v>197</v>
      </c>
      <c r="W461" t="s">
        <v>197</v>
      </c>
      <c r="X461" t="s">
        <v>195</v>
      </c>
      <c r="Y461" t="s">
        <v>198</v>
      </c>
    </row>
    <row r="462">
      <c r="A462">
        <v>1655</v>
      </c>
      <c r="B462" t="s">
        <v>199</v>
      </c>
      <c r="C462" t="s">
        <v>113</v>
      </c>
      <c r="D462" t="s">
        <v>195</v>
      </c>
      <c r="E462" t="s">
        <v>196</v>
      </c>
      <c r="F462">
        <v>1.2</v>
      </c>
      <c r="G462" t="s">
        <v>197</v>
      </c>
      <c r="H462" t="s">
        <v>93</v>
      </c>
      <c r="I462">
        <v>2.3</v>
      </c>
      <c r="J462" t="s">
        <v>197</v>
      </c>
      <c r="K462" t="s">
        <v>195</v>
      </c>
      <c r="L462" t="s">
        <v>93</v>
      </c>
      <c r="M462">
        <v>5.8</v>
      </c>
      <c r="N462" t="s">
        <v>195</v>
      </c>
      <c r="O462" t="s">
        <v>93</v>
      </c>
      <c r="P462">
        <v>6.1</v>
      </c>
      <c r="Q462" t="s">
        <v>195</v>
      </c>
      <c r="R462" t="s">
        <v>49</v>
      </c>
      <c r="T462" t="s">
        <v>76</v>
      </c>
      <c r="U462" t="s">
        <v>197</v>
      </c>
      <c r="V462" t="s">
        <v>197</v>
      </c>
      <c r="W462" t="s">
        <v>197</v>
      </c>
      <c r="X462" t="s">
        <v>195</v>
      </c>
      <c r="Y462" t="s">
        <v>198</v>
      </c>
    </row>
    <row r="463">
      <c r="A463">
        <v>1656</v>
      </c>
      <c r="B463" t="s">
        <v>199</v>
      </c>
      <c r="C463" t="s">
        <v>113</v>
      </c>
      <c r="D463" t="s">
        <v>195</v>
      </c>
      <c r="E463" t="s">
        <v>196</v>
      </c>
      <c r="F463">
        <v>0.4</v>
      </c>
      <c r="G463" t="s">
        <v>197</v>
      </c>
      <c r="H463" t="s">
        <v>93</v>
      </c>
      <c r="I463">
        <v>0.3</v>
      </c>
      <c r="J463" t="s">
        <v>195</v>
      </c>
      <c r="K463" t="s">
        <v>195</v>
      </c>
      <c r="L463" t="s">
        <v>93</v>
      </c>
      <c r="M463">
        <v>6.3</v>
      </c>
      <c r="N463" t="s">
        <v>195</v>
      </c>
      <c r="O463" t="s">
        <v>93</v>
      </c>
      <c r="P463">
        <v>6.4</v>
      </c>
      <c r="Q463" t="s">
        <v>195</v>
      </c>
      <c r="R463" t="s">
        <v>49</v>
      </c>
      <c r="T463" t="s">
        <v>76</v>
      </c>
      <c r="U463" t="s">
        <v>197</v>
      </c>
      <c r="V463" t="s">
        <v>197</v>
      </c>
      <c r="W463" t="s">
        <v>197</v>
      </c>
      <c r="X463" t="s">
        <v>195</v>
      </c>
      <c r="Y463" t="s">
        <v>198</v>
      </c>
    </row>
    <row r="464">
      <c r="A464">
        <v>1657</v>
      </c>
      <c r="B464" t="s">
        <v>199</v>
      </c>
      <c r="C464" t="s">
        <v>113</v>
      </c>
      <c r="D464" t="s">
        <v>197</v>
      </c>
      <c r="E464" t="s">
        <v>201</v>
      </c>
      <c r="U464" t="s">
        <v>197</v>
      </c>
      <c r="V464" t="s">
        <v>197</v>
      </c>
      <c r="W464" t="s">
        <v>197</v>
      </c>
      <c r="X464" t="s">
        <v>195</v>
      </c>
      <c r="Y464" t="s">
        <v>198</v>
      </c>
    </row>
    <row r="465">
      <c r="A465">
        <v>1661</v>
      </c>
      <c r="B465" t="s">
        <v>20</v>
      </c>
      <c r="C465" t="s">
        <v>113</v>
      </c>
      <c r="D465" t="s">
        <v>195</v>
      </c>
      <c r="E465" t="s">
        <v>196</v>
      </c>
      <c r="F465">
        <v>0.4</v>
      </c>
      <c r="G465" t="s">
        <v>197</v>
      </c>
      <c r="H465" t="s">
        <v>95</v>
      </c>
      <c r="I465">
        <v>0.2</v>
      </c>
      <c r="J465" t="s">
        <v>195</v>
      </c>
      <c r="K465" t="s">
        <v>195</v>
      </c>
      <c r="L465" t="s">
        <v>95</v>
      </c>
      <c r="M465">
        <v>4.7</v>
      </c>
      <c r="N465" t="s">
        <v>195</v>
      </c>
      <c r="O465" t="s">
        <v>95</v>
      </c>
      <c r="P465">
        <v>5.2</v>
      </c>
      <c r="Q465" t="s">
        <v>195</v>
      </c>
      <c r="R465" t="s">
        <v>49</v>
      </c>
      <c r="T465" t="s">
        <v>76</v>
      </c>
      <c r="U465" t="s">
        <v>195</v>
      </c>
      <c r="V465" t="s">
        <v>195</v>
      </c>
      <c r="W465" t="s">
        <v>195</v>
      </c>
      <c r="X465" t="s">
        <v>195</v>
      </c>
      <c r="Y465" t="s">
        <v>104</v>
      </c>
    </row>
    <row r="466">
      <c r="A466">
        <v>1668</v>
      </c>
      <c r="B466" t="s">
        <v>20</v>
      </c>
      <c r="C466" t="s">
        <v>113</v>
      </c>
      <c r="D466" t="s">
        <v>195</v>
      </c>
      <c r="E466" t="s">
        <v>200</v>
      </c>
      <c r="F466">
        <v>257.3</v>
      </c>
      <c r="G466" t="s">
        <v>197</v>
      </c>
      <c r="H466" t="s">
        <v>95</v>
      </c>
      <c r="I466">
        <v>0.3</v>
      </c>
      <c r="J466" t="s">
        <v>195</v>
      </c>
      <c r="K466" t="s">
        <v>195</v>
      </c>
      <c r="L466" t="s">
        <v>95</v>
      </c>
      <c r="M466">
        <v>4.2</v>
      </c>
      <c r="N466" t="s">
        <v>195</v>
      </c>
      <c r="O466" t="s">
        <v>95</v>
      </c>
      <c r="P466">
        <v>4.8</v>
      </c>
      <c r="Q466" t="s">
        <v>197</v>
      </c>
      <c r="R466" t="s">
        <v>49</v>
      </c>
      <c r="T466" t="s">
        <v>77</v>
      </c>
      <c r="U466" t="s">
        <v>197</v>
      </c>
      <c r="V466" t="s">
        <v>197</v>
      </c>
      <c r="W466" t="s">
        <v>197</v>
      </c>
      <c r="X466" t="s">
        <v>195</v>
      </c>
      <c r="Y466" t="s">
        <v>198</v>
      </c>
    </row>
    <row r="467">
      <c r="A467">
        <v>1670</v>
      </c>
      <c r="B467" t="s">
        <v>20</v>
      </c>
      <c r="C467" t="s">
        <v>113</v>
      </c>
      <c r="D467" t="s">
        <v>197</v>
      </c>
      <c r="E467" t="s">
        <v>201</v>
      </c>
      <c r="U467" t="s">
        <v>197</v>
      </c>
      <c r="V467" t="s">
        <v>197</v>
      </c>
      <c r="W467" t="s">
        <v>197</v>
      </c>
      <c r="X467" t="s">
        <v>195</v>
      </c>
      <c r="Y467" t="s">
        <v>198</v>
      </c>
    </row>
    <row r="468">
      <c r="A468">
        <v>1677</v>
      </c>
      <c r="B468" t="s">
        <v>20</v>
      </c>
      <c r="C468" t="s">
        <v>113</v>
      </c>
      <c r="D468" t="s">
        <v>195</v>
      </c>
      <c r="E468" t="s">
        <v>196</v>
      </c>
      <c r="F468">
        <v>3</v>
      </c>
      <c r="G468" t="s">
        <v>197</v>
      </c>
      <c r="H468" t="s">
        <v>93</v>
      </c>
      <c r="I468">
        <v>1.3</v>
      </c>
      <c r="J468" t="s">
        <v>195</v>
      </c>
      <c r="K468" t="s">
        <v>195</v>
      </c>
      <c r="L468" t="s">
        <v>93</v>
      </c>
      <c r="M468">
        <v>6.2</v>
      </c>
      <c r="N468" t="s">
        <v>195</v>
      </c>
      <c r="O468" t="s">
        <v>93</v>
      </c>
      <c r="P468">
        <v>6.5</v>
      </c>
      <c r="Q468" t="s">
        <v>195</v>
      </c>
      <c r="R468" t="s">
        <v>49</v>
      </c>
      <c r="T468" t="s">
        <v>76</v>
      </c>
      <c r="U468" t="s">
        <v>197</v>
      </c>
      <c r="V468" t="s">
        <v>197</v>
      </c>
      <c r="W468" t="s">
        <v>197</v>
      </c>
      <c r="X468" t="s">
        <v>195</v>
      </c>
      <c r="Y468" t="s">
        <v>198</v>
      </c>
    </row>
    <row r="469">
      <c r="A469">
        <v>1675</v>
      </c>
      <c r="B469" t="s">
        <v>20</v>
      </c>
      <c r="C469" t="s">
        <v>113</v>
      </c>
      <c r="D469" t="s">
        <v>197</v>
      </c>
      <c r="E469" t="s">
        <v>201</v>
      </c>
      <c r="U469" t="s">
        <v>197</v>
      </c>
      <c r="V469" t="s">
        <v>197</v>
      </c>
      <c r="W469" t="s">
        <v>197</v>
      </c>
      <c r="X469" t="s">
        <v>195</v>
      </c>
      <c r="Y469" t="s">
        <v>198</v>
      </c>
    </row>
    <row r="470">
      <c r="A470">
        <v>1679</v>
      </c>
      <c r="B470" t="s">
        <v>20</v>
      </c>
      <c r="C470" t="s">
        <v>113</v>
      </c>
      <c r="D470" t="s">
        <v>197</v>
      </c>
      <c r="E470" t="s">
        <v>201</v>
      </c>
      <c r="U470" t="s">
        <v>197</v>
      </c>
      <c r="V470" t="s">
        <v>197</v>
      </c>
      <c r="W470" t="s">
        <v>197</v>
      </c>
      <c r="X470" t="s">
        <v>195</v>
      </c>
      <c r="Y470" t="s">
        <v>198</v>
      </c>
    </row>
    <row r="471">
      <c r="A471">
        <v>1680</v>
      </c>
      <c r="B471" t="s">
        <v>199</v>
      </c>
      <c r="C471" t="s">
        <v>113</v>
      </c>
      <c r="D471" t="s">
        <v>197</v>
      </c>
      <c r="E471" t="s">
        <v>201</v>
      </c>
      <c r="U471" t="s">
        <v>197</v>
      </c>
      <c r="V471" t="s">
        <v>197</v>
      </c>
      <c r="W471" t="s">
        <v>197</v>
      </c>
      <c r="X471" t="s">
        <v>195</v>
      </c>
      <c r="Y471" t="s">
        <v>198</v>
      </c>
    </row>
    <row r="472">
      <c r="A472">
        <v>1682</v>
      </c>
      <c r="B472" t="s">
        <v>20</v>
      </c>
      <c r="C472" t="s">
        <v>113</v>
      </c>
      <c r="D472" t="s">
        <v>195</v>
      </c>
      <c r="E472" t="s">
        <v>196</v>
      </c>
      <c r="F472">
        <v>0.8</v>
      </c>
      <c r="G472" t="s">
        <v>197</v>
      </c>
      <c r="H472" t="s">
        <v>93</v>
      </c>
      <c r="I472">
        <v>0.3</v>
      </c>
      <c r="J472" t="s">
        <v>195</v>
      </c>
      <c r="K472" t="s">
        <v>195</v>
      </c>
      <c r="L472" t="s">
        <v>93</v>
      </c>
      <c r="M472">
        <v>4.5</v>
      </c>
      <c r="N472" t="s">
        <v>195</v>
      </c>
      <c r="O472" t="s">
        <v>93</v>
      </c>
      <c r="P472">
        <v>4.8</v>
      </c>
      <c r="Q472" t="s">
        <v>195</v>
      </c>
      <c r="R472" t="s">
        <v>49</v>
      </c>
      <c r="T472" t="s">
        <v>76</v>
      </c>
      <c r="U472" t="s">
        <v>197</v>
      </c>
      <c r="V472" t="s">
        <v>197</v>
      </c>
      <c r="W472" t="s">
        <v>197</v>
      </c>
      <c r="X472" t="s">
        <v>195</v>
      </c>
      <c r="Y472" t="s">
        <v>198</v>
      </c>
    </row>
    <row r="473">
      <c r="A473">
        <v>1685</v>
      </c>
      <c r="B473" t="s">
        <v>194</v>
      </c>
      <c r="C473" t="s">
        <v>113</v>
      </c>
      <c r="D473" t="s">
        <v>197</v>
      </c>
      <c r="E473" t="s">
        <v>201</v>
      </c>
      <c r="U473" t="s">
        <v>197</v>
      </c>
      <c r="V473" t="s">
        <v>197</v>
      </c>
      <c r="W473" t="s">
        <v>197</v>
      </c>
      <c r="X473" t="s">
        <v>195</v>
      </c>
      <c r="Y473" t="s">
        <v>198</v>
      </c>
    </row>
    <row r="474">
      <c r="A474">
        <v>1688</v>
      </c>
      <c r="B474" t="s">
        <v>199</v>
      </c>
      <c r="C474" t="s">
        <v>113</v>
      </c>
      <c r="D474" t="s">
        <v>195</v>
      </c>
      <c r="E474" t="s">
        <v>196</v>
      </c>
      <c r="F474">
        <v>2</v>
      </c>
      <c r="G474" t="s">
        <v>197</v>
      </c>
      <c r="H474" t="s">
        <v>95</v>
      </c>
      <c r="I474">
        <v>0.7</v>
      </c>
      <c r="J474" t="s">
        <v>195</v>
      </c>
      <c r="K474" t="s">
        <v>195</v>
      </c>
      <c r="L474" t="s">
        <v>95</v>
      </c>
      <c r="M474">
        <v>3.4</v>
      </c>
      <c r="N474" t="s">
        <v>195</v>
      </c>
      <c r="O474" t="s">
        <v>95</v>
      </c>
      <c r="P474">
        <v>4.4</v>
      </c>
      <c r="Q474" t="s">
        <v>195</v>
      </c>
      <c r="R474" t="s">
        <v>49</v>
      </c>
      <c r="T474" t="s">
        <v>76</v>
      </c>
      <c r="U474" t="s">
        <v>195</v>
      </c>
      <c r="V474" t="s">
        <v>197</v>
      </c>
      <c r="W474" t="s">
        <v>197</v>
      </c>
      <c r="X474" t="s">
        <v>195</v>
      </c>
      <c r="Y474" t="s">
        <v>198</v>
      </c>
    </row>
    <row r="475">
      <c r="A475">
        <v>1690</v>
      </c>
      <c r="B475" t="s">
        <v>20</v>
      </c>
      <c r="C475" t="s">
        <v>113</v>
      </c>
      <c r="D475" t="s">
        <v>197</v>
      </c>
      <c r="E475" t="s">
        <v>201</v>
      </c>
      <c r="U475" t="s">
        <v>197</v>
      </c>
      <c r="V475" t="s">
        <v>197</v>
      </c>
      <c r="W475" t="s">
        <v>197</v>
      </c>
      <c r="X475" t="s">
        <v>195</v>
      </c>
      <c r="Y475" t="s">
        <v>198</v>
      </c>
    </row>
    <row r="476">
      <c r="A476">
        <v>1691</v>
      </c>
      <c r="B476" t="s">
        <v>20</v>
      </c>
      <c r="C476" t="s">
        <v>113</v>
      </c>
      <c r="D476" t="s">
        <v>195</v>
      </c>
      <c r="E476" t="s">
        <v>196</v>
      </c>
      <c r="F476">
        <v>46.2</v>
      </c>
      <c r="G476" t="s">
        <v>197</v>
      </c>
      <c r="H476" t="s">
        <v>94</v>
      </c>
      <c r="I476">
        <v>9.300000000000001</v>
      </c>
      <c r="J476" t="s">
        <v>195</v>
      </c>
      <c r="K476" t="s">
        <v>195</v>
      </c>
      <c r="L476" t="s">
        <v>94</v>
      </c>
      <c r="M476">
        <v>12</v>
      </c>
      <c r="N476" t="s">
        <v>195</v>
      </c>
      <c r="O476" t="s">
        <v>94</v>
      </c>
      <c r="P476">
        <v>13</v>
      </c>
      <c r="Q476" t="s">
        <v>195</v>
      </c>
      <c r="R476" t="s">
        <v>49</v>
      </c>
      <c r="T476" t="s">
        <v>77</v>
      </c>
      <c r="U476" t="s">
        <v>197</v>
      </c>
      <c r="V476" t="s">
        <v>197</v>
      </c>
      <c r="W476" t="s">
        <v>197</v>
      </c>
      <c r="X476" t="s">
        <v>195</v>
      </c>
      <c r="Y476" t="s">
        <v>198</v>
      </c>
    </row>
    <row r="477">
      <c r="A477">
        <v>1683</v>
      </c>
      <c r="B477" t="s">
        <v>20</v>
      </c>
      <c r="C477" t="s">
        <v>113</v>
      </c>
      <c r="D477" t="s">
        <v>197</v>
      </c>
      <c r="E477" t="s">
        <v>201</v>
      </c>
      <c r="U477" t="s">
        <v>197</v>
      </c>
      <c r="V477" t="s">
        <v>197</v>
      </c>
      <c r="W477" t="s">
        <v>197</v>
      </c>
      <c r="X477" t="s">
        <v>195</v>
      </c>
      <c r="Y477" t="s">
        <v>198</v>
      </c>
    </row>
    <row r="478">
      <c r="A478">
        <v>1693</v>
      </c>
      <c r="B478" t="s">
        <v>194</v>
      </c>
      <c r="C478" t="s">
        <v>113</v>
      </c>
      <c r="D478" t="s">
        <v>195</v>
      </c>
      <c r="E478" t="s">
        <v>196</v>
      </c>
      <c r="F478">
        <v>1</v>
      </c>
      <c r="G478" t="s">
        <v>195</v>
      </c>
      <c r="H478" t="s">
        <v>95</v>
      </c>
      <c r="I478">
        <v>1.4</v>
      </c>
      <c r="J478" t="s">
        <v>197</v>
      </c>
      <c r="K478" t="s">
        <v>197</v>
      </c>
      <c r="L478">
        <v/>
      </c>
      <c r="N478" t="s">
        <v>197</v>
      </c>
      <c r="R478" t="s">
        <v>53</v>
      </c>
      <c r="S478" t="s">
        <v>64</v>
      </c>
      <c r="T478" t="s">
        <v>76</v>
      </c>
      <c r="U478" t="s">
        <v>197</v>
      </c>
      <c r="V478" t="s">
        <v>197</v>
      </c>
      <c r="W478" t="s">
        <v>197</v>
      </c>
      <c r="X478" t="s">
        <v>195</v>
      </c>
      <c r="Y478" t="s">
        <v>198</v>
      </c>
    </row>
    <row r="479">
      <c r="A479">
        <v>1694</v>
      </c>
      <c r="B479" t="s">
        <v>199</v>
      </c>
      <c r="C479" t="s">
        <v>113</v>
      </c>
      <c r="D479" t="s">
        <v>197</v>
      </c>
      <c r="E479" t="s">
        <v>201</v>
      </c>
      <c r="U479" t="s">
        <v>197</v>
      </c>
      <c r="V479" t="s">
        <v>197</v>
      </c>
      <c r="W479" t="s">
        <v>197</v>
      </c>
      <c r="X479" t="s">
        <v>195</v>
      </c>
      <c r="Y479" t="s">
        <v>198</v>
      </c>
    </row>
    <row r="480">
      <c r="A480">
        <v>1686</v>
      </c>
      <c r="B480" t="s">
        <v>20</v>
      </c>
      <c r="C480" t="s">
        <v>113</v>
      </c>
      <c r="D480" t="s">
        <v>195</v>
      </c>
      <c r="E480" t="s">
        <v>200</v>
      </c>
      <c r="F480">
        <v>1745.8</v>
      </c>
      <c r="G480" t="s">
        <v>197</v>
      </c>
      <c r="H480" t="s">
        <v>96</v>
      </c>
      <c r="I480">
        <v>2051.3</v>
      </c>
      <c r="J480" t="s">
        <v>197</v>
      </c>
      <c r="K480" t="s">
        <v>197</v>
      </c>
      <c r="L480">
        <v/>
      </c>
      <c r="N480" t="s">
        <v>197</v>
      </c>
      <c r="R480" t="s">
        <v>53</v>
      </c>
      <c r="S480" t="s">
        <v>64</v>
      </c>
      <c r="T480" t="s">
        <v>78</v>
      </c>
      <c r="U480" t="s">
        <v>195</v>
      </c>
      <c r="V480" t="s">
        <v>197</v>
      </c>
      <c r="W480" t="s">
        <v>197</v>
      </c>
      <c r="X480" t="s">
        <v>195</v>
      </c>
      <c r="Y480" t="s">
        <v>198</v>
      </c>
    </row>
    <row r="481">
      <c r="A481">
        <v>1692</v>
      </c>
      <c r="B481" t="s">
        <v>20</v>
      </c>
      <c r="C481" t="s">
        <v>113</v>
      </c>
      <c r="D481" t="s">
        <v>197</v>
      </c>
      <c r="E481" t="s">
        <v>201</v>
      </c>
      <c r="U481" t="s">
        <v>197</v>
      </c>
      <c r="V481" t="s">
        <v>197</v>
      </c>
      <c r="W481" t="s">
        <v>197</v>
      </c>
      <c r="X481" t="s">
        <v>195</v>
      </c>
      <c r="Y481" t="s">
        <v>198</v>
      </c>
    </row>
    <row r="482">
      <c r="A482">
        <v>1699</v>
      </c>
      <c r="B482" t="s">
        <v>194</v>
      </c>
      <c r="C482" t="s">
        <v>113</v>
      </c>
      <c r="D482" t="s">
        <v>195</v>
      </c>
      <c r="E482" t="s">
        <v>196</v>
      </c>
      <c r="F482">
        <v>2.4</v>
      </c>
      <c r="G482" t="s">
        <v>197</v>
      </c>
      <c r="H482" t="s">
        <v>94</v>
      </c>
      <c r="I482">
        <v>0.3</v>
      </c>
      <c r="J482" t="s">
        <v>195</v>
      </c>
      <c r="K482" t="s">
        <v>195</v>
      </c>
      <c r="L482" t="s">
        <v>94</v>
      </c>
      <c r="M482">
        <v>3.2</v>
      </c>
      <c r="N482" t="s">
        <v>195</v>
      </c>
      <c r="O482" t="s">
        <v>94</v>
      </c>
      <c r="P482">
        <v>3.1</v>
      </c>
      <c r="Q482" t="s">
        <v>195</v>
      </c>
      <c r="R482" t="s">
        <v>50</v>
      </c>
      <c r="T482" t="s">
        <v>77</v>
      </c>
      <c r="U482" t="s">
        <v>197</v>
      </c>
      <c r="V482" t="s">
        <v>197</v>
      </c>
      <c r="W482" t="s">
        <v>197</v>
      </c>
      <c r="X482" t="s">
        <v>195</v>
      </c>
      <c r="Y482" t="s">
        <v>198</v>
      </c>
    </row>
    <row r="483">
      <c r="A483">
        <v>1696</v>
      </c>
      <c r="B483" t="s">
        <v>20</v>
      </c>
      <c r="C483" t="s">
        <v>113</v>
      </c>
      <c r="D483" t="s">
        <v>195</v>
      </c>
      <c r="E483" t="s">
        <v>196</v>
      </c>
      <c r="F483">
        <v>0.7</v>
      </c>
      <c r="G483" t="s">
        <v>197</v>
      </c>
      <c r="H483" t="s">
        <v>94</v>
      </c>
      <c r="I483">
        <v>3.5</v>
      </c>
      <c r="J483" t="s">
        <v>197</v>
      </c>
      <c r="K483" t="s">
        <v>197</v>
      </c>
      <c r="L483">
        <v/>
      </c>
      <c r="N483" t="s">
        <v>197</v>
      </c>
      <c r="R483" t="s">
        <v>53</v>
      </c>
      <c r="S483" t="s">
        <v>64</v>
      </c>
      <c r="T483" t="s">
        <v>77</v>
      </c>
      <c r="U483" t="s">
        <v>197</v>
      </c>
      <c r="V483" t="s">
        <v>197</v>
      </c>
      <c r="W483" t="s">
        <v>197</v>
      </c>
      <c r="X483" t="s">
        <v>195</v>
      </c>
      <c r="Y483" t="s">
        <v>198</v>
      </c>
    </row>
    <row r="484">
      <c r="A484">
        <v>1702</v>
      </c>
      <c r="B484" t="s">
        <v>20</v>
      </c>
      <c r="C484" t="s">
        <v>113</v>
      </c>
      <c r="D484" t="s">
        <v>197</v>
      </c>
      <c r="E484" t="s">
        <v>201</v>
      </c>
      <c r="U484" t="s">
        <v>197</v>
      </c>
      <c r="V484" t="s">
        <v>197</v>
      </c>
      <c r="W484" t="s">
        <v>197</v>
      </c>
      <c r="X484" t="s">
        <v>195</v>
      </c>
      <c r="Y484" t="s">
        <v>198</v>
      </c>
    </row>
    <row r="485">
      <c r="A485">
        <v>1705</v>
      </c>
      <c r="B485" t="s">
        <v>20</v>
      </c>
      <c r="C485" t="s">
        <v>113</v>
      </c>
      <c r="D485" t="s">
        <v>197</v>
      </c>
      <c r="E485" t="s">
        <v>201</v>
      </c>
      <c r="U485" t="s">
        <v>197</v>
      </c>
      <c r="V485" t="s">
        <v>197</v>
      </c>
      <c r="W485" t="s">
        <v>197</v>
      </c>
      <c r="X485" t="s">
        <v>195</v>
      </c>
      <c r="Y485" t="s">
        <v>198</v>
      </c>
    </row>
    <row r="486">
      <c r="A486">
        <v>1706</v>
      </c>
      <c r="B486" t="s">
        <v>194</v>
      </c>
      <c r="C486" t="s">
        <v>113</v>
      </c>
      <c r="D486" t="s">
        <v>195</v>
      </c>
      <c r="E486" t="s">
        <v>196</v>
      </c>
      <c r="F486">
        <v>0.2</v>
      </c>
      <c r="G486" t="s">
        <v>197</v>
      </c>
      <c r="H486" t="s">
        <v>95</v>
      </c>
      <c r="I486">
        <v>19.9</v>
      </c>
      <c r="J486" t="s">
        <v>195</v>
      </c>
      <c r="K486" t="s">
        <v>195</v>
      </c>
      <c r="L486" t="s">
        <v>95</v>
      </c>
      <c r="M486">
        <v>22.5</v>
      </c>
      <c r="N486" t="s">
        <v>195</v>
      </c>
      <c r="O486" t="s">
        <v>95</v>
      </c>
      <c r="P486">
        <v>23</v>
      </c>
      <c r="Q486" t="s">
        <v>195</v>
      </c>
      <c r="R486" t="s">
        <v>49</v>
      </c>
      <c r="T486" t="s">
        <v>77</v>
      </c>
      <c r="U486" t="s">
        <v>197</v>
      </c>
      <c r="V486" t="s">
        <v>197</v>
      </c>
      <c r="W486" t="s">
        <v>197</v>
      </c>
      <c r="X486" t="s">
        <v>195</v>
      </c>
      <c r="Y486" t="s">
        <v>198</v>
      </c>
    </row>
    <row r="487">
      <c r="A487">
        <v>1707</v>
      </c>
      <c r="B487" t="s">
        <v>194</v>
      </c>
      <c r="C487" t="s">
        <v>113</v>
      </c>
      <c r="D487" t="s">
        <v>197</v>
      </c>
      <c r="E487" t="s">
        <v>201</v>
      </c>
      <c r="U487" t="s">
        <v>197</v>
      </c>
      <c r="V487" t="s">
        <v>197</v>
      </c>
      <c r="W487" t="s">
        <v>197</v>
      </c>
      <c r="X487" t="s">
        <v>195</v>
      </c>
      <c r="Y487" t="s">
        <v>198</v>
      </c>
    </row>
    <row r="488">
      <c r="A488">
        <v>1709</v>
      </c>
      <c r="B488" t="s">
        <v>20</v>
      </c>
      <c r="C488" t="s">
        <v>113</v>
      </c>
      <c r="D488" t="s">
        <v>195</v>
      </c>
      <c r="E488" t="s">
        <v>196</v>
      </c>
      <c r="F488">
        <v>0.9</v>
      </c>
      <c r="G488" t="s">
        <v>197</v>
      </c>
      <c r="H488" t="s">
        <v>94</v>
      </c>
      <c r="I488">
        <v>17.8</v>
      </c>
      <c r="J488" t="s">
        <v>195</v>
      </c>
      <c r="K488" t="s">
        <v>195</v>
      </c>
      <c r="L488" t="s">
        <v>94</v>
      </c>
      <c r="M488">
        <v>20.5</v>
      </c>
      <c r="N488" t="s">
        <v>195</v>
      </c>
      <c r="O488" t="s">
        <v>94</v>
      </c>
      <c r="P488">
        <v>21.9</v>
      </c>
      <c r="Q488" t="s">
        <v>195</v>
      </c>
      <c r="R488" t="s">
        <v>49</v>
      </c>
      <c r="T488" t="s">
        <v>77</v>
      </c>
      <c r="U488" t="s">
        <v>197</v>
      </c>
      <c r="V488" t="s">
        <v>197</v>
      </c>
      <c r="W488" t="s">
        <v>197</v>
      </c>
      <c r="X488" t="s">
        <v>195</v>
      </c>
      <c r="Y488" t="s">
        <v>198</v>
      </c>
    </row>
    <row r="489">
      <c r="A489">
        <v>1714</v>
      </c>
      <c r="B489" t="s">
        <v>20</v>
      </c>
      <c r="C489" t="s">
        <v>113</v>
      </c>
      <c r="D489" t="s">
        <v>195</v>
      </c>
      <c r="E489" t="s">
        <v>196</v>
      </c>
      <c r="F489">
        <v>1.4</v>
      </c>
      <c r="G489" t="s">
        <v>197</v>
      </c>
      <c r="H489" t="s">
        <v>94</v>
      </c>
      <c r="I489">
        <v>1.3</v>
      </c>
      <c r="J489" t="s">
        <v>195</v>
      </c>
      <c r="K489" t="s">
        <v>195</v>
      </c>
      <c r="L489" t="s">
        <v>94</v>
      </c>
      <c r="M489">
        <v>4.9</v>
      </c>
      <c r="N489" t="s">
        <v>195</v>
      </c>
      <c r="O489" t="s">
        <v>94</v>
      </c>
      <c r="P489">
        <v>4.8</v>
      </c>
      <c r="Q489" t="s">
        <v>195</v>
      </c>
      <c r="R489" t="s">
        <v>50</v>
      </c>
      <c r="T489" t="s">
        <v>77</v>
      </c>
      <c r="U489" t="s">
        <v>195</v>
      </c>
      <c r="V489" t="s">
        <v>195</v>
      </c>
      <c r="W489" t="s">
        <v>197</v>
      </c>
      <c r="X489" t="s">
        <v>195</v>
      </c>
      <c r="Y489" t="s">
        <v>198</v>
      </c>
    </row>
    <row r="490">
      <c r="A490">
        <v>1722</v>
      </c>
      <c r="B490" t="s">
        <v>20</v>
      </c>
      <c r="C490" t="s">
        <v>113</v>
      </c>
      <c r="D490" t="s">
        <v>197</v>
      </c>
      <c r="E490" t="s">
        <v>201</v>
      </c>
      <c r="U490" t="s">
        <v>197</v>
      </c>
      <c r="V490" t="s">
        <v>197</v>
      </c>
      <c r="W490" t="s">
        <v>197</v>
      </c>
      <c r="X490" t="s">
        <v>195</v>
      </c>
      <c r="Y490" t="s">
        <v>198</v>
      </c>
    </row>
    <row r="491">
      <c r="A491">
        <v>1727</v>
      </c>
      <c r="B491" t="s">
        <v>194</v>
      </c>
      <c r="C491" t="s">
        <v>113</v>
      </c>
      <c r="D491" t="s">
        <v>197</v>
      </c>
      <c r="E491" t="s">
        <v>201</v>
      </c>
      <c r="U491" t="s">
        <v>197</v>
      </c>
      <c r="V491" t="s">
        <v>197</v>
      </c>
      <c r="W491" t="s">
        <v>197</v>
      </c>
      <c r="X491" t="s">
        <v>195</v>
      </c>
      <c r="Y491" t="s">
        <v>198</v>
      </c>
    </row>
    <row r="492">
      <c r="A492">
        <v>1726</v>
      </c>
      <c r="B492" t="s">
        <v>199</v>
      </c>
      <c r="C492" t="s">
        <v>113</v>
      </c>
      <c r="D492" t="s">
        <v>197</v>
      </c>
      <c r="E492" t="s">
        <v>201</v>
      </c>
      <c r="U492" t="s">
        <v>197</v>
      </c>
      <c r="V492" t="s">
        <v>197</v>
      </c>
      <c r="W492" t="s">
        <v>197</v>
      </c>
      <c r="X492" t="s">
        <v>195</v>
      </c>
      <c r="Y492" t="s">
        <v>198</v>
      </c>
    </row>
    <row r="493">
      <c r="A493">
        <v>1730</v>
      </c>
      <c r="B493" t="s">
        <v>194</v>
      </c>
      <c r="C493" t="s">
        <v>113</v>
      </c>
      <c r="D493" t="s">
        <v>195</v>
      </c>
      <c r="E493" t="s">
        <v>196</v>
      </c>
      <c r="F493">
        <v>0.5</v>
      </c>
      <c r="G493" t="s">
        <v>195</v>
      </c>
      <c r="H493" t="s">
        <v>95</v>
      </c>
      <c r="I493">
        <v>5.5</v>
      </c>
      <c r="J493" t="s">
        <v>197</v>
      </c>
      <c r="K493" t="s">
        <v>195</v>
      </c>
      <c r="L493" t="s">
        <v>93</v>
      </c>
      <c r="M493">
        <v>843.8</v>
      </c>
      <c r="N493" t="s">
        <v>197</v>
      </c>
      <c r="R493" t="s">
        <v>52</v>
      </c>
      <c r="S493" t="s">
        <v>66</v>
      </c>
      <c r="T493" t="s">
        <v>77</v>
      </c>
      <c r="U493" t="s">
        <v>195</v>
      </c>
      <c r="V493" t="s">
        <v>197</v>
      </c>
      <c r="W493" t="s">
        <v>195</v>
      </c>
      <c r="X493" t="s">
        <v>195</v>
      </c>
      <c r="Y493" t="s">
        <v>198</v>
      </c>
    </row>
    <row r="494">
      <c r="A494">
        <v>1723</v>
      </c>
      <c r="B494" t="s">
        <v>199</v>
      </c>
      <c r="C494" t="s">
        <v>113</v>
      </c>
      <c r="D494" t="s">
        <v>197</v>
      </c>
      <c r="E494" t="s">
        <v>201</v>
      </c>
      <c r="U494" t="s">
        <v>197</v>
      </c>
      <c r="V494" t="s">
        <v>197</v>
      </c>
      <c r="W494" t="s">
        <v>197</v>
      </c>
      <c r="X494" t="s">
        <v>195</v>
      </c>
      <c r="Y494" t="s">
        <v>198</v>
      </c>
    </row>
    <row r="495">
      <c r="A495">
        <v>1732</v>
      </c>
      <c r="B495" t="s">
        <v>20</v>
      </c>
      <c r="C495" t="s">
        <v>113</v>
      </c>
      <c r="D495" t="s">
        <v>195</v>
      </c>
      <c r="E495" t="s">
        <v>196</v>
      </c>
      <c r="F495">
        <v>1.9</v>
      </c>
      <c r="G495" t="s">
        <v>197</v>
      </c>
      <c r="H495" t="s">
        <v>95</v>
      </c>
      <c r="I495">
        <v>5.4</v>
      </c>
      <c r="J495" t="s">
        <v>197</v>
      </c>
      <c r="K495" t="s">
        <v>195</v>
      </c>
      <c r="L495" t="s">
        <v>95</v>
      </c>
      <c r="M495">
        <v>5.4</v>
      </c>
      <c r="N495" t="s">
        <v>195</v>
      </c>
      <c r="O495" t="s">
        <v>95</v>
      </c>
      <c r="P495">
        <v>6.6</v>
      </c>
      <c r="Q495" t="s">
        <v>195</v>
      </c>
      <c r="R495" t="s">
        <v>49</v>
      </c>
      <c r="T495" t="s">
        <v>77</v>
      </c>
      <c r="U495" t="s">
        <v>197</v>
      </c>
      <c r="V495" t="s">
        <v>197</v>
      </c>
      <c r="W495" t="s">
        <v>197</v>
      </c>
      <c r="X495" t="s">
        <v>195</v>
      </c>
      <c r="Y495" t="s">
        <v>198</v>
      </c>
    </row>
    <row r="496">
      <c r="A496">
        <v>1739</v>
      </c>
      <c r="B496" t="s">
        <v>20</v>
      </c>
      <c r="C496" t="s">
        <v>113</v>
      </c>
      <c r="D496" t="s">
        <v>195</v>
      </c>
      <c r="E496" t="s">
        <v>196</v>
      </c>
      <c r="F496">
        <v>2</v>
      </c>
      <c r="G496" t="s">
        <v>197</v>
      </c>
      <c r="H496" t="s">
        <v>95</v>
      </c>
      <c r="I496">
        <v>12.7</v>
      </c>
      <c r="J496" t="s">
        <v>195</v>
      </c>
      <c r="K496" t="s">
        <v>195</v>
      </c>
      <c r="L496" t="s">
        <v>95</v>
      </c>
      <c r="M496">
        <v>14.3</v>
      </c>
      <c r="N496" t="s">
        <v>195</v>
      </c>
      <c r="O496" t="s">
        <v>95</v>
      </c>
      <c r="P496">
        <v>14.9</v>
      </c>
      <c r="Q496" t="s">
        <v>195</v>
      </c>
      <c r="R496" t="s">
        <v>49</v>
      </c>
      <c r="T496" t="s">
        <v>77</v>
      </c>
      <c r="U496" t="s">
        <v>195</v>
      </c>
      <c r="V496" t="s">
        <v>197</v>
      </c>
      <c r="W496" t="s">
        <v>197</v>
      </c>
      <c r="X496" t="s">
        <v>195</v>
      </c>
      <c r="Y496" t="s">
        <v>198</v>
      </c>
    </row>
    <row r="497">
      <c r="A497">
        <v>1740</v>
      </c>
      <c r="B497" t="s">
        <v>20</v>
      </c>
      <c r="C497" t="s">
        <v>113</v>
      </c>
      <c r="D497" t="s">
        <v>195</v>
      </c>
      <c r="E497" t="s">
        <v>196</v>
      </c>
      <c r="F497">
        <v>9.699999999999999</v>
      </c>
      <c r="G497" t="s">
        <v>197</v>
      </c>
      <c r="H497" t="s">
        <v>95</v>
      </c>
      <c r="I497">
        <v>8.9</v>
      </c>
      <c r="J497" t="s">
        <v>195</v>
      </c>
      <c r="K497" t="s">
        <v>195</v>
      </c>
      <c r="L497" t="s">
        <v>95</v>
      </c>
      <c r="M497">
        <v>11.1</v>
      </c>
      <c r="N497" t="s">
        <v>195</v>
      </c>
      <c r="O497" t="s">
        <v>95</v>
      </c>
      <c r="P497">
        <v>11.6</v>
      </c>
      <c r="Q497" t="s">
        <v>195</v>
      </c>
      <c r="R497" t="s">
        <v>49</v>
      </c>
      <c r="T497" t="s">
        <v>77</v>
      </c>
      <c r="U497" t="s">
        <v>195</v>
      </c>
      <c r="V497" t="s">
        <v>197</v>
      </c>
      <c r="W497" t="s">
        <v>197</v>
      </c>
      <c r="X497" t="s">
        <v>195</v>
      </c>
      <c r="Y497" t="s">
        <v>198</v>
      </c>
    </row>
    <row r="498">
      <c r="A498">
        <v>1735</v>
      </c>
      <c r="B498" t="s">
        <v>20</v>
      </c>
      <c r="C498" t="s">
        <v>113</v>
      </c>
      <c r="D498" t="s">
        <v>195</v>
      </c>
      <c r="E498" t="s">
        <v>196</v>
      </c>
      <c r="F498">
        <v>0.5</v>
      </c>
      <c r="G498" t="s">
        <v>197</v>
      </c>
      <c r="H498" t="s">
        <v>95</v>
      </c>
      <c r="I498">
        <v>8.6</v>
      </c>
      <c r="J498" t="s">
        <v>195</v>
      </c>
      <c r="K498" t="s">
        <v>195</v>
      </c>
      <c r="L498" t="s">
        <v>95</v>
      </c>
      <c r="M498">
        <v>10.1</v>
      </c>
      <c r="N498" t="s">
        <v>195</v>
      </c>
      <c r="O498" t="s">
        <v>95</v>
      </c>
      <c r="P498">
        <v>10.8</v>
      </c>
      <c r="Q498" t="s">
        <v>195</v>
      </c>
      <c r="R498" t="s">
        <v>49</v>
      </c>
      <c r="T498" t="s">
        <v>77</v>
      </c>
      <c r="U498" t="s">
        <v>197</v>
      </c>
      <c r="V498" t="s">
        <v>197</v>
      </c>
      <c r="W498" t="s">
        <v>197</v>
      </c>
      <c r="X498" t="s">
        <v>195</v>
      </c>
      <c r="Y498" t="s">
        <v>198</v>
      </c>
    </row>
    <row r="499">
      <c r="A499">
        <v>1734</v>
      </c>
      <c r="B499" t="s">
        <v>194</v>
      </c>
      <c r="C499" t="s">
        <v>113</v>
      </c>
      <c r="D499" t="s">
        <v>197</v>
      </c>
      <c r="E499" t="s">
        <v>201</v>
      </c>
      <c r="U499" t="s">
        <v>197</v>
      </c>
      <c r="V499" t="s">
        <v>197</v>
      </c>
      <c r="W499" t="s">
        <v>197</v>
      </c>
      <c r="X499" t="s">
        <v>195</v>
      </c>
      <c r="Y499" t="s">
        <v>198</v>
      </c>
    </row>
    <row r="500">
      <c r="A500">
        <v>1744</v>
      </c>
      <c r="B500" t="s">
        <v>199</v>
      </c>
      <c r="C500" t="s">
        <v>113</v>
      </c>
      <c r="D500" t="s">
        <v>195</v>
      </c>
      <c r="E500" t="s">
        <v>196</v>
      </c>
      <c r="F500">
        <v>0.8</v>
      </c>
      <c r="G500" t="s">
        <v>197</v>
      </c>
      <c r="H500" t="s">
        <v>94</v>
      </c>
      <c r="I500">
        <v>3.3</v>
      </c>
      <c r="J500" t="s">
        <v>195</v>
      </c>
      <c r="K500" t="s">
        <v>195</v>
      </c>
      <c r="L500" t="s">
        <v>94</v>
      </c>
      <c r="M500">
        <v>6.4</v>
      </c>
      <c r="N500" t="s">
        <v>195</v>
      </c>
      <c r="O500" t="s">
        <v>94</v>
      </c>
      <c r="P500">
        <v>7.3</v>
      </c>
      <c r="Q500" t="s">
        <v>195</v>
      </c>
      <c r="R500" t="s">
        <v>49</v>
      </c>
      <c r="T500" t="s">
        <v>77</v>
      </c>
      <c r="U500" t="s">
        <v>197</v>
      </c>
      <c r="V500" t="s">
        <v>197</v>
      </c>
      <c r="W500" t="s">
        <v>197</v>
      </c>
      <c r="X500" t="s">
        <v>195</v>
      </c>
      <c r="Y500" t="s">
        <v>198</v>
      </c>
    </row>
    <row r="501">
      <c r="A501">
        <v>1746</v>
      </c>
      <c r="B501" t="s">
        <v>194</v>
      </c>
      <c r="C501" t="s">
        <v>113</v>
      </c>
      <c r="D501" t="s">
        <v>197</v>
      </c>
      <c r="E501" t="s">
        <v>201</v>
      </c>
      <c r="U501" t="s">
        <v>197</v>
      </c>
      <c r="V501" t="s">
        <v>197</v>
      </c>
      <c r="W501" t="s">
        <v>197</v>
      </c>
      <c r="X501" t="s">
        <v>195</v>
      </c>
      <c r="Y501" t="s">
        <v>198</v>
      </c>
    </row>
    <row r="502">
      <c r="A502">
        <v>1749</v>
      </c>
      <c r="B502" t="s">
        <v>20</v>
      </c>
      <c r="C502" t="s">
        <v>113</v>
      </c>
      <c r="D502" t="s">
        <v>197</v>
      </c>
      <c r="E502" t="s">
        <v>201</v>
      </c>
      <c r="U502" t="s">
        <v>197</v>
      </c>
      <c r="V502" t="s">
        <v>197</v>
      </c>
      <c r="W502" t="s">
        <v>197</v>
      </c>
      <c r="X502" t="s">
        <v>195</v>
      </c>
      <c r="Y502" t="s">
        <v>198</v>
      </c>
    </row>
    <row r="503">
      <c r="A503">
        <v>1750</v>
      </c>
      <c r="B503" t="s">
        <v>20</v>
      </c>
      <c r="C503" t="s">
        <v>113</v>
      </c>
      <c r="D503" t="s">
        <v>195</v>
      </c>
      <c r="E503" t="s">
        <v>196</v>
      </c>
      <c r="F503">
        <v>0.4</v>
      </c>
      <c r="G503" t="s">
        <v>197</v>
      </c>
      <c r="H503" t="s">
        <v>95</v>
      </c>
      <c r="I503">
        <v>21</v>
      </c>
      <c r="J503" t="s">
        <v>197</v>
      </c>
      <c r="K503" t="s">
        <v>195</v>
      </c>
      <c r="L503" t="s">
        <v>95</v>
      </c>
      <c r="M503">
        <v>21</v>
      </c>
      <c r="N503" t="s">
        <v>195</v>
      </c>
      <c r="O503" t="s">
        <v>95</v>
      </c>
      <c r="P503">
        <v>21.4</v>
      </c>
      <c r="Q503" t="s">
        <v>195</v>
      </c>
      <c r="R503" t="s">
        <v>49</v>
      </c>
      <c r="T503" t="s">
        <v>78</v>
      </c>
      <c r="U503" t="s">
        <v>197</v>
      </c>
      <c r="V503" t="s">
        <v>197</v>
      </c>
      <c r="W503" t="s">
        <v>197</v>
      </c>
      <c r="X503" t="s">
        <v>195</v>
      </c>
      <c r="Y503" t="s">
        <v>198</v>
      </c>
    </row>
    <row r="504">
      <c r="A504">
        <v>1748</v>
      </c>
      <c r="B504" t="s">
        <v>20</v>
      </c>
      <c r="C504" t="s">
        <v>113</v>
      </c>
      <c r="D504" t="s">
        <v>197</v>
      </c>
      <c r="E504" t="s">
        <v>201</v>
      </c>
      <c r="U504" t="s">
        <v>197</v>
      </c>
      <c r="V504" t="s">
        <v>197</v>
      </c>
      <c r="W504" t="s">
        <v>197</v>
      </c>
      <c r="X504" t="s">
        <v>195</v>
      </c>
      <c r="Y504" t="s">
        <v>198</v>
      </c>
    </row>
    <row r="505">
      <c r="A505">
        <v>1752</v>
      </c>
      <c r="B505" t="s">
        <v>194</v>
      </c>
      <c r="C505" t="s">
        <v>113</v>
      </c>
      <c r="D505" t="s">
        <v>195</v>
      </c>
      <c r="E505" t="s">
        <v>196</v>
      </c>
      <c r="F505">
        <v>2.5</v>
      </c>
      <c r="G505" t="s">
        <v>197</v>
      </c>
      <c r="H505" t="s">
        <v>94</v>
      </c>
      <c r="I505">
        <v>1.4</v>
      </c>
      <c r="J505" t="s">
        <v>195</v>
      </c>
      <c r="K505" t="s">
        <v>195</v>
      </c>
      <c r="L505" t="s">
        <v>94</v>
      </c>
      <c r="M505">
        <v>5.1</v>
      </c>
      <c r="N505" t="s">
        <v>195</v>
      </c>
      <c r="O505" t="s">
        <v>94</v>
      </c>
      <c r="P505">
        <v>6</v>
      </c>
      <c r="Q505" t="s">
        <v>195</v>
      </c>
      <c r="R505" t="s">
        <v>49</v>
      </c>
      <c r="T505" t="s">
        <v>78</v>
      </c>
      <c r="U505" t="s">
        <v>197</v>
      </c>
      <c r="V505" t="s">
        <v>197</v>
      </c>
      <c r="W505" t="s">
        <v>197</v>
      </c>
      <c r="X505" t="s">
        <v>195</v>
      </c>
      <c r="Y505" t="s">
        <v>198</v>
      </c>
    </row>
    <row r="506">
      <c r="A506">
        <v>1754</v>
      </c>
      <c r="B506" t="s">
        <v>20</v>
      </c>
      <c r="C506" t="s">
        <v>113</v>
      </c>
      <c r="D506" t="s">
        <v>195</v>
      </c>
      <c r="E506" t="s">
        <v>200</v>
      </c>
      <c r="F506">
        <v>3905.7</v>
      </c>
      <c r="G506" t="s">
        <v>197</v>
      </c>
      <c r="H506" t="s">
        <v>93</v>
      </c>
      <c r="I506">
        <v>0.6</v>
      </c>
      <c r="J506" t="s">
        <v>197</v>
      </c>
      <c r="K506" t="s">
        <v>197</v>
      </c>
      <c r="L506">
        <v/>
      </c>
      <c r="N506" t="s">
        <v>197</v>
      </c>
      <c r="R506" t="s">
        <v>53</v>
      </c>
      <c r="S506" t="s">
        <v>64</v>
      </c>
      <c r="T506" t="s">
        <v>76</v>
      </c>
      <c r="U506" t="s">
        <v>197</v>
      </c>
      <c r="V506" t="s">
        <v>197</v>
      </c>
      <c r="W506" t="s">
        <v>197</v>
      </c>
      <c r="X506" t="s">
        <v>195</v>
      </c>
      <c r="Y506" t="s">
        <v>198</v>
      </c>
    </row>
    <row r="507">
      <c r="A507">
        <v>1760</v>
      </c>
      <c r="B507" t="s">
        <v>199</v>
      </c>
      <c r="C507" t="s">
        <v>113</v>
      </c>
      <c r="D507" t="s">
        <v>197</v>
      </c>
      <c r="E507" t="s">
        <v>201</v>
      </c>
      <c r="U507" t="s">
        <v>197</v>
      </c>
      <c r="V507" t="s">
        <v>197</v>
      </c>
      <c r="W507" t="s">
        <v>197</v>
      </c>
      <c r="X507" t="s">
        <v>195</v>
      </c>
      <c r="Y507" t="s">
        <v>198</v>
      </c>
    </row>
    <row r="508">
      <c r="A508">
        <v>1774</v>
      </c>
      <c r="B508" t="s">
        <v>199</v>
      </c>
      <c r="C508" t="s">
        <v>113</v>
      </c>
      <c r="D508" t="s">
        <v>195</v>
      </c>
      <c r="E508" t="s">
        <v>200</v>
      </c>
      <c r="F508">
        <v>1111.7</v>
      </c>
      <c r="G508" t="s">
        <v>197</v>
      </c>
      <c r="H508" t="s">
        <v>93</v>
      </c>
      <c r="I508">
        <v>2</v>
      </c>
      <c r="J508" t="s">
        <v>197</v>
      </c>
      <c r="K508" t="s">
        <v>197</v>
      </c>
      <c r="L508">
        <v/>
      </c>
      <c r="N508" t="s">
        <v>197</v>
      </c>
      <c r="R508" t="s">
        <v>53</v>
      </c>
      <c r="S508" t="s">
        <v>64</v>
      </c>
      <c r="T508" t="s">
        <v>78</v>
      </c>
      <c r="U508" t="s">
        <v>197</v>
      </c>
      <c r="V508" t="s">
        <v>197</v>
      </c>
      <c r="W508" t="s">
        <v>197</v>
      </c>
      <c r="X508" t="s">
        <v>195</v>
      </c>
      <c r="Y508" t="s">
        <v>198</v>
      </c>
    </row>
    <row r="509">
      <c r="A509">
        <v>1756</v>
      </c>
      <c r="B509" t="s">
        <v>199</v>
      </c>
      <c r="C509" t="s">
        <v>113</v>
      </c>
      <c r="D509" t="s">
        <v>197</v>
      </c>
      <c r="E509" t="s">
        <v>201</v>
      </c>
      <c r="U509" t="s">
        <v>197</v>
      </c>
      <c r="V509" t="s">
        <v>197</v>
      </c>
      <c r="W509" t="s">
        <v>197</v>
      </c>
      <c r="X509" t="s">
        <v>195</v>
      </c>
      <c r="Y509" t="s">
        <v>198</v>
      </c>
    </row>
    <row r="510">
      <c r="A510">
        <v>1764</v>
      </c>
      <c r="B510" t="s">
        <v>20</v>
      </c>
      <c r="C510" t="s">
        <v>113</v>
      </c>
      <c r="D510" t="s">
        <v>197</v>
      </c>
      <c r="E510" t="s">
        <v>201</v>
      </c>
      <c r="U510" t="s">
        <v>197</v>
      </c>
      <c r="V510" t="s">
        <v>197</v>
      </c>
      <c r="W510" t="s">
        <v>197</v>
      </c>
      <c r="X510" t="s">
        <v>195</v>
      </c>
      <c r="Y510" t="s">
        <v>198</v>
      </c>
    </row>
    <row r="511">
      <c r="A511">
        <v>1767</v>
      </c>
      <c r="B511" t="s">
        <v>20</v>
      </c>
      <c r="C511" t="s">
        <v>113</v>
      </c>
      <c r="D511" t="s">
        <v>197</v>
      </c>
      <c r="E511" t="s">
        <v>201</v>
      </c>
      <c r="U511" t="s">
        <v>197</v>
      </c>
      <c r="V511" t="s">
        <v>197</v>
      </c>
      <c r="W511" t="s">
        <v>197</v>
      </c>
      <c r="X511" t="s">
        <v>195</v>
      </c>
      <c r="Y511" t="s">
        <v>198</v>
      </c>
    </row>
    <row r="512">
      <c r="A512">
        <v>1769</v>
      </c>
      <c r="B512" t="s">
        <v>20</v>
      </c>
      <c r="C512" t="s">
        <v>113</v>
      </c>
      <c r="D512" t="s">
        <v>197</v>
      </c>
      <c r="E512" t="s">
        <v>201</v>
      </c>
      <c r="U512" t="s">
        <v>197</v>
      </c>
      <c r="V512" t="s">
        <v>197</v>
      </c>
      <c r="W512" t="s">
        <v>197</v>
      </c>
      <c r="X512" t="s">
        <v>195</v>
      </c>
      <c r="Y512" t="s">
        <v>198</v>
      </c>
    </row>
    <row r="513">
      <c r="A513">
        <v>1773</v>
      </c>
      <c r="B513" t="s">
        <v>20</v>
      </c>
      <c r="C513" t="s">
        <v>113</v>
      </c>
      <c r="D513" t="s">
        <v>197</v>
      </c>
      <c r="E513" t="s">
        <v>201</v>
      </c>
      <c r="U513" t="s">
        <v>197</v>
      </c>
      <c r="V513" t="s">
        <v>197</v>
      </c>
      <c r="W513" t="s">
        <v>197</v>
      </c>
      <c r="X513" t="s">
        <v>195</v>
      </c>
      <c r="Y513" t="s">
        <v>198</v>
      </c>
    </row>
    <row r="514">
      <c r="A514">
        <v>1775</v>
      </c>
      <c r="B514" t="s">
        <v>199</v>
      </c>
      <c r="C514" t="s">
        <v>113</v>
      </c>
      <c r="D514" t="s">
        <v>197</v>
      </c>
      <c r="E514" t="s">
        <v>201</v>
      </c>
      <c r="U514" t="s">
        <v>197</v>
      </c>
      <c r="V514" t="s">
        <v>197</v>
      </c>
      <c r="W514" t="s">
        <v>197</v>
      </c>
      <c r="X514" t="s">
        <v>195</v>
      </c>
      <c r="Y514" t="s">
        <v>198</v>
      </c>
    </row>
    <row r="515">
      <c r="A515">
        <v>1777</v>
      </c>
      <c r="B515" t="s">
        <v>20</v>
      </c>
      <c r="C515" t="s">
        <v>113</v>
      </c>
      <c r="D515" t="s">
        <v>195</v>
      </c>
      <c r="E515" t="s">
        <v>196</v>
      </c>
      <c r="F515">
        <v>13.6</v>
      </c>
      <c r="G515" t="s">
        <v>197</v>
      </c>
      <c r="H515" t="s">
        <v>93</v>
      </c>
      <c r="I515">
        <v>0.2</v>
      </c>
      <c r="J515" t="s">
        <v>195</v>
      </c>
      <c r="K515" t="s">
        <v>195</v>
      </c>
      <c r="L515" t="s">
        <v>93</v>
      </c>
      <c r="M515">
        <v>3.4</v>
      </c>
      <c r="N515" t="s">
        <v>195</v>
      </c>
      <c r="O515" t="s">
        <v>93</v>
      </c>
      <c r="P515">
        <v>3.5</v>
      </c>
      <c r="Q515" t="s">
        <v>195</v>
      </c>
      <c r="R515" t="s">
        <v>49</v>
      </c>
      <c r="T515" t="s">
        <v>78</v>
      </c>
      <c r="U515" t="s">
        <v>197</v>
      </c>
      <c r="V515" t="s">
        <v>197</v>
      </c>
      <c r="W515" t="s">
        <v>197</v>
      </c>
      <c r="X515" t="s">
        <v>195</v>
      </c>
      <c r="Y515" t="s">
        <v>198</v>
      </c>
    </row>
    <row r="516">
      <c r="A516">
        <v>1778</v>
      </c>
      <c r="B516" t="s">
        <v>20</v>
      </c>
      <c r="C516" t="s">
        <v>113</v>
      </c>
      <c r="D516" t="s">
        <v>195</v>
      </c>
      <c r="E516" t="s">
        <v>196</v>
      </c>
      <c r="F516">
        <v>42.6</v>
      </c>
      <c r="G516" t="s">
        <v>197</v>
      </c>
      <c r="H516" t="s">
        <v>93</v>
      </c>
      <c r="I516">
        <v>0.3</v>
      </c>
      <c r="J516" t="s">
        <v>195</v>
      </c>
      <c r="K516" t="s">
        <v>195</v>
      </c>
      <c r="L516" t="s">
        <v>93</v>
      </c>
      <c r="M516">
        <v>3</v>
      </c>
      <c r="N516" t="s">
        <v>195</v>
      </c>
      <c r="O516" t="s">
        <v>93</v>
      </c>
      <c r="P516">
        <v>3</v>
      </c>
      <c r="Q516" t="s">
        <v>195</v>
      </c>
      <c r="R516" t="s">
        <v>49</v>
      </c>
      <c r="T516" t="s">
        <v>76</v>
      </c>
      <c r="U516" t="s">
        <v>197</v>
      </c>
      <c r="V516" t="s">
        <v>197</v>
      </c>
      <c r="W516" t="s">
        <v>197</v>
      </c>
      <c r="X516" t="s">
        <v>195</v>
      </c>
      <c r="Y516" t="s">
        <v>198</v>
      </c>
    </row>
    <row r="517">
      <c r="A517">
        <v>1780</v>
      </c>
      <c r="B517" t="s">
        <v>194</v>
      </c>
      <c r="C517" t="s">
        <v>113</v>
      </c>
      <c r="D517" t="s">
        <v>197</v>
      </c>
      <c r="E517" t="s">
        <v>201</v>
      </c>
      <c r="U517" t="s">
        <v>197</v>
      </c>
      <c r="V517" t="s">
        <v>197</v>
      </c>
      <c r="W517" t="s">
        <v>197</v>
      </c>
      <c r="X517" t="s">
        <v>195</v>
      </c>
      <c r="Y517" t="s">
        <v>198</v>
      </c>
    </row>
    <row r="518">
      <c r="A518">
        <v>1784</v>
      </c>
      <c r="B518" t="s">
        <v>194</v>
      </c>
      <c r="C518" t="s">
        <v>113</v>
      </c>
      <c r="D518" t="s">
        <v>195</v>
      </c>
      <c r="E518" t="s">
        <v>196</v>
      </c>
      <c r="F518">
        <v>31</v>
      </c>
      <c r="G518" t="s">
        <v>197</v>
      </c>
      <c r="H518" t="s">
        <v>96</v>
      </c>
      <c r="I518">
        <v>0.9</v>
      </c>
      <c r="J518" t="s">
        <v>197</v>
      </c>
      <c r="K518" t="s">
        <v>197</v>
      </c>
      <c r="L518">
        <v/>
      </c>
      <c r="N518" t="s">
        <v>197</v>
      </c>
      <c r="R518" t="s">
        <v>53</v>
      </c>
      <c r="S518" t="s">
        <v>64</v>
      </c>
      <c r="T518" t="s">
        <v>78</v>
      </c>
      <c r="U518" t="s">
        <v>197</v>
      </c>
      <c r="V518" t="s">
        <v>197</v>
      </c>
      <c r="W518" t="s">
        <v>197</v>
      </c>
      <c r="X518" t="s">
        <v>195</v>
      </c>
      <c r="Y518" t="s">
        <v>198</v>
      </c>
    </row>
    <row r="519">
      <c r="A519">
        <v>1786</v>
      </c>
      <c r="B519" t="s">
        <v>20</v>
      </c>
      <c r="C519" t="s">
        <v>113</v>
      </c>
      <c r="D519" t="s">
        <v>195</v>
      </c>
      <c r="E519" t="s">
        <v>196</v>
      </c>
      <c r="F519">
        <v>1.2</v>
      </c>
      <c r="G519" t="s">
        <v>197</v>
      </c>
      <c r="H519" t="s">
        <v>93</v>
      </c>
      <c r="I519">
        <v>5.8</v>
      </c>
      <c r="J519" t="s">
        <v>195</v>
      </c>
      <c r="K519" t="s">
        <v>195</v>
      </c>
      <c r="L519" t="s">
        <v>93</v>
      </c>
      <c r="M519">
        <v>8.300000000000001</v>
      </c>
      <c r="N519" t="s">
        <v>195</v>
      </c>
      <c r="O519" t="s">
        <v>93</v>
      </c>
      <c r="P519">
        <v>8.6</v>
      </c>
      <c r="Q519" t="s">
        <v>195</v>
      </c>
      <c r="R519" t="s">
        <v>49</v>
      </c>
      <c r="T519" t="s">
        <v>78</v>
      </c>
      <c r="U519" t="s">
        <v>195</v>
      </c>
      <c r="V519" t="s">
        <v>195</v>
      </c>
      <c r="W519" t="s">
        <v>197</v>
      </c>
      <c r="X519" t="s">
        <v>195</v>
      </c>
      <c r="Y519" t="s">
        <v>198</v>
      </c>
    </row>
    <row r="520">
      <c r="A520">
        <v>1789</v>
      </c>
      <c r="B520" t="s">
        <v>20</v>
      </c>
      <c r="C520" t="s">
        <v>113</v>
      </c>
      <c r="D520" t="s">
        <v>195</v>
      </c>
      <c r="E520" t="s">
        <v>196</v>
      </c>
      <c r="F520">
        <v>0.8</v>
      </c>
      <c r="G520" t="s">
        <v>197</v>
      </c>
      <c r="H520" t="s">
        <v>93</v>
      </c>
      <c r="I520">
        <v>4.3</v>
      </c>
      <c r="J520" t="s">
        <v>195</v>
      </c>
      <c r="K520" t="s">
        <v>195</v>
      </c>
      <c r="L520" t="s">
        <v>93</v>
      </c>
      <c r="M520">
        <v>7.5</v>
      </c>
      <c r="N520" t="s">
        <v>195</v>
      </c>
      <c r="O520" t="s">
        <v>93</v>
      </c>
      <c r="P520">
        <v>8</v>
      </c>
      <c r="Q520" t="s">
        <v>195</v>
      </c>
      <c r="R520" t="s">
        <v>49</v>
      </c>
      <c r="T520" t="s">
        <v>78</v>
      </c>
      <c r="U520" t="s">
        <v>197</v>
      </c>
      <c r="V520" t="s">
        <v>197</v>
      </c>
      <c r="W520" t="s">
        <v>197</v>
      </c>
      <c r="X520" t="s">
        <v>195</v>
      </c>
      <c r="Y520" t="s">
        <v>198</v>
      </c>
    </row>
    <row r="521">
      <c r="A521">
        <v>1797</v>
      </c>
      <c r="B521" t="s">
        <v>20</v>
      </c>
      <c r="C521" t="s">
        <v>113</v>
      </c>
      <c r="D521" t="s">
        <v>197</v>
      </c>
      <c r="E521" t="s">
        <v>201</v>
      </c>
      <c r="U521" t="s">
        <v>197</v>
      </c>
      <c r="V521" t="s">
        <v>197</v>
      </c>
      <c r="W521" t="s">
        <v>197</v>
      </c>
      <c r="X521" t="s">
        <v>195</v>
      </c>
      <c r="Y521" t="s">
        <v>198</v>
      </c>
    </row>
    <row r="522">
      <c r="A522">
        <v>1801</v>
      </c>
      <c r="B522" t="s">
        <v>20</v>
      </c>
      <c r="C522" t="s">
        <v>113</v>
      </c>
      <c r="D522" t="s">
        <v>195</v>
      </c>
      <c r="E522" t="s">
        <v>196</v>
      </c>
      <c r="F522">
        <v>5.5</v>
      </c>
      <c r="G522" t="s">
        <v>197</v>
      </c>
      <c r="H522" t="s">
        <v>96</v>
      </c>
      <c r="I522">
        <v>0.4</v>
      </c>
      <c r="J522" t="s">
        <v>195</v>
      </c>
      <c r="K522" t="s">
        <v>195</v>
      </c>
      <c r="L522" t="s">
        <v>96</v>
      </c>
      <c r="M522">
        <v>5</v>
      </c>
      <c r="N522" t="s">
        <v>197</v>
      </c>
      <c r="R522" t="s">
        <v>52</v>
      </c>
      <c r="S522" t="s">
        <v>64</v>
      </c>
      <c r="T522" t="s">
        <v>76</v>
      </c>
      <c r="U522" t="s">
        <v>197</v>
      </c>
      <c r="V522" t="s">
        <v>197</v>
      </c>
      <c r="W522" t="s">
        <v>197</v>
      </c>
      <c r="X522" t="s">
        <v>195</v>
      </c>
      <c r="Y522" t="s">
        <v>198</v>
      </c>
    </row>
    <row r="523">
      <c r="A523">
        <v>1807</v>
      </c>
      <c r="B523" t="s">
        <v>199</v>
      </c>
      <c r="C523" t="s">
        <v>113</v>
      </c>
      <c r="D523" t="s">
        <v>195</v>
      </c>
      <c r="E523" t="s">
        <v>200</v>
      </c>
      <c r="F523">
        <v>257.4</v>
      </c>
      <c r="G523" t="s">
        <v>197</v>
      </c>
      <c r="H523" t="s">
        <v>96</v>
      </c>
      <c r="I523">
        <v>1.4</v>
      </c>
      <c r="J523" t="s">
        <v>197</v>
      </c>
      <c r="K523" t="s">
        <v>197</v>
      </c>
      <c r="L523">
        <v/>
      </c>
      <c r="N523" t="s">
        <v>197</v>
      </c>
      <c r="R523" t="s">
        <v>53</v>
      </c>
      <c r="S523" t="s">
        <v>64</v>
      </c>
      <c r="T523" t="s">
        <v>76</v>
      </c>
      <c r="U523" t="s">
        <v>197</v>
      </c>
      <c r="V523" t="s">
        <v>197</v>
      </c>
      <c r="W523" t="s">
        <v>197</v>
      </c>
      <c r="X523" t="s">
        <v>195</v>
      </c>
      <c r="Y523" t="s">
        <v>198</v>
      </c>
    </row>
    <row r="524">
      <c r="A524">
        <v>1811</v>
      </c>
      <c r="B524" t="s">
        <v>20</v>
      </c>
      <c r="C524" t="s">
        <v>113</v>
      </c>
      <c r="D524" t="s">
        <v>197</v>
      </c>
      <c r="E524" t="s">
        <v>201</v>
      </c>
      <c r="U524" t="s">
        <v>197</v>
      </c>
      <c r="V524" t="s">
        <v>197</v>
      </c>
      <c r="W524" t="s">
        <v>197</v>
      </c>
      <c r="X524" t="s">
        <v>195</v>
      </c>
      <c r="Y524" t="s">
        <v>198</v>
      </c>
    </row>
    <row r="525">
      <c r="A525">
        <v>1812</v>
      </c>
      <c r="B525" t="s">
        <v>199</v>
      </c>
      <c r="C525" t="s">
        <v>113</v>
      </c>
      <c r="D525" t="s">
        <v>197</v>
      </c>
      <c r="E525" t="s">
        <v>201</v>
      </c>
      <c r="U525" t="s">
        <v>197</v>
      </c>
      <c r="V525" t="s">
        <v>197</v>
      </c>
      <c r="W525" t="s">
        <v>197</v>
      </c>
      <c r="X525" t="s">
        <v>195</v>
      </c>
      <c r="Y525" t="s">
        <v>198</v>
      </c>
    </row>
    <row r="526">
      <c r="A526">
        <v>1814</v>
      </c>
      <c r="B526" t="s">
        <v>20</v>
      </c>
      <c r="C526" t="s">
        <v>113</v>
      </c>
      <c r="D526" t="s">
        <v>197</v>
      </c>
      <c r="E526" t="s">
        <v>201</v>
      </c>
      <c r="U526" t="s">
        <v>197</v>
      </c>
      <c r="V526" t="s">
        <v>197</v>
      </c>
      <c r="W526" t="s">
        <v>197</v>
      </c>
      <c r="X526" t="s">
        <v>195</v>
      </c>
      <c r="Y526" t="s">
        <v>198</v>
      </c>
    </row>
    <row r="527">
      <c r="A527">
        <v>1810</v>
      </c>
      <c r="B527" t="s">
        <v>20</v>
      </c>
      <c r="C527" t="s">
        <v>113</v>
      </c>
      <c r="D527" t="s">
        <v>195</v>
      </c>
      <c r="E527" t="s">
        <v>196</v>
      </c>
      <c r="F527">
        <v>2.3</v>
      </c>
      <c r="G527" t="s">
        <v>197</v>
      </c>
      <c r="H527" t="s">
        <v>93</v>
      </c>
      <c r="I527">
        <v>0.4</v>
      </c>
      <c r="J527" t="s">
        <v>195</v>
      </c>
      <c r="K527" t="s">
        <v>195</v>
      </c>
      <c r="L527" t="s">
        <v>93</v>
      </c>
      <c r="M527">
        <v>4.9</v>
      </c>
      <c r="N527" t="s">
        <v>195</v>
      </c>
      <c r="O527" t="s">
        <v>93</v>
      </c>
      <c r="P527">
        <v>5.2</v>
      </c>
      <c r="Q527" t="s">
        <v>195</v>
      </c>
      <c r="R527" t="s">
        <v>49</v>
      </c>
      <c r="T527" t="s">
        <v>76</v>
      </c>
      <c r="U527" t="s">
        <v>197</v>
      </c>
      <c r="V527" t="s">
        <v>197</v>
      </c>
      <c r="W527" t="s">
        <v>197</v>
      </c>
      <c r="X527" t="s">
        <v>195</v>
      </c>
      <c r="Y527" t="s">
        <v>198</v>
      </c>
    </row>
    <row r="528">
      <c r="A528">
        <v>1819</v>
      </c>
      <c r="B528" t="s">
        <v>20</v>
      </c>
      <c r="C528" t="s">
        <v>113</v>
      </c>
      <c r="D528" t="s">
        <v>195</v>
      </c>
      <c r="E528" t="s">
        <v>196</v>
      </c>
      <c r="F528">
        <v>1.2</v>
      </c>
      <c r="G528" t="s">
        <v>197</v>
      </c>
      <c r="H528" t="s">
        <v>96</v>
      </c>
      <c r="I528">
        <v>1.1</v>
      </c>
      <c r="J528" t="s">
        <v>195</v>
      </c>
      <c r="K528" t="s">
        <v>195</v>
      </c>
      <c r="L528" t="s">
        <v>96</v>
      </c>
      <c r="M528">
        <v>5</v>
      </c>
      <c r="N528" t="s">
        <v>197</v>
      </c>
      <c r="R528" t="s">
        <v>52</v>
      </c>
      <c r="S528" t="s">
        <v>66</v>
      </c>
      <c r="T528" t="s">
        <v>76</v>
      </c>
      <c r="U528" t="s">
        <v>195</v>
      </c>
      <c r="V528" t="s">
        <v>195</v>
      </c>
      <c r="W528" t="s">
        <v>197</v>
      </c>
      <c r="X528" t="s">
        <v>195</v>
      </c>
      <c r="Y528" t="s">
        <v>198</v>
      </c>
    </row>
    <row r="529">
      <c r="A529">
        <v>1821</v>
      </c>
      <c r="B529" t="s">
        <v>199</v>
      </c>
      <c r="C529" t="s">
        <v>113</v>
      </c>
      <c r="D529" t="s">
        <v>197</v>
      </c>
      <c r="E529" t="s">
        <v>201</v>
      </c>
      <c r="U529" t="s">
        <v>197</v>
      </c>
      <c r="V529" t="s">
        <v>197</v>
      </c>
      <c r="W529" t="s">
        <v>197</v>
      </c>
      <c r="X529" t="s">
        <v>195</v>
      </c>
      <c r="Y529" t="s">
        <v>198</v>
      </c>
    </row>
    <row r="530">
      <c r="A530">
        <v>1826</v>
      </c>
      <c r="B530" t="s">
        <v>20</v>
      </c>
      <c r="C530" t="s">
        <v>113</v>
      </c>
      <c r="D530" t="s">
        <v>195</v>
      </c>
      <c r="E530" t="s">
        <v>200</v>
      </c>
      <c r="F530">
        <v>121.2</v>
      </c>
      <c r="G530" t="s">
        <v>197</v>
      </c>
      <c r="H530" t="s">
        <v>93</v>
      </c>
      <c r="I530">
        <v>0.3</v>
      </c>
      <c r="J530" t="s">
        <v>197</v>
      </c>
      <c r="K530" t="s">
        <v>197</v>
      </c>
      <c r="L530">
        <v/>
      </c>
      <c r="N530" t="s">
        <v>197</v>
      </c>
      <c r="R530" t="s">
        <v>53</v>
      </c>
      <c r="S530" t="s">
        <v>64</v>
      </c>
      <c r="T530" t="s">
        <v>76</v>
      </c>
      <c r="U530" t="s">
        <v>197</v>
      </c>
      <c r="V530" t="s">
        <v>197</v>
      </c>
      <c r="W530" t="s">
        <v>197</v>
      </c>
      <c r="X530" t="s">
        <v>195</v>
      </c>
      <c r="Y530" t="s">
        <v>198</v>
      </c>
    </row>
    <row r="531">
      <c r="A531">
        <v>1828</v>
      </c>
      <c r="B531" t="s">
        <v>20</v>
      </c>
      <c r="C531" t="s">
        <v>113</v>
      </c>
      <c r="D531" t="s">
        <v>197</v>
      </c>
      <c r="E531" t="s">
        <v>201</v>
      </c>
      <c r="U531" t="s">
        <v>197</v>
      </c>
      <c r="V531" t="s">
        <v>197</v>
      </c>
      <c r="W531" t="s">
        <v>197</v>
      </c>
      <c r="X531" t="s">
        <v>195</v>
      </c>
      <c r="Y531" t="s">
        <v>198</v>
      </c>
    </row>
    <row r="532">
      <c r="A532">
        <v>1832</v>
      </c>
      <c r="B532" t="s">
        <v>20</v>
      </c>
      <c r="C532" t="s">
        <v>113</v>
      </c>
      <c r="D532" t="s">
        <v>195</v>
      </c>
      <c r="E532" t="s">
        <v>196</v>
      </c>
      <c r="F532">
        <v>13</v>
      </c>
      <c r="G532" t="s">
        <v>197</v>
      </c>
      <c r="H532" t="s">
        <v>96</v>
      </c>
      <c r="I532">
        <v>1.6</v>
      </c>
      <c r="J532" t="s">
        <v>195</v>
      </c>
      <c r="K532" t="s">
        <v>195</v>
      </c>
      <c r="L532" t="s">
        <v>96</v>
      </c>
      <c r="M532">
        <v>8.199999999999999</v>
      </c>
      <c r="N532" t="s">
        <v>197</v>
      </c>
      <c r="R532" t="s">
        <v>52</v>
      </c>
      <c r="S532" t="s">
        <v>65</v>
      </c>
      <c r="T532" t="s">
        <v>76</v>
      </c>
      <c r="U532" t="s">
        <v>197</v>
      </c>
      <c r="V532" t="s">
        <v>197</v>
      </c>
      <c r="W532" t="s">
        <v>197</v>
      </c>
      <c r="X532" t="s">
        <v>195</v>
      </c>
      <c r="Y532" t="s">
        <v>198</v>
      </c>
    </row>
    <row r="533">
      <c r="A533">
        <v>1841</v>
      </c>
      <c r="B533" t="s">
        <v>199</v>
      </c>
      <c r="C533" t="s">
        <v>113</v>
      </c>
      <c r="D533" t="s">
        <v>197</v>
      </c>
      <c r="E533" t="s">
        <v>201</v>
      </c>
      <c r="U533" t="s">
        <v>197</v>
      </c>
      <c r="V533" t="s">
        <v>197</v>
      </c>
      <c r="W533" t="s">
        <v>197</v>
      </c>
      <c r="X533" t="s">
        <v>195</v>
      </c>
      <c r="Y533" t="s">
        <v>198</v>
      </c>
    </row>
    <row r="534">
      <c r="A534">
        <v>1838</v>
      </c>
      <c r="B534" t="s">
        <v>199</v>
      </c>
      <c r="C534" t="s">
        <v>113</v>
      </c>
      <c r="D534" t="s">
        <v>197</v>
      </c>
      <c r="E534" t="s">
        <v>201</v>
      </c>
      <c r="U534" t="s">
        <v>197</v>
      </c>
      <c r="V534" t="s">
        <v>197</v>
      </c>
      <c r="W534" t="s">
        <v>197</v>
      </c>
      <c r="X534" t="s">
        <v>195</v>
      </c>
      <c r="Y534" t="s">
        <v>198</v>
      </c>
    </row>
    <row r="535">
      <c r="A535">
        <v>1846</v>
      </c>
      <c r="B535" t="s">
        <v>194</v>
      </c>
      <c r="C535" t="s">
        <v>113</v>
      </c>
      <c r="D535" t="s">
        <v>195</v>
      </c>
      <c r="E535" t="s">
        <v>196</v>
      </c>
      <c r="F535">
        <v>1.2</v>
      </c>
      <c r="G535" t="s">
        <v>197</v>
      </c>
      <c r="H535" t="s">
        <v>96</v>
      </c>
      <c r="I535">
        <v>0.3</v>
      </c>
      <c r="J535" t="s">
        <v>195</v>
      </c>
      <c r="K535" t="s">
        <v>195</v>
      </c>
      <c r="L535" t="s">
        <v>96</v>
      </c>
      <c r="M535">
        <v>5</v>
      </c>
      <c r="N535" t="s">
        <v>197</v>
      </c>
      <c r="R535" t="s">
        <v>52</v>
      </c>
      <c r="S535" t="s">
        <v>64</v>
      </c>
      <c r="T535" t="s">
        <v>76</v>
      </c>
      <c r="U535" t="s">
        <v>197</v>
      </c>
      <c r="V535" t="s">
        <v>197</v>
      </c>
      <c r="W535" t="s">
        <v>197</v>
      </c>
      <c r="X535" t="s">
        <v>195</v>
      </c>
      <c r="Y535" t="s">
        <v>198</v>
      </c>
    </row>
    <row r="536">
      <c r="A536">
        <v>1845</v>
      </c>
      <c r="B536" t="s">
        <v>194</v>
      </c>
      <c r="C536" t="s">
        <v>113</v>
      </c>
      <c r="D536" t="s">
        <v>195</v>
      </c>
      <c r="E536" t="s">
        <v>196</v>
      </c>
      <c r="F536">
        <v>5.2</v>
      </c>
      <c r="G536" t="s">
        <v>197</v>
      </c>
      <c r="H536" t="s">
        <v>93</v>
      </c>
      <c r="I536">
        <v>0.7</v>
      </c>
      <c r="J536" t="s">
        <v>195</v>
      </c>
      <c r="K536" t="s">
        <v>195</v>
      </c>
      <c r="L536" t="s">
        <v>93</v>
      </c>
      <c r="M536">
        <v>3.8</v>
      </c>
      <c r="N536" t="s">
        <v>195</v>
      </c>
      <c r="O536" t="s">
        <v>93</v>
      </c>
      <c r="P536">
        <v>4</v>
      </c>
      <c r="Q536" t="s">
        <v>195</v>
      </c>
      <c r="R536" t="s">
        <v>49</v>
      </c>
      <c r="T536" t="s">
        <v>76</v>
      </c>
      <c r="U536" t="s">
        <v>197</v>
      </c>
      <c r="V536" t="s">
        <v>197</v>
      </c>
      <c r="W536" t="s">
        <v>197</v>
      </c>
      <c r="X536" t="s">
        <v>195</v>
      </c>
      <c r="Y536" t="s">
        <v>198</v>
      </c>
    </row>
    <row r="537">
      <c r="A537">
        <v>1857</v>
      </c>
      <c r="B537" t="s">
        <v>20</v>
      </c>
      <c r="C537" t="s">
        <v>113</v>
      </c>
      <c r="D537" t="s">
        <v>197</v>
      </c>
      <c r="E537" t="s">
        <v>201</v>
      </c>
      <c r="U537" t="s">
        <v>197</v>
      </c>
      <c r="V537" t="s">
        <v>197</v>
      </c>
      <c r="W537" t="s">
        <v>197</v>
      </c>
      <c r="X537" t="s">
        <v>195</v>
      </c>
      <c r="Y537" t="s">
        <v>198</v>
      </c>
    </row>
    <row r="538">
      <c r="A538">
        <v>1858</v>
      </c>
      <c r="B538" t="s">
        <v>20</v>
      </c>
      <c r="C538" t="s">
        <v>113</v>
      </c>
      <c r="D538" t="s">
        <v>195</v>
      </c>
      <c r="E538" t="s">
        <v>196</v>
      </c>
      <c r="F538">
        <v>0.5</v>
      </c>
      <c r="G538" t="s">
        <v>197</v>
      </c>
      <c r="H538" t="s">
        <v>95</v>
      </c>
      <c r="I538">
        <v>0.2</v>
      </c>
      <c r="J538" t="s">
        <v>195</v>
      </c>
      <c r="K538" t="s">
        <v>195</v>
      </c>
      <c r="L538" t="s">
        <v>95</v>
      </c>
      <c r="M538">
        <v>2.6</v>
      </c>
      <c r="N538" t="s">
        <v>195</v>
      </c>
      <c r="O538" t="s">
        <v>95</v>
      </c>
      <c r="P538">
        <v>5.7</v>
      </c>
      <c r="Q538" t="s">
        <v>195</v>
      </c>
      <c r="R538" t="s">
        <v>49</v>
      </c>
      <c r="T538" t="s">
        <v>76</v>
      </c>
      <c r="U538" t="s">
        <v>195</v>
      </c>
      <c r="V538" t="s">
        <v>195</v>
      </c>
      <c r="W538" t="s">
        <v>197</v>
      </c>
      <c r="X538" t="s">
        <v>195</v>
      </c>
      <c r="Y538" t="s">
        <v>198</v>
      </c>
    </row>
    <row r="539">
      <c r="A539">
        <v>1852</v>
      </c>
      <c r="B539" t="s">
        <v>20</v>
      </c>
      <c r="C539" t="s">
        <v>113</v>
      </c>
      <c r="D539" t="s">
        <v>197</v>
      </c>
      <c r="E539" t="s">
        <v>201</v>
      </c>
      <c r="U539" t="s">
        <v>197</v>
      </c>
      <c r="V539" t="s">
        <v>197</v>
      </c>
      <c r="W539" t="s">
        <v>197</v>
      </c>
      <c r="X539" t="s">
        <v>195</v>
      </c>
      <c r="Y539" t="s">
        <v>198</v>
      </c>
    </row>
    <row r="540">
      <c r="A540">
        <v>1853</v>
      </c>
      <c r="B540" t="s">
        <v>199</v>
      </c>
      <c r="C540" t="s">
        <v>113</v>
      </c>
      <c r="D540" t="s">
        <v>197</v>
      </c>
      <c r="E540" t="s">
        <v>201</v>
      </c>
      <c r="U540" t="s">
        <v>197</v>
      </c>
      <c r="V540" t="s">
        <v>197</v>
      </c>
      <c r="W540" t="s">
        <v>197</v>
      </c>
      <c r="X540" t="s">
        <v>195</v>
      </c>
      <c r="Y540" t="s">
        <v>198</v>
      </c>
    </row>
    <row r="541">
      <c r="A541">
        <v>1865</v>
      </c>
      <c r="B541" t="s">
        <v>20</v>
      </c>
      <c r="C541" t="s">
        <v>113</v>
      </c>
      <c r="D541" t="s">
        <v>197</v>
      </c>
      <c r="E541" t="s">
        <v>201</v>
      </c>
      <c r="U541" t="s">
        <v>197</v>
      </c>
      <c r="V541" t="s">
        <v>197</v>
      </c>
      <c r="W541" t="s">
        <v>197</v>
      </c>
      <c r="X541" t="s">
        <v>195</v>
      </c>
      <c r="Y541" t="s">
        <v>198</v>
      </c>
    </row>
    <row r="542">
      <c r="A542">
        <v>1859</v>
      </c>
      <c r="B542" t="s">
        <v>20</v>
      </c>
      <c r="C542" t="s">
        <v>113</v>
      </c>
      <c r="D542" t="s">
        <v>197</v>
      </c>
      <c r="E542" t="s">
        <v>201</v>
      </c>
      <c r="U542" t="s">
        <v>197</v>
      </c>
      <c r="V542" t="s">
        <v>197</v>
      </c>
      <c r="W542" t="s">
        <v>197</v>
      </c>
      <c r="X542" t="s">
        <v>195</v>
      </c>
      <c r="Y542" t="s">
        <v>198</v>
      </c>
    </row>
    <row r="543">
      <c r="A543">
        <v>1869</v>
      </c>
      <c r="B543" t="s">
        <v>194</v>
      </c>
      <c r="C543" t="s">
        <v>113</v>
      </c>
      <c r="D543" t="s">
        <v>197</v>
      </c>
      <c r="E543" t="s">
        <v>201</v>
      </c>
      <c r="U543" t="s">
        <v>197</v>
      </c>
      <c r="V543" t="s">
        <v>197</v>
      </c>
      <c r="W543" t="s">
        <v>197</v>
      </c>
      <c r="X543" t="s">
        <v>195</v>
      </c>
      <c r="Y543" t="s">
        <v>198</v>
      </c>
    </row>
    <row r="544">
      <c r="A544">
        <v>1871</v>
      </c>
      <c r="B544" t="s">
        <v>20</v>
      </c>
      <c r="C544" t="s">
        <v>113</v>
      </c>
      <c r="D544" t="s">
        <v>195</v>
      </c>
      <c r="E544" t="s">
        <v>196</v>
      </c>
      <c r="F544">
        <v>4.4</v>
      </c>
      <c r="G544" t="s">
        <v>197</v>
      </c>
      <c r="H544" t="s">
        <v>93</v>
      </c>
      <c r="I544">
        <v>0.3</v>
      </c>
      <c r="J544" t="s">
        <v>195</v>
      </c>
      <c r="K544" t="s">
        <v>195</v>
      </c>
      <c r="L544" t="s">
        <v>93</v>
      </c>
      <c r="M544">
        <v>5.9</v>
      </c>
      <c r="N544" t="s">
        <v>195</v>
      </c>
      <c r="O544" t="s">
        <v>93</v>
      </c>
      <c r="P544">
        <v>6.2</v>
      </c>
      <c r="Q544" t="s">
        <v>195</v>
      </c>
      <c r="R544" t="s">
        <v>49</v>
      </c>
      <c r="T544" t="s">
        <v>76</v>
      </c>
      <c r="U544" t="s">
        <v>197</v>
      </c>
      <c r="V544" t="s">
        <v>197</v>
      </c>
      <c r="W544" t="s">
        <v>197</v>
      </c>
      <c r="X544" t="s">
        <v>195</v>
      </c>
      <c r="Y544" t="s">
        <v>198</v>
      </c>
    </row>
    <row r="545">
      <c r="A545">
        <v>1868</v>
      </c>
      <c r="B545" t="s">
        <v>20</v>
      </c>
      <c r="C545" t="s">
        <v>113</v>
      </c>
      <c r="D545" t="s">
        <v>197</v>
      </c>
      <c r="E545" t="s">
        <v>201</v>
      </c>
      <c r="U545" t="s">
        <v>197</v>
      </c>
      <c r="V545" t="s">
        <v>197</v>
      </c>
      <c r="W545" t="s">
        <v>197</v>
      </c>
      <c r="X545" t="s">
        <v>195</v>
      </c>
      <c r="Y545" t="s">
        <v>198</v>
      </c>
    </row>
    <row r="546">
      <c r="A546">
        <v>1876</v>
      </c>
      <c r="B546" t="s">
        <v>20</v>
      </c>
      <c r="C546" t="s">
        <v>113</v>
      </c>
      <c r="D546" t="s">
        <v>197</v>
      </c>
      <c r="E546" t="s">
        <v>201</v>
      </c>
      <c r="U546" t="s">
        <v>197</v>
      </c>
      <c r="V546" t="s">
        <v>197</v>
      </c>
      <c r="W546" t="s">
        <v>197</v>
      </c>
      <c r="X546" t="s">
        <v>195</v>
      </c>
      <c r="Y546" t="s">
        <v>198</v>
      </c>
    </row>
    <row r="547">
      <c r="A547">
        <v>1880</v>
      </c>
      <c r="B547" t="s">
        <v>20</v>
      </c>
      <c r="C547" t="s">
        <v>113</v>
      </c>
      <c r="D547" t="s">
        <v>197</v>
      </c>
      <c r="E547" t="s">
        <v>201</v>
      </c>
      <c r="U547" t="s">
        <v>197</v>
      </c>
      <c r="V547" t="s">
        <v>197</v>
      </c>
      <c r="W547" t="s">
        <v>197</v>
      </c>
      <c r="X547" t="s">
        <v>195</v>
      </c>
      <c r="Y547" t="s">
        <v>198</v>
      </c>
    </row>
    <row r="548">
      <c r="A548">
        <v>1883</v>
      </c>
      <c r="B548" t="s">
        <v>20</v>
      </c>
      <c r="C548" t="s">
        <v>113</v>
      </c>
      <c r="D548" t="s">
        <v>195</v>
      </c>
      <c r="E548" t="s">
        <v>196</v>
      </c>
      <c r="F548">
        <v>1.4</v>
      </c>
      <c r="G548" t="s">
        <v>197</v>
      </c>
      <c r="H548" t="s">
        <v>93</v>
      </c>
      <c r="I548">
        <v>0.7</v>
      </c>
      <c r="J548" t="s">
        <v>195</v>
      </c>
      <c r="K548" t="s">
        <v>195</v>
      </c>
      <c r="L548" t="s">
        <v>93</v>
      </c>
      <c r="M548">
        <v>8.699999999999999</v>
      </c>
      <c r="N548" t="s">
        <v>195</v>
      </c>
      <c r="O548" t="s">
        <v>93</v>
      </c>
      <c r="P548">
        <v>9</v>
      </c>
      <c r="Q548" t="s">
        <v>195</v>
      </c>
      <c r="R548" t="s">
        <v>49</v>
      </c>
      <c r="T548" t="s">
        <v>76</v>
      </c>
      <c r="U548" t="s">
        <v>197</v>
      </c>
      <c r="V548" t="s">
        <v>197</v>
      </c>
      <c r="W548" t="s">
        <v>197</v>
      </c>
      <c r="X548" t="s">
        <v>195</v>
      </c>
      <c r="Y548" t="s">
        <v>198</v>
      </c>
    </row>
    <row r="549">
      <c r="A549">
        <v>1893</v>
      </c>
      <c r="B549" t="s">
        <v>199</v>
      </c>
      <c r="C549" t="s">
        <v>113</v>
      </c>
      <c r="D549" t="s">
        <v>195</v>
      </c>
      <c r="E549" t="s">
        <v>200</v>
      </c>
      <c r="F549">
        <v>1344.7</v>
      </c>
      <c r="G549" t="s">
        <v>197</v>
      </c>
      <c r="H549" t="s">
        <v>94</v>
      </c>
      <c r="I549">
        <v>6.6</v>
      </c>
      <c r="J549" t="s">
        <v>197</v>
      </c>
      <c r="K549" t="s">
        <v>197</v>
      </c>
      <c r="L549">
        <v/>
      </c>
      <c r="N549" t="s">
        <v>197</v>
      </c>
      <c r="R549" t="s">
        <v>53</v>
      </c>
      <c r="S549" t="s">
        <v>64</v>
      </c>
      <c r="T549" t="s">
        <v>76</v>
      </c>
      <c r="U549" t="s">
        <v>195</v>
      </c>
      <c r="V549" t="s">
        <v>195</v>
      </c>
      <c r="W549" t="s">
        <v>195</v>
      </c>
      <c r="X549" t="s">
        <v>195</v>
      </c>
      <c r="Y549" t="s">
        <v>104</v>
      </c>
    </row>
    <row r="550">
      <c r="A550">
        <v>1895</v>
      </c>
      <c r="B550" t="s">
        <v>194</v>
      </c>
      <c r="C550" t="s">
        <v>113</v>
      </c>
      <c r="D550" t="s">
        <v>197</v>
      </c>
      <c r="E550" t="s">
        <v>201</v>
      </c>
      <c r="U550" t="s">
        <v>197</v>
      </c>
      <c r="V550" t="s">
        <v>197</v>
      </c>
      <c r="W550" t="s">
        <v>197</v>
      </c>
      <c r="X550" t="s">
        <v>195</v>
      </c>
      <c r="Y550" t="s">
        <v>198</v>
      </c>
    </row>
    <row r="551">
      <c r="A551">
        <v>1897</v>
      </c>
      <c r="B551" t="s">
        <v>20</v>
      </c>
      <c r="C551" t="s">
        <v>113</v>
      </c>
      <c r="D551" t="s">
        <v>195</v>
      </c>
      <c r="E551" t="s">
        <v>196</v>
      </c>
      <c r="F551">
        <v>1.6</v>
      </c>
      <c r="G551" t="s">
        <v>197</v>
      </c>
      <c r="H551" t="s">
        <v>94</v>
      </c>
      <c r="I551">
        <v>2.8</v>
      </c>
      <c r="J551" t="s">
        <v>195</v>
      </c>
      <c r="K551" t="s">
        <v>195</v>
      </c>
      <c r="L551" t="s">
        <v>94</v>
      </c>
      <c r="M551">
        <v>8.4</v>
      </c>
      <c r="N551" t="s">
        <v>195</v>
      </c>
      <c r="O551" t="s">
        <v>94</v>
      </c>
      <c r="P551">
        <v>9.300000000000001</v>
      </c>
      <c r="Q551" t="s">
        <v>195</v>
      </c>
      <c r="R551" t="s">
        <v>49</v>
      </c>
      <c r="T551" t="s">
        <v>77</v>
      </c>
      <c r="U551" t="s">
        <v>197</v>
      </c>
      <c r="V551" t="s">
        <v>197</v>
      </c>
      <c r="W551" t="s">
        <v>197</v>
      </c>
      <c r="X551" t="s">
        <v>195</v>
      </c>
      <c r="Y551" t="s">
        <v>198</v>
      </c>
    </row>
    <row r="552">
      <c r="A552">
        <v>1898</v>
      </c>
      <c r="B552" t="s">
        <v>199</v>
      </c>
      <c r="C552" t="s">
        <v>113</v>
      </c>
      <c r="D552" t="s">
        <v>197</v>
      </c>
      <c r="E552" t="s">
        <v>201</v>
      </c>
      <c r="U552" t="s">
        <v>197</v>
      </c>
      <c r="V552" t="s">
        <v>197</v>
      </c>
      <c r="W552" t="s">
        <v>197</v>
      </c>
      <c r="X552" t="s">
        <v>195</v>
      </c>
      <c r="Y552" t="s">
        <v>198</v>
      </c>
    </row>
    <row r="553">
      <c r="A553">
        <v>1900</v>
      </c>
      <c r="B553" t="s">
        <v>20</v>
      </c>
      <c r="C553" t="s">
        <v>113</v>
      </c>
      <c r="D553" t="s">
        <v>195</v>
      </c>
      <c r="E553" t="s">
        <v>196</v>
      </c>
      <c r="F553">
        <v>3.8</v>
      </c>
      <c r="G553" t="s">
        <v>197</v>
      </c>
      <c r="H553" t="s">
        <v>94</v>
      </c>
      <c r="I553">
        <v>2.6</v>
      </c>
      <c r="J553" t="s">
        <v>195</v>
      </c>
      <c r="K553" t="s">
        <v>195</v>
      </c>
      <c r="L553" t="s">
        <v>94</v>
      </c>
      <c r="M553">
        <v>7.1</v>
      </c>
      <c r="N553" t="s">
        <v>195</v>
      </c>
      <c r="O553" t="s">
        <v>94</v>
      </c>
      <c r="P553">
        <v>8</v>
      </c>
      <c r="Q553" t="s">
        <v>195</v>
      </c>
      <c r="R553" t="s">
        <v>49</v>
      </c>
      <c r="T553" t="s">
        <v>77</v>
      </c>
      <c r="U553" t="s">
        <v>197</v>
      </c>
      <c r="V553" t="s">
        <v>197</v>
      </c>
      <c r="W553" t="s">
        <v>197</v>
      </c>
      <c r="X553" t="s">
        <v>195</v>
      </c>
      <c r="Y553" t="s">
        <v>198</v>
      </c>
    </row>
    <row r="554">
      <c r="A554">
        <v>1902</v>
      </c>
      <c r="B554" t="s">
        <v>20</v>
      </c>
      <c r="C554" t="s">
        <v>113</v>
      </c>
      <c r="D554" t="s">
        <v>197</v>
      </c>
      <c r="E554" t="s">
        <v>201</v>
      </c>
      <c r="U554" t="s">
        <v>197</v>
      </c>
      <c r="V554" t="s">
        <v>197</v>
      </c>
      <c r="W554" t="s">
        <v>197</v>
      </c>
      <c r="X554" t="s">
        <v>195</v>
      </c>
      <c r="Y554" t="s">
        <v>198</v>
      </c>
    </row>
    <row r="555">
      <c r="A555">
        <v>1905</v>
      </c>
      <c r="B555" t="s">
        <v>20</v>
      </c>
      <c r="C555" t="s">
        <v>113</v>
      </c>
      <c r="D555" t="s">
        <v>197</v>
      </c>
      <c r="E555" t="s">
        <v>201</v>
      </c>
      <c r="U555" t="s">
        <v>197</v>
      </c>
      <c r="V555" t="s">
        <v>197</v>
      </c>
      <c r="W555" t="s">
        <v>197</v>
      </c>
      <c r="X555" t="s">
        <v>195</v>
      </c>
      <c r="Y555" t="s">
        <v>198</v>
      </c>
    </row>
    <row r="556">
      <c r="A556">
        <v>1909</v>
      </c>
      <c r="B556" t="s">
        <v>194</v>
      </c>
      <c r="C556" t="s">
        <v>113</v>
      </c>
      <c r="D556" t="s">
        <v>197</v>
      </c>
      <c r="E556" t="s">
        <v>201</v>
      </c>
      <c r="U556" t="s">
        <v>197</v>
      </c>
      <c r="V556" t="s">
        <v>197</v>
      </c>
      <c r="W556" t="s">
        <v>197</v>
      </c>
      <c r="X556" t="s">
        <v>195</v>
      </c>
      <c r="Y556" t="s">
        <v>198</v>
      </c>
    </row>
    <row r="557">
      <c r="A557">
        <v>1910</v>
      </c>
      <c r="B557" t="s">
        <v>20</v>
      </c>
      <c r="C557" t="s">
        <v>113</v>
      </c>
      <c r="D557" t="s">
        <v>197</v>
      </c>
      <c r="E557" t="s">
        <v>201</v>
      </c>
      <c r="U557" t="s">
        <v>197</v>
      </c>
      <c r="V557" t="s">
        <v>197</v>
      </c>
      <c r="W557" t="s">
        <v>197</v>
      </c>
      <c r="X557" t="s">
        <v>195</v>
      </c>
      <c r="Y557" t="s">
        <v>198</v>
      </c>
    </row>
    <row r="558">
      <c r="A558">
        <v>1904</v>
      </c>
      <c r="B558" t="s">
        <v>20</v>
      </c>
      <c r="C558" t="s">
        <v>113</v>
      </c>
      <c r="D558" t="s">
        <v>197</v>
      </c>
      <c r="E558" t="s">
        <v>201</v>
      </c>
      <c r="U558" t="s">
        <v>197</v>
      </c>
      <c r="V558" t="s">
        <v>197</v>
      </c>
      <c r="W558" t="s">
        <v>197</v>
      </c>
      <c r="X558" t="s">
        <v>195</v>
      </c>
      <c r="Y558" t="s">
        <v>198</v>
      </c>
    </row>
    <row r="559">
      <c r="A559">
        <v>1907</v>
      </c>
      <c r="B559" t="s">
        <v>20</v>
      </c>
      <c r="C559" t="s">
        <v>113</v>
      </c>
      <c r="D559" t="s">
        <v>197</v>
      </c>
      <c r="E559" t="s">
        <v>201</v>
      </c>
      <c r="U559" t="s">
        <v>197</v>
      </c>
      <c r="V559" t="s">
        <v>197</v>
      </c>
      <c r="W559" t="s">
        <v>197</v>
      </c>
      <c r="X559" t="s">
        <v>195</v>
      </c>
      <c r="Y559" t="s">
        <v>198</v>
      </c>
    </row>
    <row r="560">
      <c r="A560">
        <v>1912</v>
      </c>
      <c r="B560" t="s">
        <v>199</v>
      </c>
      <c r="C560" t="s">
        <v>113</v>
      </c>
      <c r="D560" t="s">
        <v>195</v>
      </c>
      <c r="E560" t="s">
        <v>196</v>
      </c>
      <c r="F560">
        <v>33.9</v>
      </c>
      <c r="G560" t="s">
        <v>197</v>
      </c>
      <c r="H560" t="s">
        <v>94</v>
      </c>
      <c r="I560">
        <v>2.4</v>
      </c>
      <c r="J560" t="s">
        <v>195</v>
      </c>
      <c r="K560" t="s">
        <v>195</v>
      </c>
      <c r="L560" t="s">
        <v>94</v>
      </c>
      <c r="M560">
        <v>9.1</v>
      </c>
      <c r="N560" t="s">
        <v>195</v>
      </c>
      <c r="O560" t="s">
        <v>94</v>
      </c>
      <c r="P560">
        <v>9.199999999999999</v>
      </c>
      <c r="Q560" t="s">
        <v>195</v>
      </c>
      <c r="R560" t="s">
        <v>49</v>
      </c>
      <c r="T560" t="s">
        <v>78</v>
      </c>
      <c r="U560" t="s">
        <v>197</v>
      </c>
      <c r="V560" t="s">
        <v>197</v>
      </c>
      <c r="W560" t="s">
        <v>197</v>
      </c>
      <c r="X560" t="s">
        <v>195</v>
      </c>
      <c r="Y560" t="s">
        <v>198</v>
      </c>
    </row>
    <row r="561">
      <c r="A561">
        <v>1921</v>
      </c>
      <c r="B561" t="s">
        <v>194</v>
      </c>
      <c r="C561" t="s">
        <v>113</v>
      </c>
      <c r="D561" t="s">
        <v>197</v>
      </c>
      <c r="E561" t="s">
        <v>201</v>
      </c>
      <c r="U561" t="s">
        <v>197</v>
      </c>
      <c r="V561" t="s">
        <v>197</v>
      </c>
      <c r="W561" t="s">
        <v>197</v>
      </c>
      <c r="X561" t="s">
        <v>195</v>
      </c>
      <c r="Y561" t="s">
        <v>198</v>
      </c>
    </row>
    <row r="562">
      <c r="A562">
        <v>1926</v>
      </c>
      <c r="B562" t="s">
        <v>194</v>
      </c>
      <c r="C562" t="s">
        <v>113</v>
      </c>
      <c r="D562" t="s">
        <v>195</v>
      </c>
      <c r="E562" t="s">
        <v>196</v>
      </c>
      <c r="F562">
        <v>4.7</v>
      </c>
      <c r="G562" t="s">
        <v>197</v>
      </c>
      <c r="H562" t="s">
        <v>94</v>
      </c>
      <c r="I562">
        <v>0.8</v>
      </c>
      <c r="J562" t="s">
        <v>195</v>
      </c>
      <c r="K562" t="s">
        <v>195</v>
      </c>
      <c r="L562" t="s">
        <v>94</v>
      </c>
      <c r="M562">
        <v>4.9</v>
      </c>
      <c r="N562" t="s">
        <v>195</v>
      </c>
      <c r="O562" t="s">
        <v>94</v>
      </c>
      <c r="P562">
        <v>3.2</v>
      </c>
      <c r="Q562" t="s">
        <v>195</v>
      </c>
      <c r="R562" t="s">
        <v>50</v>
      </c>
      <c r="T562" t="s">
        <v>78</v>
      </c>
      <c r="U562" t="s">
        <v>197</v>
      </c>
      <c r="V562" t="s">
        <v>197</v>
      </c>
      <c r="W562" t="s">
        <v>197</v>
      </c>
      <c r="X562" t="s">
        <v>195</v>
      </c>
      <c r="Y562" t="s">
        <v>198</v>
      </c>
    </row>
    <row r="563">
      <c r="A563">
        <v>1927</v>
      </c>
      <c r="B563" t="s">
        <v>199</v>
      </c>
      <c r="C563" t="s">
        <v>113</v>
      </c>
      <c r="D563" t="s">
        <v>195</v>
      </c>
      <c r="E563" t="s">
        <v>196</v>
      </c>
      <c r="F563">
        <v>1.9</v>
      </c>
      <c r="G563" t="s">
        <v>197</v>
      </c>
      <c r="H563" t="s">
        <v>93</v>
      </c>
      <c r="I563">
        <v>5.5</v>
      </c>
      <c r="J563" t="s">
        <v>195</v>
      </c>
      <c r="K563" t="s">
        <v>195</v>
      </c>
      <c r="L563" t="s">
        <v>93</v>
      </c>
      <c r="M563">
        <v>536.5</v>
      </c>
      <c r="N563" t="s">
        <v>195</v>
      </c>
      <c r="O563" t="s">
        <v>93</v>
      </c>
      <c r="P563">
        <v>536.5</v>
      </c>
      <c r="Q563" t="s">
        <v>197</v>
      </c>
      <c r="R563" t="s">
        <v>49</v>
      </c>
      <c r="T563" t="s">
        <v>78</v>
      </c>
      <c r="U563" t="s">
        <v>197</v>
      </c>
      <c r="V563" t="s">
        <v>197</v>
      </c>
      <c r="W563" t="s">
        <v>197</v>
      </c>
      <c r="X563" t="s">
        <v>195</v>
      </c>
      <c r="Y563" t="s">
        <v>198</v>
      </c>
    </row>
    <row r="564">
      <c r="A564">
        <v>1931</v>
      </c>
      <c r="B564" t="s">
        <v>20</v>
      </c>
      <c r="C564" t="s">
        <v>113</v>
      </c>
      <c r="D564" t="s">
        <v>197</v>
      </c>
      <c r="E564" t="s">
        <v>201</v>
      </c>
      <c r="U564" t="s">
        <v>197</v>
      </c>
      <c r="V564" t="s">
        <v>197</v>
      </c>
      <c r="W564" t="s">
        <v>197</v>
      </c>
      <c r="X564" t="s">
        <v>195</v>
      </c>
      <c r="Y564" t="s">
        <v>198</v>
      </c>
    </row>
    <row r="565">
      <c r="A565">
        <v>1939</v>
      </c>
      <c r="B565" t="s">
        <v>20</v>
      </c>
      <c r="C565" t="s">
        <v>113</v>
      </c>
      <c r="D565" t="s">
        <v>197</v>
      </c>
      <c r="E565" t="s">
        <v>201</v>
      </c>
      <c r="U565" t="s">
        <v>197</v>
      </c>
      <c r="V565" t="s">
        <v>197</v>
      </c>
      <c r="W565" t="s">
        <v>197</v>
      </c>
      <c r="X565" t="s">
        <v>195</v>
      </c>
      <c r="Y565" t="s">
        <v>198</v>
      </c>
    </row>
    <row r="566">
      <c r="A566">
        <v>1945</v>
      </c>
      <c r="B566" t="s">
        <v>20</v>
      </c>
      <c r="C566" t="s">
        <v>113</v>
      </c>
      <c r="D566" t="s">
        <v>197</v>
      </c>
      <c r="E566" t="s">
        <v>201</v>
      </c>
      <c r="U566" t="s">
        <v>197</v>
      </c>
      <c r="V566" t="s">
        <v>197</v>
      </c>
      <c r="W566" t="s">
        <v>197</v>
      </c>
      <c r="X566" t="s">
        <v>195</v>
      </c>
      <c r="Y566" t="s">
        <v>198</v>
      </c>
    </row>
    <row r="567">
      <c r="A567">
        <v>1929</v>
      </c>
      <c r="B567" t="s">
        <v>20</v>
      </c>
      <c r="C567" t="s">
        <v>113</v>
      </c>
      <c r="D567" t="s">
        <v>197</v>
      </c>
      <c r="E567" t="s">
        <v>201</v>
      </c>
      <c r="U567" t="s">
        <v>197</v>
      </c>
      <c r="V567" t="s">
        <v>197</v>
      </c>
      <c r="W567" t="s">
        <v>197</v>
      </c>
      <c r="X567" t="s">
        <v>195</v>
      </c>
      <c r="Y567" t="s">
        <v>198</v>
      </c>
    </row>
    <row r="568">
      <c r="A568">
        <v>1930</v>
      </c>
      <c r="B568" t="s">
        <v>20</v>
      </c>
      <c r="C568" t="s">
        <v>113</v>
      </c>
      <c r="D568" t="s">
        <v>197</v>
      </c>
      <c r="E568" t="s">
        <v>201</v>
      </c>
      <c r="U568" t="s">
        <v>197</v>
      </c>
      <c r="V568" t="s">
        <v>197</v>
      </c>
      <c r="W568" t="s">
        <v>197</v>
      </c>
      <c r="X568" t="s">
        <v>195</v>
      </c>
      <c r="Y568" t="s">
        <v>198</v>
      </c>
    </row>
    <row r="569">
      <c r="A569">
        <v>1933</v>
      </c>
      <c r="B569" t="s">
        <v>199</v>
      </c>
      <c r="C569" t="s">
        <v>113</v>
      </c>
      <c r="D569" t="s">
        <v>195</v>
      </c>
      <c r="E569" t="s">
        <v>200</v>
      </c>
      <c r="F569">
        <v>10309</v>
      </c>
      <c r="G569" t="s">
        <v>197</v>
      </c>
      <c r="H569" t="s">
        <v>93</v>
      </c>
      <c r="I569">
        <v>419.2</v>
      </c>
      <c r="J569" t="s">
        <v>197</v>
      </c>
      <c r="K569" t="s">
        <v>197</v>
      </c>
      <c r="L569">
        <v/>
      </c>
      <c r="N569" t="s">
        <v>197</v>
      </c>
      <c r="R569" t="s">
        <v>53</v>
      </c>
      <c r="S569" t="s">
        <v>64</v>
      </c>
      <c r="T569" t="s">
        <v>76</v>
      </c>
      <c r="U569" t="s">
        <v>195</v>
      </c>
      <c r="V569" t="s">
        <v>195</v>
      </c>
      <c r="W569" t="s">
        <v>195</v>
      </c>
      <c r="X569" t="s">
        <v>195</v>
      </c>
      <c r="Y569" t="s">
        <v>104</v>
      </c>
    </row>
    <row r="570">
      <c r="A570">
        <v>1934</v>
      </c>
      <c r="B570" t="s">
        <v>20</v>
      </c>
      <c r="C570" t="s">
        <v>113</v>
      </c>
      <c r="D570" t="s">
        <v>195</v>
      </c>
      <c r="E570" t="s">
        <v>196</v>
      </c>
      <c r="F570">
        <v>30.2</v>
      </c>
      <c r="G570" t="s">
        <v>197</v>
      </c>
      <c r="H570" t="s">
        <v>93</v>
      </c>
      <c r="I570">
        <v>2.1</v>
      </c>
      <c r="J570" t="s">
        <v>195</v>
      </c>
      <c r="K570" t="s">
        <v>195</v>
      </c>
      <c r="L570" t="s">
        <v>93</v>
      </c>
      <c r="M570">
        <v>7.3</v>
      </c>
      <c r="N570" t="s">
        <v>195</v>
      </c>
      <c r="O570" t="s">
        <v>93</v>
      </c>
      <c r="P570">
        <v>7.3</v>
      </c>
      <c r="Q570" t="s">
        <v>195</v>
      </c>
      <c r="R570" t="s">
        <v>49</v>
      </c>
      <c r="T570" t="s">
        <v>78</v>
      </c>
      <c r="U570" t="s">
        <v>195</v>
      </c>
      <c r="V570" t="s">
        <v>195</v>
      </c>
      <c r="W570" t="s">
        <v>197</v>
      </c>
      <c r="X570" t="s">
        <v>195</v>
      </c>
      <c r="Y570" t="s">
        <v>198</v>
      </c>
    </row>
    <row r="571">
      <c r="A571">
        <v>1942</v>
      </c>
      <c r="B571" t="s">
        <v>194</v>
      </c>
      <c r="C571" t="s">
        <v>113</v>
      </c>
      <c r="D571" t="s">
        <v>197</v>
      </c>
      <c r="E571" t="s">
        <v>201</v>
      </c>
      <c r="U571" t="s">
        <v>197</v>
      </c>
      <c r="V571" t="s">
        <v>197</v>
      </c>
      <c r="W571" t="s">
        <v>197</v>
      </c>
      <c r="X571" t="s">
        <v>195</v>
      </c>
      <c r="Y571" t="s">
        <v>198</v>
      </c>
    </row>
    <row r="572">
      <c r="A572">
        <v>1944</v>
      </c>
      <c r="B572" t="s">
        <v>20</v>
      </c>
      <c r="C572" t="s">
        <v>113</v>
      </c>
      <c r="D572" t="s">
        <v>195</v>
      </c>
      <c r="E572" t="s">
        <v>196</v>
      </c>
      <c r="F572">
        <v>60.7</v>
      </c>
      <c r="G572" t="s">
        <v>197</v>
      </c>
      <c r="H572" t="s">
        <v>93</v>
      </c>
      <c r="I572">
        <v>0.2</v>
      </c>
      <c r="J572" t="s">
        <v>195</v>
      </c>
      <c r="K572" t="s">
        <v>195</v>
      </c>
      <c r="L572" t="s">
        <v>93</v>
      </c>
      <c r="M572">
        <v>3</v>
      </c>
      <c r="N572" t="s">
        <v>195</v>
      </c>
      <c r="O572" t="s">
        <v>93</v>
      </c>
      <c r="P572">
        <v>3.1</v>
      </c>
      <c r="Q572" t="s">
        <v>195</v>
      </c>
      <c r="R572" t="s">
        <v>49</v>
      </c>
      <c r="T572" t="s">
        <v>76</v>
      </c>
      <c r="U572" t="s">
        <v>197</v>
      </c>
      <c r="V572" t="s">
        <v>197</v>
      </c>
      <c r="W572" t="s">
        <v>197</v>
      </c>
      <c r="X572" t="s">
        <v>195</v>
      </c>
      <c r="Y572" t="s">
        <v>198</v>
      </c>
    </row>
    <row r="573">
      <c r="A573">
        <v>1947</v>
      </c>
      <c r="B573" t="s">
        <v>199</v>
      </c>
      <c r="C573" t="s">
        <v>113</v>
      </c>
      <c r="D573" t="s">
        <v>195</v>
      </c>
      <c r="E573" t="s">
        <v>196</v>
      </c>
      <c r="F573">
        <v>19.4</v>
      </c>
      <c r="G573" t="s">
        <v>197</v>
      </c>
      <c r="H573" t="s">
        <v>93</v>
      </c>
      <c r="I573">
        <v>0.6</v>
      </c>
      <c r="J573" t="s">
        <v>195</v>
      </c>
      <c r="K573" t="s">
        <v>195</v>
      </c>
      <c r="L573" t="s">
        <v>93</v>
      </c>
      <c r="M573">
        <v>3.2</v>
      </c>
      <c r="N573" t="s">
        <v>195</v>
      </c>
      <c r="O573" t="s">
        <v>93</v>
      </c>
      <c r="P573">
        <v>3.3</v>
      </c>
      <c r="Q573" t="s">
        <v>195</v>
      </c>
      <c r="R573" t="s">
        <v>49</v>
      </c>
      <c r="T573" t="s">
        <v>78</v>
      </c>
      <c r="U573" t="s">
        <v>197</v>
      </c>
      <c r="V573" t="s">
        <v>197</v>
      </c>
      <c r="W573" t="s">
        <v>197</v>
      </c>
      <c r="X573" t="s">
        <v>195</v>
      </c>
      <c r="Y573" t="s">
        <v>198</v>
      </c>
    </row>
    <row r="574">
      <c r="A574">
        <v>1950</v>
      </c>
      <c r="B574" t="s">
        <v>194</v>
      </c>
      <c r="C574" t="s">
        <v>113</v>
      </c>
      <c r="D574" t="s">
        <v>197</v>
      </c>
      <c r="E574" t="s">
        <v>201</v>
      </c>
      <c r="U574" t="s">
        <v>197</v>
      </c>
      <c r="V574" t="s">
        <v>197</v>
      </c>
      <c r="W574" t="s">
        <v>197</v>
      </c>
      <c r="X574" t="s">
        <v>195</v>
      </c>
      <c r="Y574" t="s">
        <v>198</v>
      </c>
    </row>
    <row r="575">
      <c r="A575">
        <v>1949</v>
      </c>
      <c r="B575" t="s">
        <v>194</v>
      </c>
      <c r="C575" t="s">
        <v>113</v>
      </c>
      <c r="D575" t="s">
        <v>195</v>
      </c>
      <c r="E575" t="s">
        <v>196</v>
      </c>
      <c r="F575">
        <v>102.6</v>
      </c>
      <c r="G575" t="s">
        <v>197</v>
      </c>
      <c r="H575" t="s">
        <v>93</v>
      </c>
      <c r="I575">
        <v>4.3</v>
      </c>
      <c r="J575" t="s">
        <v>197</v>
      </c>
      <c r="K575" t="s">
        <v>197</v>
      </c>
      <c r="L575">
        <v/>
      </c>
      <c r="N575" t="s">
        <v>197</v>
      </c>
      <c r="R575" t="s">
        <v>53</v>
      </c>
      <c r="S575" t="s">
        <v>64</v>
      </c>
      <c r="T575" t="s">
        <v>76</v>
      </c>
      <c r="U575" t="s">
        <v>197</v>
      </c>
      <c r="V575" t="s">
        <v>197</v>
      </c>
      <c r="W575" t="s">
        <v>197</v>
      </c>
      <c r="X575" t="s">
        <v>195</v>
      </c>
      <c r="Y575" t="s">
        <v>198</v>
      </c>
    </row>
    <row r="576">
      <c r="A576">
        <v>1956</v>
      </c>
      <c r="B576" t="s">
        <v>20</v>
      </c>
      <c r="C576" t="s">
        <v>113</v>
      </c>
      <c r="D576" t="s">
        <v>195</v>
      </c>
      <c r="E576" t="s">
        <v>196</v>
      </c>
      <c r="F576">
        <v>2.7</v>
      </c>
      <c r="G576" t="s">
        <v>197</v>
      </c>
      <c r="H576" t="s">
        <v>93</v>
      </c>
      <c r="I576">
        <v>0.2</v>
      </c>
      <c r="J576" t="s">
        <v>195</v>
      </c>
      <c r="K576" t="s">
        <v>195</v>
      </c>
      <c r="L576" t="s">
        <v>93</v>
      </c>
      <c r="M576">
        <v>5.2</v>
      </c>
      <c r="N576" t="s">
        <v>195</v>
      </c>
      <c r="O576" t="s">
        <v>93</v>
      </c>
      <c r="P576">
        <v>5.5</v>
      </c>
      <c r="Q576" t="s">
        <v>195</v>
      </c>
      <c r="R576" t="s">
        <v>49</v>
      </c>
      <c r="T576" t="s">
        <v>76</v>
      </c>
      <c r="U576" t="s">
        <v>197</v>
      </c>
      <c r="V576" t="s">
        <v>197</v>
      </c>
      <c r="W576" t="s">
        <v>197</v>
      </c>
      <c r="X576" t="s">
        <v>195</v>
      </c>
      <c r="Y576" t="s">
        <v>198</v>
      </c>
    </row>
    <row r="577">
      <c r="A577">
        <v>1967</v>
      </c>
      <c r="B577" t="s">
        <v>194</v>
      </c>
      <c r="C577" t="s">
        <v>113</v>
      </c>
      <c r="D577" t="s">
        <v>197</v>
      </c>
      <c r="E577" t="s">
        <v>201</v>
      </c>
      <c r="U577" t="s">
        <v>197</v>
      </c>
      <c r="V577" t="s">
        <v>197</v>
      </c>
      <c r="W577" t="s">
        <v>197</v>
      </c>
      <c r="X577" t="s">
        <v>195</v>
      </c>
      <c r="Y577" t="s">
        <v>198</v>
      </c>
    </row>
    <row r="578">
      <c r="A578">
        <v>1965</v>
      </c>
      <c r="B578" t="s">
        <v>20</v>
      </c>
      <c r="C578" t="s">
        <v>113</v>
      </c>
      <c r="D578" t="s">
        <v>197</v>
      </c>
      <c r="E578" t="s">
        <v>201</v>
      </c>
      <c r="U578" t="s">
        <v>197</v>
      </c>
      <c r="V578" t="s">
        <v>197</v>
      </c>
      <c r="W578" t="s">
        <v>197</v>
      </c>
      <c r="X578" t="s">
        <v>195</v>
      </c>
      <c r="Y578" t="s">
        <v>198</v>
      </c>
    </row>
    <row r="579">
      <c r="A579">
        <v>1972</v>
      </c>
      <c r="B579" t="s">
        <v>199</v>
      </c>
      <c r="C579" t="s">
        <v>113</v>
      </c>
      <c r="D579" t="s">
        <v>197</v>
      </c>
      <c r="E579" t="s">
        <v>201</v>
      </c>
      <c r="U579" t="s">
        <v>197</v>
      </c>
      <c r="V579" t="s">
        <v>197</v>
      </c>
      <c r="W579" t="s">
        <v>197</v>
      </c>
      <c r="X579" t="s">
        <v>195</v>
      </c>
      <c r="Y579" t="s">
        <v>198</v>
      </c>
    </row>
    <row r="580">
      <c r="A580">
        <v>1979</v>
      </c>
      <c r="B580" t="s">
        <v>20</v>
      </c>
      <c r="C580" t="s">
        <v>113</v>
      </c>
      <c r="D580" t="s">
        <v>195</v>
      </c>
      <c r="E580" t="s">
        <v>196</v>
      </c>
      <c r="F580">
        <v>13.8</v>
      </c>
      <c r="G580" t="s">
        <v>197</v>
      </c>
      <c r="H580" t="s">
        <v>93</v>
      </c>
      <c r="I580">
        <v>0.3</v>
      </c>
      <c r="J580" t="s">
        <v>195</v>
      </c>
      <c r="K580" t="s">
        <v>195</v>
      </c>
      <c r="L580" t="s">
        <v>93</v>
      </c>
      <c r="M580">
        <v>5</v>
      </c>
      <c r="N580" t="s">
        <v>195</v>
      </c>
      <c r="O580" t="s">
        <v>93</v>
      </c>
      <c r="P580">
        <v>5.1</v>
      </c>
      <c r="Q580" t="s">
        <v>195</v>
      </c>
      <c r="R580" t="s">
        <v>49</v>
      </c>
      <c r="T580" t="s">
        <v>76</v>
      </c>
      <c r="U580" t="s">
        <v>197</v>
      </c>
      <c r="V580" t="s">
        <v>197</v>
      </c>
      <c r="W580" t="s">
        <v>197</v>
      </c>
      <c r="X580" t="s">
        <v>195</v>
      </c>
      <c r="Y580" t="s">
        <v>198</v>
      </c>
    </row>
    <row r="581">
      <c r="A581">
        <v>1981</v>
      </c>
      <c r="B581" t="s">
        <v>20</v>
      </c>
      <c r="C581" t="s">
        <v>113</v>
      </c>
      <c r="D581" t="s">
        <v>197</v>
      </c>
      <c r="E581" t="s">
        <v>201</v>
      </c>
      <c r="U581" t="s">
        <v>197</v>
      </c>
      <c r="V581" t="s">
        <v>197</v>
      </c>
      <c r="W581" t="s">
        <v>197</v>
      </c>
      <c r="X581" t="s">
        <v>195</v>
      </c>
      <c r="Y581" t="s">
        <v>198</v>
      </c>
    </row>
    <row r="582">
      <c r="A582">
        <v>1988</v>
      </c>
      <c r="B582" t="s">
        <v>194</v>
      </c>
      <c r="C582" t="s">
        <v>113</v>
      </c>
      <c r="D582" t="s">
        <v>197</v>
      </c>
      <c r="E582" t="s">
        <v>201</v>
      </c>
      <c r="U582" t="s">
        <v>197</v>
      </c>
      <c r="V582" t="s">
        <v>197</v>
      </c>
      <c r="W582" t="s">
        <v>197</v>
      </c>
      <c r="X582" t="s">
        <v>195</v>
      </c>
      <c r="Y582" t="s">
        <v>198</v>
      </c>
    </row>
    <row r="583">
      <c r="A583">
        <v>1980</v>
      </c>
      <c r="B583" t="s">
        <v>20</v>
      </c>
      <c r="C583" t="s">
        <v>113</v>
      </c>
      <c r="D583" t="s">
        <v>197</v>
      </c>
      <c r="E583" t="s">
        <v>201</v>
      </c>
      <c r="U583" t="s">
        <v>197</v>
      </c>
      <c r="V583" t="s">
        <v>197</v>
      </c>
      <c r="W583" t="s">
        <v>197</v>
      </c>
      <c r="X583" t="s">
        <v>195</v>
      </c>
      <c r="Y583" t="s">
        <v>198</v>
      </c>
    </row>
    <row r="584">
      <c r="A584">
        <v>1990</v>
      </c>
      <c r="B584" t="s">
        <v>20</v>
      </c>
      <c r="C584" t="s">
        <v>113</v>
      </c>
      <c r="D584" t="s">
        <v>195</v>
      </c>
      <c r="E584" t="s">
        <v>196</v>
      </c>
      <c r="F584">
        <v>3.6</v>
      </c>
      <c r="G584" t="s">
        <v>195</v>
      </c>
      <c r="H584" t="s">
        <v>93</v>
      </c>
      <c r="I584">
        <v>0.5</v>
      </c>
      <c r="J584" t="s">
        <v>195</v>
      </c>
      <c r="K584" t="s">
        <v>195</v>
      </c>
      <c r="L584" t="s">
        <v>96</v>
      </c>
      <c r="M584">
        <v>8</v>
      </c>
      <c r="N584" t="s">
        <v>197</v>
      </c>
      <c r="R584" t="s">
        <v>52</v>
      </c>
      <c r="S584" t="s">
        <v>64</v>
      </c>
      <c r="T584" t="s">
        <v>76</v>
      </c>
      <c r="U584" t="s">
        <v>197</v>
      </c>
      <c r="V584" t="s">
        <v>197</v>
      </c>
      <c r="W584" t="s">
        <v>197</v>
      </c>
      <c r="X584" t="s">
        <v>195</v>
      </c>
      <c r="Y584" t="s">
        <v>198</v>
      </c>
    </row>
    <row r="585">
      <c r="A585">
        <v>1992</v>
      </c>
      <c r="B585" t="s">
        <v>199</v>
      </c>
      <c r="C585" t="s">
        <v>113</v>
      </c>
      <c r="D585" t="s">
        <v>195</v>
      </c>
      <c r="E585" t="s">
        <v>196</v>
      </c>
      <c r="F585">
        <v>1.6</v>
      </c>
      <c r="G585" t="s">
        <v>197</v>
      </c>
      <c r="H585" t="s">
        <v>96</v>
      </c>
      <c r="I585">
        <v>2.9</v>
      </c>
      <c r="J585" t="s">
        <v>195</v>
      </c>
      <c r="K585" t="s">
        <v>195</v>
      </c>
      <c r="L585" t="s">
        <v>96</v>
      </c>
      <c r="M585">
        <v>5.7</v>
      </c>
      <c r="N585" t="s">
        <v>197</v>
      </c>
      <c r="R585" t="s">
        <v>52</v>
      </c>
      <c r="S585" t="s">
        <v>64</v>
      </c>
      <c r="T585" t="s">
        <v>76</v>
      </c>
      <c r="U585" t="s">
        <v>197</v>
      </c>
      <c r="V585" t="s">
        <v>197</v>
      </c>
      <c r="W585" t="s">
        <v>197</v>
      </c>
      <c r="X585" t="s">
        <v>195</v>
      </c>
      <c r="Y585" t="s">
        <v>198</v>
      </c>
    </row>
    <row r="586">
      <c r="A586">
        <v>1995</v>
      </c>
      <c r="B586" t="s">
        <v>20</v>
      </c>
      <c r="C586" t="s">
        <v>113</v>
      </c>
      <c r="D586" t="s">
        <v>197</v>
      </c>
      <c r="E586" t="s">
        <v>201</v>
      </c>
      <c r="U586" t="s">
        <v>197</v>
      </c>
      <c r="V586" t="s">
        <v>197</v>
      </c>
      <c r="W586" t="s">
        <v>197</v>
      </c>
      <c r="X586" t="s">
        <v>195</v>
      </c>
      <c r="Y586" t="s">
        <v>198</v>
      </c>
    </row>
    <row r="587">
      <c r="A587">
        <v>1987</v>
      </c>
      <c r="B587" t="s">
        <v>20</v>
      </c>
      <c r="C587" t="s">
        <v>113</v>
      </c>
      <c r="D587" t="s">
        <v>197</v>
      </c>
      <c r="E587" t="s">
        <v>201</v>
      </c>
      <c r="U587" t="s">
        <v>197</v>
      </c>
      <c r="V587" t="s">
        <v>197</v>
      </c>
      <c r="W587" t="s">
        <v>197</v>
      </c>
      <c r="X587" t="s">
        <v>195</v>
      </c>
      <c r="Y587" t="s">
        <v>198</v>
      </c>
    </row>
    <row r="588">
      <c r="A588">
        <v>1996</v>
      </c>
      <c r="B588" t="s">
        <v>20</v>
      </c>
      <c r="C588" t="s">
        <v>113</v>
      </c>
      <c r="D588" t="s">
        <v>197</v>
      </c>
      <c r="E588" t="s">
        <v>201</v>
      </c>
      <c r="U588" t="s">
        <v>197</v>
      </c>
      <c r="V588" t="s">
        <v>197</v>
      </c>
      <c r="W588" t="s">
        <v>197</v>
      </c>
      <c r="X588" t="s">
        <v>195</v>
      </c>
      <c r="Y588" t="s">
        <v>198</v>
      </c>
    </row>
    <row r="589">
      <c r="A589">
        <v>1997</v>
      </c>
      <c r="B589" t="s">
        <v>20</v>
      </c>
      <c r="C589" t="s">
        <v>113</v>
      </c>
      <c r="D589" t="s">
        <v>195</v>
      </c>
      <c r="E589" t="s">
        <v>196</v>
      </c>
      <c r="F589">
        <v>2.6</v>
      </c>
      <c r="G589" t="s">
        <v>197</v>
      </c>
      <c r="H589" t="s">
        <v>93</v>
      </c>
      <c r="I589">
        <v>0.1</v>
      </c>
      <c r="J589" t="s">
        <v>195</v>
      </c>
      <c r="K589" t="s">
        <v>195</v>
      </c>
      <c r="L589" t="s">
        <v>93</v>
      </c>
      <c r="M589">
        <v>6.5</v>
      </c>
      <c r="N589" t="s">
        <v>195</v>
      </c>
      <c r="O589" t="s">
        <v>93</v>
      </c>
      <c r="P589">
        <v>6.7</v>
      </c>
      <c r="Q589" t="s">
        <v>195</v>
      </c>
      <c r="R589" t="s">
        <v>49</v>
      </c>
      <c r="T589" t="s">
        <v>76</v>
      </c>
      <c r="U589" t="s">
        <v>195</v>
      </c>
      <c r="V589" t="s">
        <v>195</v>
      </c>
      <c r="W589" t="s">
        <v>197</v>
      </c>
      <c r="X589" t="s">
        <v>195</v>
      </c>
      <c r="Y589" t="s">
        <v>198</v>
      </c>
    </row>
    <row r="590">
      <c r="A590">
        <v>1993</v>
      </c>
      <c r="B590" t="s">
        <v>20</v>
      </c>
      <c r="C590" t="s">
        <v>113</v>
      </c>
      <c r="D590" t="s">
        <v>197</v>
      </c>
      <c r="E590" t="s">
        <v>201</v>
      </c>
      <c r="U590" t="s">
        <v>197</v>
      </c>
      <c r="V590" t="s">
        <v>197</v>
      </c>
      <c r="W590" t="s">
        <v>197</v>
      </c>
      <c r="X590" t="s">
        <v>195</v>
      </c>
      <c r="Y590" t="s">
        <v>198</v>
      </c>
    </row>
    <row r="591">
      <c r="A591">
        <v>1998</v>
      </c>
      <c r="B591" t="s">
        <v>20</v>
      </c>
      <c r="C591" t="s">
        <v>113</v>
      </c>
      <c r="D591" t="s">
        <v>197</v>
      </c>
      <c r="E591" t="s">
        <v>201</v>
      </c>
      <c r="U591" t="s">
        <v>197</v>
      </c>
      <c r="V591" t="s">
        <v>197</v>
      </c>
      <c r="W591" t="s">
        <v>197</v>
      </c>
      <c r="X591" t="s">
        <v>195</v>
      </c>
      <c r="Y591" t="s">
        <v>198</v>
      </c>
    </row>
    <row r="592">
      <c r="A592">
        <v>1999</v>
      </c>
      <c r="B592" t="s">
        <v>194</v>
      </c>
      <c r="C592" t="s">
        <v>113</v>
      </c>
      <c r="D592" t="s">
        <v>197</v>
      </c>
      <c r="E592" t="s">
        <v>201</v>
      </c>
      <c r="U592" t="s">
        <v>197</v>
      </c>
      <c r="V592" t="s">
        <v>197</v>
      </c>
      <c r="W592" t="s">
        <v>197</v>
      </c>
      <c r="X592" t="s">
        <v>195</v>
      </c>
      <c r="Y592" t="s">
        <v>198</v>
      </c>
    </row>
    <row r="593">
      <c r="A593">
        <v>2005</v>
      </c>
      <c r="B593" t="s">
        <v>199</v>
      </c>
      <c r="C593" t="s">
        <v>113</v>
      </c>
      <c r="D593" t="s">
        <v>195</v>
      </c>
      <c r="E593" t="s">
        <v>196</v>
      </c>
      <c r="F593">
        <v>2.8</v>
      </c>
      <c r="G593" t="s">
        <v>197</v>
      </c>
      <c r="H593" t="s">
        <v>94</v>
      </c>
      <c r="I593">
        <v>1.4</v>
      </c>
      <c r="J593" t="s">
        <v>195</v>
      </c>
      <c r="K593" t="s">
        <v>195</v>
      </c>
      <c r="L593" t="s">
        <v>96</v>
      </c>
      <c r="M593">
        <v>5.4</v>
      </c>
      <c r="N593" t="s">
        <v>197</v>
      </c>
      <c r="R593" t="s">
        <v>52</v>
      </c>
      <c r="S593" t="s">
        <v>64</v>
      </c>
      <c r="T593" t="s">
        <v>76</v>
      </c>
      <c r="U593" t="s">
        <v>197</v>
      </c>
      <c r="V593" t="s">
        <v>197</v>
      </c>
      <c r="W593" t="s">
        <v>197</v>
      </c>
      <c r="X593" t="s">
        <v>195</v>
      </c>
      <c r="Y593" t="s">
        <v>198</v>
      </c>
    </row>
    <row r="594">
      <c r="A594">
        <v>2007</v>
      </c>
      <c r="B594" t="s">
        <v>194</v>
      </c>
      <c r="C594" t="s">
        <v>113</v>
      </c>
      <c r="D594" t="s">
        <v>197</v>
      </c>
      <c r="E594" t="s">
        <v>201</v>
      </c>
      <c r="U594" t="s">
        <v>197</v>
      </c>
      <c r="V594" t="s">
        <v>197</v>
      </c>
      <c r="W594" t="s">
        <v>197</v>
      </c>
      <c r="X594" t="s">
        <v>195</v>
      </c>
      <c r="Y594" t="s">
        <v>198</v>
      </c>
    </row>
    <row r="595">
      <c r="A595">
        <v>2021</v>
      </c>
      <c r="B595" t="s">
        <v>20</v>
      </c>
      <c r="C595" t="s">
        <v>113</v>
      </c>
      <c r="D595" t="s">
        <v>195</v>
      </c>
      <c r="E595" t="s">
        <v>196</v>
      </c>
      <c r="F595">
        <v>1.6</v>
      </c>
      <c r="G595" t="s">
        <v>197</v>
      </c>
      <c r="H595" t="s">
        <v>93</v>
      </c>
      <c r="I595">
        <v>1.2</v>
      </c>
      <c r="J595" t="s">
        <v>195</v>
      </c>
      <c r="K595" t="s">
        <v>195</v>
      </c>
      <c r="L595" t="s">
        <v>93</v>
      </c>
      <c r="M595">
        <v>4.3</v>
      </c>
      <c r="N595" t="s">
        <v>195</v>
      </c>
      <c r="O595" t="s">
        <v>93</v>
      </c>
      <c r="P595">
        <v>4.4</v>
      </c>
      <c r="Q595" t="s">
        <v>195</v>
      </c>
      <c r="R595" t="s">
        <v>49</v>
      </c>
      <c r="T595" t="s">
        <v>76</v>
      </c>
      <c r="U595" t="s">
        <v>197</v>
      </c>
      <c r="V595" t="s">
        <v>197</v>
      </c>
      <c r="W595" t="s">
        <v>197</v>
      </c>
      <c r="X595" t="s">
        <v>195</v>
      </c>
      <c r="Y595" t="s">
        <v>198</v>
      </c>
    </row>
    <row r="596">
      <c r="A596">
        <v>2020</v>
      </c>
      <c r="B596" t="s">
        <v>20</v>
      </c>
      <c r="C596" t="s">
        <v>113</v>
      </c>
      <c r="D596" t="s">
        <v>197</v>
      </c>
      <c r="E596" t="s">
        <v>201</v>
      </c>
      <c r="U596" t="s">
        <v>197</v>
      </c>
      <c r="V596" t="s">
        <v>197</v>
      </c>
      <c r="W596" t="s">
        <v>197</v>
      </c>
      <c r="X596" t="s">
        <v>195</v>
      </c>
      <c r="Y596" t="s">
        <v>198</v>
      </c>
    </row>
    <row r="597">
      <c r="A597">
        <v>2024</v>
      </c>
      <c r="B597" t="s">
        <v>194</v>
      </c>
      <c r="C597" t="s">
        <v>113</v>
      </c>
      <c r="D597" t="s">
        <v>197</v>
      </c>
      <c r="E597" t="s">
        <v>201</v>
      </c>
      <c r="U597" t="s">
        <v>197</v>
      </c>
      <c r="V597" t="s">
        <v>197</v>
      </c>
      <c r="W597" t="s">
        <v>197</v>
      </c>
      <c r="X597" t="s">
        <v>195</v>
      </c>
      <c r="Y597" t="s">
        <v>198</v>
      </c>
    </row>
    <row r="598">
      <c r="A598">
        <v>2026</v>
      </c>
      <c r="B598" t="s">
        <v>20</v>
      </c>
      <c r="C598" t="s">
        <v>113</v>
      </c>
      <c r="D598" t="s">
        <v>197</v>
      </c>
      <c r="E598" t="s">
        <v>201</v>
      </c>
      <c r="U598" t="s">
        <v>197</v>
      </c>
      <c r="V598" t="s">
        <v>197</v>
      </c>
      <c r="W598" t="s">
        <v>197</v>
      </c>
      <c r="X598" t="s">
        <v>195</v>
      </c>
      <c r="Y598" t="s">
        <v>198</v>
      </c>
    </row>
    <row r="599">
      <c r="A599">
        <v>2030</v>
      </c>
      <c r="B599" t="s">
        <v>194</v>
      </c>
      <c r="C599" t="s">
        <v>113</v>
      </c>
      <c r="D599" t="s">
        <v>195</v>
      </c>
      <c r="E599" t="s">
        <v>196</v>
      </c>
      <c r="F599">
        <v>4.1</v>
      </c>
      <c r="G599" t="s">
        <v>197</v>
      </c>
      <c r="H599" t="s">
        <v>94</v>
      </c>
      <c r="I599">
        <v>2.4</v>
      </c>
      <c r="J599" t="s">
        <v>195</v>
      </c>
      <c r="K599" t="s">
        <v>195</v>
      </c>
      <c r="L599" t="s">
        <v>94</v>
      </c>
      <c r="M599">
        <v>9.6</v>
      </c>
      <c r="N599" t="s">
        <v>195</v>
      </c>
      <c r="O599" t="s">
        <v>94</v>
      </c>
      <c r="P599">
        <v>9.6</v>
      </c>
      <c r="Q599" t="s">
        <v>195</v>
      </c>
      <c r="R599" t="s">
        <v>49</v>
      </c>
      <c r="T599" t="s">
        <v>76</v>
      </c>
      <c r="U599" t="s">
        <v>197</v>
      </c>
      <c r="V599" t="s">
        <v>197</v>
      </c>
      <c r="W599" t="s">
        <v>197</v>
      </c>
      <c r="X599" t="s">
        <v>195</v>
      </c>
      <c r="Y599" t="s">
        <v>198</v>
      </c>
    </row>
    <row r="600">
      <c r="A600">
        <v>2028</v>
      </c>
      <c r="B600" t="s">
        <v>20</v>
      </c>
      <c r="C600" t="s">
        <v>113</v>
      </c>
      <c r="D600" t="s">
        <v>197</v>
      </c>
      <c r="E600" t="s">
        <v>201</v>
      </c>
      <c r="U600" t="s">
        <v>197</v>
      </c>
      <c r="V600" t="s">
        <v>197</v>
      </c>
      <c r="W600" t="s">
        <v>197</v>
      </c>
      <c r="X600" t="s">
        <v>195</v>
      </c>
      <c r="Y600" t="s">
        <v>198</v>
      </c>
    </row>
    <row r="601">
      <c r="A601">
        <v>2033</v>
      </c>
      <c r="B601" t="s">
        <v>20</v>
      </c>
      <c r="C601" t="s">
        <v>113</v>
      </c>
      <c r="D601" t="s">
        <v>197</v>
      </c>
      <c r="E601" t="s">
        <v>201</v>
      </c>
      <c r="U601" t="s">
        <v>197</v>
      </c>
      <c r="V601" t="s">
        <v>197</v>
      </c>
      <c r="W601" t="s">
        <v>197</v>
      </c>
      <c r="X601" t="s">
        <v>195</v>
      </c>
      <c r="Y601" t="s">
        <v>198</v>
      </c>
    </row>
    <row r="602">
      <c r="A602">
        <v>2035</v>
      </c>
      <c r="B602" t="s">
        <v>20</v>
      </c>
      <c r="C602" t="s">
        <v>113</v>
      </c>
      <c r="D602" t="s">
        <v>195</v>
      </c>
      <c r="E602" t="s">
        <v>196</v>
      </c>
      <c r="F602">
        <v>0.3</v>
      </c>
      <c r="G602" t="s">
        <v>197</v>
      </c>
      <c r="H602" t="s">
        <v>94</v>
      </c>
      <c r="I602">
        <v>1.1</v>
      </c>
      <c r="J602" t="s">
        <v>195</v>
      </c>
      <c r="K602" t="s">
        <v>195</v>
      </c>
      <c r="L602" t="s">
        <v>94</v>
      </c>
      <c r="M602">
        <v>8.800000000000001</v>
      </c>
      <c r="N602" t="s">
        <v>195</v>
      </c>
      <c r="O602" t="s">
        <v>94</v>
      </c>
      <c r="P602">
        <v>8.699999999999999</v>
      </c>
      <c r="Q602" t="s">
        <v>195</v>
      </c>
      <c r="R602" t="s">
        <v>50</v>
      </c>
      <c r="T602" t="s">
        <v>77</v>
      </c>
      <c r="U602" t="s">
        <v>195</v>
      </c>
      <c r="V602" t="s">
        <v>197</v>
      </c>
      <c r="W602" t="s">
        <v>197</v>
      </c>
      <c r="X602" t="s">
        <v>195</v>
      </c>
      <c r="Y602" t="s">
        <v>198</v>
      </c>
    </row>
    <row r="603">
      <c r="A603">
        <v>2047</v>
      </c>
      <c r="B603" t="s">
        <v>20</v>
      </c>
      <c r="C603" t="s">
        <v>113</v>
      </c>
      <c r="D603" t="s">
        <v>195</v>
      </c>
      <c r="E603" t="s">
        <v>196</v>
      </c>
      <c r="F603">
        <v>0.5</v>
      </c>
      <c r="G603" t="s">
        <v>197</v>
      </c>
      <c r="H603" t="s">
        <v>94</v>
      </c>
      <c r="I603">
        <v>13.8</v>
      </c>
      <c r="J603" t="s">
        <v>195</v>
      </c>
      <c r="K603" t="s">
        <v>195</v>
      </c>
      <c r="L603" t="s">
        <v>94</v>
      </c>
      <c r="M603">
        <v>17.2</v>
      </c>
      <c r="N603" t="s">
        <v>195</v>
      </c>
      <c r="O603" t="s">
        <v>94</v>
      </c>
      <c r="P603">
        <v>18</v>
      </c>
      <c r="Q603" t="s">
        <v>195</v>
      </c>
      <c r="R603" t="s">
        <v>49</v>
      </c>
      <c r="T603" t="s">
        <v>77</v>
      </c>
      <c r="U603" t="s">
        <v>197</v>
      </c>
      <c r="V603" t="s">
        <v>197</v>
      </c>
      <c r="W603" t="s">
        <v>197</v>
      </c>
      <c r="X603" t="s">
        <v>195</v>
      </c>
      <c r="Y603" t="s">
        <v>198</v>
      </c>
    </row>
    <row r="604">
      <c r="A604">
        <v>2048</v>
      </c>
      <c r="B604" t="s">
        <v>20</v>
      </c>
      <c r="C604" t="s">
        <v>113</v>
      </c>
      <c r="D604" t="s">
        <v>195</v>
      </c>
      <c r="E604" t="s">
        <v>196</v>
      </c>
      <c r="F604">
        <v>12.9</v>
      </c>
      <c r="G604" t="s">
        <v>195</v>
      </c>
      <c r="H604" t="s">
        <v>94</v>
      </c>
      <c r="I604">
        <v>3.9</v>
      </c>
      <c r="J604" t="s">
        <v>195</v>
      </c>
      <c r="K604" t="s">
        <v>195</v>
      </c>
      <c r="L604" t="s">
        <v>94</v>
      </c>
      <c r="M604">
        <v>8.9</v>
      </c>
      <c r="N604" t="s">
        <v>197</v>
      </c>
      <c r="R604" t="s">
        <v>52</v>
      </c>
      <c r="S604" t="s">
        <v>66</v>
      </c>
      <c r="T604" t="s">
        <v>77</v>
      </c>
      <c r="U604" t="s">
        <v>195</v>
      </c>
      <c r="V604" t="s">
        <v>195</v>
      </c>
      <c r="W604" t="s">
        <v>197</v>
      </c>
      <c r="X604" t="s">
        <v>195</v>
      </c>
      <c r="Y604" t="s">
        <v>198</v>
      </c>
    </row>
    <row r="605">
      <c r="A605">
        <v>2049</v>
      </c>
      <c r="B605" t="s">
        <v>20</v>
      </c>
      <c r="C605" t="s">
        <v>113</v>
      </c>
      <c r="D605" t="s">
        <v>195</v>
      </c>
      <c r="E605" t="s">
        <v>196</v>
      </c>
      <c r="F605">
        <v>5.9</v>
      </c>
      <c r="G605" t="s">
        <v>197</v>
      </c>
      <c r="H605" t="s">
        <v>94</v>
      </c>
      <c r="I605">
        <v>11.7</v>
      </c>
      <c r="J605" t="s">
        <v>195</v>
      </c>
      <c r="K605" t="s">
        <v>195</v>
      </c>
      <c r="L605" t="s">
        <v>94</v>
      </c>
      <c r="M605">
        <v>15.6</v>
      </c>
      <c r="N605" t="s">
        <v>195</v>
      </c>
      <c r="O605" t="s">
        <v>94</v>
      </c>
      <c r="P605">
        <v>15.7</v>
      </c>
      <c r="Q605" t="s">
        <v>195</v>
      </c>
      <c r="R605" t="s">
        <v>49</v>
      </c>
      <c r="T605" t="s">
        <v>77</v>
      </c>
      <c r="U605" t="s">
        <v>195</v>
      </c>
      <c r="V605" t="s">
        <v>195</v>
      </c>
      <c r="W605" t="s">
        <v>197</v>
      </c>
      <c r="X605" t="s">
        <v>195</v>
      </c>
      <c r="Y605" t="s">
        <v>198</v>
      </c>
    </row>
    <row r="606">
      <c r="A606">
        <v>2052</v>
      </c>
      <c r="B606" t="s">
        <v>20</v>
      </c>
      <c r="C606" t="s">
        <v>113</v>
      </c>
      <c r="D606" t="s">
        <v>195</v>
      </c>
      <c r="E606" t="s">
        <v>196</v>
      </c>
      <c r="F606">
        <v>5.7</v>
      </c>
      <c r="G606" t="s">
        <v>197</v>
      </c>
      <c r="H606" t="s">
        <v>93</v>
      </c>
      <c r="I606">
        <v>18.3</v>
      </c>
      <c r="J606" t="s">
        <v>195</v>
      </c>
      <c r="K606" t="s">
        <v>195</v>
      </c>
      <c r="L606" t="s">
        <v>93</v>
      </c>
      <c r="M606">
        <v>20.6</v>
      </c>
      <c r="N606" t="s">
        <v>195</v>
      </c>
      <c r="O606" t="s">
        <v>93</v>
      </c>
      <c r="P606">
        <v>20.9</v>
      </c>
      <c r="Q606" t="s">
        <v>195</v>
      </c>
      <c r="R606" t="s">
        <v>49</v>
      </c>
      <c r="T606" t="s">
        <v>77</v>
      </c>
      <c r="U606" t="s">
        <v>197</v>
      </c>
      <c r="V606" t="s">
        <v>197</v>
      </c>
      <c r="W606" t="s">
        <v>197</v>
      </c>
      <c r="X606" t="s">
        <v>195</v>
      </c>
      <c r="Y606" t="s">
        <v>198</v>
      </c>
    </row>
    <row r="607">
      <c r="A607">
        <v>2059</v>
      </c>
      <c r="B607" t="s">
        <v>194</v>
      </c>
      <c r="C607" t="s">
        <v>113</v>
      </c>
      <c r="D607" t="s">
        <v>195</v>
      </c>
      <c r="E607" t="s">
        <v>196</v>
      </c>
      <c r="F607">
        <v>12.1</v>
      </c>
      <c r="G607" t="s">
        <v>197</v>
      </c>
      <c r="H607" t="s">
        <v>93</v>
      </c>
      <c r="I607">
        <v>0.3</v>
      </c>
      <c r="J607" t="s">
        <v>195</v>
      </c>
      <c r="K607" t="s">
        <v>195</v>
      </c>
      <c r="L607" t="s">
        <v>93</v>
      </c>
      <c r="M607">
        <v>2.6</v>
      </c>
      <c r="N607" t="s">
        <v>195</v>
      </c>
      <c r="O607" t="s">
        <v>93</v>
      </c>
      <c r="P607">
        <v>2.9</v>
      </c>
      <c r="Q607" t="s">
        <v>195</v>
      </c>
      <c r="R607" t="s">
        <v>49</v>
      </c>
      <c r="T607" t="s">
        <v>77</v>
      </c>
      <c r="U607" t="s">
        <v>197</v>
      </c>
      <c r="V607" t="s">
        <v>197</v>
      </c>
      <c r="W607" t="s">
        <v>197</v>
      </c>
      <c r="X607" t="s">
        <v>195</v>
      </c>
      <c r="Y607" t="s">
        <v>198</v>
      </c>
    </row>
    <row r="608">
      <c r="A608">
        <v>2056</v>
      </c>
      <c r="B608" t="s">
        <v>20</v>
      </c>
      <c r="C608" t="s">
        <v>113</v>
      </c>
      <c r="D608" t="s">
        <v>197</v>
      </c>
      <c r="E608" t="s">
        <v>201</v>
      </c>
      <c r="U608" t="s">
        <v>197</v>
      </c>
      <c r="V608" t="s">
        <v>197</v>
      </c>
      <c r="W608" t="s">
        <v>197</v>
      </c>
      <c r="X608" t="s">
        <v>195</v>
      </c>
      <c r="Y608" t="s">
        <v>198</v>
      </c>
    </row>
    <row r="609">
      <c r="A609">
        <v>2070</v>
      </c>
      <c r="B609" t="s">
        <v>20</v>
      </c>
      <c r="C609" t="s">
        <v>113</v>
      </c>
      <c r="D609" t="s">
        <v>195</v>
      </c>
      <c r="E609" t="s">
        <v>200</v>
      </c>
      <c r="F609">
        <v>5745.2</v>
      </c>
      <c r="G609" t="s">
        <v>197</v>
      </c>
      <c r="H609" t="s">
        <v>93</v>
      </c>
      <c r="I609">
        <v>2.4</v>
      </c>
      <c r="J609" t="s">
        <v>197</v>
      </c>
      <c r="K609" t="s">
        <v>197</v>
      </c>
      <c r="L609">
        <v/>
      </c>
      <c r="N609" t="s">
        <v>197</v>
      </c>
      <c r="R609" t="s">
        <v>53</v>
      </c>
      <c r="S609" t="s">
        <v>64</v>
      </c>
      <c r="T609" t="s">
        <v>77</v>
      </c>
      <c r="U609" t="s">
        <v>197</v>
      </c>
      <c r="V609" t="s">
        <v>197</v>
      </c>
      <c r="W609" t="s">
        <v>197</v>
      </c>
      <c r="X609" t="s">
        <v>195</v>
      </c>
      <c r="Y609" t="s">
        <v>198</v>
      </c>
    </row>
    <row r="610">
      <c r="A610">
        <v>2071</v>
      </c>
      <c r="B610" t="s">
        <v>194</v>
      </c>
      <c r="C610" t="s">
        <v>113</v>
      </c>
      <c r="D610" t="s">
        <v>195</v>
      </c>
      <c r="E610" t="s">
        <v>196</v>
      </c>
      <c r="F610">
        <v>1</v>
      </c>
      <c r="G610" t="s">
        <v>197</v>
      </c>
      <c r="H610" t="s">
        <v>94</v>
      </c>
      <c r="I610">
        <v>6</v>
      </c>
      <c r="J610" t="s">
        <v>195</v>
      </c>
      <c r="K610" t="s">
        <v>195</v>
      </c>
      <c r="L610" t="s">
        <v>94</v>
      </c>
      <c r="M610">
        <v>9</v>
      </c>
      <c r="N610" t="s">
        <v>195</v>
      </c>
      <c r="O610" t="s">
        <v>94</v>
      </c>
      <c r="P610">
        <v>9.1</v>
      </c>
      <c r="Q610" t="s">
        <v>195</v>
      </c>
      <c r="R610" t="s">
        <v>49</v>
      </c>
      <c r="T610" t="s">
        <v>77</v>
      </c>
      <c r="U610" t="s">
        <v>197</v>
      </c>
      <c r="V610" t="s">
        <v>197</v>
      </c>
      <c r="W610" t="s">
        <v>197</v>
      </c>
      <c r="X610" t="s">
        <v>195</v>
      </c>
      <c r="Y610" t="s">
        <v>198</v>
      </c>
    </row>
    <row r="611">
      <c r="A611">
        <v>2074</v>
      </c>
      <c r="B611" t="s">
        <v>194</v>
      </c>
      <c r="C611" t="s">
        <v>113</v>
      </c>
      <c r="D611" t="s">
        <v>195</v>
      </c>
      <c r="E611" t="s">
        <v>196</v>
      </c>
      <c r="F611">
        <v>4.1</v>
      </c>
      <c r="G611" t="s">
        <v>195</v>
      </c>
      <c r="H611" t="s">
        <v>94</v>
      </c>
      <c r="I611">
        <v>6.4</v>
      </c>
      <c r="J611" t="s">
        <v>195</v>
      </c>
      <c r="K611" t="s">
        <v>195</v>
      </c>
      <c r="L611" t="s">
        <v>94</v>
      </c>
      <c r="M611">
        <v>12.6</v>
      </c>
      <c r="N611" t="s">
        <v>197</v>
      </c>
      <c r="R611" t="s">
        <v>52</v>
      </c>
      <c r="S611" t="s">
        <v>66</v>
      </c>
      <c r="T611" t="s">
        <v>77</v>
      </c>
      <c r="U611" t="s">
        <v>195</v>
      </c>
      <c r="V611" t="s">
        <v>195</v>
      </c>
      <c r="W611" t="s">
        <v>195</v>
      </c>
      <c r="X611" t="s">
        <v>195</v>
      </c>
      <c r="Y611" t="s">
        <v>104</v>
      </c>
    </row>
    <row r="612">
      <c r="A612">
        <v>2076</v>
      </c>
      <c r="B612" t="s">
        <v>199</v>
      </c>
      <c r="C612" t="s">
        <v>113</v>
      </c>
      <c r="D612" t="s">
        <v>195</v>
      </c>
      <c r="E612" t="s">
        <v>200</v>
      </c>
      <c r="F612">
        <v>413.4</v>
      </c>
      <c r="G612" t="s">
        <v>197</v>
      </c>
      <c r="H612" t="s">
        <v>93</v>
      </c>
      <c r="I612">
        <v>238.4</v>
      </c>
      <c r="J612" t="s">
        <v>195</v>
      </c>
      <c r="K612" t="s">
        <v>195</v>
      </c>
      <c r="L612" t="s">
        <v>93</v>
      </c>
      <c r="M612">
        <v>249.4</v>
      </c>
      <c r="N612" t="s">
        <v>195</v>
      </c>
      <c r="O612" t="s">
        <v>93</v>
      </c>
      <c r="P612">
        <v>249.5</v>
      </c>
      <c r="Q612" t="s">
        <v>197</v>
      </c>
      <c r="R612" t="s">
        <v>49</v>
      </c>
      <c r="T612" t="s">
        <v>78</v>
      </c>
      <c r="U612" t="s">
        <v>197</v>
      </c>
      <c r="V612" t="s">
        <v>197</v>
      </c>
      <c r="W612" t="s">
        <v>197</v>
      </c>
      <c r="X612" t="s">
        <v>195</v>
      </c>
      <c r="Y612" t="s">
        <v>198</v>
      </c>
    </row>
    <row r="613">
      <c r="A613">
        <v>2075</v>
      </c>
      <c r="B613" t="s">
        <v>194</v>
      </c>
      <c r="C613" t="s">
        <v>113</v>
      </c>
      <c r="D613" t="s">
        <v>195</v>
      </c>
      <c r="E613" t="s">
        <v>200</v>
      </c>
      <c r="F613">
        <v>6636.6</v>
      </c>
      <c r="G613" t="s">
        <v>197</v>
      </c>
      <c r="H613">
        <v/>
      </c>
      <c r="J613" t="s">
        <v>197</v>
      </c>
      <c r="K613" t="s">
        <v>197</v>
      </c>
      <c r="L613">
        <v/>
      </c>
      <c r="N613" t="s">
        <v>197</v>
      </c>
      <c r="R613" t="s">
        <v>53</v>
      </c>
      <c r="S613" t="s">
        <v>64</v>
      </c>
      <c r="T613" t="s">
        <v>76</v>
      </c>
      <c r="U613" t="s">
        <v>197</v>
      </c>
      <c r="V613" t="s">
        <v>197</v>
      </c>
      <c r="W613" t="s">
        <v>197</v>
      </c>
      <c r="X613" t="s">
        <v>195</v>
      </c>
      <c r="Y613" t="s">
        <v>198</v>
      </c>
    </row>
    <row r="614">
      <c r="A614">
        <v>2077</v>
      </c>
      <c r="B614" t="s">
        <v>20</v>
      </c>
      <c r="C614" t="s">
        <v>113</v>
      </c>
      <c r="D614" t="s">
        <v>197</v>
      </c>
      <c r="E614" t="s">
        <v>201</v>
      </c>
      <c r="U614" t="s">
        <v>197</v>
      </c>
      <c r="V614" t="s">
        <v>197</v>
      </c>
      <c r="W614" t="s">
        <v>197</v>
      </c>
      <c r="X614" t="s">
        <v>195</v>
      </c>
      <c r="Y614" t="s">
        <v>198</v>
      </c>
    </row>
    <row r="615">
      <c r="A615">
        <v>2080</v>
      </c>
      <c r="B615" t="s">
        <v>199</v>
      </c>
      <c r="C615" t="s">
        <v>113</v>
      </c>
      <c r="D615" t="s">
        <v>197</v>
      </c>
      <c r="E615" t="s">
        <v>201</v>
      </c>
      <c r="U615" t="s">
        <v>197</v>
      </c>
      <c r="V615" t="s">
        <v>197</v>
      </c>
      <c r="W615" t="s">
        <v>197</v>
      </c>
      <c r="X615" t="s">
        <v>195</v>
      </c>
      <c r="Y615" t="s">
        <v>198</v>
      </c>
    </row>
    <row r="616">
      <c r="A616">
        <v>2081</v>
      </c>
      <c r="B616" t="s">
        <v>194</v>
      </c>
      <c r="C616" t="s">
        <v>113</v>
      </c>
      <c r="D616" t="s">
        <v>197</v>
      </c>
      <c r="E616" t="s">
        <v>201</v>
      </c>
      <c r="U616" t="s">
        <v>197</v>
      </c>
      <c r="V616" t="s">
        <v>197</v>
      </c>
      <c r="W616" t="s">
        <v>197</v>
      </c>
      <c r="X616" t="s">
        <v>195</v>
      </c>
      <c r="Y616" t="s">
        <v>198</v>
      </c>
    </row>
    <row r="617">
      <c r="A617">
        <v>2086</v>
      </c>
      <c r="B617" t="s">
        <v>20</v>
      </c>
      <c r="C617" t="s">
        <v>113</v>
      </c>
      <c r="D617" t="s">
        <v>197</v>
      </c>
      <c r="E617" t="s">
        <v>201</v>
      </c>
      <c r="U617" t="s">
        <v>197</v>
      </c>
      <c r="V617" t="s">
        <v>197</v>
      </c>
      <c r="W617" t="s">
        <v>197</v>
      </c>
      <c r="X617" t="s">
        <v>195</v>
      </c>
      <c r="Y617" t="s">
        <v>198</v>
      </c>
    </row>
    <row r="618">
      <c r="A618">
        <v>2085</v>
      </c>
      <c r="B618" t="s">
        <v>20</v>
      </c>
      <c r="C618" t="s">
        <v>113</v>
      </c>
      <c r="D618" t="s">
        <v>197</v>
      </c>
      <c r="E618" t="s">
        <v>201</v>
      </c>
      <c r="U618" t="s">
        <v>197</v>
      </c>
      <c r="V618" t="s">
        <v>197</v>
      </c>
      <c r="W618" t="s">
        <v>197</v>
      </c>
      <c r="X618" t="s">
        <v>195</v>
      </c>
      <c r="Y618" t="s">
        <v>198</v>
      </c>
    </row>
    <row r="619">
      <c r="A619">
        <v>2089</v>
      </c>
      <c r="B619" t="s">
        <v>199</v>
      </c>
      <c r="C619" t="s">
        <v>113</v>
      </c>
      <c r="D619" t="s">
        <v>197</v>
      </c>
      <c r="E619" t="s">
        <v>201</v>
      </c>
      <c r="U619" t="s">
        <v>197</v>
      </c>
      <c r="V619" t="s">
        <v>197</v>
      </c>
      <c r="W619" t="s">
        <v>197</v>
      </c>
      <c r="X619" t="s">
        <v>195</v>
      </c>
      <c r="Y619" t="s">
        <v>198</v>
      </c>
    </row>
    <row r="620">
      <c r="A620">
        <v>2090</v>
      </c>
      <c r="B620" t="s">
        <v>20</v>
      </c>
      <c r="C620" t="s">
        <v>113</v>
      </c>
      <c r="D620" t="s">
        <v>197</v>
      </c>
      <c r="E620" t="s">
        <v>201</v>
      </c>
      <c r="U620" t="s">
        <v>197</v>
      </c>
      <c r="V620" t="s">
        <v>197</v>
      </c>
      <c r="W620" t="s">
        <v>197</v>
      </c>
      <c r="X620" t="s">
        <v>195</v>
      </c>
      <c r="Y620" t="s">
        <v>198</v>
      </c>
    </row>
    <row r="621">
      <c r="A621">
        <v>2091</v>
      </c>
      <c r="B621" t="s">
        <v>199</v>
      </c>
      <c r="C621" t="s">
        <v>113</v>
      </c>
      <c r="D621" t="s">
        <v>195</v>
      </c>
      <c r="E621" t="s">
        <v>200</v>
      </c>
      <c r="F621">
        <v>556.6</v>
      </c>
      <c r="G621" t="s">
        <v>197</v>
      </c>
      <c r="H621" t="s">
        <v>93</v>
      </c>
      <c r="I621">
        <v>0.2</v>
      </c>
      <c r="J621" t="s">
        <v>195</v>
      </c>
      <c r="K621" t="s">
        <v>195</v>
      </c>
      <c r="L621" t="s">
        <v>93</v>
      </c>
      <c r="M621">
        <v>6</v>
      </c>
      <c r="N621" t="s">
        <v>195</v>
      </c>
      <c r="O621" t="s">
        <v>93</v>
      </c>
      <c r="P621">
        <v>6.2</v>
      </c>
      <c r="Q621" t="s">
        <v>197</v>
      </c>
      <c r="R621" t="s">
        <v>49</v>
      </c>
      <c r="T621" t="s">
        <v>76</v>
      </c>
      <c r="U621" t="s">
        <v>197</v>
      </c>
      <c r="V621" t="s">
        <v>197</v>
      </c>
      <c r="W621" t="s">
        <v>197</v>
      </c>
      <c r="X621" t="s">
        <v>195</v>
      </c>
      <c r="Y621" t="s">
        <v>198</v>
      </c>
    </row>
    <row r="622">
      <c r="A622">
        <v>2100</v>
      </c>
      <c r="B622" t="s">
        <v>20</v>
      </c>
      <c r="C622" t="s">
        <v>113</v>
      </c>
      <c r="D622" t="s">
        <v>195</v>
      </c>
      <c r="E622" t="s">
        <v>196</v>
      </c>
      <c r="F622">
        <v>0.9</v>
      </c>
      <c r="G622" t="s">
        <v>197</v>
      </c>
      <c r="H622" t="s">
        <v>93</v>
      </c>
      <c r="I622">
        <v>5.6</v>
      </c>
      <c r="J622" t="s">
        <v>195</v>
      </c>
      <c r="K622" t="s">
        <v>195</v>
      </c>
      <c r="L622" t="s">
        <v>93</v>
      </c>
      <c r="M622">
        <v>9.300000000000001</v>
      </c>
      <c r="N622" t="s">
        <v>195</v>
      </c>
      <c r="O622" t="s">
        <v>93</v>
      </c>
      <c r="P622">
        <v>9.6</v>
      </c>
      <c r="Q622" t="s">
        <v>195</v>
      </c>
      <c r="R622" t="s">
        <v>49</v>
      </c>
      <c r="T622" t="s">
        <v>78</v>
      </c>
      <c r="U622" t="s">
        <v>197</v>
      </c>
      <c r="V622" t="s">
        <v>197</v>
      </c>
      <c r="W622" t="s">
        <v>197</v>
      </c>
      <c r="X622" t="s">
        <v>195</v>
      </c>
      <c r="Y622" t="s">
        <v>198</v>
      </c>
    </row>
    <row r="623">
      <c r="A623">
        <v>2101</v>
      </c>
      <c r="B623" t="s">
        <v>199</v>
      </c>
      <c r="C623" t="s">
        <v>113</v>
      </c>
      <c r="D623" t="s">
        <v>197</v>
      </c>
      <c r="E623" t="s">
        <v>201</v>
      </c>
      <c r="U623" t="s">
        <v>197</v>
      </c>
      <c r="V623" t="s">
        <v>197</v>
      </c>
      <c r="W623" t="s">
        <v>197</v>
      </c>
      <c r="X623" t="s">
        <v>195</v>
      </c>
      <c r="Y623" t="s">
        <v>198</v>
      </c>
    </row>
    <row r="624">
      <c r="A624">
        <v>2108</v>
      </c>
      <c r="B624" t="s">
        <v>194</v>
      </c>
      <c r="C624" t="s">
        <v>113</v>
      </c>
      <c r="D624" t="s">
        <v>195</v>
      </c>
      <c r="E624" t="s">
        <v>196</v>
      </c>
      <c r="F624">
        <v>18.9</v>
      </c>
      <c r="G624" t="s">
        <v>197</v>
      </c>
      <c r="H624" t="s">
        <v>93</v>
      </c>
      <c r="I624">
        <v>0.9</v>
      </c>
      <c r="J624" t="s">
        <v>195</v>
      </c>
      <c r="K624" t="s">
        <v>195</v>
      </c>
      <c r="L624" t="s">
        <v>93</v>
      </c>
      <c r="M624">
        <v>6.9</v>
      </c>
      <c r="N624" t="s">
        <v>195</v>
      </c>
      <c r="O624" t="s">
        <v>93</v>
      </c>
      <c r="P624">
        <v>7.9</v>
      </c>
      <c r="Q624" t="s">
        <v>195</v>
      </c>
      <c r="R624" t="s">
        <v>49</v>
      </c>
      <c r="T624" t="s">
        <v>76</v>
      </c>
      <c r="U624" t="s">
        <v>197</v>
      </c>
      <c r="V624" t="s">
        <v>197</v>
      </c>
      <c r="W624" t="s">
        <v>197</v>
      </c>
      <c r="X624" t="s">
        <v>195</v>
      </c>
      <c r="Y624" t="s">
        <v>198</v>
      </c>
    </row>
    <row r="625">
      <c r="A625">
        <v>2114</v>
      </c>
      <c r="B625" t="s">
        <v>20</v>
      </c>
      <c r="C625" t="s">
        <v>113</v>
      </c>
      <c r="D625" t="s">
        <v>197</v>
      </c>
      <c r="E625" t="s">
        <v>201</v>
      </c>
      <c r="U625" t="s">
        <v>197</v>
      </c>
      <c r="V625" t="s">
        <v>197</v>
      </c>
      <c r="W625" t="s">
        <v>197</v>
      </c>
      <c r="X625" t="s">
        <v>195</v>
      </c>
      <c r="Y625" t="s">
        <v>198</v>
      </c>
    </row>
    <row r="626">
      <c r="A626">
        <v>2113</v>
      </c>
      <c r="B626" t="s">
        <v>199</v>
      </c>
      <c r="C626" t="s">
        <v>113</v>
      </c>
      <c r="D626" t="s">
        <v>195</v>
      </c>
      <c r="E626" t="s">
        <v>196</v>
      </c>
      <c r="F626">
        <v>6.3</v>
      </c>
      <c r="G626" t="s">
        <v>197</v>
      </c>
      <c r="H626" t="s">
        <v>93</v>
      </c>
      <c r="I626">
        <v>0.6</v>
      </c>
      <c r="J626" t="s">
        <v>195</v>
      </c>
      <c r="K626" t="s">
        <v>195</v>
      </c>
      <c r="L626" t="s">
        <v>93</v>
      </c>
      <c r="M626">
        <v>3.5</v>
      </c>
      <c r="N626" t="s">
        <v>195</v>
      </c>
      <c r="O626" t="s">
        <v>93</v>
      </c>
      <c r="P626">
        <v>3.8</v>
      </c>
      <c r="Q626" t="s">
        <v>195</v>
      </c>
      <c r="R626" t="s">
        <v>49</v>
      </c>
      <c r="T626" t="s">
        <v>76</v>
      </c>
      <c r="U626" t="s">
        <v>197</v>
      </c>
      <c r="V626" t="s">
        <v>197</v>
      </c>
      <c r="W626" t="s">
        <v>197</v>
      </c>
      <c r="X626" t="s">
        <v>195</v>
      </c>
      <c r="Y626" t="s">
        <v>198</v>
      </c>
    </row>
    <row r="627">
      <c r="A627">
        <v>2119</v>
      </c>
      <c r="B627" t="s">
        <v>199</v>
      </c>
      <c r="C627" t="s">
        <v>113</v>
      </c>
      <c r="D627" t="s">
        <v>195</v>
      </c>
      <c r="E627" t="s">
        <v>196</v>
      </c>
      <c r="F627">
        <v>24.3</v>
      </c>
      <c r="G627" t="s">
        <v>197</v>
      </c>
      <c r="H627" t="s">
        <v>96</v>
      </c>
      <c r="I627">
        <v>1.1</v>
      </c>
      <c r="J627" t="s">
        <v>195</v>
      </c>
      <c r="K627" t="s">
        <v>195</v>
      </c>
      <c r="L627" t="s">
        <v>96</v>
      </c>
      <c r="M627">
        <v>4.5</v>
      </c>
      <c r="N627" t="s">
        <v>197</v>
      </c>
      <c r="R627" t="s">
        <v>52</v>
      </c>
      <c r="S627" t="s">
        <v>64</v>
      </c>
      <c r="T627" t="s">
        <v>76</v>
      </c>
      <c r="U627" t="s">
        <v>197</v>
      </c>
      <c r="V627" t="s">
        <v>197</v>
      </c>
      <c r="W627" t="s">
        <v>197</v>
      </c>
      <c r="X627" t="s">
        <v>195</v>
      </c>
      <c r="Y627" t="s">
        <v>198</v>
      </c>
    </row>
    <row r="628">
      <c r="A628">
        <v>2121</v>
      </c>
      <c r="B628" t="s">
        <v>194</v>
      </c>
      <c r="C628" t="s">
        <v>113</v>
      </c>
      <c r="D628" t="s">
        <v>197</v>
      </c>
      <c r="E628" t="s">
        <v>201</v>
      </c>
      <c r="U628" t="s">
        <v>197</v>
      </c>
      <c r="V628" t="s">
        <v>197</v>
      </c>
      <c r="W628" t="s">
        <v>197</v>
      </c>
      <c r="X628" t="s">
        <v>195</v>
      </c>
      <c r="Y628" t="s">
        <v>198</v>
      </c>
    </row>
    <row r="629">
      <c r="A629">
        <v>2117</v>
      </c>
      <c r="B629" t="s">
        <v>199</v>
      </c>
      <c r="C629" t="s">
        <v>113</v>
      </c>
      <c r="D629" t="s">
        <v>197</v>
      </c>
      <c r="E629" t="s">
        <v>201</v>
      </c>
      <c r="U629" t="s">
        <v>197</v>
      </c>
      <c r="V629" t="s">
        <v>197</v>
      </c>
      <c r="W629" t="s">
        <v>197</v>
      </c>
      <c r="X629" t="s">
        <v>195</v>
      </c>
      <c r="Y629" t="s">
        <v>198</v>
      </c>
    </row>
    <row r="630">
      <c r="A630">
        <v>2124</v>
      </c>
      <c r="B630" t="s">
        <v>20</v>
      </c>
      <c r="C630" t="s">
        <v>113</v>
      </c>
      <c r="D630" t="s">
        <v>197</v>
      </c>
      <c r="E630" t="s">
        <v>201</v>
      </c>
      <c r="U630" t="s">
        <v>197</v>
      </c>
      <c r="V630" t="s">
        <v>197</v>
      </c>
      <c r="W630" t="s">
        <v>197</v>
      </c>
      <c r="X630" t="s">
        <v>195</v>
      </c>
      <c r="Y630" t="s">
        <v>198</v>
      </c>
    </row>
    <row r="631">
      <c r="A631">
        <v>2129</v>
      </c>
      <c r="B631" t="s">
        <v>20</v>
      </c>
      <c r="C631" t="s">
        <v>113</v>
      </c>
      <c r="D631" t="s">
        <v>195</v>
      </c>
      <c r="E631" t="s">
        <v>196</v>
      </c>
      <c r="F631">
        <v>3.3</v>
      </c>
      <c r="G631" t="s">
        <v>197</v>
      </c>
      <c r="H631" t="s">
        <v>96</v>
      </c>
      <c r="I631">
        <v>0.4</v>
      </c>
      <c r="J631" t="s">
        <v>195</v>
      </c>
      <c r="K631" t="s">
        <v>195</v>
      </c>
      <c r="L631" t="s">
        <v>96</v>
      </c>
      <c r="M631">
        <v>5.8</v>
      </c>
      <c r="N631" t="s">
        <v>197</v>
      </c>
      <c r="R631" t="s">
        <v>52</v>
      </c>
      <c r="S631" t="s">
        <v>64</v>
      </c>
      <c r="T631" t="s">
        <v>76</v>
      </c>
      <c r="U631" t="s">
        <v>197</v>
      </c>
      <c r="V631" t="s">
        <v>197</v>
      </c>
      <c r="W631" t="s">
        <v>197</v>
      </c>
      <c r="X631" t="s">
        <v>195</v>
      </c>
      <c r="Y631" t="s">
        <v>198</v>
      </c>
    </row>
    <row r="632">
      <c r="A632">
        <v>2130</v>
      </c>
      <c r="B632" t="s">
        <v>20</v>
      </c>
      <c r="C632" t="s">
        <v>113</v>
      </c>
      <c r="D632" t="s">
        <v>197</v>
      </c>
      <c r="E632" t="s">
        <v>201</v>
      </c>
      <c r="U632" t="s">
        <v>197</v>
      </c>
      <c r="V632" t="s">
        <v>197</v>
      </c>
      <c r="W632" t="s">
        <v>197</v>
      </c>
      <c r="X632" t="s">
        <v>195</v>
      </c>
      <c r="Y632" t="s">
        <v>198</v>
      </c>
    </row>
    <row r="633">
      <c r="A633">
        <v>2125</v>
      </c>
      <c r="B633" t="s">
        <v>199</v>
      </c>
      <c r="C633" t="s">
        <v>113</v>
      </c>
      <c r="D633" t="s">
        <v>195</v>
      </c>
      <c r="E633" t="s">
        <v>200</v>
      </c>
      <c r="F633">
        <v>4437.9</v>
      </c>
      <c r="G633" t="s">
        <v>197</v>
      </c>
      <c r="H633" t="s">
        <v>96</v>
      </c>
      <c r="I633">
        <v>1</v>
      </c>
      <c r="J633" t="s">
        <v>197</v>
      </c>
      <c r="K633" t="s">
        <v>197</v>
      </c>
      <c r="L633">
        <v/>
      </c>
      <c r="N633" t="s">
        <v>197</v>
      </c>
      <c r="R633" t="s">
        <v>53</v>
      </c>
      <c r="S633" t="s">
        <v>64</v>
      </c>
      <c r="T633" t="s">
        <v>76</v>
      </c>
      <c r="U633" t="s">
        <v>197</v>
      </c>
      <c r="V633" t="s">
        <v>197</v>
      </c>
      <c r="W633" t="s">
        <v>197</v>
      </c>
      <c r="X633" t="s">
        <v>195</v>
      </c>
      <c r="Y633" t="s">
        <v>198</v>
      </c>
    </row>
    <row r="634">
      <c r="A634">
        <v>2127</v>
      </c>
      <c r="B634" t="s">
        <v>194</v>
      </c>
      <c r="C634" t="s">
        <v>113</v>
      </c>
      <c r="D634" t="s">
        <v>197</v>
      </c>
      <c r="E634" t="s">
        <v>201</v>
      </c>
      <c r="U634" t="s">
        <v>197</v>
      </c>
      <c r="V634" t="s">
        <v>197</v>
      </c>
      <c r="W634" t="s">
        <v>197</v>
      </c>
      <c r="X634" t="s">
        <v>195</v>
      </c>
      <c r="Y634" t="s">
        <v>198</v>
      </c>
    </row>
    <row r="635">
      <c r="A635">
        <v>2135</v>
      </c>
      <c r="B635" t="s">
        <v>20</v>
      </c>
      <c r="C635" t="s">
        <v>113</v>
      </c>
      <c r="D635" t="s">
        <v>197</v>
      </c>
      <c r="E635" t="s">
        <v>201</v>
      </c>
      <c r="U635" t="s">
        <v>197</v>
      </c>
      <c r="V635" t="s">
        <v>197</v>
      </c>
      <c r="W635" t="s">
        <v>197</v>
      </c>
      <c r="X635" t="s">
        <v>195</v>
      </c>
      <c r="Y635" t="s">
        <v>198</v>
      </c>
    </row>
    <row r="636">
      <c r="A636">
        <v>2139</v>
      </c>
      <c r="B636" t="s">
        <v>20</v>
      </c>
      <c r="C636" t="s">
        <v>113</v>
      </c>
      <c r="D636" t="s">
        <v>195</v>
      </c>
      <c r="E636" t="s">
        <v>196</v>
      </c>
      <c r="F636">
        <v>0.5</v>
      </c>
      <c r="G636" t="s">
        <v>197</v>
      </c>
      <c r="H636" t="s">
        <v>93</v>
      </c>
      <c r="I636">
        <v>0.3</v>
      </c>
      <c r="J636" t="s">
        <v>195</v>
      </c>
      <c r="K636" t="s">
        <v>195</v>
      </c>
      <c r="L636" t="s">
        <v>93</v>
      </c>
      <c r="M636">
        <v>5.1</v>
      </c>
      <c r="N636" t="s">
        <v>195</v>
      </c>
      <c r="O636" t="s">
        <v>93</v>
      </c>
      <c r="P636">
        <v>5.4</v>
      </c>
      <c r="Q636" t="s">
        <v>195</v>
      </c>
      <c r="R636" t="s">
        <v>49</v>
      </c>
      <c r="T636" t="s">
        <v>76</v>
      </c>
      <c r="U636" t="s">
        <v>197</v>
      </c>
      <c r="V636" t="s">
        <v>197</v>
      </c>
      <c r="W636" t="s">
        <v>197</v>
      </c>
      <c r="X636" t="s">
        <v>195</v>
      </c>
      <c r="Y636" t="s">
        <v>198</v>
      </c>
    </row>
    <row r="637">
      <c r="A637">
        <v>2142</v>
      </c>
      <c r="B637" t="s">
        <v>199</v>
      </c>
      <c r="C637" t="s">
        <v>113</v>
      </c>
      <c r="D637" t="s">
        <v>197</v>
      </c>
      <c r="E637" t="s">
        <v>201</v>
      </c>
      <c r="U637" t="s">
        <v>197</v>
      </c>
      <c r="V637" t="s">
        <v>197</v>
      </c>
      <c r="W637" t="s">
        <v>197</v>
      </c>
      <c r="X637" t="s">
        <v>195</v>
      </c>
      <c r="Y637" t="s">
        <v>198</v>
      </c>
    </row>
    <row r="638">
      <c r="A638">
        <v>2143</v>
      </c>
      <c r="B638" t="s">
        <v>20</v>
      </c>
      <c r="C638" t="s">
        <v>113</v>
      </c>
      <c r="D638" t="s">
        <v>195</v>
      </c>
      <c r="E638" t="s">
        <v>196</v>
      </c>
      <c r="F638">
        <v>7.9</v>
      </c>
      <c r="G638" t="s">
        <v>197</v>
      </c>
      <c r="H638" t="s">
        <v>93</v>
      </c>
      <c r="I638">
        <v>0.3</v>
      </c>
      <c r="J638" t="s">
        <v>195</v>
      </c>
      <c r="K638" t="s">
        <v>195</v>
      </c>
      <c r="L638" t="s">
        <v>93</v>
      </c>
      <c r="M638">
        <v>3.4</v>
      </c>
      <c r="N638" t="s">
        <v>195</v>
      </c>
      <c r="O638" t="s">
        <v>93</v>
      </c>
      <c r="P638">
        <v>3.9</v>
      </c>
      <c r="Q638" t="s">
        <v>195</v>
      </c>
      <c r="R638" t="s">
        <v>49</v>
      </c>
      <c r="T638" t="s">
        <v>76</v>
      </c>
      <c r="U638" t="s">
        <v>197</v>
      </c>
      <c r="V638" t="s">
        <v>197</v>
      </c>
      <c r="W638" t="s">
        <v>197</v>
      </c>
      <c r="X638" t="s">
        <v>195</v>
      </c>
      <c r="Y638" t="s">
        <v>198</v>
      </c>
    </row>
    <row r="639">
      <c r="A639">
        <v>2152</v>
      </c>
      <c r="B639" t="s">
        <v>20</v>
      </c>
      <c r="C639" t="s">
        <v>113</v>
      </c>
      <c r="D639" t="s">
        <v>195</v>
      </c>
      <c r="E639" t="s">
        <v>196</v>
      </c>
      <c r="F639">
        <v>0.4</v>
      </c>
      <c r="G639" t="s">
        <v>197</v>
      </c>
      <c r="H639" t="s">
        <v>93</v>
      </c>
      <c r="I639">
        <v>1.2</v>
      </c>
      <c r="J639" t="s">
        <v>195</v>
      </c>
      <c r="K639" t="s">
        <v>195</v>
      </c>
      <c r="L639" t="s">
        <v>93</v>
      </c>
      <c r="M639">
        <v>5.7</v>
      </c>
      <c r="N639" t="s">
        <v>195</v>
      </c>
      <c r="O639" t="s">
        <v>93</v>
      </c>
      <c r="P639">
        <v>5.8</v>
      </c>
      <c r="Q639" t="s">
        <v>195</v>
      </c>
      <c r="R639" t="s">
        <v>49</v>
      </c>
      <c r="T639" t="s">
        <v>76</v>
      </c>
      <c r="U639" t="s">
        <v>197</v>
      </c>
      <c r="V639" t="s">
        <v>197</v>
      </c>
      <c r="W639" t="s">
        <v>197</v>
      </c>
      <c r="X639" t="s">
        <v>195</v>
      </c>
      <c r="Y639" t="s">
        <v>198</v>
      </c>
    </row>
    <row r="640">
      <c r="A640">
        <v>2154</v>
      </c>
      <c r="B640" t="s">
        <v>20</v>
      </c>
      <c r="C640" t="s">
        <v>113</v>
      </c>
      <c r="D640" t="s">
        <v>197</v>
      </c>
      <c r="E640" t="s">
        <v>201</v>
      </c>
      <c r="U640" t="s">
        <v>197</v>
      </c>
      <c r="V640" t="s">
        <v>197</v>
      </c>
      <c r="W640" t="s">
        <v>197</v>
      </c>
      <c r="X640" t="s">
        <v>195</v>
      </c>
      <c r="Y640" t="s">
        <v>198</v>
      </c>
    </row>
    <row r="641">
      <c r="A641">
        <v>2155</v>
      </c>
      <c r="B641" t="s">
        <v>194</v>
      </c>
      <c r="C641" t="s">
        <v>113</v>
      </c>
      <c r="D641" t="s">
        <v>197</v>
      </c>
      <c r="E641" t="s">
        <v>201</v>
      </c>
      <c r="U641" t="s">
        <v>197</v>
      </c>
      <c r="V641" t="s">
        <v>197</v>
      </c>
      <c r="W641" t="s">
        <v>197</v>
      </c>
      <c r="X641" t="s">
        <v>195</v>
      </c>
      <c r="Y641" t="s">
        <v>198</v>
      </c>
    </row>
    <row r="642">
      <c r="A642">
        <v>2145</v>
      </c>
      <c r="B642" t="s">
        <v>199</v>
      </c>
      <c r="C642" t="s">
        <v>113</v>
      </c>
      <c r="D642" t="s">
        <v>197</v>
      </c>
      <c r="E642" t="s">
        <v>201</v>
      </c>
      <c r="U642" t="s">
        <v>197</v>
      </c>
      <c r="V642" t="s">
        <v>197</v>
      </c>
      <c r="W642" t="s">
        <v>197</v>
      </c>
      <c r="X642" t="s">
        <v>195</v>
      </c>
      <c r="Y642" t="s">
        <v>198</v>
      </c>
    </row>
    <row r="643">
      <c r="A643">
        <v>2149</v>
      </c>
      <c r="B643" t="s">
        <v>199</v>
      </c>
      <c r="C643" t="s">
        <v>113</v>
      </c>
      <c r="D643" t="s">
        <v>195</v>
      </c>
      <c r="E643" t="s">
        <v>200</v>
      </c>
      <c r="F643">
        <v>5786</v>
      </c>
      <c r="G643" t="s">
        <v>195</v>
      </c>
      <c r="H643" t="s">
        <v>94</v>
      </c>
      <c r="I643">
        <v>2.9</v>
      </c>
      <c r="J643" t="s">
        <v>197</v>
      </c>
      <c r="K643" t="s">
        <v>197</v>
      </c>
      <c r="L643">
        <v/>
      </c>
      <c r="N643" t="s">
        <v>197</v>
      </c>
      <c r="R643" t="s">
        <v>53</v>
      </c>
      <c r="S643" t="s">
        <v>64</v>
      </c>
      <c r="T643" t="s">
        <v>76</v>
      </c>
      <c r="U643" t="s">
        <v>197</v>
      </c>
      <c r="V643" t="s">
        <v>197</v>
      </c>
      <c r="W643" t="s">
        <v>197</v>
      </c>
      <c r="X643" t="s">
        <v>195</v>
      </c>
      <c r="Y643" t="s">
        <v>206</v>
      </c>
    </row>
    <row r="644">
      <c r="A644">
        <v>2159</v>
      </c>
      <c r="B644" t="s">
        <v>20</v>
      </c>
      <c r="C644" t="s">
        <v>113</v>
      </c>
      <c r="D644" t="s">
        <v>195</v>
      </c>
      <c r="E644" t="s">
        <v>196</v>
      </c>
      <c r="F644">
        <v>50.7</v>
      </c>
      <c r="G644" t="s">
        <v>197</v>
      </c>
      <c r="H644" t="s">
        <v>94</v>
      </c>
      <c r="I644">
        <v>0.7</v>
      </c>
      <c r="J644" t="s">
        <v>195</v>
      </c>
      <c r="K644" t="s">
        <v>195</v>
      </c>
      <c r="L644" t="s">
        <v>94</v>
      </c>
      <c r="M644">
        <v>9.1</v>
      </c>
      <c r="N644" t="s">
        <v>195</v>
      </c>
      <c r="O644" t="s">
        <v>94</v>
      </c>
      <c r="P644">
        <v>59.2</v>
      </c>
      <c r="Q644" t="s">
        <v>195</v>
      </c>
      <c r="R644" t="s">
        <v>49</v>
      </c>
      <c r="T644" t="s">
        <v>76</v>
      </c>
      <c r="U644" t="s">
        <v>197</v>
      </c>
      <c r="V644" t="s">
        <v>197</v>
      </c>
      <c r="W644" t="s">
        <v>197</v>
      </c>
      <c r="X644" t="s">
        <v>195</v>
      </c>
      <c r="Y644" t="s">
        <v>198</v>
      </c>
    </row>
    <row r="645">
      <c r="A645">
        <v>2160</v>
      </c>
      <c r="B645" t="s">
        <v>20</v>
      </c>
      <c r="C645" t="s">
        <v>113</v>
      </c>
      <c r="D645" t="s">
        <v>197</v>
      </c>
      <c r="E645" t="s">
        <v>201</v>
      </c>
      <c r="U645" t="s">
        <v>197</v>
      </c>
      <c r="V645" t="s">
        <v>197</v>
      </c>
      <c r="W645" t="s">
        <v>197</v>
      </c>
      <c r="X645" t="s">
        <v>195</v>
      </c>
      <c r="Y645" t="s">
        <v>198</v>
      </c>
    </row>
    <row r="646">
      <c r="A646">
        <v>2165</v>
      </c>
      <c r="B646" t="s">
        <v>194</v>
      </c>
      <c r="C646" t="s">
        <v>113</v>
      </c>
      <c r="D646" t="s">
        <v>195</v>
      </c>
      <c r="E646" t="s">
        <v>196</v>
      </c>
      <c r="F646">
        <v>0.5</v>
      </c>
      <c r="G646" t="s">
        <v>197</v>
      </c>
      <c r="H646" t="s">
        <v>93</v>
      </c>
      <c r="I646">
        <v>0.2</v>
      </c>
      <c r="J646" t="s">
        <v>195</v>
      </c>
      <c r="K646" t="s">
        <v>195</v>
      </c>
      <c r="L646" t="s">
        <v>93</v>
      </c>
      <c r="M646">
        <v>3.8</v>
      </c>
      <c r="N646" t="s">
        <v>195</v>
      </c>
      <c r="O646" t="s">
        <v>93</v>
      </c>
      <c r="P646">
        <v>4.2</v>
      </c>
      <c r="Q646" t="s">
        <v>195</v>
      </c>
      <c r="R646" t="s">
        <v>49</v>
      </c>
      <c r="T646" t="s">
        <v>76</v>
      </c>
      <c r="U646" t="s">
        <v>197</v>
      </c>
      <c r="V646" t="s">
        <v>197</v>
      </c>
      <c r="W646" t="s">
        <v>197</v>
      </c>
      <c r="X646" t="s">
        <v>195</v>
      </c>
      <c r="Y646" t="s">
        <v>198</v>
      </c>
    </row>
    <row r="647">
      <c r="A647">
        <v>2167</v>
      </c>
      <c r="B647" t="s">
        <v>199</v>
      </c>
      <c r="C647" t="s">
        <v>113</v>
      </c>
      <c r="D647" t="s">
        <v>195</v>
      </c>
      <c r="E647" t="s">
        <v>200</v>
      </c>
      <c r="F647">
        <v>1110.5</v>
      </c>
      <c r="G647" t="s">
        <v>197</v>
      </c>
      <c r="H647" t="s">
        <v>96</v>
      </c>
      <c r="I647">
        <v>0.3</v>
      </c>
      <c r="J647" t="s">
        <v>197</v>
      </c>
      <c r="K647" t="s">
        <v>197</v>
      </c>
      <c r="L647">
        <v/>
      </c>
      <c r="N647" t="s">
        <v>197</v>
      </c>
      <c r="R647" t="s">
        <v>53</v>
      </c>
      <c r="S647" t="s">
        <v>64</v>
      </c>
      <c r="T647" t="s">
        <v>76</v>
      </c>
      <c r="U647" t="s">
        <v>197</v>
      </c>
      <c r="V647" t="s">
        <v>197</v>
      </c>
      <c r="W647" t="s">
        <v>197</v>
      </c>
      <c r="X647" t="s">
        <v>195</v>
      </c>
      <c r="Y647" t="s">
        <v>198</v>
      </c>
    </row>
    <row r="648">
      <c r="A648">
        <v>2168</v>
      </c>
      <c r="B648" t="s">
        <v>194</v>
      </c>
      <c r="C648" t="s">
        <v>113</v>
      </c>
      <c r="D648" t="s">
        <v>197</v>
      </c>
      <c r="E648" t="s">
        <v>201</v>
      </c>
      <c r="U648" t="s">
        <v>197</v>
      </c>
      <c r="V648" t="s">
        <v>197</v>
      </c>
      <c r="W648" t="s">
        <v>197</v>
      </c>
      <c r="X648" t="s">
        <v>195</v>
      </c>
      <c r="Y648" t="s">
        <v>198</v>
      </c>
    </row>
    <row r="649">
      <c r="A649">
        <v>2170</v>
      </c>
      <c r="B649" t="s">
        <v>199</v>
      </c>
      <c r="C649" t="s">
        <v>113</v>
      </c>
      <c r="D649" t="s">
        <v>195</v>
      </c>
      <c r="E649" t="s">
        <v>200</v>
      </c>
      <c r="F649">
        <v>1796</v>
      </c>
      <c r="G649" t="s">
        <v>195</v>
      </c>
      <c r="H649" t="s">
        <v>95</v>
      </c>
      <c r="I649">
        <v>1.7</v>
      </c>
      <c r="J649" t="s">
        <v>197</v>
      </c>
      <c r="K649" t="s">
        <v>197</v>
      </c>
      <c r="L649">
        <v/>
      </c>
      <c r="N649" t="s">
        <v>197</v>
      </c>
      <c r="R649" t="s">
        <v>53</v>
      </c>
      <c r="S649" t="s">
        <v>64</v>
      </c>
      <c r="T649" t="s">
        <v>78</v>
      </c>
      <c r="U649" t="s">
        <v>195</v>
      </c>
      <c r="V649" t="s">
        <v>195</v>
      </c>
      <c r="W649" t="s">
        <v>197</v>
      </c>
      <c r="X649" t="s">
        <v>195</v>
      </c>
      <c r="Y649" t="s">
        <v>198</v>
      </c>
    </row>
    <row r="650">
      <c r="A650">
        <v>2179</v>
      </c>
      <c r="B650" t="s">
        <v>199</v>
      </c>
      <c r="C650" t="s">
        <v>113</v>
      </c>
      <c r="D650" t="s">
        <v>195</v>
      </c>
      <c r="E650" t="s">
        <v>196</v>
      </c>
      <c r="F650">
        <v>15.5</v>
      </c>
      <c r="G650" t="s">
        <v>195</v>
      </c>
      <c r="H650" t="s">
        <v>95</v>
      </c>
      <c r="I650">
        <v>2.7</v>
      </c>
      <c r="J650" t="s">
        <v>195</v>
      </c>
      <c r="K650" t="s">
        <v>195</v>
      </c>
      <c r="L650" t="s">
        <v>95</v>
      </c>
      <c r="M650">
        <v>80.2</v>
      </c>
      <c r="N650" t="s">
        <v>195</v>
      </c>
      <c r="O650" t="s">
        <v>95</v>
      </c>
      <c r="P650">
        <v>81.7</v>
      </c>
      <c r="Q650" t="s">
        <v>195</v>
      </c>
      <c r="R650" t="s">
        <v>49</v>
      </c>
      <c r="T650" t="s">
        <v>77</v>
      </c>
      <c r="U650" t="s">
        <v>195</v>
      </c>
      <c r="V650" t="s">
        <v>195</v>
      </c>
      <c r="W650" t="s">
        <v>195</v>
      </c>
      <c r="X650" t="s">
        <v>195</v>
      </c>
      <c r="Y650" t="s">
        <v>104</v>
      </c>
    </row>
    <row r="651">
      <c r="A651">
        <v>2181</v>
      </c>
      <c r="B651" t="s">
        <v>20</v>
      </c>
      <c r="C651" t="s">
        <v>113</v>
      </c>
      <c r="D651" t="s">
        <v>195</v>
      </c>
      <c r="E651" t="s">
        <v>196</v>
      </c>
      <c r="F651">
        <v>1.3</v>
      </c>
      <c r="G651" t="s">
        <v>197</v>
      </c>
      <c r="H651" t="s">
        <v>95</v>
      </c>
      <c r="I651">
        <v>1.6</v>
      </c>
      <c r="J651" t="s">
        <v>195</v>
      </c>
      <c r="K651" t="s">
        <v>195</v>
      </c>
      <c r="L651" t="s">
        <v>95</v>
      </c>
      <c r="M651">
        <v>5.3</v>
      </c>
      <c r="N651" t="s">
        <v>195</v>
      </c>
      <c r="O651" t="s">
        <v>95</v>
      </c>
      <c r="P651">
        <v>6</v>
      </c>
      <c r="Q651" t="s">
        <v>195</v>
      </c>
      <c r="R651" t="s">
        <v>49</v>
      </c>
      <c r="T651" t="s">
        <v>77</v>
      </c>
      <c r="U651" t="s">
        <v>197</v>
      </c>
      <c r="V651" t="s">
        <v>197</v>
      </c>
      <c r="W651" t="s">
        <v>197</v>
      </c>
      <c r="X651" t="s">
        <v>195</v>
      </c>
      <c r="Y651" t="s">
        <v>198</v>
      </c>
    </row>
    <row r="652">
      <c r="A652">
        <v>2182</v>
      </c>
      <c r="B652" t="s">
        <v>20</v>
      </c>
      <c r="C652" t="s">
        <v>113</v>
      </c>
      <c r="D652" t="s">
        <v>197</v>
      </c>
      <c r="E652" t="s">
        <v>201</v>
      </c>
      <c r="U652" t="s">
        <v>197</v>
      </c>
      <c r="V652" t="s">
        <v>197</v>
      </c>
      <c r="W652" t="s">
        <v>197</v>
      </c>
      <c r="X652" t="s">
        <v>195</v>
      </c>
      <c r="Y652" t="s">
        <v>198</v>
      </c>
    </row>
    <row r="653">
      <c r="A653">
        <v>2190</v>
      </c>
      <c r="B653" t="s">
        <v>20</v>
      </c>
      <c r="C653" t="s">
        <v>113</v>
      </c>
      <c r="D653" t="s">
        <v>195</v>
      </c>
      <c r="E653" t="s">
        <v>196</v>
      </c>
      <c r="F653">
        <v>1.6</v>
      </c>
      <c r="G653" t="s">
        <v>197</v>
      </c>
      <c r="H653" t="s">
        <v>93</v>
      </c>
      <c r="I653">
        <v>0.2</v>
      </c>
      <c r="J653" t="s">
        <v>195</v>
      </c>
      <c r="K653" t="s">
        <v>195</v>
      </c>
      <c r="L653" t="s">
        <v>93</v>
      </c>
      <c r="M653">
        <v>4.6</v>
      </c>
      <c r="N653" t="s">
        <v>195</v>
      </c>
      <c r="O653" t="s">
        <v>93</v>
      </c>
      <c r="P653">
        <v>4.7</v>
      </c>
      <c r="Q653" t="s">
        <v>195</v>
      </c>
      <c r="R653" t="s">
        <v>49</v>
      </c>
      <c r="T653" t="s">
        <v>77</v>
      </c>
      <c r="U653" t="s">
        <v>195</v>
      </c>
      <c r="V653" t="s">
        <v>195</v>
      </c>
      <c r="W653" t="s">
        <v>197</v>
      </c>
      <c r="X653" t="s">
        <v>195</v>
      </c>
      <c r="Y653" t="s">
        <v>198</v>
      </c>
    </row>
    <row r="654">
      <c r="A654">
        <v>2191</v>
      </c>
      <c r="B654" t="s">
        <v>194</v>
      </c>
      <c r="C654" t="s">
        <v>113</v>
      </c>
      <c r="D654" t="s">
        <v>195</v>
      </c>
      <c r="E654" t="s">
        <v>200</v>
      </c>
      <c r="F654">
        <v>6839.8</v>
      </c>
      <c r="G654" t="s">
        <v>197</v>
      </c>
      <c r="H654" t="s">
        <v>93</v>
      </c>
      <c r="I654">
        <v>1.5</v>
      </c>
      <c r="J654" t="s">
        <v>197</v>
      </c>
      <c r="K654" t="s">
        <v>197</v>
      </c>
      <c r="L654">
        <v/>
      </c>
      <c r="N654" t="s">
        <v>197</v>
      </c>
      <c r="R654" t="s">
        <v>53</v>
      </c>
      <c r="S654" t="s">
        <v>64</v>
      </c>
      <c r="T654" t="s">
        <v>76</v>
      </c>
      <c r="U654" t="s">
        <v>195</v>
      </c>
      <c r="V654" t="s">
        <v>195</v>
      </c>
      <c r="W654" t="s">
        <v>197</v>
      </c>
      <c r="X654" t="s">
        <v>195</v>
      </c>
      <c r="Y654" t="s">
        <v>198</v>
      </c>
    </row>
    <row r="655">
      <c r="A655">
        <v>2197</v>
      </c>
      <c r="B655" t="s">
        <v>199</v>
      </c>
      <c r="C655" t="s">
        <v>113</v>
      </c>
      <c r="D655" t="s">
        <v>195</v>
      </c>
      <c r="E655" t="s">
        <v>196</v>
      </c>
      <c r="F655">
        <v>16.7</v>
      </c>
      <c r="G655" t="s">
        <v>197</v>
      </c>
      <c r="H655" t="s">
        <v>94</v>
      </c>
      <c r="I655">
        <v>1.2</v>
      </c>
      <c r="J655" t="s">
        <v>195</v>
      </c>
      <c r="K655" t="s">
        <v>195</v>
      </c>
      <c r="L655" t="s">
        <v>94</v>
      </c>
      <c r="M655">
        <v>5.3</v>
      </c>
      <c r="N655" t="s">
        <v>195</v>
      </c>
      <c r="O655" t="s">
        <v>94</v>
      </c>
      <c r="P655">
        <v>5.4</v>
      </c>
      <c r="Q655" t="s">
        <v>195</v>
      </c>
      <c r="R655" t="s">
        <v>49</v>
      </c>
      <c r="T655" t="s">
        <v>77</v>
      </c>
      <c r="U655" t="s">
        <v>197</v>
      </c>
      <c r="V655" t="s">
        <v>197</v>
      </c>
      <c r="W655" t="s">
        <v>197</v>
      </c>
      <c r="X655" t="s">
        <v>195</v>
      </c>
      <c r="Y655" t="s">
        <v>206</v>
      </c>
    </row>
    <row r="656">
      <c r="A656">
        <v>2204</v>
      </c>
      <c r="B656" t="s">
        <v>194</v>
      </c>
      <c r="C656" t="s">
        <v>113</v>
      </c>
      <c r="D656" t="s">
        <v>195</v>
      </c>
      <c r="E656" t="s">
        <v>196</v>
      </c>
      <c r="F656">
        <v>5.7</v>
      </c>
      <c r="G656" t="s">
        <v>195</v>
      </c>
      <c r="H656" t="s">
        <v>95</v>
      </c>
      <c r="I656">
        <v>0.7</v>
      </c>
      <c r="J656" t="s">
        <v>197</v>
      </c>
      <c r="K656" t="s">
        <v>197</v>
      </c>
      <c r="L656">
        <v/>
      </c>
      <c r="N656" t="s">
        <v>197</v>
      </c>
      <c r="R656" t="s">
        <v>53</v>
      </c>
      <c r="S656" t="s">
        <v>64</v>
      </c>
      <c r="T656" t="s">
        <v>77</v>
      </c>
      <c r="U656" t="s">
        <v>197</v>
      </c>
      <c r="V656" t="s">
        <v>197</v>
      </c>
      <c r="W656" t="s">
        <v>197</v>
      </c>
      <c r="X656" t="s">
        <v>195</v>
      </c>
      <c r="Y656" t="s">
        <v>198</v>
      </c>
    </row>
    <row r="657">
      <c r="A657">
        <v>2210</v>
      </c>
      <c r="B657" t="s">
        <v>20</v>
      </c>
      <c r="C657" t="s">
        <v>113</v>
      </c>
      <c r="D657" t="s">
        <v>195</v>
      </c>
      <c r="E657" t="s">
        <v>196</v>
      </c>
      <c r="F657">
        <v>1.4</v>
      </c>
      <c r="G657" t="s">
        <v>197</v>
      </c>
      <c r="H657" t="s">
        <v>94</v>
      </c>
      <c r="I657">
        <v>10.9</v>
      </c>
      <c r="J657" t="s">
        <v>195</v>
      </c>
      <c r="K657" t="s">
        <v>195</v>
      </c>
      <c r="L657" t="s">
        <v>94</v>
      </c>
      <c r="M657">
        <v>14.3</v>
      </c>
      <c r="N657" t="s">
        <v>195</v>
      </c>
      <c r="O657" t="s">
        <v>94</v>
      </c>
      <c r="P657">
        <v>14.5</v>
      </c>
      <c r="Q657" t="s">
        <v>195</v>
      </c>
      <c r="R657" t="s">
        <v>49</v>
      </c>
      <c r="T657" t="s">
        <v>77</v>
      </c>
      <c r="U657" t="s">
        <v>197</v>
      </c>
      <c r="V657" t="s">
        <v>197</v>
      </c>
      <c r="W657" t="s">
        <v>197</v>
      </c>
      <c r="X657" t="s">
        <v>195</v>
      </c>
      <c r="Y657" t="s">
        <v>198</v>
      </c>
    </row>
    <row r="658">
      <c r="A658">
        <v>2212</v>
      </c>
      <c r="B658" t="s">
        <v>199</v>
      </c>
      <c r="C658" t="s">
        <v>113</v>
      </c>
      <c r="D658" t="s">
        <v>195</v>
      </c>
      <c r="E658" t="s">
        <v>196</v>
      </c>
      <c r="F658">
        <v>0.3</v>
      </c>
      <c r="G658" t="s">
        <v>197</v>
      </c>
      <c r="H658" t="s">
        <v>94</v>
      </c>
      <c r="I658">
        <v>3.8</v>
      </c>
      <c r="J658" t="s">
        <v>195</v>
      </c>
      <c r="K658" t="s">
        <v>195</v>
      </c>
      <c r="L658" t="s">
        <v>94</v>
      </c>
      <c r="M658">
        <v>7.3</v>
      </c>
      <c r="N658" t="s">
        <v>195</v>
      </c>
      <c r="O658" t="s">
        <v>94</v>
      </c>
      <c r="P658">
        <v>7.4</v>
      </c>
      <c r="Q658" t="s">
        <v>195</v>
      </c>
      <c r="R658" t="s">
        <v>49</v>
      </c>
      <c r="T658" t="s">
        <v>77</v>
      </c>
      <c r="U658" t="s">
        <v>197</v>
      </c>
      <c r="V658" t="s">
        <v>197</v>
      </c>
      <c r="W658" t="s">
        <v>197</v>
      </c>
      <c r="X658" t="s">
        <v>195</v>
      </c>
      <c r="Y658" t="s">
        <v>198</v>
      </c>
    </row>
    <row r="659">
      <c r="A659">
        <v>2215</v>
      </c>
      <c r="B659" t="s">
        <v>199</v>
      </c>
      <c r="C659" t="s">
        <v>113</v>
      </c>
      <c r="D659" t="s">
        <v>195</v>
      </c>
      <c r="E659" t="s">
        <v>196</v>
      </c>
      <c r="F659">
        <v>3.7</v>
      </c>
      <c r="G659" t="s">
        <v>197</v>
      </c>
      <c r="H659" t="s">
        <v>94</v>
      </c>
      <c r="I659">
        <v>1.9</v>
      </c>
      <c r="J659" t="s">
        <v>197</v>
      </c>
      <c r="K659" t="s">
        <v>197</v>
      </c>
      <c r="L659">
        <v/>
      </c>
      <c r="N659" t="s">
        <v>197</v>
      </c>
      <c r="R659" t="s">
        <v>53</v>
      </c>
      <c r="S659" t="s">
        <v>64</v>
      </c>
      <c r="T659" t="s">
        <v>77</v>
      </c>
      <c r="U659" t="s">
        <v>197</v>
      </c>
      <c r="V659" t="s">
        <v>197</v>
      </c>
      <c r="W659" t="s">
        <v>197</v>
      </c>
      <c r="X659" t="s">
        <v>195</v>
      </c>
      <c r="Y659" t="s">
        <v>198</v>
      </c>
    </row>
    <row r="660">
      <c r="A660">
        <v>2217</v>
      </c>
      <c r="B660" t="s">
        <v>20</v>
      </c>
      <c r="C660" t="s">
        <v>113</v>
      </c>
      <c r="D660" t="s">
        <v>197</v>
      </c>
      <c r="E660" t="s">
        <v>201</v>
      </c>
      <c r="U660" t="s">
        <v>197</v>
      </c>
      <c r="V660" t="s">
        <v>197</v>
      </c>
      <c r="W660" t="s">
        <v>197</v>
      </c>
      <c r="X660" t="s">
        <v>195</v>
      </c>
      <c r="Y660" t="s">
        <v>198</v>
      </c>
    </row>
    <row r="661">
      <c r="A661">
        <v>2214</v>
      </c>
      <c r="B661" t="s">
        <v>199</v>
      </c>
      <c r="C661" t="s">
        <v>113</v>
      </c>
      <c r="D661" t="s">
        <v>197</v>
      </c>
      <c r="E661" t="s">
        <v>201</v>
      </c>
      <c r="U661" t="s">
        <v>197</v>
      </c>
      <c r="V661" t="s">
        <v>197</v>
      </c>
      <c r="W661" t="s">
        <v>197</v>
      </c>
      <c r="X661" t="s">
        <v>195</v>
      </c>
      <c r="Y661" t="s">
        <v>198</v>
      </c>
    </row>
    <row r="662">
      <c r="A662">
        <v>2223</v>
      </c>
      <c r="B662" t="s">
        <v>194</v>
      </c>
      <c r="C662" t="s">
        <v>113</v>
      </c>
      <c r="D662" t="s">
        <v>195</v>
      </c>
      <c r="E662" t="s">
        <v>200</v>
      </c>
      <c r="F662">
        <v>2284.2</v>
      </c>
      <c r="G662" t="s">
        <v>197</v>
      </c>
      <c r="H662" t="s">
        <v>95</v>
      </c>
      <c r="I662">
        <v>3.9</v>
      </c>
      <c r="J662" t="s">
        <v>197</v>
      </c>
      <c r="K662" t="s">
        <v>197</v>
      </c>
      <c r="L662">
        <v/>
      </c>
      <c r="N662" t="s">
        <v>197</v>
      </c>
      <c r="R662" t="s">
        <v>53</v>
      </c>
      <c r="S662" t="s">
        <v>64</v>
      </c>
      <c r="T662" t="s">
        <v>76</v>
      </c>
      <c r="U662" t="s">
        <v>197</v>
      </c>
      <c r="V662" t="s">
        <v>197</v>
      </c>
      <c r="W662" t="s">
        <v>197</v>
      </c>
      <c r="X662" t="s">
        <v>195</v>
      </c>
      <c r="Y662" t="s">
        <v>198</v>
      </c>
    </row>
    <row r="663">
      <c r="A663">
        <v>2220</v>
      </c>
      <c r="B663" t="s">
        <v>194</v>
      </c>
      <c r="C663" t="s">
        <v>113</v>
      </c>
      <c r="D663" t="s">
        <v>197</v>
      </c>
      <c r="E663" t="s">
        <v>201</v>
      </c>
      <c r="U663" t="s">
        <v>197</v>
      </c>
      <c r="V663" t="s">
        <v>197</v>
      </c>
      <c r="W663" t="s">
        <v>197</v>
      </c>
      <c r="X663" t="s">
        <v>195</v>
      </c>
      <c r="Y663" t="s">
        <v>198</v>
      </c>
    </row>
    <row r="664">
      <c r="A664">
        <v>2221</v>
      </c>
      <c r="B664" t="s">
        <v>20</v>
      </c>
      <c r="C664" t="s">
        <v>113</v>
      </c>
      <c r="D664" t="s">
        <v>197</v>
      </c>
      <c r="E664" t="s">
        <v>201</v>
      </c>
      <c r="U664" t="s">
        <v>197</v>
      </c>
      <c r="V664" t="s">
        <v>197</v>
      </c>
      <c r="W664" t="s">
        <v>197</v>
      </c>
      <c r="X664" t="s">
        <v>195</v>
      </c>
      <c r="Y664" t="s">
        <v>198</v>
      </c>
    </row>
    <row r="665">
      <c r="A665">
        <v>2227</v>
      </c>
      <c r="B665" t="s">
        <v>194</v>
      </c>
      <c r="C665" t="s">
        <v>113</v>
      </c>
      <c r="D665" t="s">
        <v>197</v>
      </c>
      <c r="E665" t="s">
        <v>201</v>
      </c>
      <c r="U665" t="s">
        <v>197</v>
      </c>
      <c r="V665" t="s">
        <v>197</v>
      </c>
      <c r="W665" t="s">
        <v>197</v>
      </c>
      <c r="X665" t="s">
        <v>195</v>
      </c>
      <c r="Y665" t="s">
        <v>198</v>
      </c>
    </row>
    <row r="666">
      <c r="A666">
        <v>2228</v>
      </c>
      <c r="B666" t="s">
        <v>199</v>
      </c>
      <c r="C666" t="s">
        <v>113</v>
      </c>
      <c r="D666" t="s">
        <v>197</v>
      </c>
      <c r="E666" t="s">
        <v>201</v>
      </c>
      <c r="U666" t="s">
        <v>197</v>
      </c>
      <c r="V666" t="s">
        <v>197</v>
      </c>
      <c r="W666" t="s">
        <v>197</v>
      </c>
      <c r="X666" t="s">
        <v>195</v>
      </c>
      <c r="Y666" t="s">
        <v>198</v>
      </c>
    </row>
    <row r="667">
      <c r="A667">
        <v>2231</v>
      </c>
      <c r="B667" t="s">
        <v>20</v>
      </c>
      <c r="C667" t="s">
        <v>113</v>
      </c>
      <c r="D667" t="s">
        <v>195</v>
      </c>
      <c r="E667" t="s">
        <v>196</v>
      </c>
      <c r="F667">
        <v>0.9</v>
      </c>
      <c r="G667" t="s">
        <v>197</v>
      </c>
      <c r="H667" t="s">
        <v>95</v>
      </c>
      <c r="I667">
        <v>17.2</v>
      </c>
      <c r="J667" t="s">
        <v>195</v>
      </c>
      <c r="K667" t="s">
        <v>195</v>
      </c>
      <c r="L667" t="s">
        <v>95</v>
      </c>
      <c r="M667">
        <v>19.2</v>
      </c>
      <c r="N667" t="s">
        <v>195</v>
      </c>
      <c r="O667" t="s">
        <v>95</v>
      </c>
      <c r="P667">
        <v>20.7</v>
      </c>
      <c r="Q667" t="s">
        <v>195</v>
      </c>
      <c r="R667" t="s">
        <v>49</v>
      </c>
      <c r="T667" t="s">
        <v>78</v>
      </c>
      <c r="U667" t="s">
        <v>197</v>
      </c>
      <c r="V667" t="s">
        <v>197</v>
      </c>
      <c r="W667" t="s">
        <v>197</v>
      </c>
      <c r="X667" t="s">
        <v>195</v>
      </c>
      <c r="Y667" t="s">
        <v>198</v>
      </c>
    </row>
    <row r="668">
      <c r="A668">
        <v>2232</v>
      </c>
      <c r="B668" t="s">
        <v>194</v>
      </c>
      <c r="C668" t="s">
        <v>113</v>
      </c>
      <c r="D668" t="s">
        <v>197</v>
      </c>
      <c r="E668" t="s">
        <v>201</v>
      </c>
      <c r="U668" t="s">
        <v>197</v>
      </c>
      <c r="V668" t="s">
        <v>197</v>
      </c>
      <c r="W668" t="s">
        <v>197</v>
      </c>
      <c r="X668" t="s">
        <v>195</v>
      </c>
      <c r="Y668" t="s">
        <v>198</v>
      </c>
    </row>
    <row r="669">
      <c r="A669">
        <v>2237</v>
      </c>
      <c r="B669" t="s">
        <v>199</v>
      </c>
      <c r="C669" t="s">
        <v>113</v>
      </c>
      <c r="D669" t="s">
        <v>197</v>
      </c>
      <c r="E669" t="s">
        <v>201</v>
      </c>
      <c r="U669" t="s">
        <v>197</v>
      </c>
      <c r="V669" t="s">
        <v>197</v>
      </c>
      <c r="W669" t="s">
        <v>197</v>
      </c>
      <c r="X669" t="s">
        <v>195</v>
      </c>
      <c r="Y669" t="s">
        <v>198</v>
      </c>
    </row>
    <row r="670">
      <c r="A670">
        <v>2238</v>
      </c>
      <c r="B670" t="s">
        <v>20</v>
      </c>
      <c r="C670" t="s">
        <v>113</v>
      </c>
      <c r="D670" t="s">
        <v>195</v>
      </c>
      <c r="E670" t="s">
        <v>196</v>
      </c>
      <c r="F670">
        <v>7.3</v>
      </c>
      <c r="G670" t="s">
        <v>197</v>
      </c>
      <c r="H670" t="s">
        <v>93</v>
      </c>
      <c r="I670">
        <v>10.7</v>
      </c>
      <c r="J670" t="s">
        <v>197</v>
      </c>
      <c r="K670" t="s">
        <v>197</v>
      </c>
      <c r="L670">
        <v/>
      </c>
      <c r="N670" t="s">
        <v>197</v>
      </c>
      <c r="R670" t="s">
        <v>53</v>
      </c>
      <c r="S670" t="s">
        <v>64</v>
      </c>
      <c r="T670" t="s">
        <v>78</v>
      </c>
      <c r="U670" t="s">
        <v>197</v>
      </c>
      <c r="V670" t="s">
        <v>197</v>
      </c>
      <c r="W670" t="s">
        <v>197</v>
      </c>
      <c r="X670" t="s">
        <v>195</v>
      </c>
      <c r="Y670" t="s">
        <v>198</v>
      </c>
    </row>
    <row r="671">
      <c r="A671">
        <v>2240</v>
      </c>
      <c r="B671" t="s">
        <v>194</v>
      </c>
      <c r="C671" t="s">
        <v>113</v>
      </c>
      <c r="D671" t="s">
        <v>195</v>
      </c>
      <c r="E671" t="s">
        <v>196</v>
      </c>
      <c r="F671">
        <v>0.6</v>
      </c>
      <c r="G671" t="s">
        <v>197</v>
      </c>
      <c r="H671" t="s">
        <v>93</v>
      </c>
      <c r="I671">
        <v>537.5</v>
      </c>
      <c r="J671" t="s">
        <v>195</v>
      </c>
      <c r="K671" t="s">
        <v>195</v>
      </c>
      <c r="L671" t="s">
        <v>93</v>
      </c>
      <c r="M671">
        <v>541.2</v>
      </c>
      <c r="N671" t="s">
        <v>195</v>
      </c>
      <c r="O671" t="s">
        <v>93</v>
      </c>
      <c r="P671">
        <v>541.2</v>
      </c>
      <c r="Q671" t="s">
        <v>197</v>
      </c>
      <c r="R671" t="s">
        <v>49</v>
      </c>
      <c r="T671" t="s">
        <v>78</v>
      </c>
      <c r="U671" t="s">
        <v>197</v>
      </c>
      <c r="V671" t="s">
        <v>197</v>
      </c>
      <c r="W671" t="s">
        <v>197</v>
      </c>
      <c r="X671" t="s">
        <v>195</v>
      </c>
      <c r="Y671" t="s">
        <v>198</v>
      </c>
    </row>
    <row r="672">
      <c r="A672">
        <v>2236</v>
      </c>
      <c r="B672" t="s">
        <v>199</v>
      </c>
      <c r="C672" t="s">
        <v>113</v>
      </c>
      <c r="D672" t="s">
        <v>197</v>
      </c>
      <c r="E672" t="s">
        <v>201</v>
      </c>
      <c r="U672" t="s">
        <v>197</v>
      </c>
      <c r="V672" t="s">
        <v>197</v>
      </c>
      <c r="W672" t="s">
        <v>197</v>
      </c>
      <c r="X672" t="s">
        <v>195</v>
      </c>
      <c r="Y672" t="s">
        <v>198</v>
      </c>
    </row>
    <row r="673">
      <c r="A673">
        <v>2242</v>
      </c>
      <c r="B673" t="s">
        <v>194</v>
      </c>
      <c r="C673" t="s">
        <v>113</v>
      </c>
      <c r="D673" t="s">
        <v>195</v>
      </c>
      <c r="E673" t="s">
        <v>200</v>
      </c>
      <c r="F673">
        <v>2295.7</v>
      </c>
      <c r="G673" t="s">
        <v>197</v>
      </c>
      <c r="H673" t="s">
        <v>93</v>
      </c>
      <c r="I673">
        <v>0.7</v>
      </c>
      <c r="J673" t="s">
        <v>197</v>
      </c>
      <c r="K673" t="s">
        <v>197</v>
      </c>
      <c r="L673">
        <v/>
      </c>
      <c r="N673" t="s">
        <v>197</v>
      </c>
      <c r="R673" t="s">
        <v>53</v>
      </c>
      <c r="S673" t="s">
        <v>64</v>
      </c>
      <c r="T673" t="s">
        <v>76</v>
      </c>
      <c r="U673" t="s">
        <v>197</v>
      </c>
      <c r="V673" t="s">
        <v>197</v>
      </c>
      <c r="W673" t="s">
        <v>197</v>
      </c>
      <c r="X673" t="s">
        <v>195</v>
      </c>
      <c r="Y673" t="s">
        <v>198</v>
      </c>
    </row>
    <row r="674">
      <c r="A674">
        <v>2244</v>
      </c>
      <c r="B674" t="s">
        <v>20</v>
      </c>
      <c r="C674" t="s">
        <v>113</v>
      </c>
      <c r="D674" t="s">
        <v>195</v>
      </c>
      <c r="E674" t="s">
        <v>200</v>
      </c>
      <c r="F674">
        <v>666.2</v>
      </c>
      <c r="G674" t="s">
        <v>197</v>
      </c>
      <c r="H674" t="s">
        <v>96</v>
      </c>
      <c r="I674">
        <v>1.8</v>
      </c>
      <c r="J674" t="s">
        <v>197</v>
      </c>
      <c r="K674" t="s">
        <v>195</v>
      </c>
      <c r="L674" t="s">
        <v>96</v>
      </c>
      <c r="M674">
        <v>6.8</v>
      </c>
      <c r="N674" t="s">
        <v>197</v>
      </c>
      <c r="R674" t="s">
        <v>52</v>
      </c>
      <c r="S674" t="s">
        <v>64</v>
      </c>
      <c r="T674" t="s">
        <v>76</v>
      </c>
      <c r="U674" t="s">
        <v>197</v>
      </c>
      <c r="V674" t="s">
        <v>197</v>
      </c>
      <c r="W674" t="s">
        <v>197</v>
      </c>
      <c r="X674" t="s">
        <v>195</v>
      </c>
      <c r="Y674" t="s">
        <v>202</v>
      </c>
    </row>
    <row r="675">
      <c r="A675">
        <v>2249</v>
      </c>
      <c r="B675" t="s">
        <v>199</v>
      </c>
      <c r="C675" t="s">
        <v>113</v>
      </c>
      <c r="D675" t="s">
        <v>197</v>
      </c>
      <c r="E675" t="s">
        <v>201</v>
      </c>
      <c r="U675" t="s">
        <v>197</v>
      </c>
      <c r="V675" t="s">
        <v>197</v>
      </c>
      <c r="W675" t="s">
        <v>197</v>
      </c>
      <c r="X675" t="s">
        <v>195</v>
      </c>
      <c r="Y675" t="s">
        <v>198</v>
      </c>
    </row>
    <row r="676">
      <c r="A676">
        <v>2251</v>
      </c>
      <c r="B676" t="s">
        <v>20</v>
      </c>
      <c r="C676" t="s">
        <v>113</v>
      </c>
      <c r="D676" t="s">
        <v>195</v>
      </c>
      <c r="E676" t="s">
        <v>200</v>
      </c>
      <c r="F676">
        <v>688.6</v>
      </c>
      <c r="G676" t="s">
        <v>197</v>
      </c>
      <c r="H676" t="s">
        <v>93</v>
      </c>
      <c r="I676">
        <v>8.199999999999999</v>
      </c>
      <c r="J676" t="s">
        <v>197</v>
      </c>
      <c r="K676" t="s">
        <v>197</v>
      </c>
      <c r="L676">
        <v/>
      </c>
      <c r="N676" t="s">
        <v>197</v>
      </c>
      <c r="R676" t="s">
        <v>53</v>
      </c>
      <c r="S676" t="s">
        <v>64</v>
      </c>
      <c r="T676" t="s">
        <v>76</v>
      </c>
      <c r="U676" t="s">
        <v>197</v>
      </c>
      <c r="V676" t="s">
        <v>197</v>
      </c>
      <c r="W676" t="s">
        <v>197</v>
      </c>
      <c r="X676" t="s">
        <v>195</v>
      </c>
      <c r="Y676" t="s">
        <v>198</v>
      </c>
    </row>
    <row r="677">
      <c r="A677">
        <v>2252</v>
      </c>
      <c r="B677" t="s">
        <v>194</v>
      </c>
      <c r="C677" t="s">
        <v>113</v>
      </c>
      <c r="D677" t="s">
        <v>197</v>
      </c>
      <c r="E677" t="s">
        <v>201</v>
      </c>
      <c r="U677" t="s">
        <v>197</v>
      </c>
      <c r="V677" t="s">
        <v>197</v>
      </c>
      <c r="W677" t="s">
        <v>197</v>
      </c>
      <c r="X677" t="s">
        <v>195</v>
      </c>
      <c r="Y677" t="s">
        <v>198</v>
      </c>
    </row>
    <row r="678">
      <c r="A678">
        <v>2254</v>
      </c>
      <c r="B678" t="s">
        <v>20</v>
      </c>
      <c r="C678" t="s">
        <v>113</v>
      </c>
      <c r="D678" t="s">
        <v>197</v>
      </c>
      <c r="E678" t="s">
        <v>201</v>
      </c>
      <c r="U678" t="s">
        <v>197</v>
      </c>
      <c r="V678" t="s">
        <v>197</v>
      </c>
      <c r="W678" t="s">
        <v>197</v>
      </c>
      <c r="X678" t="s">
        <v>195</v>
      </c>
      <c r="Y678" t="s">
        <v>198</v>
      </c>
    </row>
    <row r="679">
      <c r="A679">
        <v>2256</v>
      </c>
      <c r="B679" t="s">
        <v>199</v>
      </c>
      <c r="C679" t="s">
        <v>113</v>
      </c>
      <c r="D679" t="s">
        <v>197</v>
      </c>
      <c r="E679" t="s">
        <v>201</v>
      </c>
      <c r="U679" t="s">
        <v>197</v>
      </c>
      <c r="V679" t="s">
        <v>197</v>
      </c>
      <c r="W679" t="s">
        <v>197</v>
      </c>
      <c r="X679" t="s">
        <v>195</v>
      </c>
      <c r="Y679" t="s">
        <v>198</v>
      </c>
    </row>
    <row r="680">
      <c r="A680">
        <v>2259</v>
      </c>
      <c r="B680" t="s">
        <v>194</v>
      </c>
      <c r="C680" t="s">
        <v>113</v>
      </c>
      <c r="D680" t="s">
        <v>197</v>
      </c>
      <c r="E680" t="s">
        <v>201</v>
      </c>
      <c r="U680" t="s">
        <v>197</v>
      </c>
      <c r="V680" t="s">
        <v>197</v>
      </c>
      <c r="W680" t="s">
        <v>197</v>
      </c>
      <c r="X680" t="s">
        <v>195</v>
      </c>
      <c r="Y680" t="s">
        <v>198</v>
      </c>
    </row>
    <row r="681">
      <c r="A681">
        <v>2257</v>
      </c>
      <c r="B681" t="s">
        <v>20</v>
      </c>
      <c r="C681" t="s">
        <v>113</v>
      </c>
      <c r="D681" t="s">
        <v>197</v>
      </c>
      <c r="E681" t="s">
        <v>201</v>
      </c>
      <c r="U681" t="s">
        <v>197</v>
      </c>
      <c r="V681" t="s">
        <v>197</v>
      </c>
      <c r="W681" t="s">
        <v>197</v>
      </c>
      <c r="X681" t="s">
        <v>195</v>
      </c>
      <c r="Y681" t="s">
        <v>198</v>
      </c>
    </row>
    <row r="682">
      <c r="A682">
        <v>2261</v>
      </c>
      <c r="B682" t="s">
        <v>20</v>
      </c>
      <c r="C682" t="s">
        <v>113</v>
      </c>
      <c r="D682" t="s">
        <v>197</v>
      </c>
      <c r="E682" t="s">
        <v>201</v>
      </c>
      <c r="U682" t="s">
        <v>197</v>
      </c>
      <c r="V682" t="s">
        <v>197</v>
      </c>
      <c r="W682" t="s">
        <v>197</v>
      </c>
      <c r="X682" t="s">
        <v>195</v>
      </c>
      <c r="Y682" t="s">
        <v>198</v>
      </c>
    </row>
    <row r="683">
      <c r="A683">
        <v>2263</v>
      </c>
      <c r="B683" t="s">
        <v>194</v>
      </c>
      <c r="C683" t="s">
        <v>113</v>
      </c>
      <c r="D683" t="s">
        <v>197</v>
      </c>
      <c r="E683" t="s">
        <v>201</v>
      </c>
      <c r="U683" t="s">
        <v>197</v>
      </c>
      <c r="V683" t="s">
        <v>197</v>
      </c>
      <c r="W683" t="s">
        <v>197</v>
      </c>
      <c r="X683" t="s">
        <v>195</v>
      </c>
      <c r="Y683" t="s">
        <v>198</v>
      </c>
    </row>
    <row r="684">
      <c r="A684">
        <v>2262</v>
      </c>
      <c r="B684" t="s">
        <v>20</v>
      </c>
      <c r="C684" t="s">
        <v>113</v>
      </c>
      <c r="D684" t="s">
        <v>195</v>
      </c>
      <c r="E684" t="s">
        <v>196</v>
      </c>
      <c r="F684">
        <v>5.4</v>
      </c>
      <c r="G684" t="s">
        <v>197</v>
      </c>
      <c r="H684" t="s">
        <v>93</v>
      </c>
      <c r="I684">
        <v>70.2</v>
      </c>
      <c r="J684" t="s">
        <v>195</v>
      </c>
      <c r="K684" t="s">
        <v>195</v>
      </c>
      <c r="L684" t="s">
        <v>93</v>
      </c>
      <c r="M684">
        <v>73.09999999999999</v>
      </c>
      <c r="N684" t="s">
        <v>195</v>
      </c>
      <c r="O684" t="s">
        <v>93</v>
      </c>
      <c r="P684">
        <v>73.2</v>
      </c>
      <c r="Q684" t="s">
        <v>195</v>
      </c>
      <c r="R684" t="s">
        <v>49</v>
      </c>
      <c r="T684" t="s">
        <v>78</v>
      </c>
      <c r="U684" t="s">
        <v>197</v>
      </c>
      <c r="V684" t="s">
        <v>197</v>
      </c>
      <c r="W684" t="s">
        <v>197</v>
      </c>
      <c r="X684" t="s">
        <v>195</v>
      </c>
      <c r="Y684" t="s">
        <v>198</v>
      </c>
    </row>
    <row r="685">
      <c r="A685">
        <v>2264</v>
      </c>
      <c r="B685" t="s">
        <v>20</v>
      </c>
      <c r="C685" t="s">
        <v>113</v>
      </c>
      <c r="D685" t="s">
        <v>197</v>
      </c>
      <c r="E685" t="s">
        <v>201</v>
      </c>
      <c r="U685" t="s">
        <v>197</v>
      </c>
      <c r="V685" t="s">
        <v>197</v>
      </c>
      <c r="W685" t="s">
        <v>197</v>
      </c>
      <c r="X685" t="s">
        <v>195</v>
      </c>
      <c r="Y685" t="s">
        <v>198</v>
      </c>
    </row>
    <row r="686">
      <c r="A686">
        <v>2267</v>
      </c>
      <c r="B686" t="s">
        <v>20</v>
      </c>
      <c r="C686" t="s">
        <v>113</v>
      </c>
      <c r="D686" t="s">
        <v>195</v>
      </c>
      <c r="E686" t="s">
        <v>196</v>
      </c>
      <c r="F686">
        <v>4.6</v>
      </c>
      <c r="G686" t="s">
        <v>195</v>
      </c>
      <c r="H686" t="s">
        <v>93</v>
      </c>
      <c r="I686">
        <v>24.6</v>
      </c>
      <c r="J686" t="s">
        <v>197</v>
      </c>
      <c r="K686" t="s">
        <v>195</v>
      </c>
      <c r="L686" t="s">
        <v>93</v>
      </c>
      <c r="M686">
        <v>29.1</v>
      </c>
      <c r="N686" t="s">
        <v>195</v>
      </c>
      <c r="O686" t="s">
        <v>93</v>
      </c>
      <c r="P686">
        <v>29.3</v>
      </c>
      <c r="Q686" t="s">
        <v>195</v>
      </c>
      <c r="R686" t="s">
        <v>49</v>
      </c>
      <c r="T686" t="s">
        <v>78</v>
      </c>
      <c r="U686" t="s">
        <v>195</v>
      </c>
      <c r="V686" t="s">
        <v>195</v>
      </c>
      <c r="W686" t="s">
        <v>195</v>
      </c>
      <c r="X686" t="s">
        <v>195</v>
      </c>
      <c r="Y686" t="s">
        <v>104</v>
      </c>
    </row>
    <row r="687">
      <c r="A687">
        <v>2271</v>
      </c>
      <c r="B687" t="s">
        <v>194</v>
      </c>
      <c r="C687" t="s">
        <v>113</v>
      </c>
      <c r="D687" t="s">
        <v>197</v>
      </c>
      <c r="E687" t="s">
        <v>201</v>
      </c>
      <c r="U687" t="s">
        <v>197</v>
      </c>
      <c r="V687" t="s">
        <v>197</v>
      </c>
      <c r="W687" t="s">
        <v>197</v>
      </c>
      <c r="X687" t="s">
        <v>195</v>
      </c>
      <c r="Y687" t="s">
        <v>198</v>
      </c>
    </row>
    <row r="688">
      <c r="A688">
        <v>2284</v>
      </c>
      <c r="B688" t="s">
        <v>199</v>
      </c>
      <c r="C688" t="s">
        <v>113</v>
      </c>
      <c r="D688" t="s">
        <v>195</v>
      </c>
      <c r="E688" t="s">
        <v>196</v>
      </c>
      <c r="F688">
        <v>17.7</v>
      </c>
      <c r="G688" t="s">
        <v>197</v>
      </c>
      <c r="H688" t="s">
        <v>96</v>
      </c>
      <c r="I688">
        <v>0.4</v>
      </c>
      <c r="J688" t="s">
        <v>195</v>
      </c>
      <c r="K688" t="s">
        <v>195</v>
      </c>
      <c r="L688" t="s">
        <v>96</v>
      </c>
      <c r="M688">
        <v>10.8</v>
      </c>
      <c r="N688" t="s">
        <v>197</v>
      </c>
      <c r="R688" t="s">
        <v>52</v>
      </c>
      <c r="S688" t="s">
        <v>64</v>
      </c>
      <c r="T688" t="s">
        <v>76</v>
      </c>
      <c r="U688" t="s">
        <v>197</v>
      </c>
      <c r="V688" t="s">
        <v>197</v>
      </c>
      <c r="W688" t="s">
        <v>197</v>
      </c>
      <c r="X688" t="s">
        <v>195</v>
      </c>
      <c r="Y688" t="s">
        <v>198</v>
      </c>
    </row>
    <row r="689">
      <c r="A689">
        <v>2286</v>
      </c>
      <c r="B689" t="s">
        <v>199</v>
      </c>
      <c r="C689" t="s">
        <v>113</v>
      </c>
      <c r="D689" t="s">
        <v>195</v>
      </c>
      <c r="E689" t="s">
        <v>196</v>
      </c>
      <c r="F689">
        <v>2.2</v>
      </c>
      <c r="G689" t="s">
        <v>197</v>
      </c>
      <c r="H689" t="s">
        <v>96</v>
      </c>
      <c r="I689">
        <v>2.1</v>
      </c>
      <c r="J689" t="s">
        <v>195</v>
      </c>
      <c r="K689" t="s">
        <v>195</v>
      </c>
      <c r="L689" t="s">
        <v>96</v>
      </c>
      <c r="M689">
        <v>7.9</v>
      </c>
      <c r="N689" t="s">
        <v>197</v>
      </c>
      <c r="R689" t="s">
        <v>52</v>
      </c>
      <c r="S689" t="s">
        <v>64</v>
      </c>
      <c r="T689" t="s">
        <v>76</v>
      </c>
      <c r="U689" t="s">
        <v>197</v>
      </c>
      <c r="V689" t="s">
        <v>197</v>
      </c>
      <c r="W689" t="s">
        <v>197</v>
      </c>
      <c r="X689" t="s">
        <v>195</v>
      </c>
      <c r="Y689" t="s">
        <v>198</v>
      </c>
    </row>
    <row r="690">
      <c r="A690">
        <v>2287</v>
      </c>
      <c r="B690" t="s">
        <v>20</v>
      </c>
      <c r="C690" t="s">
        <v>113</v>
      </c>
      <c r="D690" t="s">
        <v>195</v>
      </c>
      <c r="E690" t="s">
        <v>200</v>
      </c>
      <c r="F690">
        <v>133.1</v>
      </c>
      <c r="G690" t="s">
        <v>195</v>
      </c>
      <c r="H690" t="s">
        <v>96</v>
      </c>
      <c r="I690">
        <v>2</v>
      </c>
      <c r="J690" t="s">
        <v>197</v>
      </c>
      <c r="K690" t="s">
        <v>197</v>
      </c>
      <c r="L690">
        <v/>
      </c>
      <c r="N690" t="s">
        <v>197</v>
      </c>
      <c r="R690" t="s">
        <v>53</v>
      </c>
      <c r="S690" t="s">
        <v>64</v>
      </c>
      <c r="T690" t="s">
        <v>76</v>
      </c>
      <c r="U690" t="s">
        <v>197</v>
      </c>
      <c r="V690" t="s">
        <v>197</v>
      </c>
      <c r="W690" t="s">
        <v>197</v>
      </c>
      <c r="X690" t="s">
        <v>195</v>
      </c>
      <c r="Y690" t="s">
        <v>198</v>
      </c>
    </row>
    <row r="691">
      <c r="A691">
        <v>2289</v>
      </c>
      <c r="B691" t="s">
        <v>199</v>
      </c>
      <c r="C691" t="s">
        <v>113</v>
      </c>
      <c r="D691" t="s">
        <v>197</v>
      </c>
      <c r="E691" t="s">
        <v>201</v>
      </c>
      <c r="U691" t="s">
        <v>197</v>
      </c>
      <c r="V691" t="s">
        <v>197</v>
      </c>
      <c r="W691" t="s">
        <v>197</v>
      </c>
      <c r="X691" t="s">
        <v>195</v>
      </c>
      <c r="Y691" t="s">
        <v>198</v>
      </c>
    </row>
    <row r="692">
      <c r="A692">
        <v>2290</v>
      </c>
      <c r="B692" t="s">
        <v>194</v>
      </c>
      <c r="C692" t="s">
        <v>113</v>
      </c>
      <c r="D692" t="s">
        <v>195</v>
      </c>
      <c r="E692" t="s">
        <v>196</v>
      </c>
      <c r="F692">
        <v>2.4</v>
      </c>
      <c r="G692" t="s">
        <v>195</v>
      </c>
      <c r="H692" t="s">
        <v>96</v>
      </c>
      <c r="I692">
        <v>1.5</v>
      </c>
      <c r="J692" t="s">
        <v>195</v>
      </c>
      <c r="K692" t="s">
        <v>195</v>
      </c>
      <c r="L692" t="s">
        <v>96</v>
      </c>
      <c r="M692">
        <v>9.6</v>
      </c>
      <c r="N692" t="s">
        <v>197</v>
      </c>
      <c r="R692" t="s">
        <v>52</v>
      </c>
      <c r="S692" t="s">
        <v>65</v>
      </c>
      <c r="T692" t="s">
        <v>76</v>
      </c>
      <c r="U692" t="s">
        <v>197</v>
      </c>
      <c r="V692" t="s">
        <v>197</v>
      </c>
      <c r="W692" t="s">
        <v>197</v>
      </c>
      <c r="X692" t="s">
        <v>195</v>
      </c>
      <c r="Y692" t="s">
        <v>198</v>
      </c>
    </row>
    <row r="693">
      <c r="A693">
        <v>2292</v>
      </c>
      <c r="B693" t="s">
        <v>194</v>
      </c>
      <c r="C693" t="s">
        <v>113</v>
      </c>
      <c r="D693" t="s">
        <v>197</v>
      </c>
      <c r="E693" t="s">
        <v>201</v>
      </c>
      <c r="U693" t="s">
        <v>197</v>
      </c>
      <c r="V693" t="s">
        <v>197</v>
      </c>
      <c r="W693" t="s">
        <v>197</v>
      </c>
      <c r="X693" t="s">
        <v>195</v>
      </c>
      <c r="Y693" t="s">
        <v>198</v>
      </c>
    </row>
    <row r="694">
      <c r="A694">
        <v>2293</v>
      </c>
      <c r="B694" t="s">
        <v>199</v>
      </c>
      <c r="C694" t="s">
        <v>113</v>
      </c>
      <c r="D694" t="s">
        <v>195</v>
      </c>
      <c r="E694" t="s">
        <v>200</v>
      </c>
      <c r="F694">
        <v>4467.7</v>
      </c>
      <c r="G694" t="s">
        <v>195</v>
      </c>
      <c r="H694" t="s">
        <v>93</v>
      </c>
      <c r="I694">
        <v>1.1</v>
      </c>
      <c r="J694" t="s">
        <v>197</v>
      </c>
      <c r="K694" t="s">
        <v>197</v>
      </c>
      <c r="L694">
        <v/>
      </c>
      <c r="N694" t="s">
        <v>197</v>
      </c>
      <c r="R694" t="s">
        <v>53</v>
      </c>
      <c r="S694" t="s">
        <v>64</v>
      </c>
      <c r="T694" t="s">
        <v>76</v>
      </c>
      <c r="U694" t="s">
        <v>197</v>
      </c>
      <c r="V694" t="s">
        <v>197</v>
      </c>
      <c r="W694" t="s">
        <v>197</v>
      </c>
      <c r="X694" t="s">
        <v>195</v>
      </c>
      <c r="Y694" t="s">
        <v>198</v>
      </c>
    </row>
    <row r="695">
      <c r="A695">
        <v>2295</v>
      </c>
      <c r="B695" t="s">
        <v>20</v>
      </c>
      <c r="C695" t="s">
        <v>113</v>
      </c>
      <c r="D695" t="s">
        <v>195</v>
      </c>
      <c r="E695" t="s">
        <v>200</v>
      </c>
      <c r="F695">
        <v>4206.9</v>
      </c>
      <c r="G695" t="s">
        <v>197</v>
      </c>
      <c r="H695" t="s">
        <v>93</v>
      </c>
      <c r="I695">
        <v>1.6</v>
      </c>
      <c r="J695" t="s">
        <v>197</v>
      </c>
      <c r="K695" t="s">
        <v>197</v>
      </c>
      <c r="L695">
        <v/>
      </c>
      <c r="N695" t="s">
        <v>197</v>
      </c>
      <c r="R695" t="s">
        <v>53</v>
      </c>
      <c r="S695" t="s">
        <v>64</v>
      </c>
      <c r="T695" t="s">
        <v>76</v>
      </c>
      <c r="U695" t="s">
        <v>197</v>
      </c>
      <c r="V695" t="s">
        <v>197</v>
      </c>
      <c r="W695" t="s">
        <v>197</v>
      </c>
      <c r="X695" t="s">
        <v>195</v>
      </c>
      <c r="Y695" t="s">
        <v>198</v>
      </c>
    </row>
    <row r="696">
      <c r="A696">
        <v>2297</v>
      </c>
      <c r="B696" t="s">
        <v>199</v>
      </c>
      <c r="C696" t="s">
        <v>113</v>
      </c>
      <c r="D696" t="s">
        <v>197</v>
      </c>
      <c r="E696" t="s">
        <v>201</v>
      </c>
      <c r="U696" t="s">
        <v>197</v>
      </c>
      <c r="V696" t="s">
        <v>197</v>
      </c>
      <c r="W696" t="s">
        <v>197</v>
      </c>
      <c r="X696" t="s">
        <v>195</v>
      </c>
      <c r="Y696" t="s">
        <v>198</v>
      </c>
    </row>
    <row r="697">
      <c r="A697">
        <v>2302</v>
      </c>
      <c r="B697" t="s">
        <v>199</v>
      </c>
      <c r="C697" t="s">
        <v>113</v>
      </c>
      <c r="D697" t="s">
        <v>195</v>
      </c>
      <c r="E697" t="s">
        <v>196</v>
      </c>
      <c r="F697">
        <v>1.9</v>
      </c>
      <c r="G697" t="s">
        <v>197</v>
      </c>
      <c r="H697" t="s">
        <v>96</v>
      </c>
      <c r="I697">
        <v>1.8</v>
      </c>
      <c r="J697" t="s">
        <v>195</v>
      </c>
      <c r="K697" t="s">
        <v>195</v>
      </c>
      <c r="L697" t="s">
        <v>96</v>
      </c>
      <c r="M697">
        <v>11.1</v>
      </c>
      <c r="N697" t="s">
        <v>197</v>
      </c>
      <c r="R697" t="s">
        <v>52</v>
      </c>
      <c r="S697" t="s">
        <v>64</v>
      </c>
      <c r="T697" t="s">
        <v>76</v>
      </c>
      <c r="U697" t="s">
        <v>197</v>
      </c>
      <c r="V697" t="s">
        <v>197</v>
      </c>
      <c r="W697" t="s">
        <v>197</v>
      </c>
      <c r="X697" t="s">
        <v>195</v>
      </c>
      <c r="Y697" t="s">
        <v>198</v>
      </c>
    </row>
    <row r="698">
      <c r="A698">
        <v>2311</v>
      </c>
      <c r="B698" t="s">
        <v>20</v>
      </c>
      <c r="C698" t="s">
        <v>113</v>
      </c>
      <c r="D698" t="s">
        <v>195</v>
      </c>
      <c r="E698" t="s">
        <v>200</v>
      </c>
      <c r="F698">
        <v>2681.4</v>
      </c>
      <c r="G698" t="s">
        <v>197</v>
      </c>
      <c r="H698">
        <v/>
      </c>
      <c r="J698" t="s">
        <v>197</v>
      </c>
      <c r="K698" t="s">
        <v>197</v>
      </c>
      <c r="L698">
        <v/>
      </c>
      <c r="N698" t="s">
        <v>197</v>
      </c>
      <c r="R698" t="s">
        <v>53</v>
      </c>
      <c r="S698" t="s">
        <v>64</v>
      </c>
      <c r="T698" t="s">
        <v>76</v>
      </c>
      <c r="U698" t="s">
        <v>197</v>
      </c>
      <c r="V698" t="s">
        <v>197</v>
      </c>
      <c r="W698" t="s">
        <v>197</v>
      </c>
      <c r="X698" t="s">
        <v>195</v>
      </c>
      <c r="Y698" t="s">
        <v>198</v>
      </c>
    </row>
    <row r="699">
      <c r="A699">
        <v>2314</v>
      </c>
      <c r="B699" t="s">
        <v>20</v>
      </c>
      <c r="C699" t="s">
        <v>113</v>
      </c>
      <c r="D699" t="s">
        <v>195</v>
      </c>
      <c r="E699" t="s">
        <v>196</v>
      </c>
      <c r="F699">
        <v>43.5</v>
      </c>
      <c r="G699" t="s">
        <v>197</v>
      </c>
      <c r="H699" t="s">
        <v>94</v>
      </c>
      <c r="I699">
        <v>1</v>
      </c>
      <c r="J699" t="s">
        <v>195</v>
      </c>
      <c r="K699" t="s">
        <v>195</v>
      </c>
      <c r="L699" t="s">
        <v>94</v>
      </c>
      <c r="M699">
        <v>8.6</v>
      </c>
      <c r="N699" t="s">
        <v>195</v>
      </c>
      <c r="O699" t="s">
        <v>94</v>
      </c>
      <c r="P699">
        <v>10.3</v>
      </c>
      <c r="Q699" t="s">
        <v>195</v>
      </c>
      <c r="R699" t="s">
        <v>49</v>
      </c>
      <c r="T699" t="s">
        <v>76</v>
      </c>
      <c r="U699" t="s">
        <v>197</v>
      </c>
      <c r="V699" t="s">
        <v>197</v>
      </c>
      <c r="W699" t="s">
        <v>197</v>
      </c>
      <c r="X699" t="s">
        <v>195</v>
      </c>
      <c r="Y699" t="s">
        <v>198</v>
      </c>
    </row>
    <row r="700">
      <c r="A700">
        <v>2319</v>
      </c>
      <c r="B700" t="s">
        <v>20</v>
      </c>
      <c r="C700" t="s">
        <v>113</v>
      </c>
      <c r="D700" t="s">
        <v>195</v>
      </c>
      <c r="E700" t="s">
        <v>196</v>
      </c>
      <c r="F700">
        <v>0.9</v>
      </c>
      <c r="G700" t="s">
        <v>197</v>
      </c>
      <c r="H700" t="s">
        <v>95</v>
      </c>
      <c r="I700">
        <v>0.5</v>
      </c>
      <c r="J700" t="s">
        <v>195</v>
      </c>
      <c r="K700" t="s">
        <v>195</v>
      </c>
      <c r="L700" t="s">
        <v>95</v>
      </c>
      <c r="M700">
        <v>6</v>
      </c>
      <c r="N700" t="s">
        <v>195</v>
      </c>
      <c r="O700" t="s">
        <v>95</v>
      </c>
      <c r="P700">
        <v>7.1</v>
      </c>
      <c r="Q700" t="s">
        <v>195</v>
      </c>
      <c r="R700" t="s">
        <v>49</v>
      </c>
      <c r="T700" t="s">
        <v>76</v>
      </c>
      <c r="U700" t="s">
        <v>197</v>
      </c>
      <c r="V700" t="s">
        <v>197</v>
      </c>
      <c r="W700" t="s">
        <v>197</v>
      </c>
      <c r="X700" t="s">
        <v>195</v>
      </c>
      <c r="Y700" t="s">
        <v>198</v>
      </c>
    </row>
    <row r="701">
      <c r="A701">
        <v>2321</v>
      </c>
      <c r="B701" t="s">
        <v>20</v>
      </c>
      <c r="C701" t="s">
        <v>113</v>
      </c>
      <c r="D701" t="s">
        <v>195</v>
      </c>
      <c r="E701" t="s">
        <v>196</v>
      </c>
      <c r="F701">
        <v>1.4</v>
      </c>
      <c r="G701" t="s">
        <v>197</v>
      </c>
      <c r="H701" t="s">
        <v>94</v>
      </c>
      <c r="I701">
        <v>0.9</v>
      </c>
      <c r="J701" t="s">
        <v>195</v>
      </c>
      <c r="K701" t="s">
        <v>195</v>
      </c>
      <c r="L701" t="s">
        <v>94</v>
      </c>
      <c r="M701">
        <v>8.699999999999999</v>
      </c>
      <c r="N701" t="s">
        <v>195</v>
      </c>
      <c r="O701" t="s">
        <v>94</v>
      </c>
      <c r="P701">
        <v>8.800000000000001</v>
      </c>
      <c r="Q701" t="s">
        <v>195</v>
      </c>
      <c r="R701" t="s">
        <v>49</v>
      </c>
      <c r="T701" t="s">
        <v>76</v>
      </c>
      <c r="U701" t="s">
        <v>197</v>
      </c>
      <c r="V701" t="s">
        <v>197</v>
      </c>
      <c r="W701" t="s">
        <v>197</v>
      </c>
      <c r="X701" t="s">
        <v>195</v>
      </c>
      <c r="Y701" t="s">
        <v>198</v>
      </c>
    </row>
    <row r="702">
      <c r="A702">
        <v>2318</v>
      </c>
      <c r="B702" t="s">
        <v>20</v>
      </c>
      <c r="C702" t="s">
        <v>113</v>
      </c>
      <c r="D702" t="s">
        <v>195</v>
      </c>
      <c r="E702" t="s">
        <v>200</v>
      </c>
      <c r="F702">
        <v>469.9</v>
      </c>
      <c r="G702" t="s">
        <v>195</v>
      </c>
      <c r="H702" t="s">
        <v>94</v>
      </c>
      <c r="I702">
        <v>1.4</v>
      </c>
      <c r="J702" t="s">
        <v>197</v>
      </c>
      <c r="K702" t="s">
        <v>197</v>
      </c>
      <c r="L702">
        <v/>
      </c>
      <c r="N702" t="s">
        <v>197</v>
      </c>
      <c r="R702" t="s">
        <v>53</v>
      </c>
      <c r="S702" t="s">
        <v>64</v>
      </c>
      <c r="T702" t="s">
        <v>78</v>
      </c>
      <c r="U702" t="s">
        <v>197</v>
      </c>
      <c r="V702" t="s">
        <v>197</v>
      </c>
      <c r="W702" t="s">
        <v>197</v>
      </c>
      <c r="X702" t="s">
        <v>195</v>
      </c>
      <c r="Y702" t="s">
        <v>198</v>
      </c>
    </row>
    <row r="703">
      <c r="A703">
        <v>2320</v>
      </c>
      <c r="B703" t="s">
        <v>20</v>
      </c>
      <c r="C703" t="s">
        <v>113</v>
      </c>
      <c r="D703" t="s">
        <v>197</v>
      </c>
      <c r="E703" t="s">
        <v>201</v>
      </c>
      <c r="U703" t="s">
        <v>197</v>
      </c>
      <c r="V703" t="s">
        <v>197</v>
      </c>
      <c r="W703" t="s">
        <v>197</v>
      </c>
      <c r="X703" t="s">
        <v>195</v>
      </c>
      <c r="Y703" t="s">
        <v>198</v>
      </c>
    </row>
    <row r="704">
      <c r="A704">
        <v>2326</v>
      </c>
      <c r="B704" t="s">
        <v>199</v>
      </c>
      <c r="C704" t="s">
        <v>113</v>
      </c>
      <c r="D704" t="s">
        <v>195</v>
      </c>
      <c r="E704" t="s">
        <v>196</v>
      </c>
      <c r="F704">
        <v>7.6</v>
      </c>
      <c r="G704" t="s">
        <v>197</v>
      </c>
      <c r="H704" t="s">
        <v>95</v>
      </c>
      <c r="I704">
        <v>0.2</v>
      </c>
      <c r="J704" t="s">
        <v>195</v>
      </c>
      <c r="K704" t="s">
        <v>195</v>
      </c>
      <c r="L704" t="s">
        <v>95</v>
      </c>
      <c r="M704">
        <v>5.5</v>
      </c>
      <c r="N704" t="s">
        <v>195</v>
      </c>
      <c r="O704" t="s">
        <v>95</v>
      </c>
      <c r="P704">
        <v>6.8</v>
      </c>
      <c r="Q704" t="s">
        <v>195</v>
      </c>
      <c r="R704" t="s">
        <v>49</v>
      </c>
      <c r="T704" t="s">
        <v>76</v>
      </c>
      <c r="U704" t="s">
        <v>197</v>
      </c>
      <c r="V704" t="s">
        <v>197</v>
      </c>
      <c r="W704" t="s">
        <v>197</v>
      </c>
      <c r="X704" t="s">
        <v>195</v>
      </c>
      <c r="Y704" t="s">
        <v>198</v>
      </c>
    </row>
    <row r="705">
      <c r="A705">
        <v>2328</v>
      </c>
      <c r="B705" t="s">
        <v>20</v>
      </c>
      <c r="C705" t="s">
        <v>113</v>
      </c>
      <c r="D705" t="s">
        <v>197</v>
      </c>
      <c r="E705" t="s">
        <v>201</v>
      </c>
      <c r="U705" t="s">
        <v>197</v>
      </c>
      <c r="V705" t="s">
        <v>197</v>
      </c>
      <c r="W705" t="s">
        <v>197</v>
      </c>
      <c r="X705" t="s">
        <v>195</v>
      </c>
      <c r="Y705" t="s">
        <v>198</v>
      </c>
    </row>
    <row r="706">
      <c r="A706">
        <v>2337</v>
      </c>
      <c r="B706" t="s">
        <v>199</v>
      </c>
      <c r="C706" t="s">
        <v>113</v>
      </c>
      <c r="D706" t="s">
        <v>195</v>
      </c>
      <c r="E706" t="s">
        <v>196</v>
      </c>
      <c r="F706">
        <v>0.2</v>
      </c>
      <c r="G706" t="s">
        <v>197</v>
      </c>
      <c r="H706" t="s">
        <v>93</v>
      </c>
      <c r="I706">
        <v>5.5</v>
      </c>
      <c r="J706" t="s">
        <v>195</v>
      </c>
      <c r="K706" t="s">
        <v>195</v>
      </c>
      <c r="L706" t="s">
        <v>93</v>
      </c>
      <c r="M706">
        <v>15.9</v>
      </c>
      <c r="N706" t="s">
        <v>195</v>
      </c>
      <c r="O706" t="s">
        <v>93</v>
      </c>
      <c r="P706">
        <v>16</v>
      </c>
      <c r="Q706" t="s">
        <v>195</v>
      </c>
      <c r="R706" t="s">
        <v>49</v>
      </c>
      <c r="T706" t="s">
        <v>76</v>
      </c>
      <c r="U706" t="s">
        <v>197</v>
      </c>
      <c r="V706" t="s">
        <v>197</v>
      </c>
      <c r="W706" t="s">
        <v>197</v>
      </c>
      <c r="X706" t="s">
        <v>195</v>
      </c>
      <c r="Y706" t="s">
        <v>198</v>
      </c>
    </row>
    <row r="707">
      <c r="A707">
        <v>2336</v>
      </c>
      <c r="B707" t="s">
        <v>20</v>
      </c>
      <c r="C707" t="s">
        <v>113</v>
      </c>
      <c r="D707" t="s">
        <v>195</v>
      </c>
      <c r="E707" t="s">
        <v>200</v>
      </c>
      <c r="F707">
        <v>4020.1</v>
      </c>
      <c r="G707" t="s">
        <v>197</v>
      </c>
      <c r="H707" t="s">
        <v>96</v>
      </c>
      <c r="I707">
        <v>0.4</v>
      </c>
      <c r="J707" t="s">
        <v>197</v>
      </c>
      <c r="K707" t="s">
        <v>197</v>
      </c>
      <c r="L707">
        <v/>
      </c>
      <c r="N707" t="s">
        <v>197</v>
      </c>
      <c r="R707" t="s">
        <v>53</v>
      </c>
      <c r="S707" t="s">
        <v>64</v>
      </c>
      <c r="T707" t="s">
        <v>76</v>
      </c>
      <c r="U707" t="s">
        <v>197</v>
      </c>
      <c r="V707" t="s">
        <v>197</v>
      </c>
      <c r="W707" t="s">
        <v>197</v>
      </c>
      <c r="X707" t="s">
        <v>195</v>
      </c>
      <c r="Y707" t="s">
        <v>198</v>
      </c>
    </row>
    <row r="708">
      <c r="A708">
        <v>2338</v>
      </c>
      <c r="B708" t="s">
        <v>20</v>
      </c>
      <c r="C708" t="s">
        <v>113</v>
      </c>
      <c r="D708" t="s">
        <v>195</v>
      </c>
      <c r="E708" t="s">
        <v>196</v>
      </c>
      <c r="F708">
        <v>0.2</v>
      </c>
      <c r="G708" t="s">
        <v>197</v>
      </c>
      <c r="H708" t="s">
        <v>93</v>
      </c>
      <c r="I708">
        <v>3.8</v>
      </c>
      <c r="J708" t="s">
        <v>197</v>
      </c>
      <c r="K708" t="s">
        <v>197</v>
      </c>
      <c r="L708">
        <v/>
      </c>
      <c r="N708" t="s">
        <v>197</v>
      </c>
      <c r="R708" t="s">
        <v>53</v>
      </c>
      <c r="S708" t="s">
        <v>64</v>
      </c>
      <c r="T708" t="s">
        <v>76</v>
      </c>
      <c r="U708" t="s">
        <v>197</v>
      </c>
      <c r="V708" t="s">
        <v>197</v>
      </c>
      <c r="W708" t="s">
        <v>197</v>
      </c>
      <c r="X708" t="s">
        <v>195</v>
      </c>
      <c r="Y708" t="s">
        <v>198</v>
      </c>
    </row>
    <row r="709">
      <c r="A709">
        <v>2331</v>
      </c>
      <c r="B709" t="s">
        <v>20</v>
      </c>
      <c r="C709" t="s">
        <v>113</v>
      </c>
      <c r="D709" t="s">
        <v>195</v>
      </c>
      <c r="E709" t="s">
        <v>196</v>
      </c>
      <c r="F709">
        <v>104.7</v>
      </c>
      <c r="G709" t="s">
        <v>197</v>
      </c>
      <c r="H709" t="s">
        <v>95</v>
      </c>
      <c r="I709">
        <v>0.3</v>
      </c>
      <c r="J709" t="s">
        <v>195</v>
      </c>
      <c r="K709" t="s">
        <v>195</v>
      </c>
      <c r="L709" t="s">
        <v>95</v>
      </c>
      <c r="M709">
        <v>2.9</v>
      </c>
      <c r="N709" t="s">
        <v>195</v>
      </c>
      <c r="O709" t="s">
        <v>95</v>
      </c>
      <c r="P709">
        <v>4.3</v>
      </c>
      <c r="Q709" t="s">
        <v>195</v>
      </c>
      <c r="R709" t="s">
        <v>49</v>
      </c>
      <c r="T709" t="s">
        <v>76</v>
      </c>
      <c r="U709" t="s">
        <v>197</v>
      </c>
      <c r="V709" t="s">
        <v>197</v>
      </c>
      <c r="W709" t="s">
        <v>197</v>
      </c>
      <c r="X709" t="s">
        <v>195</v>
      </c>
      <c r="Y709" t="s">
        <v>198</v>
      </c>
    </row>
    <row r="710">
      <c r="A710">
        <v>2342</v>
      </c>
      <c r="B710" t="s">
        <v>20</v>
      </c>
      <c r="C710" t="s">
        <v>113</v>
      </c>
      <c r="D710" t="s">
        <v>197</v>
      </c>
      <c r="E710" t="s">
        <v>201</v>
      </c>
      <c r="U710" t="s">
        <v>197</v>
      </c>
      <c r="V710" t="s">
        <v>197</v>
      </c>
      <c r="W710" t="s">
        <v>197</v>
      </c>
      <c r="X710" t="s">
        <v>195</v>
      </c>
      <c r="Y710" t="s">
        <v>198</v>
      </c>
    </row>
    <row r="711">
      <c r="A711">
        <v>2347</v>
      </c>
      <c r="B711" t="s">
        <v>20</v>
      </c>
      <c r="C711" t="s">
        <v>113</v>
      </c>
      <c r="D711" t="s">
        <v>195</v>
      </c>
      <c r="E711" t="s">
        <v>196</v>
      </c>
      <c r="F711">
        <v>5.3</v>
      </c>
      <c r="G711" t="s">
        <v>197</v>
      </c>
      <c r="H711" t="s">
        <v>94</v>
      </c>
      <c r="I711">
        <v>3.7</v>
      </c>
      <c r="J711" t="s">
        <v>195</v>
      </c>
      <c r="K711" t="s">
        <v>195</v>
      </c>
      <c r="L711" t="s">
        <v>94</v>
      </c>
      <c r="M711">
        <v>7.6</v>
      </c>
      <c r="N711" t="s">
        <v>195</v>
      </c>
      <c r="O711" t="s">
        <v>94</v>
      </c>
      <c r="P711">
        <v>9.1</v>
      </c>
      <c r="Q711" t="s">
        <v>195</v>
      </c>
      <c r="R711" t="s">
        <v>49</v>
      </c>
      <c r="T711" t="s">
        <v>76</v>
      </c>
      <c r="U711" t="s">
        <v>197</v>
      </c>
      <c r="V711" t="s">
        <v>197</v>
      </c>
      <c r="W711" t="s">
        <v>197</v>
      </c>
      <c r="X711" t="s">
        <v>195</v>
      </c>
      <c r="Y711" t="s">
        <v>198</v>
      </c>
    </row>
    <row r="712">
      <c r="A712">
        <v>2349</v>
      </c>
      <c r="B712" t="s">
        <v>20</v>
      </c>
      <c r="C712" t="s">
        <v>113</v>
      </c>
      <c r="D712" t="s">
        <v>197</v>
      </c>
      <c r="E712" t="s">
        <v>201</v>
      </c>
      <c r="U712" t="s">
        <v>197</v>
      </c>
      <c r="V712" t="s">
        <v>197</v>
      </c>
      <c r="W712" t="s">
        <v>197</v>
      </c>
      <c r="X712" t="s">
        <v>195</v>
      </c>
      <c r="Y712" t="s">
        <v>198</v>
      </c>
    </row>
    <row r="713">
      <c r="A713">
        <v>2351</v>
      </c>
      <c r="B713" t="s">
        <v>20</v>
      </c>
      <c r="C713" t="s">
        <v>113</v>
      </c>
      <c r="D713" t="s">
        <v>197</v>
      </c>
      <c r="E713" t="s">
        <v>201</v>
      </c>
      <c r="U713" t="s">
        <v>197</v>
      </c>
      <c r="V713" t="s">
        <v>197</v>
      </c>
      <c r="W713" t="s">
        <v>197</v>
      </c>
      <c r="X713" t="s">
        <v>195</v>
      </c>
      <c r="Y713" t="s">
        <v>198</v>
      </c>
    </row>
    <row r="714">
      <c r="A714">
        <v>2345</v>
      </c>
      <c r="B714" t="s">
        <v>194</v>
      </c>
      <c r="C714" t="s">
        <v>113</v>
      </c>
      <c r="D714" t="s">
        <v>197</v>
      </c>
      <c r="E714" t="s">
        <v>201</v>
      </c>
      <c r="U714" t="s">
        <v>197</v>
      </c>
      <c r="V714" t="s">
        <v>197</v>
      </c>
      <c r="W714" t="s">
        <v>197</v>
      </c>
      <c r="X714" t="s">
        <v>195</v>
      </c>
      <c r="Y714" t="s">
        <v>198</v>
      </c>
    </row>
    <row r="715">
      <c r="A715">
        <v>2353</v>
      </c>
      <c r="B715" t="s">
        <v>20</v>
      </c>
      <c r="C715" t="s">
        <v>113</v>
      </c>
      <c r="D715" t="s">
        <v>197</v>
      </c>
      <c r="E715" t="s">
        <v>201</v>
      </c>
      <c r="U715" t="s">
        <v>197</v>
      </c>
      <c r="V715" t="s">
        <v>197</v>
      </c>
      <c r="W715" t="s">
        <v>197</v>
      </c>
      <c r="X715" t="s">
        <v>195</v>
      </c>
      <c r="Y715" t="s">
        <v>198</v>
      </c>
    </row>
    <row r="716">
      <c r="A716">
        <v>2352</v>
      </c>
      <c r="B716" t="s">
        <v>194</v>
      </c>
      <c r="C716" t="s">
        <v>113</v>
      </c>
      <c r="D716" t="s">
        <v>197</v>
      </c>
      <c r="E716" t="s">
        <v>201</v>
      </c>
      <c r="U716" t="s">
        <v>197</v>
      </c>
      <c r="V716" t="s">
        <v>197</v>
      </c>
      <c r="W716" t="s">
        <v>197</v>
      </c>
      <c r="X716" t="s">
        <v>195</v>
      </c>
      <c r="Y716" t="s">
        <v>198</v>
      </c>
    </row>
    <row r="717">
      <c r="A717">
        <v>2359</v>
      </c>
      <c r="B717" t="s">
        <v>20</v>
      </c>
      <c r="C717" t="s">
        <v>113</v>
      </c>
      <c r="D717" t="s">
        <v>197</v>
      </c>
      <c r="E717" t="s">
        <v>201</v>
      </c>
      <c r="U717" t="s">
        <v>197</v>
      </c>
      <c r="V717" t="s">
        <v>197</v>
      </c>
      <c r="W717" t="s">
        <v>197</v>
      </c>
      <c r="X717" t="s">
        <v>195</v>
      </c>
      <c r="Y717" t="s">
        <v>198</v>
      </c>
    </row>
    <row r="718">
      <c r="A718">
        <v>2363</v>
      </c>
      <c r="B718" t="s">
        <v>194</v>
      </c>
      <c r="C718" t="s">
        <v>113</v>
      </c>
      <c r="D718" t="s">
        <v>197</v>
      </c>
      <c r="E718" t="s">
        <v>201</v>
      </c>
      <c r="U718" t="s">
        <v>197</v>
      </c>
      <c r="V718" t="s">
        <v>197</v>
      </c>
      <c r="W718" t="s">
        <v>197</v>
      </c>
      <c r="X718" t="s">
        <v>195</v>
      </c>
      <c r="Y718" t="s">
        <v>198</v>
      </c>
    </row>
    <row r="719">
      <c r="A719">
        <v>2365</v>
      </c>
      <c r="B719" t="s">
        <v>20</v>
      </c>
      <c r="C719" t="s">
        <v>113</v>
      </c>
      <c r="D719" t="s">
        <v>195</v>
      </c>
      <c r="E719" t="s">
        <v>200</v>
      </c>
      <c r="F719">
        <v>965.5</v>
      </c>
      <c r="G719" t="s">
        <v>197</v>
      </c>
      <c r="H719" t="s">
        <v>93</v>
      </c>
      <c r="I719">
        <v>5.3</v>
      </c>
      <c r="J719" t="s">
        <v>195</v>
      </c>
      <c r="K719" t="s">
        <v>195</v>
      </c>
      <c r="L719" t="s">
        <v>93</v>
      </c>
      <c r="M719">
        <v>16.3</v>
      </c>
      <c r="N719" t="s">
        <v>195</v>
      </c>
      <c r="O719" t="s">
        <v>93</v>
      </c>
      <c r="P719">
        <v>16.6</v>
      </c>
      <c r="Q719" t="s">
        <v>197</v>
      </c>
      <c r="R719" t="s">
        <v>49</v>
      </c>
      <c r="T719" t="s">
        <v>76</v>
      </c>
      <c r="U719" t="s">
        <v>197</v>
      </c>
      <c r="V719" t="s">
        <v>197</v>
      </c>
      <c r="W719" t="s">
        <v>197</v>
      </c>
      <c r="X719" t="s">
        <v>195</v>
      </c>
      <c r="Y719" t="s">
        <v>198</v>
      </c>
    </row>
    <row r="720">
      <c r="A720">
        <v>2366</v>
      </c>
      <c r="B720" t="s">
        <v>199</v>
      </c>
      <c r="C720" t="s">
        <v>113</v>
      </c>
      <c r="D720" t="s">
        <v>197</v>
      </c>
      <c r="E720" t="s">
        <v>201</v>
      </c>
      <c r="U720" t="s">
        <v>197</v>
      </c>
      <c r="V720" t="s">
        <v>197</v>
      </c>
      <c r="W720" t="s">
        <v>197</v>
      </c>
      <c r="X720" t="s">
        <v>195</v>
      </c>
      <c r="Y720" t="s">
        <v>198</v>
      </c>
    </row>
    <row r="721">
      <c r="A721">
        <v>2374</v>
      </c>
      <c r="B721" t="s">
        <v>194</v>
      </c>
      <c r="C721" t="s">
        <v>113</v>
      </c>
      <c r="D721" t="s">
        <v>195</v>
      </c>
      <c r="E721" t="s">
        <v>196</v>
      </c>
      <c r="F721">
        <v>0.4</v>
      </c>
      <c r="G721" t="s">
        <v>197</v>
      </c>
      <c r="H721" t="s">
        <v>94</v>
      </c>
      <c r="I721">
        <v>1.5</v>
      </c>
      <c r="J721" t="s">
        <v>195</v>
      </c>
      <c r="K721" t="s">
        <v>195</v>
      </c>
      <c r="L721" t="s">
        <v>94</v>
      </c>
      <c r="M721">
        <v>5.7</v>
      </c>
      <c r="N721" t="s">
        <v>195</v>
      </c>
      <c r="O721" t="s">
        <v>94</v>
      </c>
      <c r="P721">
        <v>5.7</v>
      </c>
      <c r="Q721" t="s">
        <v>195</v>
      </c>
      <c r="R721" t="s">
        <v>49</v>
      </c>
      <c r="T721" t="s">
        <v>77</v>
      </c>
      <c r="U721" t="s">
        <v>197</v>
      </c>
      <c r="V721" t="s">
        <v>197</v>
      </c>
      <c r="W721" t="s">
        <v>197</v>
      </c>
      <c r="X721" t="s">
        <v>195</v>
      </c>
      <c r="Y721" t="s">
        <v>198</v>
      </c>
    </row>
    <row r="722">
      <c r="A722">
        <v>2378</v>
      </c>
      <c r="B722" t="s">
        <v>194</v>
      </c>
      <c r="C722" t="s">
        <v>113</v>
      </c>
      <c r="D722" t="s">
        <v>197</v>
      </c>
      <c r="E722" t="s">
        <v>201</v>
      </c>
      <c r="U722" t="s">
        <v>197</v>
      </c>
      <c r="V722" t="s">
        <v>197</v>
      </c>
      <c r="W722" t="s">
        <v>197</v>
      </c>
      <c r="X722" t="s">
        <v>195</v>
      </c>
      <c r="Y722" t="s">
        <v>198</v>
      </c>
    </row>
    <row r="723">
      <c r="A723">
        <v>2369</v>
      </c>
      <c r="B723" t="s">
        <v>194</v>
      </c>
      <c r="C723" t="s">
        <v>113</v>
      </c>
      <c r="D723" t="s">
        <v>197</v>
      </c>
      <c r="E723" t="s">
        <v>201</v>
      </c>
      <c r="U723" t="s">
        <v>197</v>
      </c>
      <c r="V723" t="s">
        <v>197</v>
      </c>
      <c r="W723" t="s">
        <v>197</v>
      </c>
      <c r="X723" t="s">
        <v>195</v>
      </c>
      <c r="Y723" t="s">
        <v>198</v>
      </c>
    </row>
    <row r="724">
      <c r="A724">
        <v>2371</v>
      </c>
      <c r="B724" t="s">
        <v>20</v>
      </c>
      <c r="C724" t="s">
        <v>113</v>
      </c>
      <c r="D724" t="s">
        <v>195</v>
      </c>
      <c r="E724" t="s">
        <v>196</v>
      </c>
      <c r="F724">
        <v>0.5</v>
      </c>
      <c r="G724" t="s">
        <v>197</v>
      </c>
      <c r="H724" t="s">
        <v>94</v>
      </c>
      <c r="I724">
        <v>0.4</v>
      </c>
      <c r="J724" t="s">
        <v>195</v>
      </c>
      <c r="K724" t="s">
        <v>195</v>
      </c>
      <c r="L724" t="s">
        <v>94</v>
      </c>
      <c r="M724">
        <v>6.3</v>
      </c>
      <c r="N724" t="s">
        <v>195</v>
      </c>
      <c r="O724" t="s">
        <v>94</v>
      </c>
      <c r="P724">
        <v>6.3</v>
      </c>
      <c r="Q724" t="s">
        <v>195</v>
      </c>
      <c r="R724" t="s">
        <v>49</v>
      </c>
      <c r="T724" t="s">
        <v>77</v>
      </c>
      <c r="U724" t="s">
        <v>197</v>
      </c>
      <c r="V724" t="s">
        <v>197</v>
      </c>
      <c r="W724" t="s">
        <v>197</v>
      </c>
      <c r="X724" t="s">
        <v>195</v>
      </c>
      <c r="Y724" t="s">
        <v>198</v>
      </c>
    </row>
    <row r="725">
      <c r="A725">
        <v>2380</v>
      </c>
      <c r="B725" t="s">
        <v>20</v>
      </c>
      <c r="C725" t="s">
        <v>113</v>
      </c>
      <c r="D725" t="s">
        <v>197</v>
      </c>
      <c r="E725" t="s">
        <v>201</v>
      </c>
      <c r="U725" t="s">
        <v>197</v>
      </c>
      <c r="V725" t="s">
        <v>197</v>
      </c>
      <c r="W725" t="s">
        <v>197</v>
      </c>
      <c r="X725" t="s">
        <v>195</v>
      </c>
      <c r="Y725" t="s">
        <v>198</v>
      </c>
    </row>
    <row r="726">
      <c r="A726">
        <v>2373</v>
      </c>
      <c r="B726" t="s">
        <v>20</v>
      </c>
      <c r="C726" t="s">
        <v>113</v>
      </c>
      <c r="D726" t="s">
        <v>195</v>
      </c>
      <c r="E726" t="s">
        <v>196</v>
      </c>
      <c r="F726">
        <v>0.3</v>
      </c>
      <c r="G726" t="s">
        <v>197</v>
      </c>
      <c r="H726" t="s">
        <v>94</v>
      </c>
      <c r="I726">
        <v>0.3</v>
      </c>
      <c r="J726" t="s">
        <v>195</v>
      </c>
      <c r="K726" t="s">
        <v>195</v>
      </c>
      <c r="L726" t="s">
        <v>94</v>
      </c>
      <c r="M726">
        <v>7.5</v>
      </c>
      <c r="N726" t="s">
        <v>195</v>
      </c>
      <c r="O726" t="s">
        <v>94</v>
      </c>
      <c r="P726">
        <v>7.7</v>
      </c>
      <c r="Q726" t="s">
        <v>195</v>
      </c>
      <c r="R726" t="s">
        <v>49</v>
      </c>
      <c r="T726" t="s">
        <v>77</v>
      </c>
      <c r="U726" t="s">
        <v>197</v>
      </c>
      <c r="V726" t="s">
        <v>197</v>
      </c>
      <c r="W726" t="s">
        <v>197</v>
      </c>
      <c r="X726" t="s">
        <v>195</v>
      </c>
      <c r="Y726" t="s">
        <v>198</v>
      </c>
    </row>
    <row r="727">
      <c r="A727">
        <v>2383</v>
      </c>
      <c r="B727" t="s">
        <v>20</v>
      </c>
      <c r="C727" t="s">
        <v>113</v>
      </c>
      <c r="D727" t="s">
        <v>195</v>
      </c>
      <c r="E727" t="s">
        <v>196</v>
      </c>
      <c r="F727">
        <v>4.9</v>
      </c>
      <c r="G727" t="s">
        <v>195</v>
      </c>
      <c r="H727" t="s">
        <v>94</v>
      </c>
      <c r="I727">
        <v>1.5</v>
      </c>
      <c r="J727" t="s">
        <v>195</v>
      </c>
      <c r="K727" t="s">
        <v>195</v>
      </c>
      <c r="L727" t="s">
        <v>94</v>
      </c>
      <c r="M727">
        <v>7.8</v>
      </c>
      <c r="N727" t="s">
        <v>195</v>
      </c>
      <c r="O727" t="s">
        <v>94</v>
      </c>
      <c r="P727">
        <v>7.9</v>
      </c>
      <c r="Q727" t="s">
        <v>195</v>
      </c>
      <c r="R727" t="s">
        <v>49</v>
      </c>
      <c r="T727" t="s">
        <v>77</v>
      </c>
      <c r="U727" t="s">
        <v>197</v>
      </c>
      <c r="V727" t="s">
        <v>197</v>
      </c>
      <c r="W727" t="s">
        <v>197</v>
      </c>
      <c r="X727" t="s">
        <v>195</v>
      </c>
      <c r="Y727" t="s">
        <v>203</v>
      </c>
    </row>
    <row r="728">
      <c r="A728">
        <v>2394</v>
      </c>
      <c r="B728" t="s">
        <v>20</v>
      </c>
      <c r="C728" t="s">
        <v>113</v>
      </c>
      <c r="D728" t="s">
        <v>195</v>
      </c>
      <c r="E728" t="s">
        <v>196</v>
      </c>
      <c r="F728">
        <v>2.9</v>
      </c>
      <c r="G728" t="s">
        <v>197</v>
      </c>
      <c r="H728" t="s">
        <v>95</v>
      </c>
      <c r="I728">
        <v>1.3</v>
      </c>
      <c r="J728" t="s">
        <v>195</v>
      </c>
      <c r="K728" t="s">
        <v>195</v>
      </c>
      <c r="L728" t="s">
        <v>95</v>
      </c>
      <c r="M728">
        <v>4.5</v>
      </c>
      <c r="N728" t="s">
        <v>195</v>
      </c>
      <c r="O728" t="s">
        <v>95</v>
      </c>
      <c r="P728">
        <v>6</v>
      </c>
      <c r="Q728" t="s">
        <v>195</v>
      </c>
      <c r="R728" t="s">
        <v>49</v>
      </c>
      <c r="T728" t="s">
        <v>77</v>
      </c>
      <c r="U728" t="s">
        <v>197</v>
      </c>
      <c r="V728" t="s">
        <v>197</v>
      </c>
      <c r="W728" t="s">
        <v>197</v>
      </c>
      <c r="X728" t="s">
        <v>195</v>
      </c>
      <c r="Y728" t="s">
        <v>198</v>
      </c>
    </row>
    <row r="729">
      <c r="A729">
        <v>2405</v>
      </c>
      <c r="B729" t="s">
        <v>20</v>
      </c>
      <c r="C729" t="s">
        <v>113</v>
      </c>
      <c r="D729" t="s">
        <v>197</v>
      </c>
      <c r="E729" t="s">
        <v>201</v>
      </c>
      <c r="U729" t="s">
        <v>197</v>
      </c>
      <c r="V729" t="s">
        <v>197</v>
      </c>
      <c r="W729" t="s">
        <v>197</v>
      </c>
      <c r="X729" t="s">
        <v>195</v>
      </c>
      <c r="Y729" t="s">
        <v>198</v>
      </c>
    </row>
    <row r="730">
      <c r="A730">
        <v>2413</v>
      </c>
      <c r="B730" t="s">
        <v>20</v>
      </c>
      <c r="C730" t="s">
        <v>113</v>
      </c>
      <c r="D730" t="s">
        <v>195</v>
      </c>
      <c r="E730" t="s">
        <v>200</v>
      </c>
      <c r="F730">
        <v>220.6</v>
      </c>
      <c r="G730" t="s">
        <v>197</v>
      </c>
      <c r="H730" t="s">
        <v>93</v>
      </c>
      <c r="I730">
        <v>0.5</v>
      </c>
      <c r="J730" t="s">
        <v>197</v>
      </c>
      <c r="K730" t="s">
        <v>197</v>
      </c>
      <c r="L730">
        <v/>
      </c>
      <c r="N730" t="s">
        <v>197</v>
      </c>
      <c r="R730" t="s">
        <v>53</v>
      </c>
      <c r="S730" t="s">
        <v>64</v>
      </c>
      <c r="T730" t="s">
        <v>76</v>
      </c>
      <c r="U730" t="s">
        <v>197</v>
      </c>
      <c r="V730" t="s">
        <v>197</v>
      </c>
      <c r="W730" t="s">
        <v>197</v>
      </c>
      <c r="X730" t="s">
        <v>195</v>
      </c>
      <c r="Y730" t="s">
        <v>198</v>
      </c>
    </row>
    <row r="731">
      <c r="A731">
        <v>2415</v>
      </c>
      <c r="B731" t="s">
        <v>20</v>
      </c>
      <c r="C731" t="s">
        <v>113</v>
      </c>
      <c r="D731" t="s">
        <v>195</v>
      </c>
      <c r="E731" t="s">
        <v>200</v>
      </c>
      <c r="F731">
        <v>472.2</v>
      </c>
      <c r="G731" t="s">
        <v>197</v>
      </c>
      <c r="H731" t="s">
        <v>93</v>
      </c>
      <c r="I731">
        <v>0.5</v>
      </c>
      <c r="J731" t="s">
        <v>197</v>
      </c>
      <c r="K731" t="s">
        <v>197</v>
      </c>
      <c r="L731">
        <v/>
      </c>
      <c r="N731" t="s">
        <v>197</v>
      </c>
      <c r="R731" t="s">
        <v>53</v>
      </c>
      <c r="S731" t="s">
        <v>64</v>
      </c>
      <c r="T731" t="s">
        <v>76</v>
      </c>
      <c r="U731" t="s">
        <v>197</v>
      </c>
      <c r="V731" t="s">
        <v>197</v>
      </c>
      <c r="W731" t="s">
        <v>197</v>
      </c>
      <c r="X731" t="s">
        <v>195</v>
      </c>
      <c r="Y731" t="s">
        <v>198</v>
      </c>
    </row>
    <row r="732">
      <c r="A732">
        <v>2399</v>
      </c>
      <c r="B732" t="s">
        <v>20</v>
      </c>
      <c r="C732" t="s">
        <v>113</v>
      </c>
      <c r="D732" t="s">
        <v>195</v>
      </c>
      <c r="E732" t="s">
        <v>196</v>
      </c>
      <c r="F732">
        <v>86</v>
      </c>
      <c r="G732" t="s">
        <v>197</v>
      </c>
      <c r="H732" t="s">
        <v>93</v>
      </c>
      <c r="I732">
        <v>0.2</v>
      </c>
      <c r="J732" t="s">
        <v>195</v>
      </c>
      <c r="K732" t="s">
        <v>195</v>
      </c>
      <c r="L732" t="s">
        <v>93</v>
      </c>
      <c r="M732">
        <v>4.3</v>
      </c>
      <c r="N732" t="s">
        <v>195</v>
      </c>
      <c r="O732" t="s">
        <v>93</v>
      </c>
      <c r="P732">
        <v>4.5</v>
      </c>
      <c r="Q732" t="s">
        <v>195</v>
      </c>
      <c r="R732" t="s">
        <v>49</v>
      </c>
      <c r="T732" t="s">
        <v>76</v>
      </c>
      <c r="U732" t="s">
        <v>197</v>
      </c>
      <c r="V732" t="s">
        <v>197</v>
      </c>
      <c r="W732" t="s">
        <v>197</v>
      </c>
      <c r="X732" t="s">
        <v>195</v>
      </c>
      <c r="Y732" t="s">
        <v>198</v>
      </c>
    </row>
    <row r="733">
      <c r="A733">
        <v>2404</v>
      </c>
      <c r="B733" t="s">
        <v>199</v>
      </c>
      <c r="C733" t="s">
        <v>113</v>
      </c>
      <c r="D733" t="s">
        <v>197</v>
      </c>
      <c r="E733" t="s">
        <v>201</v>
      </c>
      <c r="U733" t="s">
        <v>197</v>
      </c>
      <c r="V733" t="s">
        <v>197</v>
      </c>
      <c r="W733" t="s">
        <v>197</v>
      </c>
      <c r="X733" t="s">
        <v>195</v>
      </c>
      <c r="Y733" t="s">
        <v>198</v>
      </c>
    </row>
    <row r="734">
      <c r="A734">
        <v>2411</v>
      </c>
      <c r="B734" t="s">
        <v>20</v>
      </c>
      <c r="C734" t="s">
        <v>113</v>
      </c>
      <c r="D734" t="s">
        <v>195</v>
      </c>
      <c r="E734" t="s">
        <v>200</v>
      </c>
      <c r="F734">
        <v>122.3</v>
      </c>
      <c r="G734" t="s">
        <v>195</v>
      </c>
      <c r="H734" t="s">
        <v>93</v>
      </c>
      <c r="I734">
        <v>0.3</v>
      </c>
      <c r="J734" t="s">
        <v>197</v>
      </c>
      <c r="K734" t="s">
        <v>197</v>
      </c>
      <c r="L734">
        <v/>
      </c>
      <c r="N734" t="s">
        <v>197</v>
      </c>
      <c r="R734" t="s">
        <v>53</v>
      </c>
      <c r="S734" t="s">
        <v>64</v>
      </c>
      <c r="T734" t="s">
        <v>76</v>
      </c>
      <c r="U734" t="s">
        <v>197</v>
      </c>
      <c r="V734" t="s">
        <v>197</v>
      </c>
      <c r="W734" t="s">
        <v>197</v>
      </c>
      <c r="X734" t="s">
        <v>195</v>
      </c>
      <c r="Y734" t="s">
        <v>198</v>
      </c>
    </row>
    <row r="735">
      <c r="A735">
        <v>2421</v>
      </c>
      <c r="B735" t="s">
        <v>20</v>
      </c>
      <c r="C735" t="s">
        <v>113</v>
      </c>
      <c r="D735" t="s">
        <v>195</v>
      </c>
      <c r="E735" t="s">
        <v>196</v>
      </c>
      <c r="F735">
        <v>2.3</v>
      </c>
      <c r="G735" t="s">
        <v>195</v>
      </c>
      <c r="H735" t="s">
        <v>93</v>
      </c>
      <c r="I735">
        <v>0.3</v>
      </c>
      <c r="J735" t="s">
        <v>195</v>
      </c>
      <c r="K735" t="s">
        <v>195</v>
      </c>
      <c r="L735" t="s">
        <v>93</v>
      </c>
      <c r="M735">
        <v>5.6</v>
      </c>
      <c r="N735" t="s">
        <v>195</v>
      </c>
      <c r="O735" t="s">
        <v>93</v>
      </c>
      <c r="P735">
        <v>6.1</v>
      </c>
      <c r="Q735" t="s">
        <v>195</v>
      </c>
      <c r="R735" t="s">
        <v>49</v>
      </c>
      <c r="T735" t="s">
        <v>76</v>
      </c>
      <c r="U735" t="s">
        <v>197</v>
      </c>
      <c r="V735" t="s">
        <v>197</v>
      </c>
      <c r="W735" t="s">
        <v>197</v>
      </c>
      <c r="X735" t="s">
        <v>195</v>
      </c>
      <c r="Y735" t="s">
        <v>198</v>
      </c>
    </row>
    <row r="736">
      <c r="A736">
        <v>2420</v>
      </c>
      <c r="B736" t="s">
        <v>20</v>
      </c>
      <c r="C736" t="s">
        <v>113</v>
      </c>
      <c r="D736" t="s">
        <v>197</v>
      </c>
      <c r="E736" t="s">
        <v>201</v>
      </c>
      <c r="U736" t="s">
        <v>197</v>
      </c>
      <c r="V736" t="s">
        <v>197</v>
      </c>
      <c r="W736" t="s">
        <v>197</v>
      </c>
      <c r="X736" t="s">
        <v>195</v>
      </c>
      <c r="Y736" t="s">
        <v>198</v>
      </c>
    </row>
    <row r="737">
      <c r="A737">
        <v>2427</v>
      </c>
      <c r="B737" t="s">
        <v>20</v>
      </c>
      <c r="C737" t="s">
        <v>113</v>
      </c>
      <c r="D737" t="s">
        <v>195</v>
      </c>
      <c r="E737" t="s">
        <v>200</v>
      </c>
      <c r="F737">
        <v>1660.3</v>
      </c>
      <c r="G737" t="s">
        <v>195</v>
      </c>
      <c r="H737" t="s">
        <v>93</v>
      </c>
      <c r="I737">
        <v>131.1</v>
      </c>
      <c r="J737" t="s">
        <v>197</v>
      </c>
      <c r="K737" t="s">
        <v>197</v>
      </c>
      <c r="L737">
        <v/>
      </c>
      <c r="N737" t="s">
        <v>197</v>
      </c>
      <c r="R737" t="s">
        <v>53</v>
      </c>
      <c r="S737" t="s">
        <v>64</v>
      </c>
      <c r="T737" t="s">
        <v>76</v>
      </c>
      <c r="U737" t="s">
        <v>195</v>
      </c>
      <c r="V737" t="s">
        <v>197</v>
      </c>
      <c r="W737" t="s">
        <v>197</v>
      </c>
      <c r="X737" t="s">
        <v>195</v>
      </c>
      <c r="Y737" t="s">
        <v>198</v>
      </c>
    </row>
    <row r="738">
      <c r="A738">
        <v>2429</v>
      </c>
      <c r="B738" t="s">
        <v>194</v>
      </c>
      <c r="C738" t="s">
        <v>113</v>
      </c>
      <c r="D738" t="s">
        <v>197</v>
      </c>
      <c r="E738" t="s">
        <v>201</v>
      </c>
      <c r="U738" t="s">
        <v>197</v>
      </c>
      <c r="V738" t="s">
        <v>197</v>
      </c>
      <c r="W738" t="s">
        <v>197</v>
      </c>
      <c r="X738" t="s">
        <v>195</v>
      </c>
      <c r="Y738" t="s">
        <v>198</v>
      </c>
    </row>
    <row r="739">
      <c r="A739">
        <v>2430</v>
      </c>
      <c r="B739" t="s">
        <v>20</v>
      </c>
      <c r="C739" t="s">
        <v>113</v>
      </c>
      <c r="D739" t="s">
        <v>197</v>
      </c>
      <c r="E739" t="s">
        <v>201</v>
      </c>
      <c r="U739" t="s">
        <v>197</v>
      </c>
      <c r="V739" t="s">
        <v>197</v>
      </c>
      <c r="W739" t="s">
        <v>197</v>
      </c>
      <c r="X739" t="s">
        <v>195</v>
      </c>
      <c r="Y739" t="s">
        <v>198</v>
      </c>
    </row>
    <row r="740">
      <c r="A740">
        <v>2433</v>
      </c>
      <c r="B740" t="s">
        <v>20</v>
      </c>
      <c r="C740" t="s">
        <v>113</v>
      </c>
      <c r="D740" t="s">
        <v>195</v>
      </c>
      <c r="E740" t="s">
        <v>196</v>
      </c>
      <c r="F740">
        <v>0.4</v>
      </c>
      <c r="G740" t="s">
        <v>195</v>
      </c>
      <c r="H740" t="s">
        <v>93</v>
      </c>
      <c r="I740">
        <v>1</v>
      </c>
      <c r="J740" t="s">
        <v>197</v>
      </c>
      <c r="K740" t="s">
        <v>195</v>
      </c>
      <c r="L740" t="s">
        <v>93</v>
      </c>
      <c r="M740">
        <v>9</v>
      </c>
      <c r="N740" t="s">
        <v>197</v>
      </c>
      <c r="R740" t="s">
        <v>52</v>
      </c>
      <c r="S740" t="s">
        <v>64</v>
      </c>
      <c r="T740" t="s">
        <v>76</v>
      </c>
      <c r="U740" t="s">
        <v>197</v>
      </c>
      <c r="V740" t="s">
        <v>197</v>
      </c>
      <c r="W740" t="s">
        <v>197</v>
      </c>
      <c r="X740" t="s">
        <v>195</v>
      </c>
      <c r="Y740" t="s">
        <v>198</v>
      </c>
    </row>
    <row r="741">
      <c r="A741">
        <v>2435</v>
      </c>
      <c r="B741" t="s">
        <v>20</v>
      </c>
      <c r="C741" t="s">
        <v>113</v>
      </c>
      <c r="D741" t="s">
        <v>195</v>
      </c>
      <c r="E741" t="s">
        <v>196</v>
      </c>
      <c r="F741">
        <v>15.9</v>
      </c>
      <c r="G741" t="s">
        <v>197</v>
      </c>
      <c r="H741" t="s">
        <v>93</v>
      </c>
      <c r="I741">
        <v>0.2</v>
      </c>
      <c r="J741" t="s">
        <v>195</v>
      </c>
      <c r="K741" t="s">
        <v>195</v>
      </c>
      <c r="L741" t="s">
        <v>93</v>
      </c>
      <c r="M741">
        <v>4.4</v>
      </c>
      <c r="N741" t="s">
        <v>195</v>
      </c>
      <c r="O741" t="s">
        <v>93</v>
      </c>
      <c r="P741">
        <v>4.6</v>
      </c>
      <c r="Q741" t="s">
        <v>195</v>
      </c>
      <c r="R741" t="s">
        <v>49</v>
      </c>
      <c r="T741" t="s">
        <v>76</v>
      </c>
      <c r="U741" t="s">
        <v>197</v>
      </c>
      <c r="V741" t="s">
        <v>197</v>
      </c>
      <c r="W741" t="s">
        <v>197</v>
      </c>
      <c r="X741" t="s">
        <v>195</v>
      </c>
      <c r="Y741" t="s">
        <v>198</v>
      </c>
    </row>
    <row r="742">
      <c r="A742">
        <v>2438</v>
      </c>
      <c r="B742" t="s">
        <v>194</v>
      </c>
      <c r="C742" t="s">
        <v>113</v>
      </c>
      <c r="D742" t="s">
        <v>195</v>
      </c>
      <c r="E742" t="s">
        <v>196</v>
      </c>
      <c r="F742">
        <v>27.5</v>
      </c>
      <c r="G742" t="s">
        <v>197</v>
      </c>
      <c r="H742" t="s">
        <v>93</v>
      </c>
      <c r="I742">
        <v>0.3</v>
      </c>
      <c r="J742" t="s">
        <v>195</v>
      </c>
      <c r="K742" t="s">
        <v>195</v>
      </c>
      <c r="L742" t="s">
        <v>93</v>
      </c>
      <c r="M742">
        <v>3.1</v>
      </c>
      <c r="N742" t="s">
        <v>195</v>
      </c>
      <c r="O742" t="s">
        <v>93</v>
      </c>
      <c r="P742">
        <v>3.2</v>
      </c>
      <c r="Q742" t="s">
        <v>195</v>
      </c>
      <c r="R742" t="s">
        <v>49</v>
      </c>
      <c r="T742" t="s">
        <v>76</v>
      </c>
      <c r="U742" t="s">
        <v>195</v>
      </c>
      <c r="V742" t="s">
        <v>195</v>
      </c>
      <c r="W742" t="s">
        <v>195</v>
      </c>
      <c r="X742" t="s">
        <v>195</v>
      </c>
      <c r="Y742" t="s">
        <v>104</v>
      </c>
    </row>
    <row r="743">
      <c r="A743">
        <v>2439</v>
      </c>
      <c r="B743" t="s">
        <v>20</v>
      </c>
      <c r="C743" t="s">
        <v>113</v>
      </c>
      <c r="D743" t="s">
        <v>195</v>
      </c>
      <c r="E743" t="s">
        <v>200</v>
      </c>
      <c r="F743">
        <v>2770.8</v>
      </c>
      <c r="G743" t="s">
        <v>197</v>
      </c>
      <c r="H743" t="s">
        <v>93</v>
      </c>
      <c r="I743">
        <v>1</v>
      </c>
      <c r="J743" t="s">
        <v>197</v>
      </c>
      <c r="K743" t="s">
        <v>197</v>
      </c>
      <c r="L743">
        <v/>
      </c>
      <c r="N743" t="s">
        <v>197</v>
      </c>
      <c r="R743" t="s">
        <v>53</v>
      </c>
      <c r="S743" t="s">
        <v>64</v>
      </c>
      <c r="T743" t="s">
        <v>76</v>
      </c>
      <c r="U743" t="s">
        <v>197</v>
      </c>
      <c r="V743" t="s">
        <v>197</v>
      </c>
      <c r="W743" t="s">
        <v>197</v>
      </c>
      <c r="X743" t="s">
        <v>195</v>
      </c>
      <c r="Y743" t="s">
        <v>198</v>
      </c>
    </row>
    <row r="744">
      <c r="A744">
        <v>2442</v>
      </c>
      <c r="B744" t="s">
        <v>20</v>
      </c>
      <c r="C744" t="s">
        <v>113</v>
      </c>
      <c r="D744" t="s">
        <v>195</v>
      </c>
      <c r="E744" t="s">
        <v>196</v>
      </c>
      <c r="F744">
        <v>1</v>
      </c>
      <c r="G744" t="s">
        <v>197</v>
      </c>
      <c r="H744" t="s">
        <v>93</v>
      </c>
      <c r="I744">
        <v>0.4</v>
      </c>
      <c r="J744" t="s">
        <v>195</v>
      </c>
      <c r="K744" t="s">
        <v>195</v>
      </c>
      <c r="L744" t="s">
        <v>93</v>
      </c>
      <c r="M744">
        <v>4.9</v>
      </c>
      <c r="N744" t="s">
        <v>195</v>
      </c>
      <c r="O744" t="s">
        <v>93</v>
      </c>
      <c r="P744">
        <v>6</v>
      </c>
      <c r="Q744" t="s">
        <v>195</v>
      </c>
      <c r="R744" t="s">
        <v>49</v>
      </c>
      <c r="T744" t="s">
        <v>76</v>
      </c>
      <c r="U744" t="s">
        <v>197</v>
      </c>
      <c r="V744" t="s">
        <v>197</v>
      </c>
      <c r="W744" t="s">
        <v>197</v>
      </c>
      <c r="X744" t="s">
        <v>195</v>
      </c>
      <c r="Y744" t="s">
        <v>198</v>
      </c>
    </row>
    <row r="745">
      <c r="A745">
        <v>2443</v>
      </c>
      <c r="B745" t="s">
        <v>194</v>
      </c>
      <c r="C745" t="s">
        <v>113</v>
      </c>
      <c r="D745" t="s">
        <v>197</v>
      </c>
      <c r="E745" t="s">
        <v>201</v>
      </c>
      <c r="U745" t="s">
        <v>197</v>
      </c>
      <c r="V745" t="s">
        <v>197</v>
      </c>
      <c r="W745" t="s">
        <v>197</v>
      </c>
      <c r="X745" t="s">
        <v>195</v>
      </c>
      <c r="Y745" t="s">
        <v>198</v>
      </c>
    </row>
    <row r="746">
      <c r="A746">
        <v>2444</v>
      </c>
      <c r="B746" t="s">
        <v>20</v>
      </c>
      <c r="C746" t="s">
        <v>113</v>
      </c>
      <c r="D746" t="s">
        <v>197</v>
      </c>
      <c r="E746" t="s">
        <v>201</v>
      </c>
      <c r="U746" t="s">
        <v>197</v>
      </c>
      <c r="V746" t="s">
        <v>197</v>
      </c>
      <c r="W746" t="s">
        <v>197</v>
      </c>
      <c r="X746" t="s">
        <v>195</v>
      </c>
      <c r="Y746" t="s">
        <v>198</v>
      </c>
    </row>
    <row r="747">
      <c r="A747">
        <v>2445</v>
      </c>
      <c r="B747" t="s">
        <v>199</v>
      </c>
      <c r="C747" t="s">
        <v>113</v>
      </c>
      <c r="D747" t="s">
        <v>197</v>
      </c>
      <c r="E747" t="s">
        <v>201</v>
      </c>
      <c r="U747" t="s">
        <v>197</v>
      </c>
      <c r="V747" t="s">
        <v>197</v>
      </c>
      <c r="W747" t="s">
        <v>197</v>
      </c>
      <c r="X747" t="s">
        <v>195</v>
      </c>
      <c r="Y747" t="s">
        <v>198</v>
      </c>
    </row>
    <row r="748">
      <c r="A748">
        <v>2451</v>
      </c>
      <c r="B748" t="s">
        <v>199</v>
      </c>
      <c r="C748" t="s">
        <v>113</v>
      </c>
      <c r="D748" t="s">
        <v>195</v>
      </c>
      <c r="E748" t="s">
        <v>196</v>
      </c>
      <c r="F748">
        <v>0.3</v>
      </c>
      <c r="G748" t="s">
        <v>197</v>
      </c>
      <c r="H748" t="s">
        <v>93</v>
      </c>
      <c r="I748">
        <v>3.6</v>
      </c>
      <c r="J748" t="s">
        <v>195</v>
      </c>
      <c r="K748" t="s">
        <v>195</v>
      </c>
      <c r="L748" t="s">
        <v>93</v>
      </c>
      <c r="M748">
        <v>6.9</v>
      </c>
      <c r="N748" t="s">
        <v>195</v>
      </c>
      <c r="O748" t="s">
        <v>93</v>
      </c>
      <c r="P748">
        <v>7.3</v>
      </c>
      <c r="Q748" t="s">
        <v>195</v>
      </c>
      <c r="R748" t="s">
        <v>49</v>
      </c>
      <c r="T748" t="s">
        <v>76</v>
      </c>
      <c r="U748" t="s">
        <v>197</v>
      </c>
      <c r="V748" t="s">
        <v>197</v>
      </c>
      <c r="W748" t="s">
        <v>197</v>
      </c>
      <c r="X748" t="s">
        <v>195</v>
      </c>
      <c r="Y748" t="s">
        <v>198</v>
      </c>
    </row>
    <row r="749">
      <c r="A749">
        <v>2452</v>
      </c>
      <c r="B749" t="s">
        <v>20</v>
      </c>
      <c r="C749" t="s">
        <v>113</v>
      </c>
      <c r="D749" t="s">
        <v>195</v>
      </c>
      <c r="E749" t="s">
        <v>196</v>
      </c>
      <c r="F749">
        <v>1.6</v>
      </c>
      <c r="G749" t="s">
        <v>197</v>
      </c>
      <c r="H749" t="s">
        <v>93</v>
      </c>
      <c r="I749">
        <v>5.9</v>
      </c>
      <c r="J749" t="s">
        <v>195</v>
      </c>
      <c r="K749" t="s">
        <v>195</v>
      </c>
      <c r="L749" t="s">
        <v>93</v>
      </c>
      <c r="M749">
        <v>14.9</v>
      </c>
      <c r="N749" t="s">
        <v>195</v>
      </c>
      <c r="O749" t="s">
        <v>93</v>
      </c>
      <c r="P749">
        <v>15.3</v>
      </c>
      <c r="Q749" t="s">
        <v>195</v>
      </c>
      <c r="R749" t="s">
        <v>49</v>
      </c>
      <c r="T749" t="s">
        <v>76</v>
      </c>
      <c r="U749" t="s">
        <v>197</v>
      </c>
      <c r="V749" t="s">
        <v>197</v>
      </c>
      <c r="W749" t="s">
        <v>197</v>
      </c>
      <c r="X749" t="s">
        <v>195</v>
      </c>
      <c r="Y749" t="s">
        <v>198</v>
      </c>
    </row>
    <row r="750">
      <c r="A750">
        <v>2453</v>
      </c>
      <c r="B750" t="s">
        <v>199</v>
      </c>
      <c r="C750" t="s">
        <v>113</v>
      </c>
      <c r="D750" t="s">
        <v>195</v>
      </c>
      <c r="E750" t="s">
        <v>196</v>
      </c>
      <c r="F750">
        <v>9.800000000000001</v>
      </c>
      <c r="G750" t="s">
        <v>197</v>
      </c>
      <c r="H750" t="s">
        <v>93</v>
      </c>
      <c r="I750">
        <v>0.2</v>
      </c>
      <c r="J750" t="s">
        <v>195</v>
      </c>
      <c r="K750" t="s">
        <v>195</v>
      </c>
      <c r="L750" t="s">
        <v>93</v>
      </c>
      <c r="M750">
        <v>5.8</v>
      </c>
      <c r="N750" t="s">
        <v>195</v>
      </c>
      <c r="O750" t="s">
        <v>93</v>
      </c>
      <c r="P750">
        <v>6.3</v>
      </c>
      <c r="Q750" t="s">
        <v>195</v>
      </c>
      <c r="R750" t="s">
        <v>49</v>
      </c>
      <c r="T750" t="s">
        <v>76</v>
      </c>
      <c r="U750" t="s">
        <v>197</v>
      </c>
      <c r="V750" t="s">
        <v>197</v>
      </c>
      <c r="W750" t="s">
        <v>197</v>
      </c>
      <c r="X750" t="s">
        <v>195</v>
      </c>
      <c r="Y750" t="s">
        <v>198</v>
      </c>
    </row>
    <row r="751">
      <c r="A751">
        <v>2454</v>
      </c>
      <c r="B751" t="s">
        <v>199</v>
      </c>
      <c r="C751" t="s">
        <v>113</v>
      </c>
      <c r="D751" t="s">
        <v>195</v>
      </c>
      <c r="E751" t="s">
        <v>200</v>
      </c>
      <c r="F751">
        <v>5782.1</v>
      </c>
      <c r="G751" t="s">
        <v>197</v>
      </c>
      <c r="H751" t="s">
        <v>96</v>
      </c>
      <c r="I751">
        <v>4.3</v>
      </c>
      <c r="J751" t="s">
        <v>197</v>
      </c>
      <c r="K751" t="s">
        <v>197</v>
      </c>
      <c r="L751">
        <v/>
      </c>
      <c r="N751" t="s">
        <v>197</v>
      </c>
      <c r="R751" t="s">
        <v>53</v>
      </c>
      <c r="S751" t="s">
        <v>64</v>
      </c>
      <c r="T751" t="s">
        <v>76</v>
      </c>
      <c r="U751" t="s">
        <v>195</v>
      </c>
      <c r="V751" t="s">
        <v>195</v>
      </c>
      <c r="W751" t="s">
        <v>197</v>
      </c>
      <c r="X751" t="s">
        <v>195</v>
      </c>
      <c r="Y751" t="s">
        <v>198</v>
      </c>
    </row>
    <row r="752">
      <c r="A752">
        <v>2457</v>
      </c>
      <c r="B752" t="s">
        <v>20</v>
      </c>
      <c r="C752" t="s">
        <v>113</v>
      </c>
      <c r="D752" t="s">
        <v>195</v>
      </c>
      <c r="E752" t="s">
        <v>196</v>
      </c>
      <c r="F752">
        <v>20.2</v>
      </c>
      <c r="G752" t="s">
        <v>197</v>
      </c>
      <c r="H752" t="s">
        <v>95</v>
      </c>
      <c r="I752">
        <v>0.2</v>
      </c>
      <c r="J752" t="s">
        <v>195</v>
      </c>
      <c r="K752" t="s">
        <v>195</v>
      </c>
      <c r="L752" t="s">
        <v>95</v>
      </c>
      <c r="M752">
        <v>2.9</v>
      </c>
      <c r="N752" t="s">
        <v>195</v>
      </c>
      <c r="O752" t="s">
        <v>95</v>
      </c>
      <c r="P752">
        <v>4.1</v>
      </c>
      <c r="Q752" t="s">
        <v>195</v>
      </c>
      <c r="R752" t="s">
        <v>49</v>
      </c>
      <c r="T752" t="s">
        <v>76</v>
      </c>
      <c r="U752" t="s">
        <v>197</v>
      </c>
      <c r="V752" t="s">
        <v>197</v>
      </c>
      <c r="W752" t="s">
        <v>197</v>
      </c>
      <c r="X752" t="s">
        <v>195</v>
      </c>
      <c r="Y752" t="s">
        <v>198</v>
      </c>
    </row>
    <row r="753">
      <c r="A753">
        <v>2463</v>
      </c>
      <c r="B753" t="s">
        <v>20</v>
      </c>
      <c r="C753" t="s">
        <v>113</v>
      </c>
      <c r="D753" t="s">
        <v>195</v>
      </c>
      <c r="E753" t="s">
        <v>196</v>
      </c>
      <c r="F753">
        <v>0.8</v>
      </c>
      <c r="G753" t="s">
        <v>197</v>
      </c>
      <c r="H753" t="s">
        <v>93</v>
      </c>
      <c r="I753">
        <v>0.6</v>
      </c>
      <c r="J753" t="s">
        <v>195</v>
      </c>
      <c r="K753" t="s">
        <v>195</v>
      </c>
      <c r="L753" t="s">
        <v>93</v>
      </c>
      <c r="M753">
        <v>6.8</v>
      </c>
      <c r="N753" t="s">
        <v>195</v>
      </c>
      <c r="O753" t="s">
        <v>93</v>
      </c>
      <c r="P753">
        <v>7.3</v>
      </c>
      <c r="Q753" t="s">
        <v>195</v>
      </c>
      <c r="R753" t="s">
        <v>49</v>
      </c>
      <c r="T753" t="s">
        <v>76</v>
      </c>
      <c r="U753" t="s">
        <v>197</v>
      </c>
      <c r="V753" t="s">
        <v>197</v>
      </c>
      <c r="W753" t="s">
        <v>197</v>
      </c>
      <c r="X753" t="s">
        <v>195</v>
      </c>
      <c r="Y753" t="s">
        <v>198</v>
      </c>
    </row>
    <row r="754">
      <c r="A754">
        <v>2465</v>
      </c>
      <c r="B754" t="s">
        <v>20</v>
      </c>
      <c r="C754" t="s">
        <v>113</v>
      </c>
      <c r="D754" t="s">
        <v>195</v>
      </c>
      <c r="E754" t="s">
        <v>196</v>
      </c>
      <c r="F754">
        <v>4.2</v>
      </c>
      <c r="G754" t="s">
        <v>197</v>
      </c>
      <c r="H754" t="s">
        <v>93</v>
      </c>
      <c r="I754">
        <v>0.2</v>
      </c>
      <c r="J754" t="s">
        <v>195</v>
      </c>
      <c r="K754" t="s">
        <v>195</v>
      </c>
      <c r="L754" t="s">
        <v>93</v>
      </c>
      <c r="M754">
        <v>5.5</v>
      </c>
      <c r="N754" t="s">
        <v>195</v>
      </c>
      <c r="O754" t="s">
        <v>93</v>
      </c>
      <c r="P754">
        <v>6</v>
      </c>
      <c r="Q754" t="s">
        <v>195</v>
      </c>
      <c r="R754" t="s">
        <v>49</v>
      </c>
      <c r="T754" t="s">
        <v>76</v>
      </c>
      <c r="U754" t="s">
        <v>197</v>
      </c>
      <c r="V754" t="s">
        <v>197</v>
      </c>
      <c r="W754" t="s">
        <v>197</v>
      </c>
      <c r="X754" t="s">
        <v>195</v>
      </c>
      <c r="Y754" t="s">
        <v>198</v>
      </c>
    </row>
    <row r="755">
      <c r="A755">
        <v>2467</v>
      </c>
      <c r="B755" t="s">
        <v>20</v>
      </c>
      <c r="C755" t="s">
        <v>113</v>
      </c>
      <c r="D755" t="s">
        <v>195</v>
      </c>
      <c r="E755" t="s">
        <v>196</v>
      </c>
      <c r="F755">
        <v>10.8</v>
      </c>
      <c r="G755" t="s">
        <v>195</v>
      </c>
      <c r="H755" t="s">
        <v>93</v>
      </c>
      <c r="I755">
        <v>0.5</v>
      </c>
      <c r="J755" t="s">
        <v>195</v>
      </c>
      <c r="K755" t="s">
        <v>195</v>
      </c>
      <c r="L755" t="s">
        <v>93</v>
      </c>
      <c r="M755">
        <v>4</v>
      </c>
      <c r="N755" t="s">
        <v>195</v>
      </c>
      <c r="O755" t="s">
        <v>93</v>
      </c>
      <c r="P755">
        <v>4.4</v>
      </c>
      <c r="Q755" t="s">
        <v>195</v>
      </c>
      <c r="R755" t="s">
        <v>49</v>
      </c>
      <c r="T755" t="s">
        <v>76</v>
      </c>
      <c r="U755" t="s">
        <v>197</v>
      </c>
      <c r="V755" t="s">
        <v>197</v>
      </c>
      <c r="W755" t="s">
        <v>197</v>
      </c>
      <c r="X755" t="s">
        <v>195</v>
      </c>
      <c r="Y755" t="s">
        <v>198</v>
      </c>
    </row>
    <row r="756">
      <c r="A756">
        <v>2470</v>
      </c>
      <c r="B756" t="s">
        <v>20</v>
      </c>
      <c r="C756" t="s">
        <v>113</v>
      </c>
      <c r="D756" t="s">
        <v>197</v>
      </c>
      <c r="E756" t="s">
        <v>201</v>
      </c>
      <c r="U756" t="s">
        <v>197</v>
      </c>
      <c r="V756" t="s">
        <v>197</v>
      </c>
      <c r="W756" t="s">
        <v>197</v>
      </c>
      <c r="X756" t="s">
        <v>195</v>
      </c>
      <c r="Y756" t="s">
        <v>198</v>
      </c>
    </row>
    <row r="757">
      <c r="A757">
        <v>2474</v>
      </c>
      <c r="B757" t="s">
        <v>199</v>
      </c>
      <c r="C757" t="s">
        <v>113</v>
      </c>
      <c r="D757" t="s">
        <v>197</v>
      </c>
      <c r="E757" t="s">
        <v>201</v>
      </c>
      <c r="U757" t="s">
        <v>197</v>
      </c>
      <c r="V757" t="s">
        <v>197</v>
      </c>
      <c r="W757" t="s">
        <v>197</v>
      </c>
      <c r="X757" t="s">
        <v>195</v>
      </c>
      <c r="Y757" t="s">
        <v>198</v>
      </c>
    </row>
    <row r="758">
      <c r="A758">
        <v>2475</v>
      </c>
      <c r="B758" t="s">
        <v>20</v>
      </c>
      <c r="C758" t="s">
        <v>113</v>
      </c>
      <c r="D758" t="s">
        <v>195</v>
      </c>
      <c r="E758" t="s">
        <v>196</v>
      </c>
      <c r="F758">
        <v>2.2</v>
      </c>
      <c r="G758" t="s">
        <v>195</v>
      </c>
      <c r="H758" t="s">
        <v>93</v>
      </c>
      <c r="I758">
        <v>0.4</v>
      </c>
      <c r="J758" t="s">
        <v>195</v>
      </c>
      <c r="K758" t="s">
        <v>195</v>
      </c>
      <c r="L758" t="s">
        <v>93</v>
      </c>
      <c r="M758">
        <v>5.4</v>
      </c>
      <c r="N758" t="s">
        <v>195</v>
      </c>
      <c r="O758" t="s">
        <v>93</v>
      </c>
      <c r="P758">
        <v>5.8</v>
      </c>
      <c r="Q758" t="s">
        <v>195</v>
      </c>
      <c r="R758" t="s">
        <v>49</v>
      </c>
      <c r="T758" t="s">
        <v>76</v>
      </c>
      <c r="U758" t="s">
        <v>195</v>
      </c>
      <c r="V758" t="s">
        <v>195</v>
      </c>
      <c r="W758" t="s">
        <v>195</v>
      </c>
      <c r="X758" t="s">
        <v>195</v>
      </c>
      <c r="Y758" t="s">
        <v>104</v>
      </c>
    </row>
    <row r="759">
      <c r="A759">
        <v>2472</v>
      </c>
      <c r="B759" t="s">
        <v>194</v>
      </c>
      <c r="C759" t="s">
        <v>113</v>
      </c>
      <c r="D759" t="s">
        <v>197</v>
      </c>
      <c r="E759" t="s">
        <v>201</v>
      </c>
      <c r="U759" t="s">
        <v>197</v>
      </c>
      <c r="V759" t="s">
        <v>197</v>
      </c>
      <c r="W759" t="s">
        <v>197</v>
      </c>
      <c r="X759" t="s">
        <v>195</v>
      </c>
      <c r="Y759" t="s">
        <v>198</v>
      </c>
    </row>
    <row r="760">
      <c r="A760">
        <v>2483</v>
      </c>
      <c r="B760" t="s">
        <v>20</v>
      </c>
      <c r="C760" t="s">
        <v>113</v>
      </c>
      <c r="D760" t="s">
        <v>195</v>
      </c>
      <c r="E760" t="s">
        <v>196</v>
      </c>
      <c r="F760">
        <v>2.4</v>
      </c>
      <c r="G760" t="s">
        <v>195</v>
      </c>
      <c r="H760" t="s">
        <v>93</v>
      </c>
      <c r="I760">
        <v>1.5</v>
      </c>
      <c r="J760" t="s">
        <v>195</v>
      </c>
      <c r="K760" t="s">
        <v>195</v>
      </c>
      <c r="L760" t="s">
        <v>93</v>
      </c>
      <c r="M760">
        <v>4.8</v>
      </c>
      <c r="N760" t="s">
        <v>195</v>
      </c>
      <c r="O760" t="s">
        <v>93</v>
      </c>
      <c r="P760">
        <v>5.2</v>
      </c>
      <c r="Q760" t="s">
        <v>195</v>
      </c>
      <c r="R760" t="s">
        <v>49</v>
      </c>
      <c r="T760" t="s">
        <v>76</v>
      </c>
      <c r="U760" t="s">
        <v>197</v>
      </c>
      <c r="V760" t="s">
        <v>197</v>
      </c>
      <c r="W760" t="s">
        <v>197</v>
      </c>
      <c r="X760" t="s">
        <v>195</v>
      </c>
      <c r="Y760" t="s">
        <v>203</v>
      </c>
    </row>
    <row r="761">
      <c r="A761">
        <v>2484</v>
      </c>
      <c r="B761" t="s">
        <v>20</v>
      </c>
      <c r="C761" t="s">
        <v>113</v>
      </c>
      <c r="D761" t="s">
        <v>195</v>
      </c>
      <c r="E761" t="s">
        <v>196</v>
      </c>
      <c r="F761">
        <v>24.5</v>
      </c>
      <c r="G761" t="s">
        <v>197</v>
      </c>
      <c r="H761" t="s">
        <v>95</v>
      </c>
      <c r="I761">
        <v>0.4</v>
      </c>
      <c r="J761" t="s">
        <v>195</v>
      </c>
      <c r="K761" t="s">
        <v>195</v>
      </c>
      <c r="L761" t="s">
        <v>95</v>
      </c>
      <c r="M761">
        <v>3.7</v>
      </c>
      <c r="N761" t="s">
        <v>195</v>
      </c>
      <c r="O761" t="s">
        <v>95</v>
      </c>
      <c r="P761">
        <v>4.7</v>
      </c>
      <c r="Q761" t="s">
        <v>195</v>
      </c>
      <c r="R761" t="s">
        <v>49</v>
      </c>
      <c r="T761" t="s">
        <v>76</v>
      </c>
      <c r="U761" t="s">
        <v>197</v>
      </c>
      <c r="V761" t="s">
        <v>197</v>
      </c>
      <c r="W761" t="s">
        <v>197</v>
      </c>
      <c r="X761" t="s">
        <v>195</v>
      </c>
      <c r="Y761" t="s">
        <v>198</v>
      </c>
    </row>
    <row r="762">
      <c r="A762">
        <v>2477</v>
      </c>
      <c r="B762" t="s">
        <v>199</v>
      </c>
      <c r="C762" t="s">
        <v>113</v>
      </c>
      <c r="D762" t="s">
        <v>195</v>
      </c>
      <c r="E762" t="s">
        <v>200</v>
      </c>
      <c r="F762">
        <v>1340.8</v>
      </c>
      <c r="G762" t="s">
        <v>197</v>
      </c>
      <c r="H762">
        <v/>
      </c>
      <c r="J762" t="s">
        <v>197</v>
      </c>
      <c r="K762" t="s">
        <v>197</v>
      </c>
      <c r="L762">
        <v/>
      </c>
      <c r="N762" t="s">
        <v>197</v>
      </c>
      <c r="R762" t="s">
        <v>53</v>
      </c>
      <c r="S762" t="s">
        <v>64</v>
      </c>
      <c r="T762" t="s">
        <v>76</v>
      </c>
      <c r="U762" t="s">
        <v>197</v>
      </c>
      <c r="V762" t="s">
        <v>197</v>
      </c>
      <c r="W762" t="s">
        <v>197</v>
      </c>
      <c r="X762" t="s">
        <v>195</v>
      </c>
      <c r="Y762" t="s">
        <v>198</v>
      </c>
    </row>
    <row r="763">
      <c r="A763">
        <v>2481</v>
      </c>
      <c r="B763" t="s">
        <v>20</v>
      </c>
      <c r="C763" t="s">
        <v>113</v>
      </c>
      <c r="D763" t="s">
        <v>195</v>
      </c>
      <c r="E763" t="s">
        <v>200</v>
      </c>
      <c r="F763">
        <v>240.6</v>
      </c>
      <c r="G763" t="s">
        <v>197</v>
      </c>
      <c r="H763" t="s">
        <v>95</v>
      </c>
      <c r="I763">
        <v>4.7</v>
      </c>
      <c r="J763" t="s">
        <v>197</v>
      </c>
      <c r="K763" t="s">
        <v>197</v>
      </c>
      <c r="L763">
        <v/>
      </c>
      <c r="N763" t="s">
        <v>197</v>
      </c>
      <c r="R763" t="s">
        <v>53</v>
      </c>
      <c r="S763" t="s">
        <v>64</v>
      </c>
      <c r="T763" t="s">
        <v>77</v>
      </c>
      <c r="U763" t="s">
        <v>197</v>
      </c>
      <c r="V763" t="s">
        <v>197</v>
      </c>
      <c r="W763" t="s">
        <v>197</v>
      </c>
      <c r="X763" t="s">
        <v>195</v>
      </c>
      <c r="Y763" t="s">
        <v>198</v>
      </c>
    </row>
    <row r="764">
      <c r="A764">
        <v>2492</v>
      </c>
      <c r="B764" t="s">
        <v>20</v>
      </c>
      <c r="C764" t="s">
        <v>113</v>
      </c>
      <c r="D764" t="s">
        <v>197</v>
      </c>
      <c r="E764" t="s">
        <v>201</v>
      </c>
      <c r="U764" t="s">
        <v>197</v>
      </c>
      <c r="V764" t="s">
        <v>197</v>
      </c>
      <c r="W764" t="s">
        <v>197</v>
      </c>
      <c r="X764" t="s">
        <v>195</v>
      </c>
      <c r="Y764" t="s">
        <v>198</v>
      </c>
    </row>
    <row r="765">
      <c r="A765">
        <v>2507</v>
      </c>
      <c r="B765" t="s">
        <v>20</v>
      </c>
      <c r="C765" t="s">
        <v>113</v>
      </c>
      <c r="D765" t="s">
        <v>197</v>
      </c>
      <c r="E765" t="s">
        <v>201</v>
      </c>
      <c r="U765" t="s">
        <v>197</v>
      </c>
      <c r="V765" t="s">
        <v>197</v>
      </c>
      <c r="W765" t="s">
        <v>197</v>
      </c>
      <c r="X765" t="s">
        <v>195</v>
      </c>
      <c r="Y765" t="s">
        <v>198</v>
      </c>
    </row>
    <row r="766">
      <c r="A766">
        <v>2501</v>
      </c>
      <c r="B766" t="s">
        <v>199</v>
      </c>
      <c r="C766" t="s">
        <v>113</v>
      </c>
      <c r="D766" t="s">
        <v>197</v>
      </c>
      <c r="E766" t="s">
        <v>201</v>
      </c>
      <c r="U766" t="s">
        <v>197</v>
      </c>
      <c r="V766" t="s">
        <v>197</v>
      </c>
      <c r="W766" t="s">
        <v>197</v>
      </c>
      <c r="X766" t="s">
        <v>195</v>
      </c>
      <c r="Y766" t="s">
        <v>198</v>
      </c>
    </row>
    <row r="767">
      <c r="A767">
        <v>2510</v>
      </c>
      <c r="B767" t="s">
        <v>194</v>
      </c>
      <c r="C767" t="s">
        <v>113</v>
      </c>
      <c r="D767" t="s">
        <v>195</v>
      </c>
      <c r="E767" t="s">
        <v>196</v>
      </c>
      <c r="F767">
        <v>54.6</v>
      </c>
      <c r="G767" t="s">
        <v>197</v>
      </c>
      <c r="H767" t="s">
        <v>95</v>
      </c>
      <c r="I767">
        <v>0.2</v>
      </c>
      <c r="J767" t="s">
        <v>195</v>
      </c>
      <c r="K767" t="s">
        <v>195</v>
      </c>
      <c r="L767" t="s">
        <v>95</v>
      </c>
      <c r="M767">
        <v>3.3</v>
      </c>
      <c r="N767" t="s">
        <v>195</v>
      </c>
      <c r="O767" t="s">
        <v>95</v>
      </c>
      <c r="P767">
        <v>4.5</v>
      </c>
      <c r="Q767" t="s">
        <v>195</v>
      </c>
      <c r="R767" t="s">
        <v>49</v>
      </c>
      <c r="T767" t="s">
        <v>77</v>
      </c>
      <c r="U767" t="s">
        <v>197</v>
      </c>
      <c r="V767" t="s">
        <v>197</v>
      </c>
      <c r="W767" t="s">
        <v>197</v>
      </c>
      <c r="X767" t="s">
        <v>195</v>
      </c>
      <c r="Y767" t="s">
        <v>198</v>
      </c>
    </row>
    <row r="768">
      <c r="A768">
        <v>2514</v>
      </c>
      <c r="B768" t="s">
        <v>194</v>
      </c>
      <c r="C768" t="s">
        <v>113</v>
      </c>
      <c r="D768" t="s">
        <v>197</v>
      </c>
      <c r="E768" t="s">
        <v>201</v>
      </c>
      <c r="U768" t="s">
        <v>197</v>
      </c>
      <c r="V768" t="s">
        <v>197</v>
      </c>
      <c r="W768" t="s">
        <v>197</v>
      </c>
      <c r="X768" t="s">
        <v>195</v>
      </c>
      <c r="Y768" t="s">
        <v>198</v>
      </c>
    </row>
    <row r="769">
      <c r="A769">
        <v>2517</v>
      </c>
      <c r="B769" t="s">
        <v>194</v>
      </c>
      <c r="C769" t="s">
        <v>113</v>
      </c>
      <c r="D769" t="s">
        <v>197</v>
      </c>
      <c r="E769" t="s">
        <v>201</v>
      </c>
      <c r="U769" t="s">
        <v>197</v>
      </c>
      <c r="V769" t="s">
        <v>197</v>
      </c>
      <c r="W769" t="s">
        <v>197</v>
      </c>
      <c r="X769" t="s">
        <v>195</v>
      </c>
      <c r="Y769" t="s">
        <v>198</v>
      </c>
    </row>
    <row r="770">
      <c r="A770">
        <v>2521</v>
      </c>
      <c r="B770" t="s">
        <v>20</v>
      </c>
      <c r="C770" t="s">
        <v>113</v>
      </c>
      <c r="D770" t="s">
        <v>195</v>
      </c>
      <c r="E770" t="s">
        <v>196</v>
      </c>
      <c r="F770">
        <v>2</v>
      </c>
      <c r="G770" t="s">
        <v>197</v>
      </c>
      <c r="H770" t="s">
        <v>95</v>
      </c>
      <c r="I770">
        <v>53.7</v>
      </c>
      <c r="J770" t="s">
        <v>195</v>
      </c>
      <c r="K770" t="s">
        <v>195</v>
      </c>
      <c r="L770" t="s">
        <v>95</v>
      </c>
      <c r="M770">
        <v>55.5</v>
      </c>
      <c r="N770" t="s">
        <v>195</v>
      </c>
      <c r="O770" t="s">
        <v>95</v>
      </c>
      <c r="P770">
        <v>56.4</v>
      </c>
      <c r="Q770" t="s">
        <v>195</v>
      </c>
      <c r="R770" t="s">
        <v>49</v>
      </c>
      <c r="T770" t="s">
        <v>77</v>
      </c>
      <c r="U770" t="s">
        <v>197</v>
      </c>
      <c r="V770" t="s">
        <v>197</v>
      </c>
      <c r="W770" t="s">
        <v>197</v>
      </c>
      <c r="X770" t="s">
        <v>195</v>
      </c>
      <c r="Y770" t="s">
        <v>198</v>
      </c>
    </row>
    <row r="771">
      <c r="A771">
        <v>2525</v>
      </c>
      <c r="B771" t="s">
        <v>20</v>
      </c>
      <c r="C771" t="s">
        <v>113</v>
      </c>
      <c r="D771" t="s">
        <v>197</v>
      </c>
      <c r="E771" t="s">
        <v>201</v>
      </c>
      <c r="U771" t="s">
        <v>197</v>
      </c>
      <c r="V771" t="s">
        <v>197</v>
      </c>
      <c r="W771" t="s">
        <v>197</v>
      </c>
      <c r="X771" t="s">
        <v>195</v>
      </c>
      <c r="Y771" t="s">
        <v>198</v>
      </c>
    </row>
    <row r="772">
      <c r="A772">
        <v>2532</v>
      </c>
      <c r="B772" t="s">
        <v>20</v>
      </c>
      <c r="C772" t="s">
        <v>113</v>
      </c>
      <c r="D772" t="s">
        <v>195</v>
      </c>
      <c r="E772" t="s">
        <v>196</v>
      </c>
      <c r="F772">
        <v>0.5</v>
      </c>
      <c r="G772" t="s">
        <v>197</v>
      </c>
      <c r="H772" t="s">
        <v>95</v>
      </c>
      <c r="I772">
        <v>7.6</v>
      </c>
      <c r="J772" t="s">
        <v>195</v>
      </c>
      <c r="K772" t="s">
        <v>195</v>
      </c>
      <c r="L772" t="s">
        <v>95</v>
      </c>
      <c r="M772">
        <v>14.2</v>
      </c>
      <c r="N772" t="s">
        <v>195</v>
      </c>
      <c r="O772" t="s">
        <v>95</v>
      </c>
      <c r="P772">
        <v>15.4</v>
      </c>
      <c r="Q772" t="s">
        <v>195</v>
      </c>
      <c r="R772" t="s">
        <v>49</v>
      </c>
      <c r="T772" t="s">
        <v>77</v>
      </c>
      <c r="U772" t="s">
        <v>197</v>
      </c>
      <c r="V772" t="s">
        <v>197</v>
      </c>
      <c r="W772" t="s">
        <v>195</v>
      </c>
      <c r="X772" t="s">
        <v>195</v>
      </c>
      <c r="Y772" t="s">
        <v>198</v>
      </c>
    </row>
    <row r="773">
      <c r="A773">
        <v>2527</v>
      </c>
      <c r="B773" t="s">
        <v>199</v>
      </c>
      <c r="C773" t="s">
        <v>113</v>
      </c>
      <c r="D773" t="s">
        <v>195</v>
      </c>
      <c r="E773" t="s">
        <v>196</v>
      </c>
      <c r="F773">
        <v>0.4</v>
      </c>
      <c r="G773" t="s">
        <v>197</v>
      </c>
      <c r="H773" t="s">
        <v>95</v>
      </c>
      <c r="I773">
        <v>19</v>
      </c>
      <c r="J773" t="s">
        <v>195</v>
      </c>
      <c r="K773" t="s">
        <v>195</v>
      </c>
      <c r="L773" t="s">
        <v>95</v>
      </c>
      <c r="M773">
        <v>20.5</v>
      </c>
      <c r="N773" t="s">
        <v>195</v>
      </c>
      <c r="O773" t="s">
        <v>95</v>
      </c>
      <c r="P773">
        <v>20.8</v>
      </c>
      <c r="Q773" t="s">
        <v>195</v>
      </c>
      <c r="R773" t="s">
        <v>49</v>
      </c>
      <c r="T773" t="s">
        <v>77</v>
      </c>
      <c r="U773" t="s">
        <v>195</v>
      </c>
      <c r="V773" t="s">
        <v>197</v>
      </c>
      <c r="W773" t="s">
        <v>197</v>
      </c>
      <c r="X773" t="s">
        <v>195</v>
      </c>
      <c r="Y773" t="s">
        <v>198</v>
      </c>
    </row>
    <row r="774">
      <c r="A774">
        <v>2537</v>
      </c>
      <c r="B774" t="s">
        <v>20</v>
      </c>
      <c r="C774" t="s">
        <v>113</v>
      </c>
      <c r="D774" t="s">
        <v>195</v>
      </c>
      <c r="E774" t="s">
        <v>196</v>
      </c>
      <c r="F774">
        <v>2</v>
      </c>
      <c r="G774" t="s">
        <v>197</v>
      </c>
      <c r="H774" t="s">
        <v>95</v>
      </c>
      <c r="I774">
        <v>13</v>
      </c>
      <c r="J774" t="s">
        <v>195</v>
      </c>
      <c r="K774" t="s">
        <v>195</v>
      </c>
      <c r="L774" t="s">
        <v>95</v>
      </c>
      <c r="M774">
        <v>14.6</v>
      </c>
      <c r="N774" t="s">
        <v>195</v>
      </c>
      <c r="O774" t="s">
        <v>95</v>
      </c>
      <c r="P774">
        <v>15</v>
      </c>
      <c r="Q774" t="s">
        <v>195</v>
      </c>
      <c r="R774" t="s">
        <v>49</v>
      </c>
      <c r="T774" t="s">
        <v>77</v>
      </c>
      <c r="U774" t="s">
        <v>197</v>
      </c>
      <c r="V774" t="s">
        <v>197</v>
      </c>
      <c r="W774" t="s">
        <v>197</v>
      </c>
      <c r="X774" t="s">
        <v>195</v>
      </c>
      <c r="Y774" t="s">
        <v>198</v>
      </c>
    </row>
    <row r="775">
      <c r="A775">
        <v>2540</v>
      </c>
      <c r="B775" t="s">
        <v>20</v>
      </c>
      <c r="C775" t="s">
        <v>113</v>
      </c>
      <c r="D775" t="s">
        <v>197</v>
      </c>
      <c r="E775" t="s">
        <v>201</v>
      </c>
      <c r="U775" t="s">
        <v>197</v>
      </c>
      <c r="V775" t="s">
        <v>197</v>
      </c>
      <c r="W775" t="s">
        <v>197</v>
      </c>
      <c r="X775" t="s">
        <v>195</v>
      </c>
      <c r="Y775" t="s">
        <v>198</v>
      </c>
    </row>
    <row r="776">
      <c r="A776">
        <v>2541</v>
      </c>
      <c r="B776" t="s">
        <v>20</v>
      </c>
      <c r="C776" t="s">
        <v>113</v>
      </c>
      <c r="D776" t="s">
        <v>197</v>
      </c>
      <c r="E776" t="s">
        <v>201</v>
      </c>
      <c r="U776" t="s">
        <v>197</v>
      </c>
      <c r="V776" t="s">
        <v>197</v>
      </c>
      <c r="W776" t="s">
        <v>197</v>
      </c>
      <c r="X776" t="s">
        <v>195</v>
      </c>
      <c r="Y776" t="s">
        <v>198</v>
      </c>
    </row>
    <row r="777">
      <c r="A777">
        <v>2539</v>
      </c>
      <c r="B777" t="s">
        <v>20</v>
      </c>
      <c r="C777" t="s">
        <v>113</v>
      </c>
      <c r="D777" t="s">
        <v>195</v>
      </c>
      <c r="E777" t="s">
        <v>200</v>
      </c>
      <c r="F777">
        <v>3819.1</v>
      </c>
      <c r="G777" t="s">
        <v>197</v>
      </c>
      <c r="H777" t="s">
        <v>93</v>
      </c>
      <c r="I777">
        <v>0.7</v>
      </c>
      <c r="J777" t="s">
        <v>197</v>
      </c>
      <c r="K777" t="s">
        <v>197</v>
      </c>
      <c r="L777">
        <v/>
      </c>
      <c r="N777" t="s">
        <v>197</v>
      </c>
      <c r="R777" t="s">
        <v>53</v>
      </c>
      <c r="S777" t="s">
        <v>64</v>
      </c>
      <c r="T777" t="s">
        <v>76</v>
      </c>
      <c r="U777" t="s">
        <v>197</v>
      </c>
      <c r="V777" t="s">
        <v>197</v>
      </c>
      <c r="W777" t="s">
        <v>197</v>
      </c>
      <c r="X777" t="s">
        <v>195</v>
      </c>
      <c r="Y777" t="s">
        <v>198</v>
      </c>
    </row>
    <row r="778">
      <c r="A778">
        <v>2546</v>
      </c>
      <c r="B778" t="s">
        <v>20</v>
      </c>
      <c r="C778" t="s">
        <v>113</v>
      </c>
      <c r="D778" t="s">
        <v>197</v>
      </c>
      <c r="E778" t="s">
        <v>201</v>
      </c>
      <c r="U778" t="s">
        <v>197</v>
      </c>
      <c r="V778" t="s">
        <v>197</v>
      </c>
      <c r="W778" t="s">
        <v>197</v>
      </c>
      <c r="X778" t="s">
        <v>195</v>
      </c>
      <c r="Y778" t="s">
        <v>198</v>
      </c>
    </row>
    <row r="779">
      <c r="A779">
        <v>2555</v>
      </c>
      <c r="B779" t="s">
        <v>199</v>
      </c>
      <c r="C779" t="s">
        <v>113</v>
      </c>
      <c r="D779" t="s">
        <v>197</v>
      </c>
      <c r="E779" t="s">
        <v>201</v>
      </c>
      <c r="U779" t="s">
        <v>197</v>
      </c>
      <c r="V779" t="s">
        <v>197</v>
      </c>
      <c r="W779" t="s">
        <v>197</v>
      </c>
      <c r="X779" t="s">
        <v>195</v>
      </c>
      <c r="Y779" t="s">
        <v>198</v>
      </c>
    </row>
    <row r="780">
      <c r="A780">
        <v>2559</v>
      </c>
      <c r="B780" t="s">
        <v>199</v>
      </c>
      <c r="C780" t="s">
        <v>113</v>
      </c>
      <c r="D780" t="s">
        <v>197</v>
      </c>
      <c r="E780" t="s">
        <v>201</v>
      </c>
      <c r="U780" t="s">
        <v>197</v>
      </c>
      <c r="V780" t="s">
        <v>197</v>
      </c>
      <c r="W780" t="s">
        <v>197</v>
      </c>
      <c r="X780" t="s">
        <v>195</v>
      </c>
      <c r="Y780" t="s">
        <v>198</v>
      </c>
    </row>
    <row r="781">
      <c r="A781">
        <v>2567</v>
      </c>
      <c r="B781" t="s">
        <v>199</v>
      </c>
      <c r="C781" t="s">
        <v>113</v>
      </c>
      <c r="D781" t="s">
        <v>197</v>
      </c>
      <c r="E781" t="s">
        <v>201</v>
      </c>
      <c r="U781" t="s">
        <v>197</v>
      </c>
      <c r="V781" t="s">
        <v>197</v>
      </c>
      <c r="W781" t="s">
        <v>197</v>
      </c>
      <c r="X781" t="s">
        <v>195</v>
      </c>
      <c r="Y781" t="s">
        <v>198</v>
      </c>
    </row>
    <row r="782">
      <c r="A782">
        <v>2578</v>
      </c>
      <c r="B782" t="s">
        <v>20</v>
      </c>
      <c r="C782" t="s">
        <v>114</v>
      </c>
      <c r="D782" t="s">
        <v>197</v>
      </c>
      <c r="E782" t="s">
        <v>201</v>
      </c>
      <c r="U782" t="s">
        <v>197</v>
      </c>
      <c r="V782" t="s">
        <v>197</v>
      </c>
      <c r="W782" t="s">
        <v>197</v>
      </c>
      <c r="X782" t="s">
        <v>195</v>
      </c>
      <c r="Y782" t="s">
        <v>198</v>
      </c>
    </row>
    <row r="783">
      <c r="A783">
        <v>2580</v>
      </c>
      <c r="B783" t="s">
        <v>194</v>
      </c>
      <c r="C783" t="s">
        <v>114</v>
      </c>
      <c r="D783" t="s">
        <v>195</v>
      </c>
      <c r="E783" t="s">
        <v>196</v>
      </c>
      <c r="F783">
        <v>0.5</v>
      </c>
      <c r="G783" t="s">
        <v>197</v>
      </c>
      <c r="H783" t="s">
        <v>93</v>
      </c>
      <c r="I783">
        <v>455.4</v>
      </c>
      <c r="J783" t="s">
        <v>197</v>
      </c>
      <c r="K783" t="s">
        <v>197</v>
      </c>
      <c r="L783">
        <v/>
      </c>
      <c r="N783" t="s">
        <v>197</v>
      </c>
      <c r="R783" t="s">
        <v>53</v>
      </c>
      <c r="S783" t="s">
        <v>64</v>
      </c>
      <c r="T783" t="s">
        <v>78</v>
      </c>
      <c r="U783" t="s">
        <v>197</v>
      </c>
      <c r="V783" t="s">
        <v>197</v>
      </c>
      <c r="W783" t="s">
        <v>197</v>
      </c>
      <c r="X783" t="s">
        <v>195</v>
      </c>
      <c r="Y783" t="s">
        <v>198</v>
      </c>
    </row>
    <row r="784">
      <c r="A784">
        <v>2584</v>
      </c>
      <c r="B784" t="s">
        <v>20</v>
      </c>
      <c r="C784" t="s">
        <v>114</v>
      </c>
      <c r="D784" t="s">
        <v>197</v>
      </c>
      <c r="E784" t="s">
        <v>201</v>
      </c>
      <c r="U784" t="s">
        <v>197</v>
      </c>
      <c r="V784" t="s">
        <v>197</v>
      </c>
      <c r="W784" t="s">
        <v>197</v>
      </c>
      <c r="X784" t="s">
        <v>195</v>
      </c>
      <c r="Y784" t="s">
        <v>198</v>
      </c>
    </row>
    <row r="785">
      <c r="A785">
        <v>2597</v>
      </c>
      <c r="B785" t="s">
        <v>194</v>
      </c>
      <c r="C785" t="s">
        <v>114</v>
      </c>
      <c r="D785" t="s">
        <v>197</v>
      </c>
      <c r="E785" t="s">
        <v>201</v>
      </c>
      <c r="U785" t="s">
        <v>197</v>
      </c>
      <c r="V785" t="s">
        <v>197</v>
      </c>
      <c r="W785" t="s">
        <v>197</v>
      </c>
      <c r="X785" t="s">
        <v>195</v>
      </c>
      <c r="Y785" t="s">
        <v>198</v>
      </c>
    </row>
    <row r="786">
      <c r="A786">
        <v>2573</v>
      </c>
      <c r="B786" t="s">
        <v>194</v>
      </c>
      <c r="C786" t="s">
        <v>114</v>
      </c>
      <c r="D786" t="s">
        <v>197</v>
      </c>
      <c r="E786" t="s">
        <v>201</v>
      </c>
      <c r="U786" t="s">
        <v>197</v>
      </c>
      <c r="V786" t="s">
        <v>197</v>
      </c>
      <c r="W786" t="s">
        <v>197</v>
      </c>
      <c r="X786" t="s">
        <v>195</v>
      </c>
      <c r="Y786" t="s">
        <v>198</v>
      </c>
    </row>
    <row r="787">
      <c r="A787">
        <v>2581</v>
      </c>
      <c r="B787" t="s">
        <v>194</v>
      </c>
      <c r="C787" t="s">
        <v>114</v>
      </c>
      <c r="D787" t="s">
        <v>197</v>
      </c>
      <c r="E787" t="s">
        <v>201</v>
      </c>
      <c r="U787" t="s">
        <v>197</v>
      </c>
      <c r="V787" t="s">
        <v>197</v>
      </c>
      <c r="W787" t="s">
        <v>197</v>
      </c>
      <c r="X787" t="s">
        <v>195</v>
      </c>
      <c r="Y787" t="s">
        <v>198</v>
      </c>
    </row>
    <row r="788">
      <c r="A788">
        <v>2583</v>
      </c>
      <c r="B788" t="s">
        <v>199</v>
      </c>
      <c r="C788" t="s">
        <v>114</v>
      </c>
      <c r="D788" t="s">
        <v>197</v>
      </c>
      <c r="E788" t="s">
        <v>201</v>
      </c>
      <c r="U788" t="s">
        <v>197</v>
      </c>
      <c r="V788" t="s">
        <v>197</v>
      </c>
      <c r="W788" t="s">
        <v>197</v>
      </c>
      <c r="X788" t="s">
        <v>195</v>
      </c>
      <c r="Y788" t="s">
        <v>198</v>
      </c>
    </row>
    <row r="789">
      <c r="A789">
        <v>2582</v>
      </c>
      <c r="B789" t="s">
        <v>20</v>
      </c>
      <c r="C789" t="s">
        <v>114</v>
      </c>
      <c r="D789" t="s">
        <v>197</v>
      </c>
      <c r="E789" t="s">
        <v>201</v>
      </c>
      <c r="U789" t="s">
        <v>197</v>
      </c>
      <c r="V789" t="s">
        <v>197</v>
      </c>
      <c r="W789" t="s">
        <v>197</v>
      </c>
      <c r="X789" t="s">
        <v>195</v>
      </c>
      <c r="Y789" t="s">
        <v>198</v>
      </c>
    </row>
    <row r="790">
      <c r="A790">
        <v>2603</v>
      </c>
      <c r="B790" t="s">
        <v>20</v>
      </c>
      <c r="C790" t="s">
        <v>114</v>
      </c>
      <c r="D790" t="s">
        <v>195</v>
      </c>
      <c r="E790" t="s">
        <v>200</v>
      </c>
      <c r="F790">
        <v>4559.7</v>
      </c>
      <c r="G790" t="s">
        <v>197</v>
      </c>
      <c r="H790" t="s">
        <v>93</v>
      </c>
      <c r="I790">
        <v>1.5</v>
      </c>
      <c r="J790" t="s">
        <v>197</v>
      </c>
      <c r="K790" t="s">
        <v>197</v>
      </c>
      <c r="L790">
        <v/>
      </c>
      <c r="N790" t="s">
        <v>197</v>
      </c>
      <c r="R790" t="s">
        <v>53</v>
      </c>
      <c r="S790" t="s">
        <v>64</v>
      </c>
      <c r="T790" t="s">
        <v>76</v>
      </c>
      <c r="U790" t="s">
        <v>197</v>
      </c>
      <c r="V790" t="s">
        <v>197</v>
      </c>
      <c r="W790" t="s">
        <v>197</v>
      </c>
      <c r="X790" t="s">
        <v>195</v>
      </c>
      <c r="Y790" t="s">
        <v>198</v>
      </c>
    </row>
    <row r="791">
      <c r="A791">
        <v>2588</v>
      </c>
      <c r="B791" t="s">
        <v>20</v>
      </c>
      <c r="C791" t="s">
        <v>114</v>
      </c>
      <c r="D791" t="s">
        <v>195</v>
      </c>
      <c r="E791" t="s">
        <v>200</v>
      </c>
      <c r="F791">
        <v>314.7</v>
      </c>
      <c r="G791" t="s">
        <v>195</v>
      </c>
      <c r="H791" t="s">
        <v>93</v>
      </c>
      <c r="I791">
        <v>0.6</v>
      </c>
      <c r="J791" t="s">
        <v>195</v>
      </c>
      <c r="K791" t="s">
        <v>195</v>
      </c>
      <c r="L791" t="s">
        <v>93</v>
      </c>
      <c r="M791">
        <v>7.4</v>
      </c>
      <c r="N791" t="s">
        <v>195</v>
      </c>
      <c r="O791" t="s">
        <v>93</v>
      </c>
      <c r="P791">
        <v>7.7</v>
      </c>
      <c r="Q791" t="s">
        <v>197</v>
      </c>
      <c r="R791" t="s">
        <v>49</v>
      </c>
      <c r="T791" t="s">
        <v>76</v>
      </c>
      <c r="U791" t="s">
        <v>197</v>
      </c>
      <c r="V791" t="s">
        <v>197</v>
      </c>
      <c r="W791" t="s">
        <v>197</v>
      </c>
      <c r="X791" t="s">
        <v>195</v>
      </c>
      <c r="Y791" t="s">
        <v>198</v>
      </c>
    </row>
    <row r="792">
      <c r="A792">
        <v>2590</v>
      </c>
      <c r="B792" t="s">
        <v>20</v>
      </c>
      <c r="C792" t="s">
        <v>114</v>
      </c>
      <c r="D792" t="s">
        <v>195</v>
      </c>
      <c r="E792" t="s">
        <v>200</v>
      </c>
      <c r="F792">
        <v>124.4</v>
      </c>
      <c r="G792" t="s">
        <v>197</v>
      </c>
      <c r="H792" t="s">
        <v>93</v>
      </c>
      <c r="I792">
        <v>0.3</v>
      </c>
      <c r="J792" t="s">
        <v>195</v>
      </c>
      <c r="K792" t="s">
        <v>195</v>
      </c>
      <c r="L792" t="s">
        <v>93</v>
      </c>
      <c r="M792">
        <v>7.2</v>
      </c>
      <c r="N792" t="s">
        <v>195</v>
      </c>
      <c r="O792" t="s">
        <v>93</v>
      </c>
      <c r="P792">
        <v>7.3</v>
      </c>
      <c r="Q792" t="s">
        <v>197</v>
      </c>
      <c r="R792" t="s">
        <v>49</v>
      </c>
      <c r="T792" t="s">
        <v>76</v>
      </c>
      <c r="U792" t="s">
        <v>197</v>
      </c>
      <c r="V792" t="s">
        <v>197</v>
      </c>
      <c r="W792" t="s">
        <v>197</v>
      </c>
      <c r="X792" t="s">
        <v>195</v>
      </c>
      <c r="Y792" t="s">
        <v>198</v>
      </c>
    </row>
    <row r="793">
      <c r="A793">
        <v>2593</v>
      </c>
      <c r="B793" t="s">
        <v>20</v>
      </c>
      <c r="C793" t="s">
        <v>114</v>
      </c>
      <c r="D793" t="s">
        <v>195</v>
      </c>
      <c r="E793" t="s">
        <v>196</v>
      </c>
      <c r="F793">
        <v>0.8</v>
      </c>
      <c r="G793" t="s">
        <v>197</v>
      </c>
      <c r="H793" t="s">
        <v>93</v>
      </c>
      <c r="I793">
        <v>1.1</v>
      </c>
      <c r="J793" t="s">
        <v>195</v>
      </c>
      <c r="K793" t="s">
        <v>195</v>
      </c>
      <c r="L793" t="s">
        <v>93</v>
      </c>
      <c r="M793">
        <v>4</v>
      </c>
      <c r="N793" t="s">
        <v>195</v>
      </c>
      <c r="O793" t="s">
        <v>93</v>
      </c>
      <c r="P793">
        <v>4.4</v>
      </c>
      <c r="Q793" t="s">
        <v>195</v>
      </c>
      <c r="R793" t="s">
        <v>49</v>
      </c>
      <c r="T793" t="s">
        <v>78</v>
      </c>
      <c r="U793" t="s">
        <v>197</v>
      </c>
      <c r="V793" t="s">
        <v>197</v>
      </c>
      <c r="W793" t="s">
        <v>197</v>
      </c>
      <c r="X793" t="s">
        <v>195</v>
      </c>
      <c r="Y793" t="s">
        <v>198</v>
      </c>
    </row>
    <row r="794">
      <c r="A794">
        <v>2594</v>
      </c>
      <c r="B794" t="s">
        <v>20</v>
      </c>
      <c r="C794" t="s">
        <v>114</v>
      </c>
      <c r="D794" t="s">
        <v>195</v>
      </c>
      <c r="E794" t="s">
        <v>200</v>
      </c>
      <c r="F794">
        <v>278.1</v>
      </c>
      <c r="G794" t="s">
        <v>197</v>
      </c>
      <c r="H794" t="s">
        <v>93</v>
      </c>
      <c r="I794">
        <v>0.6</v>
      </c>
      <c r="J794" t="s">
        <v>197</v>
      </c>
      <c r="K794" t="s">
        <v>197</v>
      </c>
      <c r="L794">
        <v/>
      </c>
      <c r="N794" t="s">
        <v>197</v>
      </c>
      <c r="R794" t="s">
        <v>53</v>
      </c>
      <c r="S794" t="s">
        <v>64</v>
      </c>
      <c r="T794" t="s">
        <v>76</v>
      </c>
      <c r="U794" t="s">
        <v>197</v>
      </c>
      <c r="V794" t="s">
        <v>197</v>
      </c>
      <c r="W794" t="s">
        <v>197</v>
      </c>
      <c r="X794" t="s">
        <v>195</v>
      </c>
      <c r="Y794" t="s">
        <v>202</v>
      </c>
    </row>
    <row r="795">
      <c r="A795">
        <v>2596</v>
      </c>
      <c r="B795" t="s">
        <v>20</v>
      </c>
      <c r="C795" t="s">
        <v>114</v>
      </c>
      <c r="D795" t="s">
        <v>197</v>
      </c>
      <c r="E795" t="s">
        <v>201</v>
      </c>
      <c r="U795" t="s">
        <v>197</v>
      </c>
      <c r="V795" t="s">
        <v>197</v>
      </c>
      <c r="W795" t="s">
        <v>197</v>
      </c>
      <c r="X795" t="s">
        <v>195</v>
      </c>
      <c r="Y795" t="s">
        <v>198</v>
      </c>
    </row>
    <row r="796">
      <c r="A796">
        <v>2606</v>
      </c>
      <c r="B796" t="s">
        <v>20</v>
      </c>
      <c r="C796" t="s">
        <v>114</v>
      </c>
      <c r="D796" t="s">
        <v>195</v>
      </c>
      <c r="E796" t="s">
        <v>196</v>
      </c>
      <c r="F796">
        <v>24.4</v>
      </c>
      <c r="G796" t="s">
        <v>197</v>
      </c>
      <c r="H796" t="s">
        <v>93</v>
      </c>
      <c r="I796">
        <v>0.7</v>
      </c>
      <c r="J796" t="s">
        <v>195</v>
      </c>
      <c r="K796" t="s">
        <v>195</v>
      </c>
      <c r="L796" t="s">
        <v>93</v>
      </c>
      <c r="M796">
        <v>3</v>
      </c>
      <c r="N796" t="s">
        <v>195</v>
      </c>
      <c r="O796" t="s">
        <v>93</v>
      </c>
      <c r="P796">
        <v>3.3</v>
      </c>
      <c r="Q796" t="s">
        <v>195</v>
      </c>
      <c r="R796" t="s">
        <v>49</v>
      </c>
      <c r="T796" t="s">
        <v>76</v>
      </c>
      <c r="U796" t="s">
        <v>195</v>
      </c>
      <c r="V796" t="s">
        <v>195</v>
      </c>
      <c r="W796" t="s">
        <v>195</v>
      </c>
      <c r="X796" t="s">
        <v>195</v>
      </c>
      <c r="Y796" t="s">
        <v>104</v>
      </c>
    </row>
    <row r="797">
      <c r="A797">
        <v>2607</v>
      </c>
      <c r="B797" t="s">
        <v>20</v>
      </c>
      <c r="C797" t="s">
        <v>114</v>
      </c>
      <c r="D797" t="s">
        <v>195</v>
      </c>
      <c r="E797" t="s">
        <v>196</v>
      </c>
      <c r="F797">
        <v>0.6</v>
      </c>
      <c r="G797" t="s">
        <v>197</v>
      </c>
      <c r="H797" t="s">
        <v>93</v>
      </c>
      <c r="I797">
        <v>1.2</v>
      </c>
      <c r="J797" t="s">
        <v>195</v>
      </c>
      <c r="K797" t="s">
        <v>195</v>
      </c>
      <c r="L797" t="s">
        <v>93</v>
      </c>
      <c r="M797">
        <v>4.3</v>
      </c>
      <c r="N797" t="s">
        <v>195</v>
      </c>
      <c r="O797" t="s">
        <v>93</v>
      </c>
      <c r="P797">
        <v>4.6</v>
      </c>
      <c r="Q797" t="s">
        <v>195</v>
      </c>
      <c r="R797" t="s">
        <v>49</v>
      </c>
      <c r="T797" t="s">
        <v>78</v>
      </c>
      <c r="U797" t="s">
        <v>197</v>
      </c>
      <c r="V797" t="s">
        <v>197</v>
      </c>
      <c r="W797" t="s">
        <v>197</v>
      </c>
      <c r="X797" t="s">
        <v>195</v>
      </c>
      <c r="Y797" t="s">
        <v>203</v>
      </c>
    </row>
    <row r="798">
      <c r="A798">
        <v>2617</v>
      </c>
      <c r="B798" t="s">
        <v>20</v>
      </c>
      <c r="C798" t="s">
        <v>114</v>
      </c>
      <c r="D798" t="s">
        <v>195</v>
      </c>
      <c r="E798" t="s">
        <v>196</v>
      </c>
      <c r="F798">
        <v>0.7</v>
      </c>
      <c r="G798" t="s">
        <v>197</v>
      </c>
      <c r="H798" t="s">
        <v>93</v>
      </c>
      <c r="I798">
        <v>0.4</v>
      </c>
      <c r="J798" t="s">
        <v>195</v>
      </c>
      <c r="K798" t="s">
        <v>195</v>
      </c>
      <c r="L798" t="s">
        <v>93</v>
      </c>
      <c r="M798">
        <v>5</v>
      </c>
      <c r="N798" t="s">
        <v>195</v>
      </c>
      <c r="O798" t="s">
        <v>93</v>
      </c>
      <c r="P798">
        <v>5.6</v>
      </c>
      <c r="Q798" t="s">
        <v>195</v>
      </c>
      <c r="R798" t="s">
        <v>49</v>
      </c>
      <c r="T798" t="s">
        <v>76</v>
      </c>
      <c r="U798" t="s">
        <v>197</v>
      </c>
      <c r="V798" t="s">
        <v>197</v>
      </c>
      <c r="W798" t="s">
        <v>197</v>
      </c>
      <c r="X798" t="s">
        <v>195</v>
      </c>
      <c r="Y798" t="s">
        <v>198</v>
      </c>
    </row>
    <row r="799">
      <c r="A799">
        <v>2616</v>
      </c>
      <c r="B799" t="s">
        <v>20</v>
      </c>
      <c r="C799" t="s">
        <v>114</v>
      </c>
      <c r="D799" t="s">
        <v>195</v>
      </c>
      <c r="E799" t="s">
        <v>200</v>
      </c>
      <c r="F799">
        <v>260.9</v>
      </c>
      <c r="G799" t="s">
        <v>197</v>
      </c>
      <c r="H799" t="s">
        <v>96</v>
      </c>
      <c r="I799">
        <v>1.9</v>
      </c>
      <c r="J799" t="s">
        <v>197</v>
      </c>
      <c r="K799" t="s">
        <v>197</v>
      </c>
      <c r="L799">
        <v/>
      </c>
      <c r="N799" t="s">
        <v>197</v>
      </c>
      <c r="R799" t="s">
        <v>53</v>
      </c>
      <c r="S799" t="s">
        <v>64</v>
      </c>
      <c r="T799" t="s">
        <v>76</v>
      </c>
      <c r="U799" t="s">
        <v>197</v>
      </c>
      <c r="V799" t="s">
        <v>197</v>
      </c>
      <c r="W799" t="s">
        <v>197</v>
      </c>
      <c r="X799" t="s">
        <v>195</v>
      </c>
      <c r="Y799" t="s">
        <v>198</v>
      </c>
    </row>
    <row r="800">
      <c r="A800">
        <v>2620</v>
      </c>
      <c r="B800" t="s">
        <v>194</v>
      </c>
      <c r="C800" t="s">
        <v>114</v>
      </c>
      <c r="D800" t="s">
        <v>195</v>
      </c>
      <c r="E800" t="s">
        <v>196</v>
      </c>
      <c r="F800">
        <v>21</v>
      </c>
      <c r="G800" t="s">
        <v>197</v>
      </c>
      <c r="H800" t="s">
        <v>96</v>
      </c>
      <c r="I800">
        <v>3.8</v>
      </c>
      <c r="J800" t="s">
        <v>195</v>
      </c>
      <c r="K800" t="s">
        <v>195</v>
      </c>
      <c r="L800" t="s">
        <v>96</v>
      </c>
      <c r="M800">
        <v>7</v>
      </c>
      <c r="N800" t="s">
        <v>197</v>
      </c>
      <c r="R800" t="s">
        <v>52</v>
      </c>
      <c r="S800" t="s">
        <v>66</v>
      </c>
      <c r="T800" t="s">
        <v>76</v>
      </c>
      <c r="U800" t="s">
        <v>195</v>
      </c>
      <c r="V800" t="s">
        <v>195</v>
      </c>
      <c r="W800" t="s">
        <v>195</v>
      </c>
      <c r="X800" t="s">
        <v>195</v>
      </c>
      <c r="Y800" t="s">
        <v>104</v>
      </c>
    </row>
    <row r="801">
      <c r="A801">
        <v>2621</v>
      </c>
      <c r="B801" t="s">
        <v>199</v>
      </c>
      <c r="C801" t="s">
        <v>114</v>
      </c>
      <c r="D801" t="s">
        <v>195</v>
      </c>
      <c r="E801" t="s">
        <v>196</v>
      </c>
      <c r="F801">
        <v>0.8</v>
      </c>
      <c r="G801" t="s">
        <v>195</v>
      </c>
      <c r="H801" t="s">
        <v>93</v>
      </c>
      <c r="I801">
        <v>0.3</v>
      </c>
      <c r="J801" t="s">
        <v>195</v>
      </c>
      <c r="K801" t="s">
        <v>195</v>
      </c>
      <c r="L801" t="s">
        <v>93</v>
      </c>
      <c r="M801">
        <v>2.8</v>
      </c>
      <c r="N801" t="s">
        <v>195</v>
      </c>
      <c r="O801" t="s">
        <v>93</v>
      </c>
      <c r="P801">
        <v>3</v>
      </c>
      <c r="Q801" t="s">
        <v>195</v>
      </c>
      <c r="R801" t="s">
        <v>49</v>
      </c>
      <c r="T801" t="s">
        <v>76</v>
      </c>
      <c r="U801" t="s">
        <v>197</v>
      </c>
      <c r="V801" t="s">
        <v>197</v>
      </c>
      <c r="W801" t="s">
        <v>197</v>
      </c>
      <c r="X801" t="s">
        <v>195</v>
      </c>
      <c r="Y801" t="s">
        <v>198</v>
      </c>
    </row>
    <row r="802">
      <c r="A802">
        <v>2619</v>
      </c>
      <c r="B802" t="s">
        <v>20</v>
      </c>
      <c r="C802" t="s">
        <v>114</v>
      </c>
      <c r="D802" t="s">
        <v>195</v>
      </c>
      <c r="E802" t="s">
        <v>196</v>
      </c>
      <c r="F802">
        <v>1</v>
      </c>
      <c r="G802" t="s">
        <v>197</v>
      </c>
      <c r="H802" t="s">
        <v>93</v>
      </c>
      <c r="I802">
        <v>1.3</v>
      </c>
      <c r="J802" t="s">
        <v>195</v>
      </c>
      <c r="K802" t="s">
        <v>195</v>
      </c>
      <c r="L802" t="s">
        <v>93</v>
      </c>
      <c r="M802">
        <v>5.3</v>
      </c>
      <c r="N802" t="s">
        <v>195</v>
      </c>
      <c r="O802" t="s">
        <v>93</v>
      </c>
      <c r="P802">
        <v>5.5</v>
      </c>
      <c r="Q802" t="s">
        <v>195</v>
      </c>
      <c r="R802" t="s">
        <v>49</v>
      </c>
      <c r="T802" t="s">
        <v>76</v>
      </c>
      <c r="U802" t="s">
        <v>197</v>
      </c>
      <c r="V802" t="s">
        <v>197</v>
      </c>
      <c r="W802" t="s">
        <v>197</v>
      </c>
      <c r="X802" t="s">
        <v>195</v>
      </c>
      <c r="Y802" t="s">
        <v>198</v>
      </c>
    </row>
    <row r="803">
      <c r="A803">
        <v>2622</v>
      </c>
      <c r="B803" t="s">
        <v>20</v>
      </c>
      <c r="C803" t="s">
        <v>114</v>
      </c>
      <c r="D803" t="s">
        <v>195</v>
      </c>
      <c r="E803" t="s">
        <v>200</v>
      </c>
      <c r="F803">
        <v>1338.6</v>
      </c>
      <c r="G803" t="s">
        <v>197</v>
      </c>
      <c r="H803" t="s">
        <v>93</v>
      </c>
      <c r="I803">
        <v>2.5</v>
      </c>
      <c r="J803" t="s">
        <v>197</v>
      </c>
      <c r="K803" t="s">
        <v>197</v>
      </c>
      <c r="L803">
        <v/>
      </c>
      <c r="N803" t="s">
        <v>197</v>
      </c>
      <c r="R803" t="s">
        <v>53</v>
      </c>
      <c r="S803" t="s">
        <v>64</v>
      </c>
      <c r="T803" t="s">
        <v>78</v>
      </c>
      <c r="U803" t="s">
        <v>197</v>
      </c>
      <c r="V803" t="s">
        <v>197</v>
      </c>
      <c r="W803" t="s">
        <v>197</v>
      </c>
      <c r="X803" t="s">
        <v>195</v>
      </c>
      <c r="Y803" t="s">
        <v>198</v>
      </c>
    </row>
    <row r="804">
      <c r="A804">
        <v>2624</v>
      </c>
      <c r="B804" t="s">
        <v>20</v>
      </c>
      <c r="C804" t="s">
        <v>114</v>
      </c>
      <c r="D804" t="s">
        <v>197</v>
      </c>
      <c r="E804" t="s">
        <v>201</v>
      </c>
      <c r="U804" t="s">
        <v>197</v>
      </c>
      <c r="V804" t="s">
        <v>197</v>
      </c>
      <c r="W804" t="s">
        <v>197</v>
      </c>
      <c r="X804" t="s">
        <v>195</v>
      </c>
      <c r="Y804" t="s">
        <v>198</v>
      </c>
    </row>
    <row r="805">
      <c r="A805">
        <v>2625</v>
      </c>
      <c r="B805" t="s">
        <v>20</v>
      </c>
      <c r="C805" t="s">
        <v>114</v>
      </c>
      <c r="D805" t="s">
        <v>195</v>
      </c>
      <c r="E805" t="s">
        <v>196</v>
      </c>
      <c r="F805">
        <v>0.3</v>
      </c>
      <c r="G805" t="s">
        <v>197</v>
      </c>
      <c r="H805" t="s">
        <v>96</v>
      </c>
      <c r="I805">
        <v>0.5</v>
      </c>
      <c r="J805" t="s">
        <v>195</v>
      </c>
      <c r="K805" t="s">
        <v>195</v>
      </c>
      <c r="L805" t="s">
        <v>93</v>
      </c>
      <c r="M805">
        <v>5.2</v>
      </c>
      <c r="N805" t="s">
        <v>195</v>
      </c>
      <c r="O805" t="s">
        <v>93</v>
      </c>
      <c r="P805">
        <v>5.6</v>
      </c>
      <c r="Q805" t="s">
        <v>195</v>
      </c>
      <c r="R805" t="s">
        <v>49</v>
      </c>
      <c r="T805" t="s">
        <v>76</v>
      </c>
      <c r="U805" t="s">
        <v>195</v>
      </c>
      <c r="V805" t="s">
        <v>195</v>
      </c>
      <c r="W805" t="s">
        <v>195</v>
      </c>
      <c r="X805" t="s">
        <v>195</v>
      </c>
      <c r="Y805" t="s">
        <v>104</v>
      </c>
    </row>
    <row r="806">
      <c r="A806">
        <v>2626</v>
      </c>
      <c r="B806" t="s">
        <v>20</v>
      </c>
      <c r="C806" t="s">
        <v>114</v>
      </c>
      <c r="D806" t="s">
        <v>195</v>
      </c>
      <c r="E806" t="s">
        <v>196</v>
      </c>
      <c r="F806">
        <v>4.3</v>
      </c>
      <c r="G806" t="s">
        <v>197</v>
      </c>
      <c r="H806" t="s">
        <v>96</v>
      </c>
      <c r="I806">
        <v>1.3</v>
      </c>
      <c r="J806" t="s">
        <v>195</v>
      </c>
      <c r="K806" t="s">
        <v>195</v>
      </c>
      <c r="L806" t="s">
        <v>96</v>
      </c>
      <c r="M806">
        <v>5.1</v>
      </c>
      <c r="N806" t="s">
        <v>197</v>
      </c>
      <c r="R806" t="s">
        <v>52</v>
      </c>
      <c r="S806" t="s">
        <v>64</v>
      </c>
      <c r="T806" t="s">
        <v>76</v>
      </c>
      <c r="U806" t="s">
        <v>197</v>
      </c>
      <c r="V806" t="s">
        <v>197</v>
      </c>
      <c r="W806" t="s">
        <v>197</v>
      </c>
      <c r="X806" t="s">
        <v>195</v>
      </c>
      <c r="Y806" t="s">
        <v>198</v>
      </c>
    </row>
    <row r="807">
      <c r="A807">
        <v>2630</v>
      </c>
      <c r="B807" t="s">
        <v>20</v>
      </c>
      <c r="C807" t="s">
        <v>114</v>
      </c>
      <c r="D807" t="s">
        <v>197</v>
      </c>
      <c r="E807" t="s">
        <v>201</v>
      </c>
      <c r="U807" t="s">
        <v>197</v>
      </c>
      <c r="V807" t="s">
        <v>197</v>
      </c>
      <c r="W807" t="s">
        <v>197</v>
      </c>
      <c r="X807" t="s">
        <v>195</v>
      </c>
      <c r="Y807" t="s">
        <v>198</v>
      </c>
    </row>
    <row r="808">
      <c r="A808">
        <v>2631</v>
      </c>
      <c r="B808" t="s">
        <v>20</v>
      </c>
      <c r="C808" t="s">
        <v>114</v>
      </c>
      <c r="D808" t="s">
        <v>197</v>
      </c>
      <c r="E808" t="s">
        <v>201</v>
      </c>
      <c r="U808" t="s">
        <v>197</v>
      </c>
      <c r="V808" t="s">
        <v>197</v>
      </c>
      <c r="W808" t="s">
        <v>197</v>
      </c>
      <c r="X808" t="s">
        <v>195</v>
      </c>
      <c r="Y808" t="s">
        <v>198</v>
      </c>
    </row>
    <row r="809">
      <c r="A809">
        <v>2634</v>
      </c>
      <c r="B809" t="s">
        <v>20</v>
      </c>
      <c r="C809" t="s">
        <v>114</v>
      </c>
      <c r="D809" t="s">
        <v>195</v>
      </c>
      <c r="E809" t="s">
        <v>196</v>
      </c>
      <c r="F809">
        <v>0.5</v>
      </c>
      <c r="G809" t="s">
        <v>197</v>
      </c>
      <c r="H809" t="s">
        <v>93</v>
      </c>
      <c r="I809">
        <v>1.1</v>
      </c>
      <c r="J809" t="s">
        <v>195</v>
      </c>
      <c r="K809" t="s">
        <v>195</v>
      </c>
      <c r="L809" t="s">
        <v>93</v>
      </c>
      <c r="M809">
        <v>5.2</v>
      </c>
      <c r="N809" t="s">
        <v>195</v>
      </c>
      <c r="O809" t="s">
        <v>93</v>
      </c>
      <c r="P809">
        <v>5.5</v>
      </c>
      <c r="Q809" t="s">
        <v>195</v>
      </c>
      <c r="R809" t="s">
        <v>49</v>
      </c>
      <c r="T809" t="s">
        <v>76</v>
      </c>
      <c r="U809" t="s">
        <v>197</v>
      </c>
      <c r="V809" t="s">
        <v>197</v>
      </c>
      <c r="W809" t="s">
        <v>197</v>
      </c>
      <c r="X809" t="s">
        <v>195</v>
      </c>
      <c r="Y809" t="s">
        <v>198</v>
      </c>
    </row>
    <row r="810">
      <c r="A810">
        <v>2632</v>
      </c>
      <c r="B810" t="s">
        <v>199</v>
      </c>
      <c r="C810" t="s">
        <v>114</v>
      </c>
      <c r="D810" t="s">
        <v>195</v>
      </c>
      <c r="E810" t="s">
        <v>200</v>
      </c>
      <c r="F810">
        <v>3169.4</v>
      </c>
      <c r="G810" t="s">
        <v>195</v>
      </c>
      <c r="H810" t="s">
        <v>93</v>
      </c>
      <c r="I810">
        <v>1.4</v>
      </c>
      <c r="J810" t="s">
        <v>197</v>
      </c>
      <c r="K810" t="s">
        <v>197</v>
      </c>
      <c r="L810">
        <v/>
      </c>
      <c r="N810" t="s">
        <v>197</v>
      </c>
      <c r="R810" t="s">
        <v>53</v>
      </c>
      <c r="S810" t="s">
        <v>64</v>
      </c>
      <c r="T810" t="s">
        <v>76</v>
      </c>
      <c r="U810" t="s">
        <v>195</v>
      </c>
      <c r="V810" t="s">
        <v>197</v>
      </c>
      <c r="W810" t="s">
        <v>197</v>
      </c>
      <c r="X810" t="s">
        <v>195</v>
      </c>
      <c r="Y810" t="s">
        <v>198</v>
      </c>
    </row>
    <row r="811">
      <c r="A811">
        <v>2637</v>
      </c>
      <c r="B811" t="s">
        <v>199</v>
      </c>
      <c r="C811" t="s">
        <v>114</v>
      </c>
      <c r="D811" t="s">
        <v>197</v>
      </c>
      <c r="E811" t="s">
        <v>201</v>
      </c>
      <c r="U811" t="s">
        <v>197</v>
      </c>
      <c r="V811" t="s">
        <v>197</v>
      </c>
      <c r="W811" t="s">
        <v>197</v>
      </c>
      <c r="X811" t="s">
        <v>195</v>
      </c>
      <c r="Y811" t="s">
        <v>198</v>
      </c>
    </row>
    <row r="812">
      <c r="A812">
        <v>2640</v>
      </c>
      <c r="B812" t="s">
        <v>194</v>
      </c>
      <c r="C812" t="s">
        <v>114</v>
      </c>
      <c r="D812" t="s">
        <v>197</v>
      </c>
      <c r="E812" t="s">
        <v>201</v>
      </c>
      <c r="U812" t="s">
        <v>197</v>
      </c>
      <c r="V812" t="s">
        <v>197</v>
      </c>
      <c r="W812" t="s">
        <v>197</v>
      </c>
      <c r="X812" t="s">
        <v>195</v>
      </c>
      <c r="Y812" t="s">
        <v>198</v>
      </c>
    </row>
    <row r="813">
      <c r="A813">
        <v>2647</v>
      </c>
      <c r="B813" t="s">
        <v>194</v>
      </c>
      <c r="C813" t="s">
        <v>114</v>
      </c>
      <c r="D813" t="s">
        <v>195</v>
      </c>
      <c r="E813" t="s">
        <v>196</v>
      </c>
      <c r="F813">
        <v>0.3</v>
      </c>
      <c r="G813" t="s">
        <v>197</v>
      </c>
      <c r="H813" t="s">
        <v>93</v>
      </c>
      <c r="I813">
        <v>1.1</v>
      </c>
      <c r="J813" t="s">
        <v>195</v>
      </c>
      <c r="K813" t="s">
        <v>195</v>
      </c>
      <c r="L813" t="s">
        <v>93</v>
      </c>
      <c r="M813">
        <v>11.2</v>
      </c>
      <c r="N813" t="s">
        <v>195</v>
      </c>
      <c r="O813" t="s">
        <v>93</v>
      </c>
      <c r="P813">
        <v>11.6</v>
      </c>
      <c r="Q813" t="s">
        <v>195</v>
      </c>
      <c r="R813" t="s">
        <v>49</v>
      </c>
      <c r="T813" t="s">
        <v>76</v>
      </c>
      <c r="U813" t="s">
        <v>197</v>
      </c>
      <c r="V813" t="s">
        <v>197</v>
      </c>
      <c r="W813" t="s">
        <v>197</v>
      </c>
      <c r="X813" t="s">
        <v>195</v>
      </c>
      <c r="Y813" t="s">
        <v>198</v>
      </c>
    </row>
    <row r="814">
      <c r="A814">
        <v>2645</v>
      </c>
      <c r="B814" t="s">
        <v>199</v>
      </c>
      <c r="C814" t="s">
        <v>114</v>
      </c>
      <c r="D814" t="s">
        <v>197</v>
      </c>
      <c r="E814" t="s">
        <v>201</v>
      </c>
      <c r="U814" t="s">
        <v>197</v>
      </c>
      <c r="V814" t="s">
        <v>197</v>
      </c>
      <c r="W814" t="s">
        <v>197</v>
      </c>
      <c r="X814" t="s">
        <v>195</v>
      </c>
      <c r="Y814" t="s">
        <v>198</v>
      </c>
    </row>
    <row r="815">
      <c r="A815">
        <v>2649</v>
      </c>
      <c r="B815" t="s">
        <v>20</v>
      </c>
      <c r="C815" t="s">
        <v>114</v>
      </c>
      <c r="D815" t="s">
        <v>197</v>
      </c>
      <c r="E815" t="s">
        <v>201</v>
      </c>
      <c r="U815" t="s">
        <v>197</v>
      </c>
      <c r="V815" t="s">
        <v>197</v>
      </c>
      <c r="W815" t="s">
        <v>197</v>
      </c>
      <c r="X815" t="s">
        <v>195</v>
      </c>
      <c r="Y815" t="s">
        <v>198</v>
      </c>
    </row>
    <row r="816">
      <c r="A816">
        <v>2651</v>
      </c>
      <c r="B816" t="s">
        <v>20</v>
      </c>
      <c r="C816" t="s">
        <v>114</v>
      </c>
      <c r="D816" t="s">
        <v>197</v>
      </c>
      <c r="E816" t="s">
        <v>201</v>
      </c>
      <c r="U816" t="s">
        <v>197</v>
      </c>
      <c r="V816" t="s">
        <v>197</v>
      </c>
      <c r="W816" t="s">
        <v>197</v>
      </c>
      <c r="X816" t="s">
        <v>195</v>
      </c>
      <c r="Y816" t="s">
        <v>198</v>
      </c>
    </row>
    <row r="817">
      <c r="A817">
        <v>2648</v>
      </c>
      <c r="B817" t="s">
        <v>20</v>
      </c>
      <c r="C817" t="s">
        <v>114</v>
      </c>
      <c r="D817" t="s">
        <v>197</v>
      </c>
      <c r="E817" t="s">
        <v>201</v>
      </c>
      <c r="U817" t="s">
        <v>197</v>
      </c>
      <c r="V817" t="s">
        <v>197</v>
      </c>
      <c r="W817" t="s">
        <v>197</v>
      </c>
      <c r="X817" t="s">
        <v>195</v>
      </c>
      <c r="Y817" t="s">
        <v>198</v>
      </c>
    </row>
    <row r="818">
      <c r="A818">
        <v>2654</v>
      </c>
      <c r="B818" t="s">
        <v>194</v>
      </c>
      <c r="C818" t="s">
        <v>114</v>
      </c>
      <c r="D818" t="s">
        <v>195</v>
      </c>
      <c r="E818" t="s">
        <v>196</v>
      </c>
      <c r="F818">
        <v>2.3</v>
      </c>
      <c r="G818" t="s">
        <v>197</v>
      </c>
      <c r="H818" t="s">
        <v>94</v>
      </c>
      <c r="I818">
        <v>3.4</v>
      </c>
      <c r="J818" t="s">
        <v>195</v>
      </c>
      <c r="K818" t="s">
        <v>195</v>
      </c>
      <c r="L818" t="s">
        <v>94</v>
      </c>
      <c r="M818">
        <v>10.5</v>
      </c>
      <c r="N818" t="s">
        <v>195</v>
      </c>
      <c r="O818" t="s">
        <v>94</v>
      </c>
      <c r="P818">
        <v>10.6</v>
      </c>
      <c r="Q818" t="s">
        <v>195</v>
      </c>
      <c r="R818" t="s">
        <v>49</v>
      </c>
      <c r="T818" t="s">
        <v>76</v>
      </c>
      <c r="U818" t="s">
        <v>197</v>
      </c>
      <c r="V818" t="s">
        <v>197</v>
      </c>
      <c r="W818" t="s">
        <v>197</v>
      </c>
      <c r="X818" t="s">
        <v>195</v>
      </c>
      <c r="Y818" t="s">
        <v>198</v>
      </c>
    </row>
    <row r="819">
      <c r="A819">
        <v>2658</v>
      </c>
      <c r="B819" t="s">
        <v>199</v>
      </c>
      <c r="C819" t="s">
        <v>114</v>
      </c>
      <c r="D819" t="s">
        <v>195</v>
      </c>
      <c r="E819" t="s">
        <v>196</v>
      </c>
      <c r="F819">
        <v>1.7</v>
      </c>
      <c r="G819" t="s">
        <v>197</v>
      </c>
      <c r="H819" t="s">
        <v>94</v>
      </c>
      <c r="I819">
        <v>4.4</v>
      </c>
      <c r="J819" t="s">
        <v>195</v>
      </c>
      <c r="K819" t="s">
        <v>195</v>
      </c>
      <c r="L819" t="s">
        <v>94</v>
      </c>
      <c r="M819">
        <v>9.5</v>
      </c>
      <c r="N819" t="s">
        <v>195</v>
      </c>
      <c r="O819" t="s">
        <v>94</v>
      </c>
      <c r="P819">
        <v>10.6</v>
      </c>
      <c r="Q819" t="s">
        <v>195</v>
      </c>
      <c r="R819" t="s">
        <v>49</v>
      </c>
      <c r="T819" t="s">
        <v>76</v>
      </c>
      <c r="U819" t="s">
        <v>195</v>
      </c>
      <c r="V819" t="s">
        <v>197</v>
      </c>
      <c r="W819" t="s">
        <v>197</v>
      </c>
      <c r="X819" t="s">
        <v>195</v>
      </c>
      <c r="Y819" t="s">
        <v>207</v>
      </c>
    </row>
    <row r="820">
      <c r="A820">
        <v>2660</v>
      </c>
      <c r="B820" t="s">
        <v>199</v>
      </c>
      <c r="C820" t="s">
        <v>114</v>
      </c>
      <c r="D820" t="s">
        <v>195</v>
      </c>
      <c r="E820" t="s">
        <v>196</v>
      </c>
      <c r="F820">
        <v>6.4</v>
      </c>
      <c r="G820" t="s">
        <v>197</v>
      </c>
      <c r="H820" t="s">
        <v>94</v>
      </c>
      <c r="I820">
        <v>2.4</v>
      </c>
      <c r="J820" t="s">
        <v>195</v>
      </c>
      <c r="K820" t="s">
        <v>195</v>
      </c>
      <c r="L820" t="s">
        <v>94</v>
      </c>
      <c r="M820">
        <v>8</v>
      </c>
      <c r="N820" t="s">
        <v>195</v>
      </c>
      <c r="O820" t="s">
        <v>94</v>
      </c>
      <c r="P820">
        <v>6</v>
      </c>
      <c r="Q820" t="s">
        <v>195</v>
      </c>
      <c r="R820" t="s">
        <v>50</v>
      </c>
      <c r="T820" t="s">
        <v>76</v>
      </c>
      <c r="U820" t="s">
        <v>197</v>
      </c>
      <c r="V820" t="s">
        <v>197</v>
      </c>
      <c r="W820" t="s">
        <v>197</v>
      </c>
      <c r="X820" t="s">
        <v>195</v>
      </c>
      <c r="Y820" t="s">
        <v>198</v>
      </c>
    </row>
    <row r="821">
      <c r="A821">
        <v>2661</v>
      </c>
      <c r="B821" t="s">
        <v>20</v>
      </c>
      <c r="C821" t="s">
        <v>114</v>
      </c>
      <c r="D821" t="s">
        <v>195</v>
      </c>
      <c r="E821" t="s">
        <v>196</v>
      </c>
      <c r="F821">
        <v>0.5</v>
      </c>
      <c r="G821" t="s">
        <v>197</v>
      </c>
      <c r="H821" t="s">
        <v>95</v>
      </c>
      <c r="I821">
        <v>2.5</v>
      </c>
      <c r="J821" t="s">
        <v>197</v>
      </c>
      <c r="K821" t="s">
        <v>197</v>
      </c>
      <c r="L821">
        <v/>
      </c>
      <c r="N821" t="s">
        <v>197</v>
      </c>
      <c r="R821" t="s">
        <v>53</v>
      </c>
      <c r="S821" t="s">
        <v>66</v>
      </c>
      <c r="T821" t="s">
        <v>76</v>
      </c>
      <c r="U821" t="s">
        <v>195</v>
      </c>
      <c r="V821" t="s">
        <v>195</v>
      </c>
      <c r="W821" t="s">
        <v>195</v>
      </c>
      <c r="X821" t="s">
        <v>195</v>
      </c>
      <c r="Y821" t="s">
        <v>104</v>
      </c>
    </row>
    <row r="822">
      <c r="A822">
        <v>2665</v>
      </c>
      <c r="B822" t="s">
        <v>194</v>
      </c>
      <c r="C822" t="s">
        <v>114</v>
      </c>
      <c r="D822" t="s">
        <v>197</v>
      </c>
      <c r="E822" t="s">
        <v>201</v>
      </c>
      <c r="U822" t="s">
        <v>197</v>
      </c>
      <c r="V822" t="s">
        <v>197</v>
      </c>
      <c r="W822" t="s">
        <v>197</v>
      </c>
      <c r="X822" t="s">
        <v>195</v>
      </c>
      <c r="Y822" t="s">
        <v>198</v>
      </c>
    </row>
    <row r="823">
      <c r="A823">
        <v>2673</v>
      </c>
      <c r="B823" t="s">
        <v>20</v>
      </c>
      <c r="C823" t="s">
        <v>114</v>
      </c>
      <c r="D823" t="s">
        <v>197</v>
      </c>
      <c r="E823" t="s">
        <v>201</v>
      </c>
      <c r="U823" t="s">
        <v>197</v>
      </c>
      <c r="V823" t="s">
        <v>197</v>
      </c>
      <c r="W823" t="s">
        <v>197</v>
      </c>
      <c r="X823" t="s">
        <v>195</v>
      </c>
      <c r="Y823" t="s">
        <v>198</v>
      </c>
    </row>
    <row r="824">
      <c r="A824">
        <v>2672</v>
      </c>
      <c r="B824" t="s">
        <v>20</v>
      </c>
      <c r="C824" t="s">
        <v>114</v>
      </c>
      <c r="D824" t="s">
        <v>197</v>
      </c>
      <c r="E824" t="s">
        <v>201</v>
      </c>
      <c r="U824" t="s">
        <v>197</v>
      </c>
      <c r="V824" t="s">
        <v>197</v>
      </c>
      <c r="W824" t="s">
        <v>197</v>
      </c>
      <c r="X824" t="s">
        <v>195</v>
      </c>
      <c r="Y824" t="s">
        <v>198</v>
      </c>
    </row>
    <row r="825">
      <c r="A825">
        <v>2674</v>
      </c>
      <c r="B825" t="s">
        <v>20</v>
      </c>
      <c r="C825" t="s">
        <v>114</v>
      </c>
      <c r="D825" t="s">
        <v>197</v>
      </c>
      <c r="E825" t="s">
        <v>201</v>
      </c>
      <c r="U825" t="s">
        <v>197</v>
      </c>
      <c r="V825" t="s">
        <v>197</v>
      </c>
      <c r="W825" t="s">
        <v>197</v>
      </c>
      <c r="X825" t="s">
        <v>195</v>
      </c>
      <c r="Y825" t="s">
        <v>198</v>
      </c>
    </row>
    <row r="826">
      <c r="A826">
        <v>2678</v>
      </c>
      <c r="B826" t="s">
        <v>199</v>
      </c>
      <c r="C826" t="s">
        <v>114</v>
      </c>
      <c r="D826" t="s">
        <v>195</v>
      </c>
      <c r="E826" t="s">
        <v>196</v>
      </c>
      <c r="F826">
        <v>3.1</v>
      </c>
      <c r="G826" t="s">
        <v>197</v>
      </c>
      <c r="H826" t="s">
        <v>94</v>
      </c>
      <c r="I826">
        <v>4.7</v>
      </c>
      <c r="J826" t="s">
        <v>195</v>
      </c>
      <c r="K826" t="s">
        <v>195</v>
      </c>
      <c r="L826" t="s">
        <v>94</v>
      </c>
      <c r="M826">
        <v>9.699999999999999</v>
      </c>
      <c r="N826" t="s">
        <v>195</v>
      </c>
      <c r="O826" t="s">
        <v>94</v>
      </c>
      <c r="P826">
        <v>9.800000000000001</v>
      </c>
      <c r="Q826" t="s">
        <v>195</v>
      </c>
      <c r="R826" t="s">
        <v>49</v>
      </c>
      <c r="T826" t="s">
        <v>76</v>
      </c>
      <c r="U826" t="s">
        <v>197</v>
      </c>
      <c r="V826" t="s">
        <v>197</v>
      </c>
      <c r="W826" t="s">
        <v>197</v>
      </c>
      <c r="X826" t="s">
        <v>195</v>
      </c>
      <c r="Y826" t="s">
        <v>198</v>
      </c>
    </row>
    <row r="827">
      <c r="A827">
        <v>2679</v>
      </c>
      <c r="B827" t="s">
        <v>20</v>
      </c>
      <c r="C827" t="s">
        <v>114</v>
      </c>
      <c r="D827" t="s">
        <v>195</v>
      </c>
      <c r="E827" t="s">
        <v>196</v>
      </c>
      <c r="F827">
        <v>17.6</v>
      </c>
      <c r="G827" t="s">
        <v>197</v>
      </c>
      <c r="H827" t="s">
        <v>94</v>
      </c>
      <c r="I827">
        <v>10.2</v>
      </c>
      <c r="J827" t="s">
        <v>195</v>
      </c>
      <c r="K827" t="s">
        <v>195</v>
      </c>
      <c r="L827" t="s">
        <v>94</v>
      </c>
      <c r="M827">
        <v>14.2</v>
      </c>
      <c r="N827" t="s">
        <v>195</v>
      </c>
      <c r="O827" t="s">
        <v>94</v>
      </c>
      <c r="P827">
        <v>14.2</v>
      </c>
      <c r="Q827" t="s">
        <v>195</v>
      </c>
      <c r="R827" t="s">
        <v>49</v>
      </c>
      <c r="T827" t="s">
        <v>76</v>
      </c>
      <c r="U827" t="s">
        <v>197</v>
      </c>
      <c r="V827" t="s">
        <v>197</v>
      </c>
      <c r="W827" t="s">
        <v>197</v>
      </c>
      <c r="X827" t="s">
        <v>195</v>
      </c>
      <c r="Y827" t="s">
        <v>198</v>
      </c>
    </row>
    <row r="828">
      <c r="A828">
        <v>2682</v>
      </c>
      <c r="B828" t="s">
        <v>199</v>
      </c>
      <c r="C828" t="s">
        <v>114</v>
      </c>
      <c r="D828" t="s">
        <v>197</v>
      </c>
      <c r="E828" t="s">
        <v>201</v>
      </c>
      <c r="U828" t="s">
        <v>197</v>
      </c>
      <c r="V828" t="s">
        <v>197</v>
      </c>
      <c r="W828" t="s">
        <v>197</v>
      </c>
      <c r="X828" t="s">
        <v>195</v>
      </c>
      <c r="Y828" t="s">
        <v>198</v>
      </c>
    </row>
    <row r="829">
      <c r="A829">
        <v>2684</v>
      </c>
      <c r="B829" t="s">
        <v>20</v>
      </c>
      <c r="C829" t="s">
        <v>114</v>
      </c>
      <c r="D829" t="s">
        <v>195</v>
      </c>
      <c r="E829" t="s">
        <v>196</v>
      </c>
      <c r="F829">
        <v>0.8</v>
      </c>
      <c r="G829" t="s">
        <v>197</v>
      </c>
      <c r="H829" t="s">
        <v>94</v>
      </c>
      <c r="I829">
        <v>0.4</v>
      </c>
      <c r="J829" t="s">
        <v>195</v>
      </c>
      <c r="K829" t="s">
        <v>197</v>
      </c>
      <c r="L829">
        <v/>
      </c>
      <c r="N829" t="s">
        <v>197</v>
      </c>
      <c r="R829" t="s">
        <v>53</v>
      </c>
      <c r="S829" t="s">
        <v>65</v>
      </c>
      <c r="T829" t="s">
        <v>76</v>
      </c>
      <c r="U829" t="s">
        <v>197</v>
      </c>
      <c r="V829" t="s">
        <v>197</v>
      </c>
      <c r="W829" t="s">
        <v>197</v>
      </c>
      <c r="X829" t="s">
        <v>195</v>
      </c>
      <c r="Y829" t="s">
        <v>198</v>
      </c>
    </row>
    <row r="830">
      <c r="A830">
        <v>2686</v>
      </c>
      <c r="B830" t="s">
        <v>20</v>
      </c>
      <c r="C830" t="s">
        <v>114</v>
      </c>
      <c r="D830" t="s">
        <v>195</v>
      </c>
      <c r="E830" t="s">
        <v>200</v>
      </c>
      <c r="F830">
        <v>120.6</v>
      </c>
      <c r="G830" t="s">
        <v>195</v>
      </c>
      <c r="H830" t="s">
        <v>94</v>
      </c>
      <c r="I830">
        <v>4</v>
      </c>
      <c r="J830" t="s">
        <v>197</v>
      </c>
      <c r="K830" t="s">
        <v>197</v>
      </c>
      <c r="L830">
        <v/>
      </c>
      <c r="N830" t="s">
        <v>197</v>
      </c>
      <c r="R830" t="s">
        <v>53</v>
      </c>
      <c r="S830" t="s">
        <v>64</v>
      </c>
      <c r="T830" t="s">
        <v>77</v>
      </c>
      <c r="U830" t="s">
        <v>197</v>
      </c>
      <c r="V830" t="s">
        <v>197</v>
      </c>
      <c r="W830" t="s">
        <v>197</v>
      </c>
      <c r="X830" t="s">
        <v>195</v>
      </c>
      <c r="Y830" t="s">
        <v>198</v>
      </c>
    </row>
    <row r="831">
      <c r="A831">
        <v>2685</v>
      </c>
      <c r="B831" t="s">
        <v>199</v>
      </c>
      <c r="C831" t="s">
        <v>114</v>
      </c>
      <c r="D831" t="s">
        <v>195</v>
      </c>
      <c r="E831" t="s">
        <v>196</v>
      </c>
      <c r="F831">
        <v>6.7</v>
      </c>
      <c r="G831" t="s">
        <v>197</v>
      </c>
      <c r="H831" t="s">
        <v>94</v>
      </c>
      <c r="I831">
        <v>7.3</v>
      </c>
      <c r="J831" t="s">
        <v>195</v>
      </c>
      <c r="K831" t="s">
        <v>195</v>
      </c>
      <c r="L831" t="s">
        <v>94</v>
      </c>
      <c r="M831">
        <v>12.2</v>
      </c>
      <c r="N831" t="s">
        <v>195</v>
      </c>
      <c r="O831" t="s">
        <v>94</v>
      </c>
      <c r="P831">
        <v>12.2</v>
      </c>
      <c r="Q831" t="s">
        <v>195</v>
      </c>
      <c r="R831" t="s">
        <v>50</v>
      </c>
      <c r="T831" t="s">
        <v>77</v>
      </c>
      <c r="U831" t="s">
        <v>197</v>
      </c>
      <c r="V831" t="s">
        <v>197</v>
      </c>
      <c r="W831" t="s">
        <v>197</v>
      </c>
      <c r="X831" t="s">
        <v>195</v>
      </c>
      <c r="Y831" t="s">
        <v>198</v>
      </c>
    </row>
    <row r="832">
      <c r="A832">
        <v>2689</v>
      </c>
      <c r="B832" t="s">
        <v>199</v>
      </c>
      <c r="C832" t="s">
        <v>114</v>
      </c>
      <c r="D832" t="s">
        <v>197</v>
      </c>
      <c r="E832" t="s">
        <v>201</v>
      </c>
      <c r="U832" t="s">
        <v>197</v>
      </c>
      <c r="V832" t="s">
        <v>197</v>
      </c>
      <c r="W832" t="s">
        <v>197</v>
      </c>
      <c r="X832" t="s">
        <v>195</v>
      </c>
      <c r="Y832" t="s">
        <v>198</v>
      </c>
    </row>
    <row r="833">
      <c r="A833">
        <v>2693</v>
      </c>
      <c r="B833" t="s">
        <v>199</v>
      </c>
      <c r="C833" t="s">
        <v>114</v>
      </c>
      <c r="D833" t="s">
        <v>197</v>
      </c>
      <c r="E833" t="s">
        <v>201</v>
      </c>
      <c r="U833" t="s">
        <v>197</v>
      </c>
      <c r="V833" t="s">
        <v>197</v>
      </c>
      <c r="W833" t="s">
        <v>197</v>
      </c>
      <c r="X833" t="s">
        <v>195</v>
      </c>
      <c r="Y833" t="s">
        <v>198</v>
      </c>
    </row>
    <row r="834">
      <c r="A834">
        <v>2691</v>
      </c>
      <c r="B834" t="s">
        <v>20</v>
      </c>
      <c r="C834" t="s">
        <v>114</v>
      </c>
      <c r="D834" t="s">
        <v>195</v>
      </c>
      <c r="E834" t="s">
        <v>196</v>
      </c>
      <c r="F834">
        <v>0.5</v>
      </c>
      <c r="G834" t="s">
        <v>197</v>
      </c>
      <c r="H834" t="s">
        <v>95</v>
      </c>
      <c r="I834">
        <v>3</v>
      </c>
      <c r="J834" t="s">
        <v>195</v>
      </c>
      <c r="K834" t="s">
        <v>195</v>
      </c>
      <c r="L834" t="s">
        <v>95</v>
      </c>
      <c r="M834">
        <v>3.9</v>
      </c>
      <c r="N834" t="s">
        <v>195</v>
      </c>
      <c r="O834" t="s">
        <v>95</v>
      </c>
      <c r="P834">
        <v>6.5</v>
      </c>
      <c r="Q834" t="s">
        <v>195</v>
      </c>
      <c r="R834" t="s">
        <v>49</v>
      </c>
      <c r="T834" t="s">
        <v>77</v>
      </c>
      <c r="U834" t="s">
        <v>197</v>
      </c>
      <c r="V834" t="s">
        <v>197</v>
      </c>
      <c r="W834" t="s">
        <v>197</v>
      </c>
      <c r="X834" t="s">
        <v>195</v>
      </c>
      <c r="Y834" t="s">
        <v>198</v>
      </c>
    </row>
    <row r="835">
      <c r="A835">
        <v>2696</v>
      </c>
      <c r="B835" t="s">
        <v>20</v>
      </c>
      <c r="C835" t="s">
        <v>114</v>
      </c>
      <c r="D835" t="s">
        <v>195</v>
      </c>
      <c r="E835" t="s">
        <v>196</v>
      </c>
      <c r="F835">
        <v>2.5</v>
      </c>
      <c r="G835" t="s">
        <v>195</v>
      </c>
      <c r="H835" t="s">
        <v>95</v>
      </c>
      <c r="I835">
        <v>0.6</v>
      </c>
      <c r="J835" t="s">
        <v>195</v>
      </c>
      <c r="K835" t="s">
        <v>195</v>
      </c>
      <c r="L835" t="s">
        <v>95</v>
      </c>
      <c r="M835">
        <v>4.1</v>
      </c>
      <c r="N835" t="s">
        <v>195</v>
      </c>
      <c r="O835" t="s">
        <v>95</v>
      </c>
      <c r="P835">
        <v>5.2</v>
      </c>
      <c r="Q835" t="s">
        <v>195</v>
      </c>
      <c r="R835" t="s">
        <v>49</v>
      </c>
      <c r="T835" t="s">
        <v>77</v>
      </c>
      <c r="U835" t="s">
        <v>197</v>
      </c>
      <c r="V835" t="s">
        <v>197</v>
      </c>
      <c r="W835" t="s">
        <v>197</v>
      </c>
      <c r="X835" t="s">
        <v>195</v>
      </c>
      <c r="Y835" t="s">
        <v>203</v>
      </c>
    </row>
    <row r="836">
      <c r="A836">
        <v>2694</v>
      </c>
      <c r="B836" t="s">
        <v>194</v>
      </c>
      <c r="C836" t="s">
        <v>114</v>
      </c>
      <c r="D836" t="s">
        <v>197</v>
      </c>
      <c r="E836" t="s">
        <v>201</v>
      </c>
      <c r="U836" t="s">
        <v>197</v>
      </c>
      <c r="V836" t="s">
        <v>197</v>
      </c>
      <c r="W836" t="s">
        <v>197</v>
      </c>
      <c r="X836" t="s">
        <v>195</v>
      </c>
      <c r="Y836" t="s">
        <v>198</v>
      </c>
    </row>
    <row r="837">
      <c r="A837">
        <v>2695</v>
      </c>
      <c r="B837" t="s">
        <v>199</v>
      </c>
      <c r="C837" t="s">
        <v>114</v>
      </c>
      <c r="D837" t="s">
        <v>195</v>
      </c>
      <c r="E837" t="s">
        <v>200</v>
      </c>
      <c r="F837">
        <v>983.5</v>
      </c>
      <c r="G837" t="s">
        <v>197</v>
      </c>
      <c r="H837" t="s">
        <v>96</v>
      </c>
      <c r="I837">
        <v>5.2</v>
      </c>
      <c r="J837" t="s">
        <v>197</v>
      </c>
      <c r="K837" t="s">
        <v>197</v>
      </c>
      <c r="L837">
        <v/>
      </c>
      <c r="N837" t="s">
        <v>197</v>
      </c>
      <c r="R837" t="s">
        <v>53</v>
      </c>
      <c r="S837" t="s">
        <v>64</v>
      </c>
      <c r="T837" t="s">
        <v>76</v>
      </c>
      <c r="U837" t="s">
        <v>195</v>
      </c>
      <c r="V837" t="s">
        <v>195</v>
      </c>
      <c r="W837" t="s">
        <v>195</v>
      </c>
      <c r="X837" t="s">
        <v>195</v>
      </c>
      <c r="Y837" t="s">
        <v>104</v>
      </c>
    </row>
    <row r="838">
      <c r="A838">
        <v>2702</v>
      </c>
      <c r="B838" t="s">
        <v>20</v>
      </c>
      <c r="C838" t="s">
        <v>114</v>
      </c>
      <c r="D838" t="s">
        <v>195</v>
      </c>
      <c r="E838" t="s">
        <v>196</v>
      </c>
      <c r="F838">
        <v>2.8</v>
      </c>
      <c r="G838" t="s">
        <v>195</v>
      </c>
      <c r="H838" t="s">
        <v>93</v>
      </c>
      <c r="I838">
        <v>8.800000000000001</v>
      </c>
      <c r="J838" t="s">
        <v>197</v>
      </c>
      <c r="K838" t="s">
        <v>195</v>
      </c>
      <c r="L838" t="s">
        <v>94</v>
      </c>
      <c r="M838">
        <v>13.9</v>
      </c>
      <c r="N838" t="s">
        <v>197</v>
      </c>
      <c r="R838" t="s">
        <v>52</v>
      </c>
      <c r="S838" t="s">
        <v>64</v>
      </c>
      <c r="T838" t="s">
        <v>77</v>
      </c>
      <c r="U838" t="s">
        <v>195</v>
      </c>
      <c r="V838" t="s">
        <v>195</v>
      </c>
      <c r="W838" t="s">
        <v>197</v>
      </c>
      <c r="X838" t="s">
        <v>195</v>
      </c>
      <c r="Y838" t="s">
        <v>198</v>
      </c>
    </row>
    <row r="839">
      <c r="A839">
        <v>2706</v>
      </c>
      <c r="B839" t="s">
        <v>20</v>
      </c>
      <c r="C839" t="s">
        <v>114</v>
      </c>
      <c r="D839" t="s">
        <v>197</v>
      </c>
      <c r="E839" t="s">
        <v>201</v>
      </c>
      <c r="U839" t="s">
        <v>197</v>
      </c>
      <c r="V839" t="s">
        <v>197</v>
      </c>
      <c r="W839" t="s">
        <v>197</v>
      </c>
      <c r="X839" t="s">
        <v>195</v>
      </c>
      <c r="Y839" t="s">
        <v>198</v>
      </c>
    </row>
    <row r="840">
      <c r="A840">
        <v>2705</v>
      </c>
      <c r="B840" t="s">
        <v>199</v>
      </c>
      <c r="C840" t="s">
        <v>114</v>
      </c>
      <c r="D840" t="s">
        <v>197</v>
      </c>
      <c r="E840" t="s">
        <v>201</v>
      </c>
      <c r="U840" t="s">
        <v>197</v>
      </c>
      <c r="V840" t="s">
        <v>197</v>
      </c>
      <c r="W840" t="s">
        <v>197</v>
      </c>
      <c r="X840" t="s">
        <v>195</v>
      </c>
      <c r="Y840" t="s">
        <v>198</v>
      </c>
    </row>
    <row r="841">
      <c r="A841">
        <v>2710</v>
      </c>
      <c r="B841" t="s">
        <v>20</v>
      </c>
      <c r="C841" t="s">
        <v>114</v>
      </c>
      <c r="D841" t="s">
        <v>195</v>
      </c>
      <c r="E841" t="s">
        <v>196</v>
      </c>
      <c r="F841">
        <v>8</v>
      </c>
      <c r="G841" t="s">
        <v>197</v>
      </c>
      <c r="H841" t="s">
        <v>93</v>
      </c>
      <c r="I841">
        <v>8.800000000000001</v>
      </c>
      <c r="J841" t="s">
        <v>195</v>
      </c>
      <c r="K841" t="s">
        <v>195</v>
      </c>
      <c r="L841" t="s">
        <v>93</v>
      </c>
      <c r="M841">
        <v>10.8</v>
      </c>
      <c r="N841" t="s">
        <v>195</v>
      </c>
      <c r="O841" t="s">
        <v>93</v>
      </c>
      <c r="P841">
        <v>11.1</v>
      </c>
      <c r="Q841" t="s">
        <v>195</v>
      </c>
      <c r="R841" t="s">
        <v>49</v>
      </c>
      <c r="T841" t="s">
        <v>77</v>
      </c>
      <c r="U841" t="s">
        <v>197</v>
      </c>
      <c r="V841" t="s">
        <v>197</v>
      </c>
      <c r="W841" t="s">
        <v>197</v>
      </c>
      <c r="X841" t="s">
        <v>195</v>
      </c>
      <c r="Y841" t="s">
        <v>198</v>
      </c>
    </row>
    <row r="842">
      <c r="A842">
        <v>2714</v>
      </c>
      <c r="B842" t="s">
        <v>194</v>
      </c>
      <c r="C842" t="s">
        <v>114</v>
      </c>
      <c r="D842" t="s">
        <v>195</v>
      </c>
      <c r="E842" t="s">
        <v>196</v>
      </c>
      <c r="F842">
        <v>1.5</v>
      </c>
      <c r="G842" t="s">
        <v>197</v>
      </c>
      <c r="H842" t="s">
        <v>95</v>
      </c>
      <c r="I842">
        <v>1.5</v>
      </c>
      <c r="J842" t="s">
        <v>195</v>
      </c>
      <c r="K842" t="s">
        <v>195</v>
      </c>
      <c r="L842" t="s">
        <v>95</v>
      </c>
      <c r="M842">
        <v>4</v>
      </c>
      <c r="N842" t="s">
        <v>195</v>
      </c>
      <c r="O842" t="s">
        <v>95</v>
      </c>
      <c r="P842">
        <v>4.3</v>
      </c>
      <c r="Q842" t="s">
        <v>195</v>
      </c>
      <c r="R842" t="s">
        <v>49</v>
      </c>
      <c r="T842" t="s">
        <v>77</v>
      </c>
      <c r="U842" t="s">
        <v>197</v>
      </c>
      <c r="V842" t="s">
        <v>197</v>
      </c>
      <c r="W842" t="s">
        <v>197</v>
      </c>
      <c r="X842" t="s">
        <v>195</v>
      </c>
      <c r="Y842" t="s">
        <v>198</v>
      </c>
    </row>
    <row r="843">
      <c r="A843">
        <v>2711</v>
      </c>
      <c r="B843" t="s">
        <v>199</v>
      </c>
      <c r="C843" t="s">
        <v>114</v>
      </c>
      <c r="D843" t="s">
        <v>195</v>
      </c>
      <c r="E843" t="s">
        <v>200</v>
      </c>
      <c r="F843">
        <v>655.6</v>
      </c>
      <c r="G843" t="s">
        <v>195</v>
      </c>
      <c r="H843" t="s">
        <v>93</v>
      </c>
      <c r="I843">
        <v>0.6</v>
      </c>
      <c r="J843" t="s">
        <v>197</v>
      </c>
      <c r="K843" t="s">
        <v>197</v>
      </c>
      <c r="L843">
        <v/>
      </c>
      <c r="N843" t="s">
        <v>197</v>
      </c>
      <c r="R843" t="s">
        <v>53</v>
      </c>
      <c r="S843" t="s">
        <v>64</v>
      </c>
      <c r="T843" t="s">
        <v>78</v>
      </c>
      <c r="U843" t="s">
        <v>195</v>
      </c>
      <c r="V843" t="s">
        <v>195</v>
      </c>
      <c r="W843" t="s">
        <v>197</v>
      </c>
      <c r="X843" t="s">
        <v>195</v>
      </c>
      <c r="Y843" t="s">
        <v>208</v>
      </c>
    </row>
    <row r="844">
      <c r="A844">
        <v>2715</v>
      </c>
      <c r="B844" t="s">
        <v>199</v>
      </c>
      <c r="C844" t="s">
        <v>114</v>
      </c>
      <c r="D844" t="s">
        <v>197</v>
      </c>
      <c r="E844" t="s">
        <v>201</v>
      </c>
      <c r="U844" t="s">
        <v>197</v>
      </c>
      <c r="V844" t="s">
        <v>197</v>
      </c>
      <c r="W844" t="s">
        <v>197</v>
      </c>
      <c r="X844" t="s">
        <v>195</v>
      </c>
      <c r="Y844" t="s">
        <v>198</v>
      </c>
    </row>
    <row r="845">
      <c r="A845">
        <v>2716</v>
      </c>
      <c r="B845" t="s">
        <v>194</v>
      </c>
      <c r="C845" t="s">
        <v>114</v>
      </c>
      <c r="D845" t="s">
        <v>195</v>
      </c>
      <c r="E845" t="s">
        <v>196</v>
      </c>
      <c r="F845">
        <v>23.9</v>
      </c>
      <c r="G845" t="s">
        <v>197</v>
      </c>
      <c r="H845" t="s">
        <v>94</v>
      </c>
      <c r="I845">
        <v>1.2</v>
      </c>
      <c r="J845" t="s">
        <v>195</v>
      </c>
      <c r="K845" t="s">
        <v>195</v>
      </c>
      <c r="L845" t="s">
        <v>94</v>
      </c>
      <c r="M845">
        <v>5.9</v>
      </c>
      <c r="N845" t="s">
        <v>195</v>
      </c>
      <c r="O845" t="s">
        <v>94</v>
      </c>
      <c r="P845">
        <v>5.9</v>
      </c>
      <c r="Q845" t="s">
        <v>195</v>
      </c>
      <c r="R845" t="s">
        <v>50</v>
      </c>
      <c r="T845" t="s">
        <v>78</v>
      </c>
      <c r="U845" t="s">
        <v>197</v>
      </c>
      <c r="V845" t="s">
        <v>197</v>
      </c>
      <c r="W845" t="s">
        <v>197</v>
      </c>
      <c r="X845" t="s">
        <v>195</v>
      </c>
      <c r="Y845" t="s">
        <v>198</v>
      </c>
    </row>
    <row r="846">
      <c r="A846">
        <v>2723</v>
      </c>
      <c r="B846" t="s">
        <v>20</v>
      </c>
      <c r="C846" t="s">
        <v>114</v>
      </c>
      <c r="D846" t="s">
        <v>197</v>
      </c>
      <c r="E846" t="s">
        <v>201</v>
      </c>
      <c r="U846" t="s">
        <v>197</v>
      </c>
      <c r="V846" t="s">
        <v>197</v>
      </c>
      <c r="W846" t="s">
        <v>197</v>
      </c>
      <c r="X846" t="s">
        <v>195</v>
      </c>
      <c r="Y846" t="s">
        <v>198</v>
      </c>
    </row>
    <row r="847">
      <c r="A847">
        <v>2721</v>
      </c>
      <c r="B847" t="s">
        <v>199</v>
      </c>
      <c r="C847" t="s">
        <v>114</v>
      </c>
      <c r="D847" t="s">
        <v>195</v>
      </c>
      <c r="E847" t="s">
        <v>200</v>
      </c>
      <c r="F847">
        <v>5227.6</v>
      </c>
      <c r="G847" t="s">
        <v>197</v>
      </c>
      <c r="H847" t="s">
        <v>94</v>
      </c>
      <c r="I847">
        <v>1.7</v>
      </c>
      <c r="J847" t="s">
        <v>197</v>
      </c>
      <c r="K847" t="s">
        <v>197</v>
      </c>
      <c r="L847">
        <v/>
      </c>
      <c r="N847" t="s">
        <v>197</v>
      </c>
      <c r="R847" t="s">
        <v>53</v>
      </c>
      <c r="S847" t="s">
        <v>64</v>
      </c>
      <c r="T847" t="s">
        <v>76</v>
      </c>
      <c r="U847" t="s">
        <v>197</v>
      </c>
      <c r="V847" t="s">
        <v>197</v>
      </c>
      <c r="W847" t="s">
        <v>197</v>
      </c>
      <c r="X847" t="s">
        <v>195</v>
      </c>
      <c r="Y847" t="s">
        <v>198</v>
      </c>
    </row>
    <row r="848">
      <c r="A848">
        <v>2725</v>
      </c>
      <c r="B848" t="s">
        <v>20</v>
      </c>
      <c r="C848" t="s">
        <v>114</v>
      </c>
      <c r="D848" t="s">
        <v>195</v>
      </c>
      <c r="E848" t="s">
        <v>196</v>
      </c>
      <c r="F848">
        <v>5.1</v>
      </c>
      <c r="G848" t="s">
        <v>197</v>
      </c>
      <c r="H848" t="s">
        <v>93</v>
      </c>
      <c r="I848">
        <v>508.4</v>
      </c>
      <c r="J848" t="s">
        <v>195</v>
      </c>
      <c r="K848" t="s">
        <v>195</v>
      </c>
      <c r="L848" t="s">
        <v>93</v>
      </c>
      <c r="M848">
        <v>512.1</v>
      </c>
      <c r="N848" t="s">
        <v>195</v>
      </c>
      <c r="O848" t="s">
        <v>93</v>
      </c>
      <c r="P848">
        <v>512.7</v>
      </c>
      <c r="Q848" t="s">
        <v>197</v>
      </c>
      <c r="R848" t="s">
        <v>49</v>
      </c>
      <c r="T848" t="s">
        <v>78</v>
      </c>
      <c r="U848" t="s">
        <v>197</v>
      </c>
      <c r="V848" t="s">
        <v>197</v>
      </c>
      <c r="W848" t="s">
        <v>197</v>
      </c>
      <c r="X848" t="s">
        <v>195</v>
      </c>
      <c r="Y848" t="s">
        <v>198</v>
      </c>
    </row>
    <row r="849">
      <c r="A849">
        <v>2726</v>
      </c>
      <c r="B849" t="s">
        <v>20</v>
      </c>
      <c r="C849" t="s">
        <v>114</v>
      </c>
      <c r="D849" t="s">
        <v>197</v>
      </c>
      <c r="E849" t="s">
        <v>201</v>
      </c>
      <c r="U849" t="s">
        <v>197</v>
      </c>
      <c r="V849" t="s">
        <v>197</v>
      </c>
      <c r="W849" t="s">
        <v>197</v>
      </c>
      <c r="X849" t="s">
        <v>195</v>
      </c>
      <c r="Y849" t="s">
        <v>198</v>
      </c>
    </row>
    <row r="850">
      <c r="A850">
        <v>2731</v>
      </c>
      <c r="B850" t="s">
        <v>199</v>
      </c>
      <c r="C850" t="s">
        <v>114</v>
      </c>
      <c r="D850" t="s">
        <v>195</v>
      </c>
      <c r="E850" t="s">
        <v>200</v>
      </c>
      <c r="F850">
        <v>1108.9</v>
      </c>
      <c r="G850" t="s">
        <v>197</v>
      </c>
      <c r="H850" t="s">
        <v>95</v>
      </c>
      <c r="I850">
        <v>3</v>
      </c>
      <c r="J850" t="s">
        <v>195</v>
      </c>
      <c r="K850" t="s">
        <v>195</v>
      </c>
      <c r="L850" t="s">
        <v>94</v>
      </c>
      <c r="M850">
        <v>209.3</v>
      </c>
      <c r="N850" t="s">
        <v>195</v>
      </c>
      <c r="O850" t="s">
        <v>94</v>
      </c>
      <c r="P850">
        <v>209.5</v>
      </c>
      <c r="Q850" t="s">
        <v>197</v>
      </c>
      <c r="R850" t="s">
        <v>49</v>
      </c>
      <c r="T850" t="s">
        <v>77</v>
      </c>
      <c r="U850" t="s">
        <v>197</v>
      </c>
      <c r="V850" t="s">
        <v>197</v>
      </c>
      <c r="W850" t="s">
        <v>197</v>
      </c>
      <c r="X850" t="s">
        <v>195</v>
      </c>
      <c r="Y850" t="s">
        <v>198</v>
      </c>
    </row>
    <row r="851">
      <c r="A851">
        <v>2734</v>
      </c>
      <c r="B851" t="s">
        <v>20</v>
      </c>
      <c r="C851" t="s">
        <v>114</v>
      </c>
      <c r="D851" t="s">
        <v>197</v>
      </c>
      <c r="E851" t="s">
        <v>201</v>
      </c>
      <c r="U851" t="s">
        <v>197</v>
      </c>
      <c r="V851" t="s">
        <v>197</v>
      </c>
      <c r="W851" t="s">
        <v>197</v>
      </c>
      <c r="X851" t="s">
        <v>195</v>
      </c>
      <c r="Y851" t="s">
        <v>198</v>
      </c>
    </row>
    <row r="852">
      <c r="A852">
        <v>2735</v>
      </c>
      <c r="B852" t="s">
        <v>199</v>
      </c>
      <c r="C852" t="s">
        <v>114</v>
      </c>
      <c r="D852" t="s">
        <v>197</v>
      </c>
      <c r="E852" t="s">
        <v>201</v>
      </c>
      <c r="U852" t="s">
        <v>197</v>
      </c>
      <c r="V852" t="s">
        <v>197</v>
      </c>
      <c r="W852" t="s">
        <v>197</v>
      </c>
      <c r="X852" t="s">
        <v>195</v>
      </c>
      <c r="Y852" t="s">
        <v>198</v>
      </c>
    </row>
    <row r="853">
      <c r="A853">
        <v>2736</v>
      </c>
      <c r="B853" t="s">
        <v>20</v>
      </c>
      <c r="C853" t="s">
        <v>114</v>
      </c>
      <c r="D853" t="s">
        <v>197</v>
      </c>
      <c r="E853" t="s">
        <v>201</v>
      </c>
      <c r="U853" t="s">
        <v>197</v>
      </c>
      <c r="V853" t="s">
        <v>197</v>
      </c>
      <c r="W853" t="s">
        <v>197</v>
      </c>
      <c r="X853" t="s">
        <v>195</v>
      </c>
      <c r="Y853" t="s">
        <v>198</v>
      </c>
    </row>
    <row r="854">
      <c r="A854">
        <v>2738</v>
      </c>
      <c r="B854" t="s">
        <v>199</v>
      </c>
      <c r="C854" t="s">
        <v>114</v>
      </c>
      <c r="D854" t="s">
        <v>195</v>
      </c>
      <c r="E854" t="s">
        <v>196</v>
      </c>
      <c r="F854">
        <v>22.1</v>
      </c>
      <c r="G854" t="s">
        <v>197</v>
      </c>
      <c r="H854" t="s">
        <v>93</v>
      </c>
      <c r="I854">
        <v>23.3</v>
      </c>
      <c r="J854" t="s">
        <v>195</v>
      </c>
      <c r="K854" t="s">
        <v>195</v>
      </c>
      <c r="L854" t="s">
        <v>93</v>
      </c>
      <c r="M854">
        <v>26.4</v>
      </c>
      <c r="N854" t="s">
        <v>195</v>
      </c>
      <c r="O854" t="s">
        <v>93</v>
      </c>
      <c r="P854">
        <v>26.5</v>
      </c>
      <c r="Q854" t="s">
        <v>195</v>
      </c>
      <c r="R854" t="s">
        <v>49</v>
      </c>
      <c r="T854" t="s">
        <v>78</v>
      </c>
      <c r="U854" t="s">
        <v>197</v>
      </c>
      <c r="V854" t="s">
        <v>197</v>
      </c>
      <c r="W854" t="s">
        <v>197</v>
      </c>
      <c r="X854" t="s">
        <v>195</v>
      </c>
      <c r="Y854" t="s">
        <v>198</v>
      </c>
    </row>
    <row r="855">
      <c r="A855">
        <v>2732</v>
      </c>
      <c r="B855" t="s">
        <v>20</v>
      </c>
      <c r="C855" t="s">
        <v>114</v>
      </c>
      <c r="D855" t="s">
        <v>197</v>
      </c>
      <c r="E855" t="s">
        <v>201</v>
      </c>
      <c r="U855" t="s">
        <v>197</v>
      </c>
      <c r="V855" t="s">
        <v>197</v>
      </c>
      <c r="W855" t="s">
        <v>197</v>
      </c>
      <c r="X855" t="s">
        <v>195</v>
      </c>
      <c r="Y855" t="s">
        <v>198</v>
      </c>
    </row>
    <row r="856">
      <c r="A856">
        <v>2740</v>
      </c>
      <c r="B856" t="s">
        <v>20</v>
      </c>
      <c r="C856" t="s">
        <v>114</v>
      </c>
      <c r="D856" t="s">
        <v>197</v>
      </c>
      <c r="E856" t="s">
        <v>201</v>
      </c>
      <c r="U856" t="s">
        <v>197</v>
      </c>
      <c r="V856" t="s">
        <v>197</v>
      </c>
      <c r="W856" t="s">
        <v>197</v>
      </c>
      <c r="X856" t="s">
        <v>195</v>
      </c>
      <c r="Y856" t="s">
        <v>198</v>
      </c>
    </row>
    <row r="857">
      <c r="A857">
        <v>2744</v>
      </c>
      <c r="B857" t="s">
        <v>20</v>
      </c>
      <c r="C857" t="s">
        <v>114</v>
      </c>
      <c r="D857" t="s">
        <v>195</v>
      </c>
      <c r="E857" t="s">
        <v>196</v>
      </c>
      <c r="F857">
        <v>0.3</v>
      </c>
      <c r="G857" t="s">
        <v>197</v>
      </c>
      <c r="H857" t="s">
        <v>93</v>
      </c>
      <c r="I857">
        <v>1.7</v>
      </c>
      <c r="J857" t="s">
        <v>195</v>
      </c>
      <c r="K857" t="s">
        <v>195</v>
      </c>
      <c r="L857" t="s">
        <v>93</v>
      </c>
      <c r="M857">
        <v>5.2</v>
      </c>
      <c r="N857" t="s">
        <v>195</v>
      </c>
      <c r="O857" t="s">
        <v>93</v>
      </c>
      <c r="P857">
        <v>5.4</v>
      </c>
      <c r="Q857" t="s">
        <v>195</v>
      </c>
      <c r="R857" t="s">
        <v>49</v>
      </c>
      <c r="T857" t="s">
        <v>78</v>
      </c>
      <c r="U857" t="s">
        <v>197</v>
      </c>
      <c r="V857" t="s">
        <v>197</v>
      </c>
      <c r="W857" t="s">
        <v>197</v>
      </c>
      <c r="X857" t="s">
        <v>195</v>
      </c>
      <c r="Y857" t="s">
        <v>198</v>
      </c>
    </row>
    <row r="858">
      <c r="A858">
        <v>2747</v>
      </c>
      <c r="B858" t="s">
        <v>194</v>
      </c>
      <c r="C858" t="s">
        <v>114</v>
      </c>
      <c r="D858" t="s">
        <v>195</v>
      </c>
      <c r="E858" t="s">
        <v>196</v>
      </c>
      <c r="F858">
        <v>3.4</v>
      </c>
      <c r="G858" t="s">
        <v>197</v>
      </c>
      <c r="H858" t="s">
        <v>96</v>
      </c>
      <c r="I858">
        <v>0.6</v>
      </c>
      <c r="J858" t="s">
        <v>195</v>
      </c>
      <c r="K858" t="s">
        <v>195</v>
      </c>
      <c r="L858" t="s">
        <v>96</v>
      </c>
      <c r="M858">
        <v>3.7</v>
      </c>
      <c r="N858" t="s">
        <v>197</v>
      </c>
      <c r="R858" t="s">
        <v>52</v>
      </c>
      <c r="S858" t="s">
        <v>64</v>
      </c>
      <c r="T858" t="s">
        <v>76</v>
      </c>
      <c r="U858" t="s">
        <v>197</v>
      </c>
      <c r="V858" t="s">
        <v>197</v>
      </c>
      <c r="W858" t="s">
        <v>197</v>
      </c>
      <c r="X858" t="s">
        <v>195</v>
      </c>
      <c r="Y858" t="s">
        <v>198</v>
      </c>
    </row>
    <row r="859">
      <c r="A859">
        <v>2742</v>
      </c>
      <c r="B859" t="s">
        <v>20</v>
      </c>
      <c r="C859" t="s">
        <v>114</v>
      </c>
      <c r="D859" t="s">
        <v>197</v>
      </c>
      <c r="E859" t="s">
        <v>201</v>
      </c>
      <c r="U859" t="s">
        <v>197</v>
      </c>
      <c r="V859" t="s">
        <v>197</v>
      </c>
      <c r="W859" t="s">
        <v>197</v>
      </c>
      <c r="X859" t="s">
        <v>195</v>
      </c>
      <c r="Y859" t="s">
        <v>198</v>
      </c>
    </row>
    <row r="860">
      <c r="A860">
        <v>2748</v>
      </c>
      <c r="B860" t="s">
        <v>194</v>
      </c>
      <c r="C860" t="s">
        <v>114</v>
      </c>
      <c r="D860" t="s">
        <v>197</v>
      </c>
      <c r="E860" t="s">
        <v>201</v>
      </c>
      <c r="U860" t="s">
        <v>197</v>
      </c>
      <c r="V860" t="s">
        <v>197</v>
      </c>
      <c r="W860" t="s">
        <v>197</v>
      </c>
      <c r="X860" t="s">
        <v>195</v>
      </c>
      <c r="Y860" t="s">
        <v>198</v>
      </c>
    </row>
    <row r="861">
      <c r="A861">
        <v>2751</v>
      </c>
      <c r="B861" t="s">
        <v>194</v>
      </c>
      <c r="C861" t="s">
        <v>114</v>
      </c>
      <c r="D861" t="s">
        <v>195</v>
      </c>
      <c r="E861" t="s">
        <v>196</v>
      </c>
      <c r="F861">
        <v>1.7</v>
      </c>
      <c r="G861" t="s">
        <v>197</v>
      </c>
      <c r="H861" t="s">
        <v>93</v>
      </c>
      <c r="I861">
        <v>0.2</v>
      </c>
      <c r="J861" t="s">
        <v>195</v>
      </c>
      <c r="K861" t="s">
        <v>195</v>
      </c>
      <c r="L861" t="s">
        <v>93</v>
      </c>
      <c r="M861">
        <v>6.6</v>
      </c>
      <c r="N861" t="s">
        <v>195</v>
      </c>
      <c r="O861" t="s">
        <v>93</v>
      </c>
      <c r="P861">
        <v>6.9</v>
      </c>
      <c r="Q861" t="s">
        <v>195</v>
      </c>
      <c r="R861" t="s">
        <v>49</v>
      </c>
      <c r="T861" t="s">
        <v>76</v>
      </c>
      <c r="U861" t="s">
        <v>197</v>
      </c>
      <c r="V861" t="s">
        <v>197</v>
      </c>
      <c r="W861" t="s">
        <v>197</v>
      </c>
      <c r="X861" t="s">
        <v>195</v>
      </c>
      <c r="Y861" t="s">
        <v>198</v>
      </c>
    </row>
    <row r="862">
      <c r="A862">
        <v>2752</v>
      </c>
      <c r="B862" t="s">
        <v>199</v>
      </c>
      <c r="C862" t="s">
        <v>114</v>
      </c>
      <c r="D862" t="s">
        <v>197</v>
      </c>
      <c r="E862" t="s">
        <v>201</v>
      </c>
      <c r="U862" t="s">
        <v>197</v>
      </c>
      <c r="V862" t="s">
        <v>197</v>
      </c>
      <c r="W862" t="s">
        <v>197</v>
      </c>
      <c r="X862" t="s">
        <v>195</v>
      </c>
      <c r="Y862" t="s">
        <v>198</v>
      </c>
    </row>
    <row r="863">
      <c r="A863">
        <v>2759</v>
      </c>
      <c r="B863" t="s">
        <v>199</v>
      </c>
      <c r="C863" t="s">
        <v>114</v>
      </c>
      <c r="D863" t="s">
        <v>197</v>
      </c>
      <c r="E863" t="s">
        <v>201</v>
      </c>
      <c r="U863" t="s">
        <v>197</v>
      </c>
      <c r="V863" t="s">
        <v>197</v>
      </c>
      <c r="W863" t="s">
        <v>197</v>
      </c>
      <c r="X863" t="s">
        <v>195</v>
      </c>
      <c r="Y863" t="s">
        <v>198</v>
      </c>
    </row>
    <row r="864">
      <c r="A864">
        <v>2758</v>
      </c>
      <c r="B864" t="s">
        <v>194</v>
      </c>
      <c r="C864" t="s">
        <v>114</v>
      </c>
      <c r="D864" t="s">
        <v>197</v>
      </c>
      <c r="E864" t="s">
        <v>201</v>
      </c>
      <c r="U864" t="s">
        <v>197</v>
      </c>
      <c r="V864" t="s">
        <v>197</v>
      </c>
      <c r="W864" t="s">
        <v>197</v>
      </c>
      <c r="X864" t="s">
        <v>195</v>
      </c>
      <c r="Y864" t="s">
        <v>198</v>
      </c>
    </row>
    <row r="865">
      <c r="A865">
        <v>2768</v>
      </c>
      <c r="B865" t="s">
        <v>20</v>
      </c>
      <c r="C865" t="s">
        <v>114</v>
      </c>
      <c r="D865" t="s">
        <v>195</v>
      </c>
      <c r="E865" t="s">
        <v>196</v>
      </c>
      <c r="F865">
        <v>9.199999999999999</v>
      </c>
      <c r="G865" t="s">
        <v>197</v>
      </c>
      <c r="H865" t="s">
        <v>93</v>
      </c>
      <c r="I865">
        <v>0.4</v>
      </c>
      <c r="J865" t="s">
        <v>195</v>
      </c>
      <c r="K865" t="s">
        <v>195</v>
      </c>
      <c r="L865" t="s">
        <v>93</v>
      </c>
      <c r="M865">
        <v>15.2</v>
      </c>
      <c r="N865" t="s">
        <v>195</v>
      </c>
      <c r="O865" t="s">
        <v>93</v>
      </c>
      <c r="P865">
        <v>15.6</v>
      </c>
      <c r="Q865" t="s">
        <v>195</v>
      </c>
      <c r="R865" t="s">
        <v>49</v>
      </c>
      <c r="T865" t="s">
        <v>76</v>
      </c>
      <c r="U865" t="s">
        <v>195</v>
      </c>
      <c r="V865" t="s">
        <v>195</v>
      </c>
      <c r="W865" t="s">
        <v>195</v>
      </c>
      <c r="X865" t="s">
        <v>195</v>
      </c>
      <c r="Y865" t="s">
        <v>104</v>
      </c>
    </row>
    <row r="866">
      <c r="A866">
        <v>2764</v>
      </c>
      <c r="B866" t="s">
        <v>194</v>
      </c>
      <c r="C866" t="s">
        <v>114</v>
      </c>
      <c r="D866" t="s">
        <v>197</v>
      </c>
      <c r="E866" t="s">
        <v>201</v>
      </c>
      <c r="U866" t="s">
        <v>197</v>
      </c>
      <c r="V866" t="s">
        <v>197</v>
      </c>
      <c r="W866" t="s">
        <v>197</v>
      </c>
      <c r="X866" t="s">
        <v>195</v>
      </c>
      <c r="Y866" t="s">
        <v>198</v>
      </c>
    </row>
    <row r="867">
      <c r="A867">
        <v>2767</v>
      </c>
      <c r="B867" t="s">
        <v>20</v>
      </c>
      <c r="C867" t="s">
        <v>114</v>
      </c>
      <c r="D867" t="s">
        <v>195</v>
      </c>
      <c r="E867" t="s">
        <v>196</v>
      </c>
      <c r="F867">
        <v>10.8</v>
      </c>
      <c r="G867" t="s">
        <v>197</v>
      </c>
      <c r="H867" t="s">
        <v>96</v>
      </c>
      <c r="I867">
        <v>1</v>
      </c>
      <c r="J867" t="s">
        <v>197</v>
      </c>
      <c r="K867" t="s">
        <v>197</v>
      </c>
      <c r="L867">
        <v/>
      </c>
      <c r="N867" t="s">
        <v>197</v>
      </c>
      <c r="R867" t="s">
        <v>53</v>
      </c>
      <c r="S867" t="s">
        <v>65</v>
      </c>
      <c r="T867" t="s">
        <v>76</v>
      </c>
      <c r="U867" t="s">
        <v>197</v>
      </c>
      <c r="V867" t="s">
        <v>197</v>
      </c>
      <c r="W867" t="s">
        <v>197</v>
      </c>
      <c r="X867" t="s">
        <v>195</v>
      </c>
      <c r="Y867" t="s">
        <v>198</v>
      </c>
    </row>
    <row r="868">
      <c r="A868">
        <v>2774</v>
      </c>
      <c r="B868" t="s">
        <v>20</v>
      </c>
      <c r="C868" t="s">
        <v>114</v>
      </c>
      <c r="D868" t="s">
        <v>195</v>
      </c>
      <c r="E868" t="s">
        <v>196</v>
      </c>
      <c r="F868">
        <v>2.4</v>
      </c>
      <c r="G868" t="s">
        <v>197</v>
      </c>
      <c r="H868" t="s">
        <v>93</v>
      </c>
      <c r="I868">
        <v>1.6</v>
      </c>
      <c r="J868" t="s">
        <v>197</v>
      </c>
      <c r="K868" t="s">
        <v>197</v>
      </c>
      <c r="L868">
        <v/>
      </c>
      <c r="N868" t="s">
        <v>197</v>
      </c>
      <c r="R868" t="s">
        <v>53</v>
      </c>
      <c r="S868" t="s">
        <v>64</v>
      </c>
      <c r="T868" t="s">
        <v>76</v>
      </c>
      <c r="U868" t="s">
        <v>197</v>
      </c>
      <c r="V868" t="s">
        <v>197</v>
      </c>
      <c r="W868" t="s">
        <v>197</v>
      </c>
      <c r="X868" t="s">
        <v>195</v>
      </c>
      <c r="Y868" t="s">
        <v>198</v>
      </c>
    </row>
    <row r="869">
      <c r="A869">
        <v>2769</v>
      </c>
      <c r="B869" t="s">
        <v>199</v>
      </c>
      <c r="C869" t="s">
        <v>114</v>
      </c>
      <c r="D869" t="s">
        <v>197</v>
      </c>
      <c r="E869" t="s">
        <v>201</v>
      </c>
      <c r="U869" t="s">
        <v>197</v>
      </c>
      <c r="V869" t="s">
        <v>197</v>
      </c>
      <c r="W869" t="s">
        <v>197</v>
      </c>
      <c r="X869" t="s">
        <v>195</v>
      </c>
      <c r="Y869" t="s">
        <v>198</v>
      </c>
    </row>
    <row r="870">
      <c r="A870">
        <v>2771</v>
      </c>
      <c r="B870" t="s">
        <v>194</v>
      </c>
      <c r="C870" t="s">
        <v>114</v>
      </c>
      <c r="D870" t="s">
        <v>197</v>
      </c>
      <c r="E870" t="s">
        <v>201</v>
      </c>
      <c r="U870" t="s">
        <v>197</v>
      </c>
      <c r="V870" t="s">
        <v>197</v>
      </c>
      <c r="W870" t="s">
        <v>197</v>
      </c>
      <c r="X870" t="s">
        <v>195</v>
      </c>
      <c r="Y870" t="s">
        <v>198</v>
      </c>
    </row>
    <row r="871">
      <c r="A871">
        <v>2775</v>
      </c>
      <c r="B871" t="s">
        <v>20</v>
      </c>
      <c r="C871" t="s">
        <v>114</v>
      </c>
      <c r="D871" t="s">
        <v>195</v>
      </c>
      <c r="E871" t="s">
        <v>196</v>
      </c>
      <c r="F871">
        <v>0.8</v>
      </c>
      <c r="G871" t="s">
        <v>197</v>
      </c>
      <c r="H871" t="s">
        <v>96</v>
      </c>
      <c r="I871">
        <v>3.2</v>
      </c>
      <c r="J871" t="s">
        <v>195</v>
      </c>
      <c r="K871" t="s">
        <v>195</v>
      </c>
      <c r="L871" t="s">
        <v>96</v>
      </c>
      <c r="M871">
        <v>8.4</v>
      </c>
      <c r="N871" t="s">
        <v>197</v>
      </c>
      <c r="R871" t="s">
        <v>52</v>
      </c>
      <c r="S871" t="s">
        <v>64</v>
      </c>
      <c r="T871" t="s">
        <v>76</v>
      </c>
      <c r="U871" t="s">
        <v>197</v>
      </c>
      <c r="V871" t="s">
        <v>197</v>
      </c>
      <c r="W871" t="s">
        <v>197</v>
      </c>
      <c r="X871" t="s">
        <v>195</v>
      </c>
      <c r="Y871" t="s">
        <v>198</v>
      </c>
    </row>
    <row r="872">
      <c r="A872">
        <v>2269</v>
      </c>
      <c r="B872" t="s">
        <v>194</v>
      </c>
      <c r="C872" t="s">
        <v>114</v>
      </c>
      <c r="D872" t="s">
        <v>195</v>
      </c>
      <c r="E872" t="s">
        <v>200</v>
      </c>
      <c r="F872">
        <v>2008.8</v>
      </c>
      <c r="G872" t="s">
        <v>197</v>
      </c>
      <c r="H872" t="s">
        <v>96</v>
      </c>
      <c r="I872">
        <v>639</v>
      </c>
      <c r="J872" t="s">
        <v>197</v>
      </c>
      <c r="K872" t="s">
        <v>197</v>
      </c>
      <c r="L872">
        <v/>
      </c>
      <c r="N872" t="s">
        <v>197</v>
      </c>
      <c r="R872" t="s">
        <v>53</v>
      </c>
      <c r="S872" t="s">
        <v>64</v>
      </c>
      <c r="T872" t="s">
        <v>78</v>
      </c>
      <c r="U872" t="s">
        <v>197</v>
      </c>
      <c r="V872" t="s">
        <v>197</v>
      </c>
      <c r="W872" t="s">
        <v>197</v>
      </c>
      <c r="X872" t="s">
        <v>195</v>
      </c>
      <c r="Y872" t="s">
        <v>119</v>
      </c>
    </row>
    <row r="873">
      <c r="A873">
        <v>2773</v>
      </c>
      <c r="B873" t="s">
        <v>20</v>
      </c>
      <c r="C873" t="s">
        <v>114</v>
      </c>
      <c r="D873" t="s">
        <v>197</v>
      </c>
      <c r="E873" t="s">
        <v>201</v>
      </c>
      <c r="U873" t="s">
        <v>197</v>
      </c>
      <c r="V873" t="s">
        <v>197</v>
      </c>
      <c r="W873" t="s">
        <v>197</v>
      </c>
      <c r="X873" t="s">
        <v>195</v>
      </c>
      <c r="Y873" t="s">
        <v>198</v>
      </c>
    </row>
    <row r="874">
      <c r="A874">
        <v>2778</v>
      </c>
      <c r="B874" t="s">
        <v>20</v>
      </c>
      <c r="C874" t="s">
        <v>114</v>
      </c>
      <c r="D874" t="s">
        <v>197</v>
      </c>
      <c r="E874" t="s">
        <v>201</v>
      </c>
      <c r="U874" t="s">
        <v>197</v>
      </c>
      <c r="V874" t="s">
        <v>197</v>
      </c>
      <c r="W874" t="s">
        <v>197</v>
      </c>
      <c r="X874" t="s">
        <v>195</v>
      </c>
      <c r="Y874" t="s">
        <v>198</v>
      </c>
    </row>
    <row r="875">
      <c r="A875">
        <v>2776</v>
      </c>
      <c r="B875" t="s">
        <v>199</v>
      </c>
      <c r="C875" t="s">
        <v>114</v>
      </c>
      <c r="D875" t="s">
        <v>197</v>
      </c>
      <c r="E875" t="s">
        <v>201</v>
      </c>
      <c r="U875" t="s">
        <v>197</v>
      </c>
      <c r="V875" t="s">
        <v>197</v>
      </c>
      <c r="W875" t="s">
        <v>197</v>
      </c>
      <c r="X875" t="s">
        <v>195</v>
      </c>
      <c r="Y875" t="s">
        <v>198</v>
      </c>
    </row>
    <row r="876">
      <c r="A876">
        <v>2783</v>
      </c>
      <c r="B876" t="s">
        <v>20</v>
      </c>
      <c r="C876" t="s">
        <v>114</v>
      </c>
      <c r="D876" t="s">
        <v>197</v>
      </c>
      <c r="E876" t="s">
        <v>201</v>
      </c>
      <c r="U876" t="s">
        <v>197</v>
      </c>
      <c r="V876" t="s">
        <v>197</v>
      </c>
      <c r="W876" t="s">
        <v>197</v>
      </c>
      <c r="X876" t="s">
        <v>195</v>
      </c>
      <c r="Y876" t="s">
        <v>198</v>
      </c>
    </row>
    <row r="877">
      <c r="A877">
        <v>2787</v>
      </c>
      <c r="B877" t="s">
        <v>20</v>
      </c>
      <c r="C877" t="s">
        <v>114</v>
      </c>
      <c r="D877" t="s">
        <v>197</v>
      </c>
      <c r="E877" t="s">
        <v>201</v>
      </c>
      <c r="U877" t="s">
        <v>197</v>
      </c>
      <c r="V877" t="s">
        <v>197</v>
      </c>
      <c r="W877" t="s">
        <v>197</v>
      </c>
      <c r="X877" t="s">
        <v>195</v>
      </c>
      <c r="Y877" t="s">
        <v>198</v>
      </c>
    </row>
    <row r="878">
      <c r="A878">
        <v>2790</v>
      </c>
      <c r="B878" t="s">
        <v>194</v>
      </c>
      <c r="C878" t="s">
        <v>114</v>
      </c>
      <c r="D878" t="s">
        <v>197</v>
      </c>
      <c r="E878" t="s">
        <v>201</v>
      </c>
      <c r="U878" t="s">
        <v>197</v>
      </c>
      <c r="V878" t="s">
        <v>197</v>
      </c>
      <c r="W878" t="s">
        <v>197</v>
      </c>
      <c r="X878" t="s">
        <v>197</v>
      </c>
      <c r="Y878" t="s">
        <v>198</v>
      </c>
    </row>
    <row r="879">
      <c r="A879">
        <v>2794</v>
      </c>
      <c r="B879" t="s">
        <v>20</v>
      </c>
      <c r="C879" t="s">
        <v>114</v>
      </c>
      <c r="D879" t="s">
        <v>197</v>
      </c>
      <c r="E879" t="s">
        <v>201</v>
      </c>
      <c r="U879" t="s">
        <v>197</v>
      </c>
      <c r="V879" t="s">
        <v>197</v>
      </c>
      <c r="W879" t="s">
        <v>197</v>
      </c>
      <c r="X879" t="s">
        <v>197</v>
      </c>
      <c r="Y879" t="s">
        <v>198</v>
      </c>
    </row>
    <row r="880">
      <c r="A880">
        <v>2793</v>
      </c>
      <c r="B880" t="s">
        <v>199</v>
      </c>
      <c r="C880" t="s">
        <v>114</v>
      </c>
      <c r="D880" t="s">
        <v>197</v>
      </c>
      <c r="E880" t="s">
        <v>201</v>
      </c>
      <c r="U880" t="s">
        <v>197</v>
      </c>
      <c r="V880" t="s">
        <v>197</v>
      </c>
      <c r="W880" t="s">
        <v>197</v>
      </c>
      <c r="X880" t="s">
        <v>197</v>
      </c>
      <c r="Y880" t="s">
        <v>198</v>
      </c>
    </row>
    <row r="881">
      <c r="A881">
        <v>2801</v>
      </c>
      <c r="B881" t="s">
        <v>194</v>
      </c>
      <c r="C881" t="s">
        <v>114</v>
      </c>
      <c r="D881" t="s">
        <v>195</v>
      </c>
      <c r="E881" t="s">
        <v>196</v>
      </c>
      <c r="F881">
        <v>2.4</v>
      </c>
      <c r="G881" t="s">
        <v>197</v>
      </c>
      <c r="H881" t="s">
        <v>94</v>
      </c>
      <c r="I881">
        <v>2.3</v>
      </c>
      <c r="J881" t="s">
        <v>195</v>
      </c>
      <c r="K881" t="s">
        <v>195</v>
      </c>
      <c r="L881" t="s">
        <v>94</v>
      </c>
      <c r="M881">
        <v>7.9</v>
      </c>
      <c r="N881" t="s">
        <v>195</v>
      </c>
      <c r="O881" t="s">
        <v>94</v>
      </c>
      <c r="P881">
        <v>8</v>
      </c>
      <c r="Q881" t="s">
        <v>195</v>
      </c>
      <c r="R881" t="s">
        <v>49</v>
      </c>
      <c r="T881" t="s">
        <v>76</v>
      </c>
      <c r="U881" t="s">
        <v>197</v>
      </c>
      <c r="V881" t="s">
        <v>197</v>
      </c>
      <c r="W881" t="s">
        <v>197</v>
      </c>
      <c r="X881" t="s">
        <v>197</v>
      </c>
      <c r="Y881" t="s">
        <v>198</v>
      </c>
    </row>
    <row r="882">
      <c r="A882">
        <v>2802</v>
      </c>
      <c r="B882" t="s">
        <v>194</v>
      </c>
      <c r="C882" t="s">
        <v>114</v>
      </c>
      <c r="D882" t="s">
        <v>195</v>
      </c>
      <c r="E882" t="s">
        <v>196</v>
      </c>
      <c r="F882">
        <v>16</v>
      </c>
      <c r="G882" t="s">
        <v>197</v>
      </c>
      <c r="H882" t="s">
        <v>94</v>
      </c>
      <c r="I882">
        <v>0.5</v>
      </c>
      <c r="J882" t="s">
        <v>195</v>
      </c>
      <c r="K882" t="s">
        <v>195</v>
      </c>
      <c r="L882" t="s">
        <v>94</v>
      </c>
      <c r="M882">
        <v>3.8</v>
      </c>
      <c r="N882" t="s">
        <v>195</v>
      </c>
      <c r="O882" t="s">
        <v>94</v>
      </c>
      <c r="P882">
        <v>1.9</v>
      </c>
      <c r="Q882" t="s">
        <v>195</v>
      </c>
      <c r="R882" t="s">
        <v>50</v>
      </c>
      <c r="T882" t="s">
        <v>76</v>
      </c>
      <c r="U882" t="s">
        <v>197</v>
      </c>
      <c r="V882" t="s">
        <v>197</v>
      </c>
      <c r="W882" t="s">
        <v>197</v>
      </c>
      <c r="X882" t="s">
        <v>197</v>
      </c>
      <c r="Y882" t="s">
        <v>198</v>
      </c>
    </row>
    <row r="883">
      <c r="A883">
        <v>2808</v>
      </c>
      <c r="B883" t="s">
        <v>199</v>
      </c>
      <c r="C883" t="s">
        <v>114</v>
      </c>
      <c r="D883" t="s">
        <v>195</v>
      </c>
      <c r="E883" t="s">
        <v>196</v>
      </c>
      <c r="F883">
        <v>3.9</v>
      </c>
      <c r="G883" t="s">
        <v>197</v>
      </c>
      <c r="H883" t="s">
        <v>93</v>
      </c>
      <c r="I883">
        <v>0.2</v>
      </c>
      <c r="J883" t="s">
        <v>195</v>
      </c>
      <c r="K883" t="s">
        <v>195</v>
      </c>
      <c r="L883" t="s">
        <v>93</v>
      </c>
      <c r="M883">
        <v>6.1</v>
      </c>
      <c r="N883" t="s">
        <v>195</v>
      </c>
      <c r="O883" t="s">
        <v>93</v>
      </c>
      <c r="P883">
        <v>6.8</v>
      </c>
      <c r="Q883" t="s">
        <v>195</v>
      </c>
      <c r="R883" t="s">
        <v>49</v>
      </c>
      <c r="T883" t="s">
        <v>76</v>
      </c>
      <c r="U883" t="s">
        <v>197</v>
      </c>
      <c r="V883" t="s">
        <v>197</v>
      </c>
      <c r="W883" t="s">
        <v>197</v>
      </c>
      <c r="X883" t="s">
        <v>197</v>
      </c>
      <c r="Y883" t="s">
        <v>198</v>
      </c>
    </row>
    <row r="884">
      <c r="A884">
        <v>2818</v>
      </c>
      <c r="B884" t="s">
        <v>20</v>
      </c>
      <c r="C884" t="s">
        <v>114</v>
      </c>
      <c r="D884" t="s">
        <v>195</v>
      </c>
      <c r="E884" t="s">
        <v>196</v>
      </c>
      <c r="F884">
        <v>2.1</v>
      </c>
      <c r="G884" t="s">
        <v>197</v>
      </c>
      <c r="H884" t="s">
        <v>94</v>
      </c>
      <c r="I884">
        <v>7.1</v>
      </c>
      <c r="J884" t="s">
        <v>195</v>
      </c>
      <c r="K884" t="s">
        <v>195</v>
      </c>
      <c r="L884" t="s">
        <v>94</v>
      </c>
      <c r="M884">
        <v>14.8</v>
      </c>
      <c r="N884" t="s">
        <v>195</v>
      </c>
      <c r="O884" t="s">
        <v>94</v>
      </c>
      <c r="P884">
        <v>22.3</v>
      </c>
      <c r="Q884" t="s">
        <v>195</v>
      </c>
      <c r="R884" t="s">
        <v>49</v>
      </c>
      <c r="T884" t="s">
        <v>77</v>
      </c>
      <c r="U884" t="s">
        <v>197</v>
      </c>
      <c r="V884" t="s">
        <v>197</v>
      </c>
      <c r="W884" t="s">
        <v>197</v>
      </c>
      <c r="X884" t="s">
        <v>197</v>
      </c>
      <c r="Y884" t="s">
        <v>202</v>
      </c>
    </row>
    <row r="885">
      <c r="A885">
        <v>2824</v>
      </c>
      <c r="B885" t="s">
        <v>20</v>
      </c>
      <c r="C885" t="s">
        <v>114</v>
      </c>
      <c r="D885" t="s">
        <v>195</v>
      </c>
      <c r="E885" t="s">
        <v>196</v>
      </c>
      <c r="F885">
        <v>0.6</v>
      </c>
      <c r="G885" t="s">
        <v>197</v>
      </c>
      <c r="H885" t="s">
        <v>93</v>
      </c>
      <c r="I885">
        <v>2</v>
      </c>
      <c r="J885" t="s">
        <v>197</v>
      </c>
      <c r="K885" t="s">
        <v>197</v>
      </c>
      <c r="L885">
        <v/>
      </c>
      <c r="N885" t="s">
        <v>197</v>
      </c>
      <c r="R885" t="s">
        <v>53</v>
      </c>
      <c r="S885" t="s">
        <v>68</v>
      </c>
      <c r="T885" t="s">
        <v>77</v>
      </c>
      <c r="U885" t="s">
        <v>197</v>
      </c>
      <c r="V885" t="s">
        <v>197</v>
      </c>
      <c r="W885" t="s">
        <v>197</v>
      </c>
      <c r="X885" t="s">
        <v>197</v>
      </c>
      <c r="Y885" t="s">
        <v>119</v>
      </c>
    </row>
    <row r="886">
      <c r="A886">
        <v>2821</v>
      </c>
      <c r="B886" t="s">
        <v>20</v>
      </c>
      <c r="C886" t="s">
        <v>114</v>
      </c>
      <c r="D886" t="s">
        <v>195</v>
      </c>
      <c r="E886" t="s">
        <v>200</v>
      </c>
      <c r="F886">
        <v>1332.5</v>
      </c>
      <c r="G886" t="s">
        <v>197</v>
      </c>
      <c r="H886" t="s">
        <v>93</v>
      </c>
      <c r="I886">
        <v>0.8</v>
      </c>
      <c r="J886" t="s">
        <v>197</v>
      </c>
      <c r="K886" t="s">
        <v>197</v>
      </c>
      <c r="L886">
        <v/>
      </c>
      <c r="N886" t="s">
        <v>197</v>
      </c>
      <c r="R886" t="s">
        <v>53</v>
      </c>
      <c r="S886" t="s">
        <v>64</v>
      </c>
      <c r="T886" t="s">
        <v>76</v>
      </c>
      <c r="U886" t="s">
        <v>197</v>
      </c>
      <c r="V886" t="s">
        <v>197</v>
      </c>
      <c r="W886" t="s">
        <v>197</v>
      </c>
      <c r="X886" t="s">
        <v>197</v>
      </c>
      <c r="Y886" t="s">
        <v>198</v>
      </c>
    </row>
    <row r="887">
      <c r="A887">
        <v>2823</v>
      </c>
      <c r="B887" t="s">
        <v>20</v>
      </c>
      <c r="C887" t="s">
        <v>114</v>
      </c>
      <c r="D887" t="s">
        <v>195</v>
      </c>
      <c r="E887" t="s">
        <v>200</v>
      </c>
      <c r="F887">
        <v>905.9</v>
      </c>
      <c r="G887" t="s">
        <v>197</v>
      </c>
      <c r="H887" t="s">
        <v>96</v>
      </c>
      <c r="I887">
        <v>1.4</v>
      </c>
      <c r="J887" t="s">
        <v>195</v>
      </c>
      <c r="K887" t="s">
        <v>195</v>
      </c>
      <c r="L887" t="s">
        <v>96</v>
      </c>
      <c r="M887">
        <v>11.7</v>
      </c>
      <c r="N887" t="s">
        <v>197</v>
      </c>
      <c r="R887" t="s">
        <v>52</v>
      </c>
      <c r="S887" t="s">
        <v>64</v>
      </c>
      <c r="T887" t="s">
        <v>76</v>
      </c>
      <c r="U887" t="s">
        <v>197</v>
      </c>
      <c r="V887" t="s">
        <v>197</v>
      </c>
      <c r="W887" t="s">
        <v>197</v>
      </c>
      <c r="X887" t="s">
        <v>197</v>
      </c>
      <c r="Y887" t="s">
        <v>198</v>
      </c>
    </row>
    <row r="888">
      <c r="A888">
        <v>2832</v>
      </c>
      <c r="B888" t="s">
        <v>194</v>
      </c>
      <c r="C888" t="s">
        <v>114</v>
      </c>
      <c r="D888" t="s">
        <v>197</v>
      </c>
      <c r="E888" t="s">
        <v>201</v>
      </c>
      <c r="U888" t="s">
        <v>197</v>
      </c>
      <c r="V888" t="s">
        <v>197</v>
      </c>
      <c r="W888" t="s">
        <v>197</v>
      </c>
      <c r="X888" t="s">
        <v>197</v>
      </c>
      <c r="Y888" t="s">
        <v>198</v>
      </c>
    </row>
    <row r="889">
      <c r="A889">
        <v>2831</v>
      </c>
      <c r="B889" t="s">
        <v>20</v>
      </c>
      <c r="C889" t="s">
        <v>114</v>
      </c>
      <c r="D889" t="s">
        <v>195</v>
      </c>
      <c r="E889" t="s">
        <v>196</v>
      </c>
      <c r="F889">
        <v>5.5</v>
      </c>
      <c r="G889" t="s">
        <v>197</v>
      </c>
      <c r="H889" t="s">
        <v>95</v>
      </c>
      <c r="I889">
        <v>0.6</v>
      </c>
      <c r="J889" t="s">
        <v>195</v>
      </c>
      <c r="K889" t="s">
        <v>195</v>
      </c>
      <c r="L889" t="s">
        <v>95</v>
      </c>
      <c r="M889">
        <v>4.3</v>
      </c>
      <c r="N889" t="s">
        <v>195</v>
      </c>
      <c r="O889" t="s">
        <v>95</v>
      </c>
      <c r="P889">
        <v>4.7</v>
      </c>
      <c r="Q889" t="s">
        <v>195</v>
      </c>
      <c r="R889" t="s">
        <v>49</v>
      </c>
      <c r="T889" t="s">
        <v>77</v>
      </c>
      <c r="U889" t="s">
        <v>197</v>
      </c>
      <c r="V889" t="s">
        <v>197</v>
      </c>
      <c r="W889" t="s">
        <v>197</v>
      </c>
      <c r="X889" t="s">
        <v>197</v>
      </c>
      <c r="Y889" t="s">
        <v>198</v>
      </c>
    </row>
    <row r="890">
      <c r="A890">
        <v>2837</v>
      </c>
      <c r="B890" t="s">
        <v>20</v>
      </c>
      <c r="C890" t="s">
        <v>114</v>
      </c>
      <c r="D890" t="s">
        <v>197</v>
      </c>
      <c r="E890" t="s">
        <v>201</v>
      </c>
      <c r="U890" t="s">
        <v>197</v>
      </c>
      <c r="V890" t="s">
        <v>197</v>
      </c>
      <c r="W890" t="s">
        <v>197</v>
      </c>
      <c r="X890" t="s">
        <v>197</v>
      </c>
      <c r="Y890" t="s">
        <v>198</v>
      </c>
    </row>
    <row r="891">
      <c r="A891">
        <v>2840</v>
      </c>
      <c r="B891" t="s">
        <v>20</v>
      </c>
      <c r="C891" t="s">
        <v>114</v>
      </c>
      <c r="D891" t="s">
        <v>197</v>
      </c>
      <c r="E891" t="s">
        <v>201</v>
      </c>
      <c r="U891" t="s">
        <v>197</v>
      </c>
      <c r="V891" t="s">
        <v>197</v>
      </c>
      <c r="W891" t="s">
        <v>197</v>
      </c>
      <c r="X891" t="s">
        <v>197</v>
      </c>
      <c r="Y891" t="s">
        <v>198</v>
      </c>
    </row>
    <row r="892">
      <c r="A892">
        <v>2844</v>
      </c>
      <c r="B892" t="s">
        <v>20</v>
      </c>
      <c r="C892" t="s">
        <v>114</v>
      </c>
      <c r="D892" t="s">
        <v>197</v>
      </c>
      <c r="E892" t="s">
        <v>201</v>
      </c>
      <c r="U892" t="s">
        <v>197</v>
      </c>
      <c r="V892" t="s">
        <v>197</v>
      </c>
      <c r="W892" t="s">
        <v>197</v>
      </c>
      <c r="X892" t="s">
        <v>197</v>
      </c>
      <c r="Y892" t="s">
        <v>198</v>
      </c>
    </row>
    <row r="893">
      <c r="A893">
        <v>2841</v>
      </c>
      <c r="B893" t="s">
        <v>20</v>
      </c>
      <c r="C893" t="s">
        <v>114</v>
      </c>
      <c r="D893" t="s">
        <v>197</v>
      </c>
      <c r="E893" t="s">
        <v>201</v>
      </c>
      <c r="U893" t="s">
        <v>197</v>
      </c>
      <c r="V893" t="s">
        <v>197</v>
      </c>
      <c r="W893" t="s">
        <v>197</v>
      </c>
      <c r="X893" t="s">
        <v>197</v>
      </c>
      <c r="Y893" t="s">
        <v>198</v>
      </c>
    </row>
    <row r="894">
      <c r="A894">
        <v>2845</v>
      </c>
      <c r="B894" t="s">
        <v>199</v>
      </c>
      <c r="C894" t="s">
        <v>114</v>
      </c>
      <c r="D894" t="s">
        <v>197</v>
      </c>
      <c r="E894" t="s">
        <v>201</v>
      </c>
      <c r="U894" t="s">
        <v>197</v>
      </c>
      <c r="V894" t="s">
        <v>197</v>
      </c>
      <c r="W894" t="s">
        <v>197</v>
      </c>
      <c r="X894" t="s">
        <v>197</v>
      </c>
      <c r="Y894" t="s">
        <v>198</v>
      </c>
    </row>
    <row r="895">
      <c r="A895">
        <v>2843</v>
      </c>
      <c r="B895" t="s">
        <v>194</v>
      </c>
      <c r="C895" t="s">
        <v>114</v>
      </c>
      <c r="D895" t="s">
        <v>195</v>
      </c>
      <c r="E895" t="s">
        <v>196</v>
      </c>
      <c r="F895">
        <v>1.6</v>
      </c>
      <c r="G895" t="s">
        <v>197</v>
      </c>
      <c r="H895" t="s">
        <v>93</v>
      </c>
      <c r="I895">
        <v>515.5</v>
      </c>
      <c r="J895" t="s">
        <v>195</v>
      </c>
      <c r="K895" t="s">
        <v>195</v>
      </c>
      <c r="L895" t="s">
        <v>93</v>
      </c>
      <c r="M895">
        <v>518.6</v>
      </c>
      <c r="N895" t="s">
        <v>195</v>
      </c>
      <c r="O895" t="s">
        <v>93</v>
      </c>
      <c r="P895">
        <v>518.8</v>
      </c>
      <c r="Q895" t="s">
        <v>197</v>
      </c>
      <c r="R895" t="s">
        <v>49</v>
      </c>
      <c r="T895" t="s">
        <v>78</v>
      </c>
      <c r="U895" t="s">
        <v>197</v>
      </c>
      <c r="V895" t="s">
        <v>197</v>
      </c>
      <c r="W895" t="s">
        <v>197</v>
      </c>
      <c r="X895" t="s">
        <v>197</v>
      </c>
      <c r="Y895" t="s">
        <v>198</v>
      </c>
    </row>
    <row r="896">
      <c r="A896">
        <v>2848</v>
      </c>
      <c r="B896" t="s">
        <v>199</v>
      </c>
      <c r="C896" t="s">
        <v>114</v>
      </c>
      <c r="D896" t="s">
        <v>195</v>
      </c>
      <c r="E896" t="s">
        <v>200</v>
      </c>
      <c r="F896">
        <v>3845.7</v>
      </c>
      <c r="G896" t="s">
        <v>197</v>
      </c>
      <c r="H896" t="s">
        <v>93</v>
      </c>
      <c r="I896">
        <v>0.9</v>
      </c>
      <c r="J896" t="s">
        <v>197</v>
      </c>
      <c r="K896" t="s">
        <v>197</v>
      </c>
      <c r="L896">
        <v/>
      </c>
      <c r="N896" t="s">
        <v>197</v>
      </c>
      <c r="R896" t="s">
        <v>53</v>
      </c>
      <c r="S896" t="s">
        <v>64</v>
      </c>
      <c r="T896" t="s">
        <v>76</v>
      </c>
      <c r="U896" t="s">
        <v>197</v>
      </c>
      <c r="V896" t="s">
        <v>197</v>
      </c>
      <c r="W896" t="s">
        <v>197</v>
      </c>
      <c r="X896" t="s">
        <v>197</v>
      </c>
      <c r="Y896" t="s">
        <v>198</v>
      </c>
    </row>
    <row r="897">
      <c r="A897">
        <v>2849</v>
      </c>
      <c r="B897" t="s">
        <v>20</v>
      </c>
      <c r="C897" t="s">
        <v>114</v>
      </c>
      <c r="D897" t="s">
        <v>195</v>
      </c>
      <c r="E897" t="s">
        <v>200</v>
      </c>
      <c r="F897">
        <v>5108.5</v>
      </c>
      <c r="G897" t="s">
        <v>197</v>
      </c>
      <c r="H897" t="s">
        <v>96</v>
      </c>
      <c r="I897">
        <v>5.5</v>
      </c>
      <c r="J897" t="s">
        <v>197</v>
      </c>
      <c r="K897" t="s">
        <v>197</v>
      </c>
      <c r="L897">
        <v/>
      </c>
      <c r="N897" t="s">
        <v>197</v>
      </c>
      <c r="R897" t="s">
        <v>53</v>
      </c>
      <c r="S897" t="s">
        <v>64</v>
      </c>
      <c r="T897" t="s">
        <v>76</v>
      </c>
      <c r="U897" t="s">
        <v>197</v>
      </c>
      <c r="V897" t="s">
        <v>197</v>
      </c>
      <c r="W897" t="s">
        <v>197</v>
      </c>
      <c r="X897" t="s">
        <v>197</v>
      </c>
      <c r="Y897" t="s">
        <v>198</v>
      </c>
    </row>
    <row r="898">
      <c r="A898">
        <v>2847</v>
      </c>
      <c r="B898" t="s">
        <v>20</v>
      </c>
      <c r="C898" t="s">
        <v>114</v>
      </c>
      <c r="D898" t="s">
        <v>197</v>
      </c>
      <c r="E898" t="s">
        <v>201</v>
      </c>
      <c r="U898" t="s">
        <v>197</v>
      </c>
      <c r="V898" t="s">
        <v>197</v>
      </c>
      <c r="W898" t="s">
        <v>197</v>
      </c>
      <c r="X898" t="s">
        <v>197</v>
      </c>
      <c r="Y898" t="s">
        <v>198</v>
      </c>
    </row>
    <row r="899">
      <c r="A899">
        <v>2850</v>
      </c>
      <c r="B899" t="s">
        <v>20</v>
      </c>
      <c r="C899" t="s">
        <v>114</v>
      </c>
      <c r="D899" t="s">
        <v>197</v>
      </c>
      <c r="E899" t="s">
        <v>201</v>
      </c>
      <c r="U899" t="s">
        <v>197</v>
      </c>
      <c r="V899" t="s">
        <v>197</v>
      </c>
      <c r="W899" t="s">
        <v>197</v>
      </c>
      <c r="X899" t="s">
        <v>197</v>
      </c>
      <c r="Y899" t="s">
        <v>198</v>
      </c>
    </row>
    <row r="900">
      <c r="A900">
        <v>2851</v>
      </c>
      <c r="B900" t="s">
        <v>20</v>
      </c>
      <c r="C900" t="s">
        <v>114</v>
      </c>
      <c r="D900" t="s">
        <v>195</v>
      </c>
      <c r="E900" t="s">
        <v>200</v>
      </c>
      <c r="F900">
        <v>124.9</v>
      </c>
      <c r="G900" t="s">
        <v>195</v>
      </c>
      <c r="H900" t="s">
        <v>93</v>
      </c>
      <c r="I900">
        <v>1.5</v>
      </c>
      <c r="J900" t="s">
        <v>195</v>
      </c>
      <c r="K900" t="s">
        <v>195</v>
      </c>
      <c r="L900" t="s">
        <v>93</v>
      </c>
      <c r="M900">
        <v>4.7</v>
      </c>
      <c r="N900" t="s">
        <v>195</v>
      </c>
      <c r="O900" t="s">
        <v>93</v>
      </c>
      <c r="P900">
        <v>5</v>
      </c>
      <c r="Q900" t="s">
        <v>197</v>
      </c>
      <c r="R900" t="s">
        <v>49</v>
      </c>
      <c r="T900" t="s">
        <v>76</v>
      </c>
      <c r="U900" t="s">
        <v>197</v>
      </c>
      <c r="V900" t="s">
        <v>197</v>
      </c>
      <c r="W900" t="s">
        <v>197</v>
      </c>
      <c r="X900" t="s">
        <v>197</v>
      </c>
      <c r="Y900" t="s">
        <v>198</v>
      </c>
    </row>
    <row r="901">
      <c r="A901">
        <v>2852</v>
      </c>
      <c r="B901" t="s">
        <v>20</v>
      </c>
      <c r="C901" t="s">
        <v>114</v>
      </c>
      <c r="D901" t="s">
        <v>195</v>
      </c>
      <c r="E901" t="s">
        <v>200</v>
      </c>
      <c r="F901">
        <v>120.8</v>
      </c>
      <c r="G901" t="s">
        <v>197</v>
      </c>
      <c r="H901" t="s">
        <v>93</v>
      </c>
      <c r="I901">
        <v>0.4</v>
      </c>
      <c r="J901" t="s">
        <v>195</v>
      </c>
      <c r="K901" t="s">
        <v>195</v>
      </c>
      <c r="L901" t="s">
        <v>93</v>
      </c>
      <c r="M901">
        <v>4.7</v>
      </c>
      <c r="N901" t="s">
        <v>195</v>
      </c>
      <c r="O901" t="s">
        <v>93</v>
      </c>
      <c r="P901">
        <v>4.9</v>
      </c>
      <c r="Q901" t="s">
        <v>197</v>
      </c>
      <c r="R901" t="s">
        <v>49</v>
      </c>
      <c r="T901" t="s">
        <v>76</v>
      </c>
      <c r="U901" t="s">
        <v>197</v>
      </c>
      <c r="V901" t="s">
        <v>197</v>
      </c>
      <c r="W901" t="s">
        <v>197</v>
      </c>
      <c r="X901" t="s">
        <v>197</v>
      </c>
      <c r="Y901" t="s">
        <v>198</v>
      </c>
    </row>
    <row r="902">
      <c r="A902">
        <v>2853</v>
      </c>
      <c r="B902" t="s">
        <v>20</v>
      </c>
      <c r="C902" t="s">
        <v>114</v>
      </c>
      <c r="D902" t="s">
        <v>197</v>
      </c>
      <c r="E902" t="s">
        <v>201</v>
      </c>
      <c r="U902" t="s">
        <v>197</v>
      </c>
      <c r="V902" t="s">
        <v>197</v>
      </c>
      <c r="W902" t="s">
        <v>197</v>
      </c>
      <c r="X902" t="s">
        <v>197</v>
      </c>
      <c r="Y902" t="s">
        <v>198</v>
      </c>
    </row>
    <row r="903">
      <c r="A903">
        <v>2859</v>
      </c>
      <c r="B903" t="s">
        <v>20</v>
      </c>
      <c r="C903" t="s">
        <v>114</v>
      </c>
      <c r="D903" t="s">
        <v>197</v>
      </c>
      <c r="E903" t="s">
        <v>201</v>
      </c>
      <c r="U903" t="s">
        <v>197</v>
      </c>
      <c r="V903" t="s">
        <v>197</v>
      </c>
      <c r="W903" t="s">
        <v>197</v>
      </c>
      <c r="X903" t="s">
        <v>197</v>
      </c>
      <c r="Y903" t="s">
        <v>198</v>
      </c>
    </row>
    <row r="904">
      <c r="A904">
        <v>2865</v>
      </c>
      <c r="B904" t="s">
        <v>194</v>
      </c>
      <c r="C904" t="s">
        <v>114</v>
      </c>
      <c r="D904" t="s">
        <v>197</v>
      </c>
      <c r="E904" t="s">
        <v>201</v>
      </c>
      <c r="U904" t="s">
        <v>197</v>
      </c>
      <c r="V904" t="s">
        <v>197</v>
      </c>
      <c r="W904" t="s">
        <v>197</v>
      </c>
      <c r="X904" t="s">
        <v>197</v>
      </c>
      <c r="Y904" t="s">
        <v>198</v>
      </c>
    </row>
    <row r="905">
      <c r="A905">
        <v>2868</v>
      </c>
      <c r="B905" t="s">
        <v>194</v>
      </c>
      <c r="C905" t="s">
        <v>114</v>
      </c>
      <c r="D905" t="s">
        <v>195</v>
      </c>
      <c r="E905" t="s">
        <v>196</v>
      </c>
      <c r="F905">
        <v>5.9</v>
      </c>
      <c r="G905" t="s">
        <v>197</v>
      </c>
      <c r="H905" t="s">
        <v>93</v>
      </c>
      <c r="I905">
        <v>0.1</v>
      </c>
      <c r="J905" t="s">
        <v>195</v>
      </c>
      <c r="K905" t="s">
        <v>195</v>
      </c>
      <c r="L905" t="s">
        <v>93</v>
      </c>
      <c r="M905">
        <v>2.4</v>
      </c>
      <c r="N905" t="s">
        <v>195</v>
      </c>
      <c r="O905" t="s">
        <v>93</v>
      </c>
      <c r="P905">
        <v>2.8</v>
      </c>
      <c r="Q905" t="s">
        <v>195</v>
      </c>
      <c r="R905" t="s">
        <v>49</v>
      </c>
      <c r="T905" t="s">
        <v>78</v>
      </c>
      <c r="U905" t="s">
        <v>197</v>
      </c>
      <c r="V905" t="s">
        <v>197</v>
      </c>
      <c r="W905" t="s">
        <v>197</v>
      </c>
      <c r="X905" t="s">
        <v>197</v>
      </c>
      <c r="Y905" t="s">
        <v>198</v>
      </c>
    </row>
    <row r="906">
      <c r="A906">
        <v>2869</v>
      </c>
      <c r="B906" t="s">
        <v>20</v>
      </c>
      <c r="C906" t="s">
        <v>114</v>
      </c>
      <c r="D906" t="s">
        <v>195</v>
      </c>
      <c r="E906" t="s">
        <v>196</v>
      </c>
      <c r="F906">
        <v>0.5</v>
      </c>
      <c r="G906" t="s">
        <v>197</v>
      </c>
      <c r="H906" t="s">
        <v>93</v>
      </c>
      <c r="I906">
        <v>0.2</v>
      </c>
      <c r="J906" t="s">
        <v>195</v>
      </c>
      <c r="K906" t="s">
        <v>195</v>
      </c>
      <c r="L906" t="s">
        <v>93</v>
      </c>
      <c r="M906">
        <v>0.5</v>
      </c>
      <c r="N906" t="s">
        <v>197</v>
      </c>
      <c r="R906" t="s">
        <v>52</v>
      </c>
      <c r="S906" t="s">
        <v>68</v>
      </c>
      <c r="T906" t="s">
        <v>78</v>
      </c>
      <c r="U906" t="s">
        <v>197</v>
      </c>
      <c r="V906" t="s">
        <v>197</v>
      </c>
      <c r="W906" t="s">
        <v>197</v>
      </c>
      <c r="X906" t="s">
        <v>197</v>
      </c>
      <c r="Y906" t="s">
        <v>119</v>
      </c>
    </row>
    <row r="907">
      <c r="A907">
        <v>2870</v>
      </c>
      <c r="B907" t="s">
        <v>199</v>
      </c>
      <c r="C907" t="s">
        <v>114</v>
      </c>
      <c r="D907" t="s">
        <v>195</v>
      </c>
      <c r="E907" t="s">
        <v>200</v>
      </c>
      <c r="F907">
        <v>4630.6</v>
      </c>
      <c r="G907" t="s">
        <v>197</v>
      </c>
      <c r="H907" t="s">
        <v>94</v>
      </c>
      <c r="I907">
        <v>1.3</v>
      </c>
      <c r="J907" t="s">
        <v>197</v>
      </c>
      <c r="K907" t="s">
        <v>197</v>
      </c>
      <c r="L907">
        <v/>
      </c>
      <c r="N907" t="s">
        <v>197</v>
      </c>
      <c r="R907" t="s">
        <v>53</v>
      </c>
      <c r="S907" t="s">
        <v>64</v>
      </c>
      <c r="T907" t="s">
        <v>76</v>
      </c>
      <c r="U907" t="s">
        <v>197</v>
      </c>
      <c r="V907" t="s">
        <v>197</v>
      </c>
      <c r="W907" t="s">
        <v>197</v>
      </c>
      <c r="X907" t="s">
        <v>197</v>
      </c>
      <c r="Y907" t="s">
        <v>198</v>
      </c>
    </row>
    <row r="908">
      <c r="A908">
        <v>2873</v>
      </c>
      <c r="B908" t="s">
        <v>20</v>
      </c>
      <c r="C908" t="s">
        <v>114</v>
      </c>
      <c r="D908" t="s">
        <v>197</v>
      </c>
      <c r="E908" t="s">
        <v>201</v>
      </c>
      <c r="U908" t="s">
        <v>197</v>
      </c>
      <c r="V908" t="s">
        <v>197</v>
      </c>
      <c r="W908" t="s">
        <v>197</v>
      </c>
      <c r="X908" t="s">
        <v>197</v>
      </c>
      <c r="Y908" t="s">
        <v>198</v>
      </c>
    </row>
    <row r="909">
      <c r="A909">
        <v>2874</v>
      </c>
      <c r="B909" t="s">
        <v>20</v>
      </c>
      <c r="C909" t="s">
        <v>114</v>
      </c>
      <c r="D909" t="s">
        <v>195</v>
      </c>
      <c r="E909" t="s">
        <v>196</v>
      </c>
      <c r="F909">
        <v>0.1</v>
      </c>
      <c r="G909" t="s">
        <v>197</v>
      </c>
      <c r="H909" t="s">
        <v>93</v>
      </c>
      <c r="I909">
        <v>3.9</v>
      </c>
      <c r="J909" t="s">
        <v>197</v>
      </c>
      <c r="K909" t="s">
        <v>197</v>
      </c>
      <c r="L909">
        <v/>
      </c>
      <c r="N909" t="s">
        <v>197</v>
      </c>
      <c r="R909" t="s">
        <v>53</v>
      </c>
      <c r="S909" t="s">
        <v>64</v>
      </c>
      <c r="T909" t="s">
        <v>76</v>
      </c>
      <c r="U909" t="s">
        <v>197</v>
      </c>
      <c r="V909" t="s">
        <v>197</v>
      </c>
      <c r="W909" t="s">
        <v>197</v>
      </c>
      <c r="X909" t="s">
        <v>197</v>
      </c>
      <c r="Y909" t="s">
        <v>198</v>
      </c>
    </row>
    <row r="910">
      <c r="A910">
        <v>2876</v>
      </c>
      <c r="B910" t="s">
        <v>194</v>
      </c>
      <c r="C910" t="s">
        <v>114</v>
      </c>
      <c r="D910" t="s">
        <v>195</v>
      </c>
      <c r="E910" t="s">
        <v>196</v>
      </c>
      <c r="F910">
        <v>0.6</v>
      </c>
      <c r="G910" t="s">
        <v>197</v>
      </c>
      <c r="H910" t="s">
        <v>93</v>
      </c>
      <c r="I910">
        <v>0.5</v>
      </c>
      <c r="J910" t="s">
        <v>195</v>
      </c>
      <c r="K910" t="s">
        <v>195</v>
      </c>
      <c r="L910" t="s">
        <v>93</v>
      </c>
      <c r="M910">
        <v>4.6</v>
      </c>
      <c r="N910" t="s">
        <v>195</v>
      </c>
      <c r="O910" t="s">
        <v>93</v>
      </c>
      <c r="P910">
        <v>4.8</v>
      </c>
      <c r="Q910" t="s">
        <v>195</v>
      </c>
      <c r="R910" t="s">
        <v>49</v>
      </c>
      <c r="T910" t="s">
        <v>76</v>
      </c>
      <c r="U910" t="s">
        <v>197</v>
      </c>
      <c r="V910" t="s">
        <v>197</v>
      </c>
      <c r="W910" t="s">
        <v>197</v>
      </c>
      <c r="X910" t="s">
        <v>197</v>
      </c>
      <c r="Y910" t="s">
        <v>198</v>
      </c>
    </row>
    <row r="911">
      <c r="A911">
        <v>2878</v>
      </c>
      <c r="B911" t="s">
        <v>20</v>
      </c>
      <c r="C911" t="s">
        <v>114</v>
      </c>
      <c r="D911" t="s">
        <v>195</v>
      </c>
      <c r="E911" t="s">
        <v>200</v>
      </c>
      <c r="F911">
        <v>120.6</v>
      </c>
      <c r="G911" t="s">
        <v>195</v>
      </c>
      <c r="H911" t="s">
        <v>93</v>
      </c>
      <c r="I911">
        <v>1.9</v>
      </c>
      <c r="J911" t="s">
        <v>197</v>
      </c>
      <c r="K911" t="s">
        <v>197</v>
      </c>
      <c r="L911">
        <v/>
      </c>
      <c r="N911" t="s">
        <v>197</v>
      </c>
      <c r="R911" t="s">
        <v>53</v>
      </c>
      <c r="S911" t="s">
        <v>64</v>
      </c>
      <c r="T911" t="s">
        <v>76</v>
      </c>
      <c r="U911" t="s">
        <v>197</v>
      </c>
      <c r="V911" t="s">
        <v>197</v>
      </c>
      <c r="W911" t="s">
        <v>197</v>
      </c>
      <c r="X911" t="s">
        <v>197</v>
      </c>
      <c r="Y911" t="s">
        <v>198</v>
      </c>
    </row>
    <row r="912">
      <c r="A912">
        <v>2879</v>
      </c>
      <c r="B912" t="s">
        <v>20</v>
      </c>
      <c r="C912" t="s">
        <v>114</v>
      </c>
      <c r="D912" t="s">
        <v>195</v>
      </c>
      <c r="E912" t="s">
        <v>196</v>
      </c>
      <c r="F912">
        <v>0.9</v>
      </c>
      <c r="G912" t="s">
        <v>197</v>
      </c>
      <c r="H912" t="s">
        <v>96</v>
      </c>
      <c r="I912">
        <v>2.7</v>
      </c>
      <c r="J912" t="s">
        <v>195</v>
      </c>
      <c r="K912" t="s">
        <v>195</v>
      </c>
      <c r="L912" t="s">
        <v>96</v>
      </c>
      <c r="M912">
        <v>6.6</v>
      </c>
      <c r="N912" t="s">
        <v>197</v>
      </c>
      <c r="R912" t="s">
        <v>52</v>
      </c>
      <c r="S912" t="s">
        <v>64</v>
      </c>
      <c r="T912" t="s">
        <v>76</v>
      </c>
      <c r="U912" t="s">
        <v>197</v>
      </c>
      <c r="V912" t="s">
        <v>197</v>
      </c>
      <c r="W912" t="s">
        <v>197</v>
      </c>
      <c r="X912" t="s">
        <v>197</v>
      </c>
      <c r="Y912" t="s">
        <v>198</v>
      </c>
    </row>
    <row r="913">
      <c r="A913">
        <v>2881</v>
      </c>
      <c r="B913" t="s">
        <v>199</v>
      </c>
      <c r="C913" t="s">
        <v>114</v>
      </c>
      <c r="D913" t="s">
        <v>195</v>
      </c>
      <c r="E913" t="s">
        <v>196</v>
      </c>
      <c r="F913">
        <v>18.5</v>
      </c>
      <c r="G913" t="s">
        <v>197</v>
      </c>
      <c r="H913" t="s">
        <v>96</v>
      </c>
      <c r="I913">
        <v>2.5</v>
      </c>
      <c r="J913" t="s">
        <v>195</v>
      </c>
      <c r="K913" t="s">
        <v>195</v>
      </c>
      <c r="L913" t="s">
        <v>96</v>
      </c>
      <c r="M913">
        <v>7.8</v>
      </c>
      <c r="N913" t="s">
        <v>197</v>
      </c>
      <c r="R913" t="s">
        <v>52</v>
      </c>
      <c r="S913" t="s">
        <v>64</v>
      </c>
      <c r="T913" t="s">
        <v>76</v>
      </c>
      <c r="U913" t="s">
        <v>197</v>
      </c>
      <c r="V913" t="s">
        <v>197</v>
      </c>
      <c r="W913" t="s">
        <v>197</v>
      </c>
      <c r="X913" t="s">
        <v>197</v>
      </c>
      <c r="Y913" t="s">
        <v>198</v>
      </c>
    </row>
    <row r="914">
      <c r="A914">
        <v>2889</v>
      </c>
      <c r="B914" t="s">
        <v>20</v>
      </c>
      <c r="C914" t="s">
        <v>114</v>
      </c>
      <c r="D914" t="s">
        <v>197</v>
      </c>
      <c r="E914" t="s">
        <v>201</v>
      </c>
      <c r="U914" t="s">
        <v>197</v>
      </c>
      <c r="V914" t="s">
        <v>197</v>
      </c>
      <c r="W914" t="s">
        <v>197</v>
      </c>
      <c r="X914" t="s">
        <v>197</v>
      </c>
      <c r="Y914" t="s">
        <v>198</v>
      </c>
    </row>
    <row r="915">
      <c r="A915">
        <v>2894</v>
      </c>
      <c r="B915" t="s">
        <v>20</v>
      </c>
      <c r="C915" t="s">
        <v>114</v>
      </c>
      <c r="D915" t="s">
        <v>195</v>
      </c>
      <c r="E915" t="s">
        <v>196</v>
      </c>
      <c r="F915">
        <v>0.7</v>
      </c>
      <c r="G915" t="s">
        <v>197</v>
      </c>
      <c r="H915" t="s">
        <v>93</v>
      </c>
      <c r="I915">
        <v>1.1</v>
      </c>
      <c r="J915" t="s">
        <v>195</v>
      </c>
      <c r="K915" t="s">
        <v>195</v>
      </c>
      <c r="L915" t="s">
        <v>93</v>
      </c>
      <c r="M915">
        <v>8.4</v>
      </c>
      <c r="N915" t="s">
        <v>195</v>
      </c>
      <c r="O915" t="s">
        <v>93</v>
      </c>
      <c r="P915">
        <v>8.6</v>
      </c>
      <c r="Q915" t="s">
        <v>195</v>
      </c>
      <c r="R915" t="s">
        <v>49</v>
      </c>
      <c r="T915" t="s">
        <v>76</v>
      </c>
      <c r="U915" t="s">
        <v>197</v>
      </c>
      <c r="V915" t="s">
        <v>197</v>
      </c>
      <c r="W915" t="s">
        <v>197</v>
      </c>
      <c r="X915" t="s">
        <v>197</v>
      </c>
      <c r="Y915" t="s">
        <v>198</v>
      </c>
    </row>
    <row r="916">
      <c r="A916">
        <v>2895</v>
      </c>
      <c r="B916" t="s">
        <v>199</v>
      </c>
      <c r="C916" t="s">
        <v>114</v>
      </c>
      <c r="D916" t="s">
        <v>195</v>
      </c>
      <c r="E916" t="s">
        <v>196</v>
      </c>
      <c r="F916">
        <v>59.7</v>
      </c>
      <c r="G916" t="s">
        <v>197</v>
      </c>
      <c r="H916" t="s">
        <v>93</v>
      </c>
      <c r="I916">
        <v>0.3</v>
      </c>
      <c r="J916" t="s">
        <v>197</v>
      </c>
      <c r="K916" t="s">
        <v>197</v>
      </c>
      <c r="L916">
        <v/>
      </c>
      <c r="N916" t="s">
        <v>197</v>
      </c>
      <c r="R916" t="s">
        <v>53</v>
      </c>
      <c r="S916" t="s">
        <v>64</v>
      </c>
      <c r="T916" t="s">
        <v>76</v>
      </c>
      <c r="U916" t="s">
        <v>197</v>
      </c>
      <c r="V916" t="s">
        <v>197</v>
      </c>
      <c r="W916" t="s">
        <v>197</v>
      </c>
      <c r="X916" t="s">
        <v>197</v>
      </c>
      <c r="Y916" t="s">
        <v>198</v>
      </c>
    </row>
    <row r="917">
      <c r="A917">
        <v>2899</v>
      </c>
      <c r="B917" t="s">
        <v>20</v>
      </c>
      <c r="C917" t="s">
        <v>114</v>
      </c>
      <c r="D917" t="s">
        <v>197</v>
      </c>
      <c r="E917" t="s">
        <v>201</v>
      </c>
      <c r="U917" t="s">
        <v>197</v>
      </c>
      <c r="V917" t="s">
        <v>197</v>
      </c>
      <c r="W917" t="s">
        <v>197</v>
      </c>
      <c r="X917" t="s">
        <v>197</v>
      </c>
      <c r="Y917" t="s">
        <v>198</v>
      </c>
    </row>
    <row r="918">
      <c r="A918">
        <v>2901</v>
      </c>
      <c r="B918" t="s">
        <v>20</v>
      </c>
      <c r="C918" t="s">
        <v>114</v>
      </c>
      <c r="D918" t="s">
        <v>195</v>
      </c>
      <c r="E918" t="s">
        <v>196</v>
      </c>
      <c r="F918">
        <v>10.7</v>
      </c>
      <c r="G918" t="s">
        <v>197</v>
      </c>
      <c r="H918" t="s">
        <v>93</v>
      </c>
      <c r="I918">
        <v>0.2</v>
      </c>
      <c r="J918" t="s">
        <v>195</v>
      </c>
      <c r="K918" t="s">
        <v>195</v>
      </c>
      <c r="L918" t="s">
        <v>93</v>
      </c>
      <c r="M918">
        <v>3.9</v>
      </c>
      <c r="N918" t="s">
        <v>195</v>
      </c>
      <c r="O918" t="s">
        <v>93</v>
      </c>
      <c r="P918">
        <v>4</v>
      </c>
      <c r="Q918" t="s">
        <v>195</v>
      </c>
      <c r="R918" t="s">
        <v>49</v>
      </c>
      <c r="T918" t="s">
        <v>76</v>
      </c>
      <c r="U918" t="s">
        <v>197</v>
      </c>
      <c r="V918" t="s">
        <v>197</v>
      </c>
      <c r="W918" t="s">
        <v>197</v>
      </c>
      <c r="X918" t="s">
        <v>197</v>
      </c>
      <c r="Y918" t="s">
        <v>198</v>
      </c>
    </row>
    <row r="919">
      <c r="A919">
        <v>2900</v>
      </c>
      <c r="B919" t="s">
        <v>199</v>
      </c>
      <c r="C919" t="s">
        <v>114</v>
      </c>
      <c r="D919" t="s">
        <v>195</v>
      </c>
      <c r="E919" t="s">
        <v>196</v>
      </c>
      <c r="F919">
        <v>1.2</v>
      </c>
      <c r="G919" t="s">
        <v>197</v>
      </c>
      <c r="H919" t="s">
        <v>93</v>
      </c>
      <c r="I919">
        <v>0.2</v>
      </c>
      <c r="J919" t="s">
        <v>195</v>
      </c>
      <c r="K919" t="s">
        <v>195</v>
      </c>
      <c r="L919" t="s">
        <v>93</v>
      </c>
      <c r="M919">
        <v>4.7</v>
      </c>
      <c r="N919" t="s">
        <v>195</v>
      </c>
      <c r="O919" t="s">
        <v>93</v>
      </c>
      <c r="P919">
        <v>4.9</v>
      </c>
      <c r="Q919" t="s">
        <v>195</v>
      </c>
      <c r="R919" t="s">
        <v>49</v>
      </c>
      <c r="T919" t="s">
        <v>76</v>
      </c>
      <c r="U919" t="s">
        <v>197</v>
      </c>
      <c r="V919" t="s">
        <v>197</v>
      </c>
      <c r="W919" t="s">
        <v>197</v>
      </c>
      <c r="X919" t="s">
        <v>197</v>
      </c>
      <c r="Y919" t="s">
        <v>206</v>
      </c>
    </row>
    <row r="920">
      <c r="A920">
        <v>2902</v>
      </c>
      <c r="B920" t="s">
        <v>199</v>
      </c>
      <c r="C920" t="s">
        <v>114</v>
      </c>
      <c r="D920" t="s">
        <v>197</v>
      </c>
      <c r="E920" t="s">
        <v>201</v>
      </c>
      <c r="U920" t="s">
        <v>197</v>
      </c>
      <c r="V920" t="s">
        <v>197</v>
      </c>
      <c r="W920" t="s">
        <v>197</v>
      </c>
      <c r="X920" t="s">
        <v>197</v>
      </c>
      <c r="Y920" t="s">
        <v>198</v>
      </c>
    </row>
    <row r="921">
      <c r="A921">
        <v>2905</v>
      </c>
      <c r="B921" t="s">
        <v>199</v>
      </c>
      <c r="C921" t="s">
        <v>114</v>
      </c>
      <c r="D921" t="s">
        <v>197</v>
      </c>
      <c r="E921" t="s">
        <v>201</v>
      </c>
      <c r="U921" t="s">
        <v>197</v>
      </c>
      <c r="V921" t="s">
        <v>197</v>
      </c>
      <c r="W921" t="s">
        <v>197</v>
      </c>
      <c r="X921" t="s">
        <v>197</v>
      </c>
      <c r="Y921" t="s">
        <v>198</v>
      </c>
    </row>
    <row r="922">
      <c r="A922">
        <v>2904</v>
      </c>
      <c r="B922" t="s">
        <v>199</v>
      </c>
      <c r="C922" t="s">
        <v>114</v>
      </c>
      <c r="D922" t="s">
        <v>197</v>
      </c>
      <c r="E922" t="s">
        <v>201</v>
      </c>
      <c r="U922" t="s">
        <v>197</v>
      </c>
      <c r="V922" t="s">
        <v>197</v>
      </c>
      <c r="W922" t="s">
        <v>197</v>
      </c>
      <c r="X922" t="s">
        <v>197</v>
      </c>
      <c r="Y922" t="s">
        <v>198</v>
      </c>
    </row>
    <row r="923">
      <c r="A923">
        <v>2903</v>
      </c>
      <c r="B923" t="s">
        <v>20</v>
      </c>
      <c r="C923" t="s">
        <v>114</v>
      </c>
      <c r="D923" t="s">
        <v>195</v>
      </c>
      <c r="E923" t="s">
        <v>196</v>
      </c>
      <c r="F923">
        <v>24.9</v>
      </c>
      <c r="G923" t="s">
        <v>195</v>
      </c>
      <c r="H923" t="s">
        <v>93</v>
      </c>
      <c r="I923">
        <v>0.9</v>
      </c>
      <c r="J923" t="s">
        <v>197</v>
      </c>
      <c r="K923" t="s">
        <v>197</v>
      </c>
      <c r="L923">
        <v/>
      </c>
      <c r="N923" t="s">
        <v>197</v>
      </c>
      <c r="R923" t="s">
        <v>53</v>
      </c>
      <c r="S923" t="s">
        <v>64</v>
      </c>
      <c r="T923" t="s">
        <v>76</v>
      </c>
      <c r="U923" t="s">
        <v>197</v>
      </c>
      <c r="V923" t="s">
        <v>197</v>
      </c>
      <c r="W923" t="s">
        <v>197</v>
      </c>
      <c r="X923" t="s">
        <v>197</v>
      </c>
      <c r="Y923" t="s">
        <v>198</v>
      </c>
    </row>
    <row r="924">
      <c r="A924">
        <v>2907</v>
      </c>
      <c r="B924" t="s">
        <v>20</v>
      </c>
      <c r="C924" t="s">
        <v>114</v>
      </c>
      <c r="D924" t="s">
        <v>197</v>
      </c>
      <c r="E924" t="s">
        <v>201</v>
      </c>
      <c r="U924" t="s">
        <v>197</v>
      </c>
      <c r="V924" t="s">
        <v>197</v>
      </c>
      <c r="W924" t="s">
        <v>197</v>
      </c>
      <c r="X924" t="s">
        <v>197</v>
      </c>
      <c r="Y924" t="s">
        <v>198</v>
      </c>
    </row>
    <row r="925">
      <c r="A925">
        <v>2908</v>
      </c>
      <c r="B925" t="s">
        <v>194</v>
      </c>
      <c r="C925" t="s">
        <v>114</v>
      </c>
      <c r="D925" t="s">
        <v>195</v>
      </c>
      <c r="E925" t="s">
        <v>196</v>
      </c>
      <c r="F925">
        <v>0.9</v>
      </c>
      <c r="G925" t="s">
        <v>197</v>
      </c>
      <c r="H925" t="s">
        <v>94</v>
      </c>
      <c r="I925">
        <v>2.7</v>
      </c>
      <c r="J925" t="s">
        <v>195</v>
      </c>
      <c r="K925" t="s">
        <v>195</v>
      </c>
      <c r="L925" t="s">
        <v>94</v>
      </c>
      <c r="M925">
        <v>8.4</v>
      </c>
      <c r="N925" t="s">
        <v>195</v>
      </c>
      <c r="O925" t="s">
        <v>94</v>
      </c>
      <c r="P925">
        <v>8.4</v>
      </c>
      <c r="Q925" t="s">
        <v>195</v>
      </c>
      <c r="R925" t="s">
        <v>49</v>
      </c>
      <c r="T925" t="s">
        <v>76</v>
      </c>
      <c r="U925" t="s">
        <v>197</v>
      </c>
      <c r="V925" t="s">
        <v>197</v>
      </c>
      <c r="W925" t="s">
        <v>197</v>
      </c>
      <c r="X925" t="s">
        <v>197</v>
      </c>
      <c r="Y925" t="s">
        <v>198</v>
      </c>
    </row>
    <row r="926">
      <c r="A926">
        <v>2914</v>
      </c>
      <c r="B926" t="s">
        <v>20</v>
      </c>
      <c r="C926" t="s">
        <v>114</v>
      </c>
      <c r="D926" t="s">
        <v>195</v>
      </c>
      <c r="E926" t="s">
        <v>196</v>
      </c>
      <c r="F926">
        <v>0.5</v>
      </c>
      <c r="G926" t="s">
        <v>197</v>
      </c>
      <c r="H926" t="s">
        <v>94</v>
      </c>
      <c r="I926">
        <v>1.2</v>
      </c>
      <c r="J926" t="s">
        <v>195</v>
      </c>
      <c r="K926" t="s">
        <v>195</v>
      </c>
      <c r="L926" t="s">
        <v>94</v>
      </c>
      <c r="M926">
        <v>3.9</v>
      </c>
      <c r="N926" t="s">
        <v>195</v>
      </c>
      <c r="O926" t="s">
        <v>94</v>
      </c>
      <c r="P926">
        <v>4</v>
      </c>
      <c r="Q926" t="s">
        <v>195</v>
      </c>
      <c r="R926" t="s">
        <v>49</v>
      </c>
      <c r="T926" t="s">
        <v>76</v>
      </c>
      <c r="U926" t="s">
        <v>197</v>
      </c>
      <c r="V926" t="s">
        <v>197</v>
      </c>
      <c r="W926" t="s">
        <v>197</v>
      </c>
      <c r="X926" t="s">
        <v>197</v>
      </c>
      <c r="Y926" t="s">
        <v>198</v>
      </c>
    </row>
    <row r="927">
      <c r="A927">
        <v>2917</v>
      </c>
      <c r="B927" t="s">
        <v>20</v>
      </c>
      <c r="C927" t="s">
        <v>114</v>
      </c>
      <c r="D927" t="s">
        <v>195</v>
      </c>
      <c r="E927" t="s">
        <v>196</v>
      </c>
      <c r="F927">
        <v>0.4</v>
      </c>
      <c r="G927" t="s">
        <v>197</v>
      </c>
      <c r="H927" t="s">
        <v>94</v>
      </c>
      <c r="I927">
        <v>0.4</v>
      </c>
      <c r="J927" t="s">
        <v>195</v>
      </c>
      <c r="K927" t="s">
        <v>195</v>
      </c>
      <c r="L927" t="s">
        <v>94</v>
      </c>
      <c r="M927">
        <v>2.7</v>
      </c>
      <c r="N927" t="s">
        <v>197</v>
      </c>
      <c r="R927" t="s">
        <v>52</v>
      </c>
      <c r="S927" t="s">
        <v>64</v>
      </c>
      <c r="T927" t="s">
        <v>76</v>
      </c>
      <c r="U927" t="s">
        <v>197</v>
      </c>
      <c r="V927" t="s">
        <v>197</v>
      </c>
      <c r="W927" t="s">
        <v>197</v>
      </c>
      <c r="X927" t="s">
        <v>197</v>
      </c>
      <c r="Y927" t="s">
        <v>198</v>
      </c>
    </row>
    <row r="928">
      <c r="A928">
        <v>2916</v>
      </c>
      <c r="B928" t="s">
        <v>20</v>
      </c>
      <c r="C928" t="s">
        <v>114</v>
      </c>
      <c r="D928" t="s">
        <v>195</v>
      </c>
      <c r="E928" t="s">
        <v>196</v>
      </c>
      <c r="F928">
        <v>6.5</v>
      </c>
      <c r="G928" t="s">
        <v>197</v>
      </c>
      <c r="H928" t="s">
        <v>94</v>
      </c>
      <c r="I928">
        <v>5.9</v>
      </c>
      <c r="J928" t="s">
        <v>197</v>
      </c>
      <c r="K928" t="s">
        <v>195</v>
      </c>
      <c r="L928" t="s">
        <v>94</v>
      </c>
      <c r="M928">
        <v>5.9</v>
      </c>
      <c r="N928" t="s">
        <v>195</v>
      </c>
      <c r="O928" t="s">
        <v>94</v>
      </c>
      <c r="P928">
        <v>5.9</v>
      </c>
      <c r="Q928" t="s">
        <v>195</v>
      </c>
      <c r="R928" t="s">
        <v>50</v>
      </c>
      <c r="T928" t="s">
        <v>76</v>
      </c>
      <c r="U928" t="s">
        <v>197</v>
      </c>
      <c r="V928" t="s">
        <v>197</v>
      </c>
      <c r="W928" t="s">
        <v>197</v>
      </c>
      <c r="X928" t="s">
        <v>197</v>
      </c>
      <c r="Y928" t="s">
        <v>198</v>
      </c>
    </row>
    <row r="929">
      <c r="A929">
        <v>2918</v>
      </c>
      <c r="B929" t="s">
        <v>199</v>
      </c>
      <c r="C929" t="s">
        <v>114</v>
      </c>
      <c r="D929" t="s">
        <v>195</v>
      </c>
      <c r="E929" t="s">
        <v>196</v>
      </c>
      <c r="F929">
        <v>4.7</v>
      </c>
      <c r="G929" t="s">
        <v>197</v>
      </c>
      <c r="H929" t="s">
        <v>94</v>
      </c>
      <c r="I929">
        <v>0.4</v>
      </c>
      <c r="J929" t="s">
        <v>195</v>
      </c>
      <c r="K929" t="s">
        <v>195</v>
      </c>
      <c r="L929" t="s">
        <v>94</v>
      </c>
      <c r="M929">
        <v>3</v>
      </c>
      <c r="N929" t="s">
        <v>195</v>
      </c>
      <c r="O929" t="s">
        <v>94</v>
      </c>
      <c r="P929">
        <v>3.1</v>
      </c>
      <c r="Q929" t="s">
        <v>195</v>
      </c>
      <c r="R929" t="s">
        <v>49</v>
      </c>
      <c r="T929" t="s">
        <v>76</v>
      </c>
      <c r="U929" t="s">
        <v>195</v>
      </c>
      <c r="V929" t="s">
        <v>195</v>
      </c>
      <c r="W929" t="s">
        <v>195</v>
      </c>
      <c r="X929" t="s">
        <v>197</v>
      </c>
      <c r="Y929" t="s">
        <v>104</v>
      </c>
    </row>
    <row r="930">
      <c r="A930">
        <v>2921</v>
      </c>
      <c r="B930" t="s">
        <v>194</v>
      </c>
      <c r="C930" t="s">
        <v>114</v>
      </c>
      <c r="D930" t="s">
        <v>195</v>
      </c>
      <c r="E930" t="s">
        <v>196</v>
      </c>
      <c r="F930">
        <v>0.4</v>
      </c>
      <c r="G930" t="s">
        <v>197</v>
      </c>
      <c r="H930" t="s">
        <v>93</v>
      </c>
      <c r="I930">
        <v>0.2</v>
      </c>
      <c r="J930" t="s">
        <v>195</v>
      </c>
      <c r="K930" t="s">
        <v>195</v>
      </c>
      <c r="L930" t="s">
        <v>93</v>
      </c>
      <c r="M930">
        <v>9</v>
      </c>
      <c r="N930" t="s">
        <v>195</v>
      </c>
      <c r="O930" t="s">
        <v>93</v>
      </c>
      <c r="P930">
        <v>9.4</v>
      </c>
      <c r="Q930" t="s">
        <v>195</v>
      </c>
      <c r="R930" t="s">
        <v>49</v>
      </c>
      <c r="T930" t="s">
        <v>76</v>
      </c>
      <c r="U930" t="s">
        <v>195</v>
      </c>
      <c r="V930" t="s">
        <v>197</v>
      </c>
      <c r="W930" t="s">
        <v>197</v>
      </c>
      <c r="X930" t="s">
        <v>197</v>
      </c>
      <c r="Y930" t="s">
        <v>198</v>
      </c>
    </row>
    <row r="931">
      <c r="A931">
        <v>2919</v>
      </c>
      <c r="B931" t="s">
        <v>20</v>
      </c>
      <c r="C931" t="s">
        <v>114</v>
      </c>
      <c r="D931" t="s">
        <v>197</v>
      </c>
      <c r="E931" t="s">
        <v>201</v>
      </c>
      <c r="U931" t="s">
        <v>197</v>
      </c>
      <c r="V931" t="s">
        <v>197</v>
      </c>
      <c r="W931" t="s">
        <v>197</v>
      </c>
      <c r="X931" t="s">
        <v>197</v>
      </c>
      <c r="Y931" t="s">
        <v>198</v>
      </c>
    </row>
    <row r="932">
      <c r="A932">
        <v>2925</v>
      </c>
      <c r="B932" t="s">
        <v>199</v>
      </c>
      <c r="C932" t="s">
        <v>114</v>
      </c>
      <c r="D932" t="s">
        <v>197</v>
      </c>
      <c r="E932" t="s">
        <v>201</v>
      </c>
      <c r="U932" t="s">
        <v>197</v>
      </c>
      <c r="V932" t="s">
        <v>197</v>
      </c>
      <c r="W932" t="s">
        <v>197</v>
      </c>
      <c r="X932" t="s">
        <v>197</v>
      </c>
      <c r="Y932" t="s">
        <v>198</v>
      </c>
    </row>
    <row r="933">
      <c r="A933">
        <v>2928</v>
      </c>
      <c r="B933" t="s">
        <v>20</v>
      </c>
      <c r="C933" t="s">
        <v>114</v>
      </c>
      <c r="D933" t="s">
        <v>197</v>
      </c>
      <c r="E933" t="s">
        <v>201</v>
      </c>
      <c r="U933" t="s">
        <v>197</v>
      </c>
      <c r="V933" t="s">
        <v>197</v>
      </c>
      <c r="W933" t="s">
        <v>197</v>
      </c>
      <c r="X933" t="s">
        <v>197</v>
      </c>
      <c r="Y933" t="s">
        <v>198</v>
      </c>
    </row>
    <row r="934">
      <c r="A934">
        <v>2935</v>
      </c>
      <c r="B934" t="s">
        <v>20</v>
      </c>
      <c r="C934" t="s">
        <v>114</v>
      </c>
      <c r="D934" t="s">
        <v>195</v>
      </c>
      <c r="E934" t="s">
        <v>196</v>
      </c>
      <c r="F934">
        <v>3</v>
      </c>
      <c r="G934" t="s">
        <v>197</v>
      </c>
      <c r="H934" t="s">
        <v>94</v>
      </c>
      <c r="I934">
        <v>0.8</v>
      </c>
      <c r="J934" t="s">
        <v>195</v>
      </c>
      <c r="K934" t="s">
        <v>195</v>
      </c>
      <c r="L934" t="s">
        <v>94</v>
      </c>
      <c r="M934">
        <v>7.8</v>
      </c>
      <c r="N934" t="s">
        <v>195</v>
      </c>
      <c r="O934" t="s">
        <v>94</v>
      </c>
      <c r="P934">
        <v>8</v>
      </c>
      <c r="Q934" t="s">
        <v>195</v>
      </c>
      <c r="R934" t="s">
        <v>49</v>
      </c>
      <c r="T934" t="s">
        <v>77</v>
      </c>
      <c r="U934" t="s">
        <v>197</v>
      </c>
      <c r="V934" t="s">
        <v>197</v>
      </c>
      <c r="W934" t="s">
        <v>197</v>
      </c>
      <c r="X934" t="s">
        <v>197</v>
      </c>
      <c r="Y934" t="s">
        <v>198</v>
      </c>
    </row>
    <row r="935">
      <c r="A935">
        <v>2937</v>
      </c>
      <c r="B935" t="s">
        <v>199</v>
      </c>
      <c r="C935" t="s">
        <v>114</v>
      </c>
      <c r="D935" t="s">
        <v>197</v>
      </c>
      <c r="E935" t="s">
        <v>201</v>
      </c>
      <c r="U935" t="s">
        <v>197</v>
      </c>
      <c r="V935" t="s">
        <v>197</v>
      </c>
      <c r="W935" t="s">
        <v>197</v>
      </c>
      <c r="X935" t="s">
        <v>197</v>
      </c>
      <c r="Y935" t="s">
        <v>198</v>
      </c>
    </row>
    <row r="936">
      <c r="A936">
        <v>2942</v>
      </c>
      <c r="B936" t="s">
        <v>20</v>
      </c>
      <c r="C936" t="s">
        <v>114</v>
      </c>
      <c r="D936" t="s">
        <v>197</v>
      </c>
      <c r="E936" t="s">
        <v>201</v>
      </c>
      <c r="U936" t="s">
        <v>197</v>
      </c>
      <c r="V936" t="s">
        <v>197</v>
      </c>
      <c r="W936" t="s">
        <v>197</v>
      </c>
      <c r="X936" t="s">
        <v>197</v>
      </c>
      <c r="Y936" t="s">
        <v>198</v>
      </c>
    </row>
    <row r="937">
      <c r="A937">
        <v>2943</v>
      </c>
      <c r="B937" t="s">
        <v>20</v>
      </c>
      <c r="C937" t="s">
        <v>114</v>
      </c>
      <c r="D937" t="s">
        <v>197</v>
      </c>
      <c r="E937" t="s">
        <v>201</v>
      </c>
      <c r="U937" t="s">
        <v>197</v>
      </c>
      <c r="V937" t="s">
        <v>197</v>
      </c>
      <c r="W937" t="s">
        <v>197</v>
      </c>
      <c r="X937" t="s">
        <v>197</v>
      </c>
      <c r="Y937" t="s">
        <v>198</v>
      </c>
    </row>
    <row r="938">
      <c r="A938">
        <v>2939</v>
      </c>
      <c r="B938" t="s">
        <v>20</v>
      </c>
      <c r="C938" t="s">
        <v>114</v>
      </c>
      <c r="D938" t="s">
        <v>195</v>
      </c>
      <c r="E938" t="s">
        <v>196</v>
      </c>
      <c r="F938">
        <v>25.6</v>
      </c>
      <c r="G938" t="s">
        <v>197</v>
      </c>
      <c r="H938" t="s">
        <v>94</v>
      </c>
      <c r="I938">
        <v>1</v>
      </c>
      <c r="J938" t="s">
        <v>197</v>
      </c>
      <c r="K938" t="s">
        <v>197</v>
      </c>
      <c r="L938">
        <v/>
      </c>
      <c r="N938" t="s">
        <v>197</v>
      </c>
      <c r="R938" t="s">
        <v>53</v>
      </c>
      <c r="S938" t="s">
        <v>64</v>
      </c>
      <c r="T938" t="s">
        <v>77</v>
      </c>
      <c r="U938" t="s">
        <v>197</v>
      </c>
      <c r="V938" t="s">
        <v>197</v>
      </c>
      <c r="W938" t="s">
        <v>197</v>
      </c>
      <c r="X938" t="s">
        <v>197</v>
      </c>
      <c r="Y938" t="s">
        <v>198</v>
      </c>
    </row>
    <row r="939">
      <c r="A939">
        <v>2944</v>
      </c>
      <c r="B939" t="s">
        <v>20</v>
      </c>
      <c r="C939" t="s">
        <v>114</v>
      </c>
      <c r="D939" t="s">
        <v>197</v>
      </c>
      <c r="E939" t="s">
        <v>201</v>
      </c>
      <c r="U939" t="s">
        <v>197</v>
      </c>
      <c r="V939" t="s">
        <v>197</v>
      </c>
      <c r="W939" t="s">
        <v>197</v>
      </c>
      <c r="X939" t="s">
        <v>197</v>
      </c>
      <c r="Y939" t="s">
        <v>198</v>
      </c>
    </row>
    <row r="940">
      <c r="A940">
        <v>2953</v>
      </c>
      <c r="B940" t="s">
        <v>20</v>
      </c>
      <c r="C940" t="s">
        <v>114</v>
      </c>
      <c r="D940" t="s">
        <v>197</v>
      </c>
      <c r="E940" t="s">
        <v>201</v>
      </c>
      <c r="U940" t="s">
        <v>197</v>
      </c>
      <c r="V940" t="s">
        <v>197</v>
      </c>
      <c r="W940" t="s">
        <v>197</v>
      </c>
      <c r="X940" t="s">
        <v>197</v>
      </c>
      <c r="Y940" t="s">
        <v>198</v>
      </c>
    </row>
    <row r="941">
      <c r="A941">
        <v>2949</v>
      </c>
      <c r="B941" t="s">
        <v>20</v>
      </c>
      <c r="C941" t="s">
        <v>114</v>
      </c>
      <c r="D941" t="s">
        <v>197</v>
      </c>
      <c r="E941" t="s">
        <v>201</v>
      </c>
      <c r="U941" t="s">
        <v>197</v>
      </c>
      <c r="V941" t="s">
        <v>197</v>
      </c>
      <c r="W941" t="s">
        <v>197</v>
      </c>
      <c r="X941" t="s">
        <v>197</v>
      </c>
      <c r="Y941" t="s">
        <v>198</v>
      </c>
    </row>
    <row r="942">
      <c r="A942">
        <v>2958</v>
      </c>
      <c r="B942" t="s">
        <v>194</v>
      </c>
      <c r="C942" t="s">
        <v>114</v>
      </c>
      <c r="D942" t="s">
        <v>195</v>
      </c>
      <c r="E942" t="s">
        <v>196</v>
      </c>
      <c r="F942">
        <v>1.5</v>
      </c>
      <c r="G942" t="s">
        <v>197</v>
      </c>
      <c r="H942" t="s">
        <v>94</v>
      </c>
      <c r="I942">
        <v>1.2</v>
      </c>
      <c r="J942" t="s">
        <v>195</v>
      </c>
      <c r="K942" t="s">
        <v>195</v>
      </c>
      <c r="L942" t="s">
        <v>94</v>
      </c>
      <c r="M942">
        <v>5.5</v>
      </c>
      <c r="N942" t="s">
        <v>195</v>
      </c>
      <c r="O942" t="s">
        <v>94</v>
      </c>
      <c r="P942">
        <v>5.5</v>
      </c>
      <c r="Q942" t="s">
        <v>195</v>
      </c>
      <c r="R942" t="s">
        <v>50</v>
      </c>
      <c r="T942" t="s">
        <v>77</v>
      </c>
      <c r="U942" t="s">
        <v>195</v>
      </c>
      <c r="V942" t="s">
        <v>195</v>
      </c>
      <c r="W942" t="s">
        <v>195</v>
      </c>
      <c r="X942" t="s">
        <v>197</v>
      </c>
      <c r="Y942" t="s">
        <v>104</v>
      </c>
    </row>
    <row r="943">
      <c r="A943">
        <v>2956</v>
      </c>
      <c r="B943" t="s">
        <v>194</v>
      </c>
      <c r="C943" t="s">
        <v>114</v>
      </c>
      <c r="D943" t="s">
        <v>195</v>
      </c>
      <c r="E943" t="s">
        <v>196</v>
      </c>
      <c r="F943">
        <v>3.1</v>
      </c>
      <c r="G943" t="s">
        <v>197</v>
      </c>
      <c r="H943" t="s">
        <v>94</v>
      </c>
      <c r="I943">
        <v>2.9</v>
      </c>
      <c r="J943" t="s">
        <v>195</v>
      </c>
      <c r="K943" t="s">
        <v>195</v>
      </c>
      <c r="L943" t="s">
        <v>94</v>
      </c>
      <c r="M943">
        <v>6.4</v>
      </c>
      <c r="N943" t="s">
        <v>195</v>
      </c>
      <c r="O943" t="s">
        <v>94</v>
      </c>
      <c r="P943">
        <v>6.5</v>
      </c>
      <c r="Q943" t="s">
        <v>195</v>
      </c>
      <c r="R943" t="s">
        <v>49</v>
      </c>
      <c r="T943" t="s">
        <v>77</v>
      </c>
      <c r="U943" t="s">
        <v>195</v>
      </c>
      <c r="V943" t="s">
        <v>197</v>
      </c>
      <c r="W943" t="s">
        <v>197</v>
      </c>
      <c r="X943" t="s">
        <v>197</v>
      </c>
      <c r="Y943" t="s">
        <v>198</v>
      </c>
    </row>
    <row r="944">
      <c r="A944">
        <v>2959</v>
      </c>
      <c r="B944" t="s">
        <v>20</v>
      </c>
      <c r="C944" t="s">
        <v>114</v>
      </c>
      <c r="D944" t="s">
        <v>197</v>
      </c>
      <c r="E944" t="s">
        <v>201</v>
      </c>
      <c r="U944" t="s">
        <v>197</v>
      </c>
      <c r="V944" t="s">
        <v>197</v>
      </c>
      <c r="W944" t="s">
        <v>197</v>
      </c>
      <c r="X944" t="s">
        <v>197</v>
      </c>
      <c r="Y944" t="s">
        <v>198</v>
      </c>
    </row>
    <row r="945">
      <c r="A945">
        <v>2952</v>
      </c>
      <c r="B945" t="s">
        <v>199</v>
      </c>
      <c r="C945" t="s">
        <v>114</v>
      </c>
      <c r="D945" t="s">
        <v>197</v>
      </c>
      <c r="E945" t="s">
        <v>201</v>
      </c>
      <c r="U945" t="s">
        <v>197</v>
      </c>
      <c r="V945" t="s">
        <v>197</v>
      </c>
      <c r="W945" t="s">
        <v>197</v>
      </c>
      <c r="X945" t="s">
        <v>197</v>
      </c>
      <c r="Y945" t="s">
        <v>198</v>
      </c>
    </row>
    <row r="946">
      <c r="A946">
        <v>2960</v>
      </c>
      <c r="B946" t="s">
        <v>20</v>
      </c>
      <c r="C946" t="s">
        <v>114</v>
      </c>
      <c r="D946" t="s">
        <v>195</v>
      </c>
      <c r="E946" t="s">
        <v>200</v>
      </c>
      <c r="F946">
        <v>659.6</v>
      </c>
      <c r="G946" t="s">
        <v>197</v>
      </c>
      <c r="H946" t="s">
        <v>93</v>
      </c>
      <c r="I946">
        <v>5.9</v>
      </c>
      <c r="J946" t="s">
        <v>195</v>
      </c>
      <c r="K946" t="s">
        <v>195</v>
      </c>
      <c r="L946" t="s">
        <v>93</v>
      </c>
      <c r="M946">
        <v>16.1</v>
      </c>
      <c r="N946" t="s">
        <v>195</v>
      </c>
      <c r="O946" t="s">
        <v>93</v>
      </c>
      <c r="P946">
        <v>16.5</v>
      </c>
      <c r="Q946" t="s">
        <v>197</v>
      </c>
      <c r="R946" t="s">
        <v>49</v>
      </c>
      <c r="T946" t="s">
        <v>78</v>
      </c>
      <c r="U946" t="s">
        <v>197</v>
      </c>
      <c r="V946" t="s">
        <v>197</v>
      </c>
      <c r="W946" t="s">
        <v>197</v>
      </c>
      <c r="X946" t="s">
        <v>197</v>
      </c>
      <c r="Y946" t="s">
        <v>198</v>
      </c>
    </row>
    <row r="947">
      <c r="A947">
        <v>2964</v>
      </c>
      <c r="B947" t="s">
        <v>20</v>
      </c>
      <c r="C947" t="s">
        <v>114</v>
      </c>
      <c r="D947" t="s">
        <v>197</v>
      </c>
      <c r="E947" t="s">
        <v>201</v>
      </c>
      <c r="U947" t="s">
        <v>197</v>
      </c>
      <c r="V947" t="s">
        <v>197</v>
      </c>
      <c r="W947" t="s">
        <v>197</v>
      </c>
      <c r="X947" t="s">
        <v>197</v>
      </c>
      <c r="Y947" t="s">
        <v>198</v>
      </c>
    </row>
    <row r="948">
      <c r="A948">
        <v>2967</v>
      </c>
      <c r="B948" t="s">
        <v>194</v>
      </c>
      <c r="C948" t="s">
        <v>114</v>
      </c>
      <c r="D948" t="s">
        <v>197</v>
      </c>
      <c r="E948" t="s">
        <v>201</v>
      </c>
      <c r="U948" t="s">
        <v>197</v>
      </c>
      <c r="V948" t="s">
        <v>197</v>
      </c>
      <c r="W948" t="s">
        <v>197</v>
      </c>
      <c r="X948" t="s">
        <v>197</v>
      </c>
      <c r="Y948" t="s">
        <v>198</v>
      </c>
    </row>
    <row r="949">
      <c r="A949">
        <v>2965</v>
      </c>
      <c r="B949" t="s">
        <v>20</v>
      </c>
      <c r="C949" t="s">
        <v>114</v>
      </c>
      <c r="D949" t="s">
        <v>195</v>
      </c>
      <c r="E949" t="s">
        <v>196</v>
      </c>
      <c r="F949">
        <v>1.5</v>
      </c>
      <c r="G949" t="s">
        <v>197</v>
      </c>
      <c r="H949" t="s">
        <v>95</v>
      </c>
      <c r="I949">
        <v>1.2</v>
      </c>
      <c r="J949" t="s">
        <v>195</v>
      </c>
      <c r="K949" t="s">
        <v>195</v>
      </c>
      <c r="L949" t="s">
        <v>95</v>
      </c>
      <c r="M949">
        <v>2.9</v>
      </c>
      <c r="N949" t="s">
        <v>195</v>
      </c>
      <c r="O949" t="s">
        <v>95</v>
      </c>
      <c r="P949">
        <v>3.2</v>
      </c>
      <c r="Q949" t="s">
        <v>195</v>
      </c>
      <c r="R949" t="s">
        <v>49</v>
      </c>
      <c r="T949" t="s">
        <v>77</v>
      </c>
      <c r="U949" t="s">
        <v>197</v>
      </c>
      <c r="V949" t="s">
        <v>197</v>
      </c>
      <c r="W949" t="s">
        <v>197</v>
      </c>
      <c r="X949" t="s">
        <v>197</v>
      </c>
      <c r="Y949" t="s">
        <v>198</v>
      </c>
    </row>
    <row r="950">
      <c r="A950">
        <v>2962</v>
      </c>
      <c r="B950" t="s">
        <v>20</v>
      </c>
      <c r="C950" t="s">
        <v>114</v>
      </c>
      <c r="D950" t="s">
        <v>197</v>
      </c>
      <c r="E950" t="s">
        <v>201</v>
      </c>
      <c r="U950" t="s">
        <v>197</v>
      </c>
      <c r="V950" t="s">
        <v>197</v>
      </c>
      <c r="W950" t="s">
        <v>197</v>
      </c>
      <c r="X950" t="s">
        <v>197</v>
      </c>
      <c r="Y950" t="s">
        <v>198</v>
      </c>
    </row>
    <row r="951">
      <c r="A951">
        <v>2970</v>
      </c>
      <c r="B951" t="s">
        <v>199</v>
      </c>
      <c r="C951" t="s">
        <v>114</v>
      </c>
      <c r="D951" t="s">
        <v>197</v>
      </c>
      <c r="E951" t="s">
        <v>201</v>
      </c>
      <c r="U951" t="s">
        <v>197</v>
      </c>
      <c r="V951" t="s">
        <v>197</v>
      </c>
      <c r="W951" t="s">
        <v>197</v>
      </c>
      <c r="X951" t="s">
        <v>197</v>
      </c>
      <c r="Y951" t="s">
        <v>198</v>
      </c>
    </row>
    <row r="952">
      <c r="A952">
        <v>2966</v>
      </c>
      <c r="B952" t="s">
        <v>20</v>
      </c>
      <c r="C952" t="s">
        <v>114</v>
      </c>
      <c r="D952" t="s">
        <v>197</v>
      </c>
      <c r="E952" t="s">
        <v>201</v>
      </c>
      <c r="U952" t="s">
        <v>197</v>
      </c>
      <c r="V952" t="s">
        <v>197</v>
      </c>
      <c r="W952" t="s">
        <v>197</v>
      </c>
      <c r="X952" t="s">
        <v>197</v>
      </c>
      <c r="Y952" t="s">
        <v>198</v>
      </c>
    </row>
    <row r="953">
      <c r="A953">
        <v>2971</v>
      </c>
      <c r="B953" t="s">
        <v>20</v>
      </c>
      <c r="C953" t="s">
        <v>114</v>
      </c>
      <c r="D953" t="s">
        <v>195</v>
      </c>
      <c r="E953" t="s">
        <v>200</v>
      </c>
      <c r="F953">
        <v>5178.9</v>
      </c>
      <c r="G953" t="s">
        <v>197</v>
      </c>
      <c r="H953" t="s">
        <v>93</v>
      </c>
      <c r="I953">
        <v>0.3</v>
      </c>
      <c r="J953" t="s">
        <v>197</v>
      </c>
      <c r="K953" t="s">
        <v>197</v>
      </c>
      <c r="L953">
        <v/>
      </c>
      <c r="N953" t="s">
        <v>197</v>
      </c>
      <c r="R953" t="s">
        <v>53</v>
      </c>
      <c r="S953" t="s">
        <v>64</v>
      </c>
      <c r="T953" t="s">
        <v>76</v>
      </c>
      <c r="U953" t="s">
        <v>197</v>
      </c>
      <c r="V953" t="s">
        <v>197</v>
      </c>
      <c r="W953" t="s">
        <v>197</v>
      </c>
      <c r="X953" t="s">
        <v>197</v>
      </c>
      <c r="Y953" t="s">
        <v>198</v>
      </c>
    </row>
    <row r="954">
      <c r="A954">
        <v>2975</v>
      </c>
      <c r="B954" t="s">
        <v>20</v>
      </c>
      <c r="C954" t="s">
        <v>114</v>
      </c>
      <c r="D954" t="s">
        <v>195</v>
      </c>
      <c r="E954" t="s">
        <v>196</v>
      </c>
      <c r="F954">
        <v>23.2</v>
      </c>
      <c r="G954" t="s">
        <v>197</v>
      </c>
      <c r="H954" t="s">
        <v>93</v>
      </c>
      <c r="I954">
        <v>546.8</v>
      </c>
      <c r="J954" t="s">
        <v>195</v>
      </c>
      <c r="K954" t="s">
        <v>195</v>
      </c>
      <c r="L954" t="s">
        <v>93</v>
      </c>
      <c r="M954">
        <v>552.4</v>
      </c>
      <c r="N954" t="s">
        <v>195</v>
      </c>
      <c r="O954" t="s">
        <v>93</v>
      </c>
      <c r="P954">
        <v>552.4</v>
      </c>
      <c r="Q954" t="s">
        <v>197</v>
      </c>
      <c r="R954" t="s">
        <v>49</v>
      </c>
      <c r="T954" t="s">
        <v>78</v>
      </c>
      <c r="U954" t="s">
        <v>195</v>
      </c>
      <c r="V954" t="s">
        <v>195</v>
      </c>
      <c r="W954" t="s">
        <v>195</v>
      </c>
      <c r="X954" t="s">
        <v>197</v>
      </c>
      <c r="Y954" t="s">
        <v>104</v>
      </c>
    </row>
    <row r="955">
      <c r="A955">
        <v>2976</v>
      </c>
      <c r="B955" t="s">
        <v>20</v>
      </c>
      <c r="C955" t="s">
        <v>114</v>
      </c>
      <c r="D955" t="s">
        <v>197</v>
      </c>
      <c r="E955" t="s">
        <v>201</v>
      </c>
      <c r="U955" t="s">
        <v>197</v>
      </c>
      <c r="V955" t="s">
        <v>197</v>
      </c>
      <c r="W955" t="s">
        <v>197</v>
      </c>
      <c r="X955" t="s">
        <v>197</v>
      </c>
      <c r="Y955" t="s">
        <v>198</v>
      </c>
    </row>
    <row r="956">
      <c r="A956">
        <v>2973</v>
      </c>
      <c r="B956" t="s">
        <v>199</v>
      </c>
      <c r="C956" t="s">
        <v>114</v>
      </c>
      <c r="D956" t="s">
        <v>195</v>
      </c>
      <c r="E956" t="s">
        <v>196</v>
      </c>
      <c r="F956">
        <v>0.2</v>
      </c>
      <c r="G956" t="s">
        <v>197</v>
      </c>
      <c r="H956" t="s">
        <v>94</v>
      </c>
      <c r="I956">
        <v>3.2</v>
      </c>
      <c r="J956" t="s">
        <v>195</v>
      </c>
      <c r="K956" t="s">
        <v>195</v>
      </c>
      <c r="L956" t="s">
        <v>94</v>
      </c>
      <c r="M956">
        <v>5.4</v>
      </c>
      <c r="N956" t="s">
        <v>195</v>
      </c>
      <c r="O956" t="s">
        <v>94</v>
      </c>
      <c r="P956">
        <v>5.7</v>
      </c>
      <c r="Q956" t="s">
        <v>195</v>
      </c>
      <c r="R956" t="s">
        <v>49</v>
      </c>
      <c r="T956" t="s">
        <v>78</v>
      </c>
      <c r="U956" t="s">
        <v>197</v>
      </c>
      <c r="V956" t="s">
        <v>197</v>
      </c>
      <c r="W956" t="s">
        <v>197</v>
      </c>
      <c r="X956" t="s">
        <v>197</v>
      </c>
      <c r="Y956" t="s">
        <v>198</v>
      </c>
    </row>
    <row r="957">
      <c r="A957">
        <v>2977</v>
      </c>
      <c r="B957" t="s">
        <v>20</v>
      </c>
      <c r="C957" t="s">
        <v>114</v>
      </c>
      <c r="D957" t="s">
        <v>195</v>
      </c>
      <c r="E957" t="s">
        <v>196</v>
      </c>
      <c r="F957">
        <v>5.3</v>
      </c>
      <c r="G957" t="s">
        <v>197</v>
      </c>
      <c r="H957" t="s">
        <v>94</v>
      </c>
      <c r="I957">
        <v>1.6</v>
      </c>
      <c r="J957" t="s">
        <v>195</v>
      </c>
      <c r="K957" t="s">
        <v>195</v>
      </c>
      <c r="L957" t="s">
        <v>94</v>
      </c>
      <c r="M957">
        <v>5.5</v>
      </c>
      <c r="N957" t="s">
        <v>197</v>
      </c>
      <c r="R957" t="s">
        <v>52</v>
      </c>
      <c r="S957" t="s">
        <v>66</v>
      </c>
      <c r="T957" t="s">
        <v>78</v>
      </c>
      <c r="U957" t="s">
        <v>195</v>
      </c>
      <c r="V957" t="s">
        <v>197</v>
      </c>
      <c r="W957" t="s">
        <v>197</v>
      </c>
      <c r="X957" t="s">
        <v>197</v>
      </c>
      <c r="Y957" t="s">
        <v>198</v>
      </c>
    </row>
    <row r="958">
      <c r="A958">
        <v>2978</v>
      </c>
      <c r="B958" t="s">
        <v>199</v>
      </c>
      <c r="C958" t="s">
        <v>114</v>
      </c>
      <c r="D958" t="s">
        <v>197</v>
      </c>
      <c r="E958" t="s">
        <v>201</v>
      </c>
      <c r="U958" t="s">
        <v>197</v>
      </c>
      <c r="V958" t="s">
        <v>197</v>
      </c>
      <c r="W958" t="s">
        <v>197</v>
      </c>
      <c r="X958" t="s">
        <v>197</v>
      </c>
      <c r="Y958" t="s">
        <v>198</v>
      </c>
    </row>
    <row r="959">
      <c r="A959">
        <v>2980</v>
      </c>
      <c r="B959" t="s">
        <v>20</v>
      </c>
      <c r="C959" t="s">
        <v>114</v>
      </c>
      <c r="D959" t="s">
        <v>195</v>
      </c>
      <c r="E959" t="s">
        <v>196</v>
      </c>
      <c r="F959">
        <v>1</v>
      </c>
      <c r="G959" t="s">
        <v>197</v>
      </c>
      <c r="H959" t="s">
        <v>94</v>
      </c>
      <c r="I959">
        <v>3.2</v>
      </c>
      <c r="J959" t="s">
        <v>197</v>
      </c>
      <c r="K959" t="s">
        <v>197</v>
      </c>
      <c r="L959">
        <v/>
      </c>
      <c r="N959" t="s">
        <v>197</v>
      </c>
      <c r="R959" t="s">
        <v>53</v>
      </c>
      <c r="S959" t="s">
        <v>64</v>
      </c>
      <c r="T959" t="s">
        <v>78</v>
      </c>
      <c r="U959" t="s">
        <v>197</v>
      </c>
      <c r="V959" t="s">
        <v>197</v>
      </c>
      <c r="W959" t="s">
        <v>197</v>
      </c>
      <c r="X959" t="s">
        <v>197</v>
      </c>
      <c r="Y959" t="s">
        <v>198</v>
      </c>
    </row>
    <row r="960">
      <c r="A960">
        <v>2982</v>
      </c>
      <c r="B960" t="s">
        <v>20</v>
      </c>
      <c r="C960" t="s">
        <v>114</v>
      </c>
      <c r="D960" t="s">
        <v>197</v>
      </c>
      <c r="E960" t="s">
        <v>201</v>
      </c>
      <c r="U960" t="s">
        <v>197</v>
      </c>
      <c r="V960" t="s">
        <v>197</v>
      </c>
      <c r="W960" t="s">
        <v>197</v>
      </c>
      <c r="X960" t="s">
        <v>197</v>
      </c>
      <c r="Y960" t="s">
        <v>198</v>
      </c>
    </row>
    <row r="961">
      <c r="A961">
        <v>2983</v>
      </c>
      <c r="B961" t="s">
        <v>199</v>
      </c>
      <c r="C961" t="s">
        <v>114</v>
      </c>
      <c r="D961" t="s">
        <v>195</v>
      </c>
      <c r="E961" t="s">
        <v>196</v>
      </c>
      <c r="F961">
        <v>0.3</v>
      </c>
      <c r="G961" t="s">
        <v>195</v>
      </c>
      <c r="H961" t="s">
        <v>95</v>
      </c>
      <c r="I961">
        <v>0.3</v>
      </c>
      <c r="J961" t="s">
        <v>197</v>
      </c>
      <c r="K961" t="s">
        <v>195</v>
      </c>
      <c r="L961" t="s">
        <v>95</v>
      </c>
      <c r="M961">
        <v>3.1</v>
      </c>
      <c r="N961" t="s">
        <v>195</v>
      </c>
      <c r="O961" t="s">
        <v>95</v>
      </c>
      <c r="P961">
        <v>3.4</v>
      </c>
      <c r="Q961" t="s">
        <v>195</v>
      </c>
      <c r="R961" t="s">
        <v>49</v>
      </c>
      <c r="T961" t="s">
        <v>78</v>
      </c>
      <c r="U961" t="s">
        <v>197</v>
      </c>
      <c r="V961" t="s">
        <v>197</v>
      </c>
      <c r="W961" t="s">
        <v>197</v>
      </c>
      <c r="X961" t="s">
        <v>197</v>
      </c>
      <c r="Y961" t="s">
        <v>198</v>
      </c>
    </row>
    <row r="962">
      <c r="A962">
        <v>2985</v>
      </c>
      <c r="B962" t="s">
        <v>20</v>
      </c>
      <c r="C962" t="s">
        <v>114</v>
      </c>
      <c r="D962" t="s">
        <v>197</v>
      </c>
      <c r="E962" t="s">
        <v>201</v>
      </c>
      <c r="U962" t="s">
        <v>197</v>
      </c>
      <c r="V962" t="s">
        <v>197</v>
      </c>
      <c r="W962" t="s">
        <v>197</v>
      </c>
      <c r="X962" t="s">
        <v>197</v>
      </c>
      <c r="Y962" t="s">
        <v>198</v>
      </c>
    </row>
    <row r="963">
      <c r="A963">
        <v>2986</v>
      </c>
      <c r="B963" t="s">
        <v>20</v>
      </c>
      <c r="C963" t="s">
        <v>114</v>
      </c>
      <c r="D963" t="s">
        <v>195</v>
      </c>
      <c r="E963" t="s">
        <v>196</v>
      </c>
      <c r="F963">
        <v>1.7</v>
      </c>
      <c r="G963" t="s">
        <v>197</v>
      </c>
      <c r="H963" t="s">
        <v>93</v>
      </c>
      <c r="I963">
        <v>526.8</v>
      </c>
      <c r="J963" t="s">
        <v>195</v>
      </c>
      <c r="K963" t="s">
        <v>195</v>
      </c>
      <c r="L963" t="s">
        <v>93</v>
      </c>
      <c r="M963">
        <v>530.3</v>
      </c>
      <c r="N963" t="s">
        <v>195</v>
      </c>
      <c r="O963" t="s">
        <v>93</v>
      </c>
      <c r="P963">
        <v>530.5</v>
      </c>
      <c r="Q963" t="s">
        <v>197</v>
      </c>
      <c r="R963" t="s">
        <v>49</v>
      </c>
      <c r="T963" t="s">
        <v>78</v>
      </c>
      <c r="U963" t="s">
        <v>197</v>
      </c>
      <c r="V963" t="s">
        <v>197</v>
      </c>
      <c r="W963" t="s">
        <v>197</v>
      </c>
      <c r="X963" t="s">
        <v>197</v>
      </c>
      <c r="Y963" t="s">
        <v>198</v>
      </c>
    </row>
    <row r="964">
      <c r="A964">
        <v>2993</v>
      </c>
      <c r="B964" t="s">
        <v>20</v>
      </c>
      <c r="C964" t="s">
        <v>114</v>
      </c>
      <c r="D964" t="s">
        <v>197</v>
      </c>
      <c r="E964" t="s">
        <v>201</v>
      </c>
      <c r="U964" t="s">
        <v>197</v>
      </c>
      <c r="V964" t="s">
        <v>197</v>
      </c>
      <c r="W964" t="s">
        <v>197</v>
      </c>
      <c r="X964" t="s">
        <v>197</v>
      </c>
      <c r="Y964" t="s">
        <v>198</v>
      </c>
    </row>
    <row r="965">
      <c r="A965">
        <v>2997</v>
      </c>
      <c r="B965" t="s">
        <v>20</v>
      </c>
      <c r="C965" t="s">
        <v>114</v>
      </c>
      <c r="D965" t="s">
        <v>197</v>
      </c>
      <c r="E965" t="s">
        <v>201</v>
      </c>
      <c r="U965" t="s">
        <v>197</v>
      </c>
      <c r="V965" t="s">
        <v>197</v>
      </c>
      <c r="W965" t="s">
        <v>197</v>
      </c>
      <c r="X965" t="s">
        <v>197</v>
      </c>
      <c r="Y965" t="s">
        <v>198</v>
      </c>
    </row>
    <row r="966">
      <c r="A966">
        <v>3001</v>
      </c>
      <c r="B966" t="s">
        <v>20</v>
      </c>
      <c r="C966" t="s">
        <v>114</v>
      </c>
      <c r="D966" t="s">
        <v>197</v>
      </c>
      <c r="E966" t="s">
        <v>201</v>
      </c>
      <c r="U966" t="s">
        <v>197</v>
      </c>
      <c r="V966" t="s">
        <v>197</v>
      </c>
      <c r="W966" t="s">
        <v>197</v>
      </c>
      <c r="X966" t="s">
        <v>197</v>
      </c>
      <c r="Y966" t="s">
        <v>198</v>
      </c>
    </row>
    <row r="967">
      <c r="A967">
        <v>3002</v>
      </c>
      <c r="B967" t="s">
        <v>20</v>
      </c>
      <c r="C967" t="s">
        <v>114</v>
      </c>
      <c r="D967" t="s">
        <v>195</v>
      </c>
      <c r="E967" t="s">
        <v>196</v>
      </c>
      <c r="F967">
        <v>0.5</v>
      </c>
      <c r="G967" t="s">
        <v>197</v>
      </c>
      <c r="H967" t="s">
        <v>93</v>
      </c>
      <c r="I967">
        <v>13.7</v>
      </c>
      <c r="J967" t="s">
        <v>195</v>
      </c>
      <c r="K967" t="s">
        <v>195</v>
      </c>
      <c r="L967" t="s">
        <v>93</v>
      </c>
      <c r="M967">
        <v>16.1</v>
      </c>
      <c r="N967" t="s">
        <v>195</v>
      </c>
      <c r="O967" t="s">
        <v>93</v>
      </c>
      <c r="P967">
        <v>16.3</v>
      </c>
      <c r="Q967" t="s">
        <v>195</v>
      </c>
      <c r="R967" t="s">
        <v>49</v>
      </c>
      <c r="T967" t="s">
        <v>78</v>
      </c>
      <c r="U967" t="s">
        <v>197</v>
      </c>
      <c r="V967" t="s">
        <v>197</v>
      </c>
      <c r="W967" t="s">
        <v>197</v>
      </c>
      <c r="X967" t="s">
        <v>197</v>
      </c>
      <c r="Y967" t="s">
        <v>198</v>
      </c>
    </row>
    <row r="968">
      <c r="A968">
        <v>3000</v>
      </c>
      <c r="B968" t="s">
        <v>20</v>
      </c>
      <c r="C968" t="s">
        <v>114</v>
      </c>
      <c r="D968" t="s">
        <v>197</v>
      </c>
      <c r="E968" t="s">
        <v>201</v>
      </c>
      <c r="U968" t="s">
        <v>197</v>
      </c>
      <c r="V968" t="s">
        <v>197</v>
      </c>
      <c r="W968" t="s">
        <v>197</v>
      </c>
      <c r="X968" t="s">
        <v>197</v>
      </c>
      <c r="Y968" t="s">
        <v>198</v>
      </c>
    </row>
    <row r="969">
      <c r="A969">
        <v>2988</v>
      </c>
      <c r="B969" t="s">
        <v>20</v>
      </c>
      <c r="C969" t="s">
        <v>114</v>
      </c>
      <c r="D969" t="s">
        <v>197</v>
      </c>
      <c r="E969" t="s">
        <v>201</v>
      </c>
      <c r="U969" t="s">
        <v>197</v>
      </c>
      <c r="V969" t="s">
        <v>197</v>
      </c>
      <c r="W969" t="s">
        <v>197</v>
      </c>
      <c r="X969" t="s">
        <v>197</v>
      </c>
      <c r="Y969" t="s">
        <v>198</v>
      </c>
    </row>
    <row r="970">
      <c r="A970">
        <v>2991</v>
      </c>
      <c r="B970" t="s">
        <v>199</v>
      </c>
      <c r="C970" t="s">
        <v>114</v>
      </c>
      <c r="D970" t="s">
        <v>195</v>
      </c>
      <c r="E970" t="s">
        <v>200</v>
      </c>
      <c r="F970">
        <v>1570.9</v>
      </c>
      <c r="G970" t="s">
        <v>195</v>
      </c>
      <c r="H970" t="s">
        <v>96</v>
      </c>
      <c r="I970">
        <v>6.1</v>
      </c>
      <c r="J970" t="s">
        <v>197</v>
      </c>
      <c r="K970" t="s">
        <v>197</v>
      </c>
      <c r="L970">
        <v/>
      </c>
      <c r="N970" t="s">
        <v>197</v>
      </c>
      <c r="R970" t="s">
        <v>53</v>
      </c>
      <c r="S970" t="s">
        <v>64</v>
      </c>
      <c r="T970" t="s">
        <v>76</v>
      </c>
      <c r="U970" t="s">
        <v>197</v>
      </c>
      <c r="V970" t="s">
        <v>197</v>
      </c>
      <c r="W970" t="s">
        <v>197</v>
      </c>
      <c r="X970" t="s">
        <v>197</v>
      </c>
      <c r="Y970" t="s">
        <v>198</v>
      </c>
    </row>
    <row r="971">
      <c r="A971">
        <v>2996</v>
      </c>
      <c r="B971" t="s">
        <v>199</v>
      </c>
      <c r="C971" t="s">
        <v>114</v>
      </c>
      <c r="D971" t="s">
        <v>195</v>
      </c>
      <c r="E971" t="s">
        <v>200</v>
      </c>
      <c r="F971">
        <v>240.8</v>
      </c>
      <c r="G971" t="s">
        <v>195</v>
      </c>
      <c r="H971" t="s">
        <v>93</v>
      </c>
      <c r="I971">
        <v>358.1</v>
      </c>
      <c r="J971" t="s">
        <v>197</v>
      </c>
      <c r="K971" t="s">
        <v>197</v>
      </c>
      <c r="L971">
        <v/>
      </c>
      <c r="N971" t="s">
        <v>197</v>
      </c>
      <c r="R971" t="s">
        <v>53</v>
      </c>
      <c r="S971" t="s">
        <v>64</v>
      </c>
      <c r="T971" t="s">
        <v>76</v>
      </c>
      <c r="U971" t="s">
        <v>197</v>
      </c>
      <c r="V971" t="s">
        <v>197</v>
      </c>
      <c r="W971" t="s">
        <v>197</v>
      </c>
      <c r="X971" t="s">
        <v>197</v>
      </c>
      <c r="Y971" t="s">
        <v>198</v>
      </c>
    </row>
    <row r="972">
      <c r="A972">
        <v>3004</v>
      </c>
      <c r="B972" t="s">
        <v>20</v>
      </c>
      <c r="C972" t="s">
        <v>114</v>
      </c>
      <c r="D972" t="s">
        <v>195</v>
      </c>
      <c r="E972" t="s">
        <v>196</v>
      </c>
      <c r="F972">
        <v>1.2</v>
      </c>
      <c r="G972" t="s">
        <v>197</v>
      </c>
      <c r="H972" t="s">
        <v>93</v>
      </c>
      <c r="I972">
        <v>9.199999999999999</v>
      </c>
      <c r="J972" t="s">
        <v>195</v>
      </c>
      <c r="K972" t="s">
        <v>195</v>
      </c>
      <c r="L972" t="s">
        <v>93</v>
      </c>
      <c r="M972">
        <v>12.6</v>
      </c>
      <c r="N972" t="s">
        <v>195</v>
      </c>
      <c r="O972" t="s">
        <v>93</v>
      </c>
      <c r="P972">
        <v>12.7</v>
      </c>
      <c r="Q972" t="s">
        <v>195</v>
      </c>
      <c r="R972" t="s">
        <v>49</v>
      </c>
      <c r="T972" t="s">
        <v>78</v>
      </c>
      <c r="U972" t="s">
        <v>197</v>
      </c>
      <c r="V972" t="s">
        <v>197</v>
      </c>
      <c r="W972" t="s">
        <v>197</v>
      </c>
      <c r="X972" t="s">
        <v>197</v>
      </c>
      <c r="Y972" t="s">
        <v>203</v>
      </c>
    </row>
    <row r="973">
      <c r="A973">
        <v>3007</v>
      </c>
      <c r="B973" t="s">
        <v>199</v>
      </c>
      <c r="C973" t="s">
        <v>114</v>
      </c>
      <c r="D973" t="s">
        <v>195</v>
      </c>
      <c r="E973" t="s">
        <v>200</v>
      </c>
      <c r="F973">
        <v>6065.1</v>
      </c>
      <c r="G973" t="s">
        <v>197</v>
      </c>
      <c r="H973" t="s">
        <v>93</v>
      </c>
      <c r="I973">
        <v>0.8</v>
      </c>
      <c r="J973" t="s">
        <v>197</v>
      </c>
      <c r="K973" t="s">
        <v>197</v>
      </c>
      <c r="L973">
        <v/>
      </c>
      <c r="N973" t="s">
        <v>197</v>
      </c>
      <c r="R973" t="s">
        <v>53</v>
      </c>
      <c r="S973" t="s">
        <v>64</v>
      </c>
      <c r="T973" t="s">
        <v>76</v>
      </c>
      <c r="U973" t="s">
        <v>197</v>
      </c>
      <c r="V973" t="s">
        <v>197</v>
      </c>
      <c r="W973" t="s">
        <v>197</v>
      </c>
      <c r="X973" t="s">
        <v>197</v>
      </c>
      <c r="Y973" t="s">
        <v>198</v>
      </c>
    </row>
    <row r="974">
      <c r="A974">
        <v>3005</v>
      </c>
      <c r="B974" t="s">
        <v>199</v>
      </c>
      <c r="C974" t="s">
        <v>114</v>
      </c>
      <c r="D974" t="s">
        <v>197</v>
      </c>
      <c r="E974" t="s">
        <v>201</v>
      </c>
      <c r="U974" t="s">
        <v>197</v>
      </c>
      <c r="V974" t="s">
        <v>197</v>
      </c>
      <c r="W974" t="s">
        <v>197</v>
      </c>
      <c r="X974" t="s">
        <v>197</v>
      </c>
      <c r="Y974" t="s">
        <v>198</v>
      </c>
    </row>
    <row r="975">
      <c r="A975">
        <v>3010</v>
      </c>
      <c r="B975" t="s">
        <v>20</v>
      </c>
      <c r="C975" t="s">
        <v>114</v>
      </c>
      <c r="D975" t="s">
        <v>195</v>
      </c>
      <c r="E975" t="s">
        <v>196</v>
      </c>
      <c r="F975">
        <v>2.1</v>
      </c>
      <c r="G975" t="s">
        <v>197</v>
      </c>
      <c r="H975" t="s">
        <v>93</v>
      </c>
      <c r="I975">
        <v>3.6</v>
      </c>
      <c r="J975" t="s">
        <v>195</v>
      </c>
      <c r="K975" t="s">
        <v>195</v>
      </c>
      <c r="L975" t="s">
        <v>93</v>
      </c>
      <c r="M975">
        <v>7.5</v>
      </c>
      <c r="N975" t="s">
        <v>195</v>
      </c>
      <c r="O975" t="s">
        <v>93</v>
      </c>
      <c r="P975">
        <v>8</v>
      </c>
      <c r="Q975" t="s">
        <v>195</v>
      </c>
      <c r="R975" t="s">
        <v>49</v>
      </c>
      <c r="T975" t="s">
        <v>76</v>
      </c>
      <c r="U975" t="s">
        <v>197</v>
      </c>
      <c r="V975" t="s">
        <v>197</v>
      </c>
      <c r="W975" t="s">
        <v>197</v>
      </c>
      <c r="X975" t="s">
        <v>197</v>
      </c>
      <c r="Y975" t="s">
        <v>198</v>
      </c>
    </row>
    <row r="976">
      <c r="A976">
        <v>3012</v>
      </c>
      <c r="B976" t="s">
        <v>199</v>
      </c>
      <c r="C976" t="s">
        <v>114</v>
      </c>
      <c r="D976" t="s">
        <v>197</v>
      </c>
      <c r="E976" t="s">
        <v>201</v>
      </c>
      <c r="U976" t="s">
        <v>197</v>
      </c>
      <c r="V976" t="s">
        <v>197</v>
      </c>
      <c r="W976" t="s">
        <v>197</v>
      </c>
      <c r="X976" t="s">
        <v>197</v>
      </c>
      <c r="Y976" t="s">
        <v>198</v>
      </c>
    </row>
    <row r="977">
      <c r="A977">
        <v>3016</v>
      </c>
      <c r="B977" t="s">
        <v>194</v>
      </c>
      <c r="C977" t="s">
        <v>114</v>
      </c>
      <c r="D977" t="s">
        <v>197</v>
      </c>
      <c r="E977" t="s">
        <v>201</v>
      </c>
      <c r="U977" t="s">
        <v>197</v>
      </c>
      <c r="V977" t="s">
        <v>197</v>
      </c>
      <c r="W977" t="s">
        <v>197</v>
      </c>
      <c r="X977" t="s">
        <v>197</v>
      </c>
      <c r="Y977" t="s">
        <v>198</v>
      </c>
    </row>
    <row r="978">
      <c r="A978">
        <v>3014</v>
      </c>
      <c r="B978" t="s">
        <v>20</v>
      </c>
      <c r="C978" t="s">
        <v>114</v>
      </c>
      <c r="D978" t="s">
        <v>197</v>
      </c>
      <c r="E978" t="s">
        <v>201</v>
      </c>
      <c r="U978" t="s">
        <v>197</v>
      </c>
      <c r="V978" t="s">
        <v>197</v>
      </c>
      <c r="W978" t="s">
        <v>197</v>
      </c>
      <c r="X978" t="s">
        <v>197</v>
      </c>
      <c r="Y978" t="s">
        <v>198</v>
      </c>
    </row>
    <row r="979">
      <c r="A979">
        <v>3018</v>
      </c>
      <c r="B979" t="s">
        <v>20</v>
      </c>
      <c r="C979" t="s">
        <v>114</v>
      </c>
      <c r="D979" t="s">
        <v>197</v>
      </c>
      <c r="E979" t="s">
        <v>201</v>
      </c>
      <c r="U979" t="s">
        <v>197</v>
      </c>
      <c r="V979" t="s">
        <v>197</v>
      </c>
      <c r="W979" t="s">
        <v>197</v>
      </c>
      <c r="X979" t="s">
        <v>197</v>
      </c>
      <c r="Y979" t="s">
        <v>198</v>
      </c>
    </row>
    <row r="980">
      <c r="A980">
        <v>3026</v>
      </c>
      <c r="B980" t="s">
        <v>194</v>
      </c>
      <c r="C980" t="s">
        <v>114</v>
      </c>
      <c r="D980" t="s">
        <v>195</v>
      </c>
      <c r="E980" t="s">
        <v>200</v>
      </c>
      <c r="F980">
        <v>247.5</v>
      </c>
      <c r="G980" t="s">
        <v>195</v>
      </c>
      <c r="H980" t="s">
        <v>93</v>
      </c>
      <c r="I980">
        <v>1</v>
      </c>
      <c r="J980" t="s">
        <v>197</v>
      </c>
      <c r="K980" t="s">
        <v>197</v>
      </c>
      <c r="L980">
        <v/>
      </c>
      <c r="N980" t="s">
        <v>197</v>
      </c>
      <c r="R980" t="s">
        <v>53</v>
      </c>
      <c r="S980" t="s">
        <v>64</v>
      </c>
      <c r="T980" t="s">
        <v>76</v>
      </c>
      <c r="U980" t="s">
        <v>197</v>
      </c>
      <c r="V980" t="s">
        <v>197</v>
      </c>
      <c r="W980" t="s">
        <v>197</v>
      </c>
      <c r="X980" t="s">
        <v>197</v>
      </c>
      <c r="Y980" t="s">
        <v>198</v>
      </c>
    </row>
    <row r="981">
      <c r="A981">
        <v>3024</v>
      </c>
      <c r="B981" t="s">
        <v>20</v>
      </c>
      <c r="C981" t="s">
        <v>114</v>
      </c>
      <c r="D981" t="s">
        <v>197</v>
      </c>
      <c r="E981" t="s">
        <v>201</v>
      </c>
      <c r="U981" t="s">
        <v>197</v>
      </c>
      <c r="V981" t="s">
        <v>197</v>
      </c>
      <c r="W981" t="s">
        <v>197</v>
      </c>
      <c r="X981" t="s">
        <v>197</v>
      </c>
      <c r="Y981" t="s">
        <v>198</v>
      </c>
    </row>
    <row r="982">
      <c r="A982">
        <v>3028</v>
      </c>
      <c r="B982" t="s">
        <v>20</v>
      </c>
      <c r="C982" t="s">
        <v>114</v>
      </c>
      <c r="D982" t="s">
        <v>195</v>
      </c>
      <c r="E982" t="s">
        <v>196</v>
      </c>
      <c r="F982">
        <v>0.7</v>
      </c>
      <c r="G982" t="s">
        <v>197</v>
      </c>
      <c r="H982" t="s">
        <v>96</v>
      </c>
      <c r="I982">
        <v>5.5</v>
      </c>
      <c r="J982" t="s">
        <v>195</v>
      </c>
      <c r="K982" t="s">
        <v>195</v>
      </c>
      <c r="L982" t="s">
        <v>96</v>
      </c>
      <c r="M982">
        <v>15.2</v>
      </c>
      <c r="N982" t="s">
        <v>197</v>
      </c>
      <c r="R982" t="s">
        <v>52</v>
      </c>
      <c r="S982" t="s">
        <v>68</v>
      </c>
      <c r="T982" t="s">
        <v>76</v>
      </c>
      <c r="U982" t="s">
        <v>197</v>
      </c>
      <c r="V982" t="s">
        <v>197</v>
      </c>
      <c r="W982" t="s">
        <v>197</v>
      </c>
      <c r="X982" t="s">
        <v>197</v>
      </c>
      <c r="Y982" t="s">
        <v>119</v>
      </c>
    </row>
    <row r="983">
      <c r="A983">
        <v>3030</v>
      </c>
      <c r="B983" t="s">
        <v>194</v>
      </c>
      <c r="C983" t="s">
        <v>114</v>
      </c>
      <c r="D983" t="s">
        <v>197</v>
      </c>
      <c r="E983" t="s">
        <v>201</v>
      </c>
      <c r="U983" t="s">
        <v>197</v>
      </c>
      <c r="V983" t="s">
        <v>197</v>
      </c>
      <c r="W983" t="s">
        <v>197</v>
      </c>
      <c r="X983" t="s">
        <v>197</v>
      </c>
      <c r="Y983" t="s">
        <v>198</v>
      </c>
    </row>
    <row r="984">
      <c r="A984">
        <v>3045</v>
      </c>
      <c r="B984" t="s">
        <v>20</v>
      </c>
      <c r="C984" t="s">
        <v>114</v>
      </c>
      <c r="D984" t="s">
        <v>197</v>
      </c>
      <c r="E984" t="s">
        <v>201</v>
      </c>
      <c r="U984" t="s">
        <v>197</v>
      </c>
      <c r="V984" t="s">
        <v>197</v>
      </c>
      <c r="W984" t="s">
        <v>197</v>
      </c>
      <c r="X984" t="s">
        <v>197</v>
      </c>
      <c r="Y984" t="s">
        <v>198</v>
      </c>
    </row>
    <row r="985">
      <c r="A985">
        <v>3048</v>
      </c>
      <c r="B985" t="s">
        <v>20</v>
      </c>
      <c r="C985" t="s">
        <v>114</v>
      </c>
      <c r="D985" t="s">
        <v>197</v>
      </c>
      <c r="E985" t="s">
        <v>201</v>
      </c>
      <c r="U985" t="s">
        <v>197</v>
      </c>
      <c r="V985" t="s">
        <v>197</v>
      </c>
      <c r="W985" t="s">
        <v>197</v>
      </c>
      <c r="X985" t="s">
        <v>197</v>
      </c>
      <c r="Y985" t="s">
        <v>198</v>
      </c>
    </row>
    <row r="986">
      <c r="A986">
        <v>3054</v>
      </c>
      <c r="B986" t="s">
        <v>20</v>
      </c>
      <c r="C986" t="s">
        <v>114</v>
      </c>
      <c r="D986" t="s">
        <v>197</v>
      </c>
      <c r="E986" t="s">
        <v>201</v>
      </c>
      <c r="U986" t="s">
        <v>197</v>
      </c>
      <c r="V986" t="s">
        <v>197</v>
      </c>
      <c r="W986" t="s">
        <v>197</v>
      </c>
      <c r="X986" t="s">
        <v>197</v>
      </c>
      <c r="Y986" t="s">
        <v>198</v>
      </c>
    </row>
    <row r="987">
      <c r="A987">
        <v>3057</v>
      </c>
      <c r="B987" t="s">
        <v>194</v>
      </c>
      <c r="C987" t="s">
        <v>114</v>
      </c>
      <c r="D987" t="s">
        <v>195</v>
      </c>
      <c r="E987" t="s">
        <v>196</v>
      </c>
      <c r="F987">
        <v>0.8</v>
      </c>
      <c r="G987" t="s">
        <v>197</v>
      </c>
      <c r="H987" t="s">
        <v>94</v>
      </c>
      <c r="I987">
        <v>1.5</v>
      </c>
      <c r="J987" t="s">
        <v>195</v>
      </c>
      <c r="K987" t="s">
        <v>195</v>
      </c>
      <c r="L987" t="s">
        <v>94</v>
      </c>
      <c r="M987">
        <v>8.199999999999999</v>
      </c>
      <c r="N987" t="s">
        <v>195</v>
      </c>
      <c r="O987" t="s">
        <v>94</v>
      </c>
      <c r="P987">
        <v>7.5</v>
      </c>
      <c r="Q987" t="s">
        <v>195</v>
      </c>
      <c r="R987" t="s">
        <v>50</v>
      </c>
      <c r="T987" t="s">
        <v>76</v>
      </c>
      <c r="U987" t="s">
        <v>197</v>
      </c>
      <c r="V987" t="s">
        <v>197</v>
      </c>
      <c r="W987" t="s">
        <v>197</v>
      </c>
      <c r="X987" t="s">
        <v>197</v>
      </c>
      <c r="Y987" t="s">
        <v>198</v>
      </c>
    </row>
    <row r="988">
      <c r="A988">
        <v>3061</v>
      </c>
      <c r="B988" t="s">
        <v>194</v>
      </c>
      <c r="C988" t="s">
        <v>114</v>
      </c>
      <c r="D988" t="s">
        <v>195</v>
      </c>
      <c r="E988" t="s">
        <v>200</v>
      </c>
      <c r="F988">
        <v>4016.6</v>
      </c>
      <c r="G988" t="s">
        <v>197</v>
      </c>
      <c r="H988" t="s">
        <v>93</v>
      </c>
      <c r="I988">
        <v>0.4</v>
      </c>
      <c r="J988" t="s">
        <v>197</v>
      </c>
      <c r="K988" t="s">
        <v>197</v>
      </c>
      <c r="L988">
        <v/>
      </c>
      <c r="N988" t="s">
        <v>197</v>
      </c>
      <c r="R988" t="s">
        <v>53</v>
      </c>
      <c r="S988" t="s">
        <v>64</v>
      </c>
      <c r="T988" t="s">
        <v>76</v>
      </c>
      <c r="U988" t="s">
        <v>197</v>
      </c>
      <c r="V988" t="s">
        <v>197</v>
      </c>
      <c r="W988" t="s">
        <v>197</v>
      </c>
      <c r="X988" t="s">
        <v>197</v>
      </c>
      <c r="Y988" t="s">
        <v>198</v>
      </c>
    </row>
    <row r="989">
      <c r="A989">
        <v>3060</v>
      </c>
      <c r="B989" t="s">
        <v>20</v>
      </c>
      <c r="C989" t="s">
        <v>114</v>
      </c>
      <c r="D989" t="s">
        <v>197</v>
      </c>
      <c r="E989" t="s">
        <v>201</v>
      </c>
      <c r="U989" t="s">
        <v>197</v>
      </c>
      <c r="V989" t="s">
        <v>197</v>
      </c>
      <c r="W989" t="s">
        <v>197</v>
      </c>
      <c r="X989" t="s">
        <v>197</v>
      </c>
      <c r="Y989" t="s">
        <v>202</v>
      </c>
    </row>
    <row r="990">
      <c r="A990">
        <v>3064</v>
      </c>
      <c r="B990" t="s">
        <v>20</v>
      </c>
      <c r="C990" t="s">
        <v>114</v>
      </c>
      <c r="D990" t="s">
        <v>197</v>
      </c>
      <c r="E990" t="s">
        <v>201</v>
      </c>
      <c r="U990" t="s">
        <v>197</v>
      </c>
      <c r="V990" t="s">
        <v>197</v>
      </c>
      <c r="W990" t="s">
        <v>197</v>
      </c>
      <c r="X990" t="s">
        <v>197</v>
      </c>
      <c r="Y990" t="s">
        <v>198</v>
      </c>
    </row>
    <row r="991">
      <c r="A991">
        <v>3070</v>
      </c>
      <c r="B991" t="s">
        <v>20</v>
      </c>
      <c r="C991" t="s">
        <v>114</v>
      </c>
      <c r="D991" t="s">
        <v>197</v>
      </c>
      <c r="E991" t="s">
        <v>201</v>
      </c>
      <c r="U991" t="s">
        <v>197</v>
      </c>
      <c r="V991" t="s">
        <v>197</v>
      </c>
      <c r="W991" t="s">
        <v>197</v>
      </c>
      <c r="X991" t="s">
        <v>197</v>
      </c>
      <c r="Y991" t="s">
        <v>198</v>
      </c>
    </row>
    <row r="992">
      <c r="A992">
        <v>3071</v>
      </c>
      <c r="B992" t="s">
        <v>20</v>
      </c>
      <c r="C992" t="s">
        <v>114</v>
      </c>
      <c r="D992" t="s">
        <v>197</v>
      </c>
      <c r="E992" t="s">
        <v>201</v>
      </c>
      <c r="U992" t="s">
        <v>197</v>
      </c>
      <c r="V992" t="s">
        <v>197</v>
      </c>
      <c r="W992" t="s">
        <v>197</v>
      </c>
      <c r="X992" t="s">
        <v>197</v>
      </c>
      <c r="Y992" t="s">
        <v>198</v>
      </c>
    </row>
    <row r="993">
      <c r="A993">
        <v>3078</v>
      </c>
      <c r="B993" t="s">
        <v>199</v>
      </c>
      <c r="C993" t="s">
        <v>114</v>
      </c>
      <c r="D993" t="s">
        <v>197</v>
      </c>
      <c r="E993" t="s">
        <v>201</v>
      </c>
      <c r="U993" t="s">
        <v>197</v>
      </c>
      <c r="V993" t="s">
        <v>197</v>
      </c>
      <c r="W993" t="s">
        <v>197</v>
      </c>
      <c r="X993" t="s">
        <v>197</v>
      </c>
      <c r="Y993" t="s">
        <v>198</v>
      </c>
    </row>
    <row r="994">
      <c r="A994">
        <v>3073</v>
      </c>
      <c r="B994" t="s">
        <v>20</v>
      </c>
      <c r="C994" t="s">
        <v>114</v>
      </c>
      <c r="D994" t="s">
        <v>197</v>
      </c>
      <c r="E994" t="s">
        <v>201</v>
      </c>
      <c r="U994" t="s">
        <v>197</v>
      </c>
      <c r="V994" t="s">
        <v>197</v>
      </c>
      <c r="W994" t="s">
        <v>197</v>
      </c>
      <c r="X994" t="s">
        <v>197</v>
      </c>
      <c r="Y994" t="s">
        <v>202</v>
      </c>
    </row>
    <row r="995">
      <c r="A995">
        <v>3077</v>
      </c>
      <c r="B995" t="s">
        <v>194</v>
      </c>
      <c r="C995" t="s">
        <v>114</v>
      </c>
      <c r="D995" t="s">
        <v>197</v>
      </c>
      <c r="E995" t="s">
        <v>201</v>
      </c>
      <c r="U995" t="s">
        <v>197</v>
      </c>
      <c r="V995" t="s">
        <v>197</v>
      </c>
      <c r="W995" t="s">
        <v>197</v>
      </c>
      <c r="X995" t="s">
        <v>197</v>
      </c>
      <c r="Y995" t="s">
        <v>209</v>
      </c>
    </row>
    <row r="996">
      <c r="A996">
        <v>3079</v>
      </c>
      <c r="B996" t="s">
        <v>194</v>
      </c>
      <c r="C996" t="s">
        <v>114</v>
      </c>
      <c r="D996" t="s">
        <v>197</v>
      </c>
      <c r="E996" t="s">
        <v>201</v>
      </c>
      <c r="U996" t="s">
        <v>197</v>
      </c>
      <c r="V996" t="s">
        <v>197</v>
      </c>
      <c r="W996" t="s">
        <v>197</v>
      </c>
      <c r="X996" t="s">
        <v>197</v>
      </c>
      <c r="Y996" t="s">
        <v>209</v>
      </c>
    </row>
    <row r="997">
      <c r="A997">
        <v>3090</v>
      </c>
      <c r="B997" t="s">
        <v>20</v>
      </c>
      <c r="C997" t="s">
        <v>114</v>
      </c>
      <c r="D997" t="s">
        <v>197</v>
      </c>
      <c r="E997" t="s">
        <v>201</v>
      </c>
      <c r="U997" t="s">
        <v>197</v>
      </c>
      <c r="V997" t="s">
        <v>197</v>
      </c>
      <c r="W997" t="s">
        <v>197</v>
      </c>
      <c r="X997" t="s">
        <v>197</v>
      </c>
      <c r="Y997" t="s">
        <v>198</v>
      </c>
    </row>
    <row r="998">
      <c r="A998">
        <v>3089</v>
      </c>
      <c r="B998" t="s">
        <v>20</v>
      </c>
      <c r="C998" t="s">
        <v>114</v>
      </c>
      <c r="D998" t="s">
        <v>195</v>
      </c>
      <c r="E998" t="s">
        <v>196</v>
      </c>
      <c r="F998">
        <v>91.2</v>
      </c>
      <c r="G998" t="s">
        <v>197</v>
      </c>
      <c r="H998" t="s">
        <v>93</v>
      </c>
      <c r="I998">
        <v>2.4</v>
      </c>
      <c r="J998" t="s">
        <v>195</v>
      </c>
      <c r="K998" t="s">
        <v>195</v>
      </c>
      <c r="L998" t="s">
        <v>93</v>
      </c>
      <c r="M998">
        <v>4.6</v>
      </c>
      <c r="N998" t="s">
        <v>195</v>
      </c>
      <c r="O998" t="s">
        <v>93</v>
      </c>
      <c r="P998">
        <v>5.1</v>
      </c>
      <c r="Q998" t="s">
        <v>195</v>
      </c>
      <c r="R998" t="s">
        <v>49</v>
      </c>
      <c r="T998" t="s">
        <v>76</v>
      </c>
      <c r="U998" t="s">
        <v>197</v>
      </c>
      <c r="V998" t="s">
        <v>197</v>
      </c>
      <c r="W998" t="s">
        <v>197</v>
      </c>
      <c r="X998" t="s">
        <v>197</v>
      </c>
      <c r="Y998" t="s">
        <v>198</v>
      </c>
    </row>
    <row r="999">
      <c r="A999">
        <v>3092</v>
      </c>
      <c r="B999" t="s">
        <v>20</v>
      </c>
      <c r="C999" t="s">
        <v>114</v>
      </c>
      <c r="D999" t="s">
        <v>197</v>
      </c>
      <c r="E999" t="s">
        <v>201</v>
      </c>
      <c r="U999" t="s">
        <v>197</v>
      </c>
      <c r="V999" t="s">
        <v>197</v>
      </c>
      <c r="W999" t="s">
        <v>197</v>
      </c>
      <c r="X999" t="s">
        <v>197</v>
      </c>
      <c r="Y999" t="s">
        <v>198</v>
      </c>
    </row>
    <row r="1000">
      <c r="A1000">
        <v>3094</v>
      </c>
      <c r="B1000" t="s">
        <v>20</v>
      </c>
      <c r="C1000" t="s">
        <v>114</v>
      </c>
      <c r="D1000" t="s">
        <v>197</v>
      </c>
      <c r="E1000" t="s">
        <v>201</v>
      </c>
      <c r="U1000" t="s">
        <v>197</v>
      </c>
      <c r="V1000" t="s">
        <v>197</v>
      </c>
      <c r="W1000" t="s">
        <v>197</v>
      </c>
      <c r="X1000" t="s">
        <v>197</v>
      </c>
      <c r="Y1000" t="s">
        <v>198</v>
      </c>
    </row>
    <row r="1001">
      <c r="A1001">
        <v>3095</v>
      </c>
      <c r="B1001" t="s">
        <v>20</v>
      </c>
      <c r="C1001" t="s">
        <v>114</v>
      </c>
      <c r="D1001" t="s">
        <v>197</v>
      </c>
      <c r="E1001" t="s">
        <v>201</v>
      </c>
      <c r="U1001" t="s">
        <v>197</v>
      </c>
      <c r="V1001" t="s">
        <v>197</v>
      </c>
      <c r="W1001" t="s">
        <v>197</v>
      </c>
      <c r="X1001" t="s">
        <v>197</v>
      </c>
      <c r="Y1001" t="s">
        <v>198</v>
      </c>
    </row>
    <row r="1002">
      <c r="A1002">
        <v>3106</v>
      </c>
      <c r="B1002" t="s">
        <v>194</v>
      </c>
      <c r="C1002" t="s">
        <v>114</v>
      </c>
      <c r="D1002" t="s">
        <v>195</v>
      </c>
      <c r="E1002" t="s">
        <v>196</v>
      </c>
      <c r="F1002">
        <v>2.3</v>
      </c>
      <c r="G1002" t="s">
        <v>197</v>
      </c>
      <c r="H1002" t="s">
        <v>93</v>
      </c>
      <c r="I1002">
        <v>2</v>
      </c>
      <c r="J1002" t="s">
        <v>195</v>
      </c>
      <c r="K1002" t="s">
        <v>195</v>
      </c>
      <c r="L1002" t="s">
        <v>93</v>
      </c>
      <c r="M1002">
        <v>6.3</v>
      </c>
      <c r="N1002" t="s">
        <v>195</v>
      </c>
      <c r="O1002" t="s">
        <v>93</v>
      </c>
      <c r="P1002">
        <v>6.5</v>
      </c>
      <c r="Q1002" t="s">
        <v>195</v>
      </c>
      <c r="R1002" t="s">
        <v>49</v>
      </c>
      <c r="T1002" t="s">
        <v>76</v>
      </c>
      <c r="U1002" t="s">
        <v>197</v>
      </c>
      <c r="V1002" t="s">
        <v>197</v>
      </c>
      <c r="W1002" t="s">
        <v>197</v>
      </c>
      <c r="X1002" t="s">
        <v>197</v>
      </c>
      <c r="Y1002" t="s">
        <v>198</v>
      </c>
    </row>
    <row r="1003">
      <c r="A1003">
        <v>3100</v>
      </c>
      <c r="B1003" t="s">
        <v>20</v>
      </c>
      <c r="C1003" t="s">
        <v>114</v>
      </c>
      <c r="D1003" t="s">
        <v>197</v>
      </c>
      <c r="E1003" t="s">
        <v>201</v>
      </c>
      <c r="U1003" t="s">
        <v>197</v>
      </c>
      <c r="V1003" t="s">
        <v>197</v>
      </c>
      <c r="W1003" t="s">
        <v>197</v>
      </c>
      <c r="X1003" t="s">
        <v>197</v>
      </c>
      <c r="Y1003" t="s">
        <v>202</v>
      </c>
    </row>
    <row r="1004">
      <c r="A1004">
        <v>3108</v>
      </c>
      <c r="B1004" t="s">
        <v>20</v>
      </c>
      <c r="C1004" t="s">
        <v>114</v>
      </c>
      <c r="D1004" t="s">
        <v>195</v>
      </c>
      <c r="E1004" t="s">
        <v>196</v>
      </c>
      <c r="F1004">
        <v>5.1</v>
      </c>
      <c r="G1004" t="s">
        <v>197</v>
      </c>
      <c r="H1004" t="s">
        <v>93</v>
      </c>
      <c r="I1004">
        <v>4.1</v>
      </c>
      <c r="J1004" t="s">
        <v>197</v>
      </c>
      <c r="K1004" t="s">
        <v>195</v>
      </c>
      <c r="L1004" t="s">
        <v>93</v>
      </c>
      <c r="M1004">
        <v>4.1</v>
      </c>
      <c r="N1004" t="s">
        <v>197</v>
      </c>
      <c r="R1004" t="s">
        <v>52</v>
      </c>
      <c r="S1004" t="s">
        <v>64</v>
      </c>
      <c r="T1004" t="s">
        <v>76</v>
      </c>
      <c r="U1004" t="s">
        <v>197</v>
      </c>
      <c r="V1004" t="s">
        <v>197</v>
      </c>
      <c r="W1004" t="s">
        <v>197</v>
      </c>
      <c r="X1004" t="s">
        <v>197</v>
      </c>
      <c r="Y1004" t="s">
        <v>198</v>
      </c>
    </row>
    <row r="1005">
      <c r="A1005">
        <v>3112</v>
      </c>
      <c r="B1005" t="s">
        <v>194</v>
      </c>
      <c r="C1005" t="s">
        <v>114</v>
      </c>
      <c r="D1005" t="s">
        <v>197</v>
      </c>
      <c r="E1005" t="s">
        <v>201</v>
      </c>
      <c r="U1005" t="s">
        <v>197</v>
      </c>
      <c r="V1005" t="s">
        <v>197</v>
      </c>
      <c r="W1005" t="s">
        <v>197</v>
      </c>
      <c r="X1005" t="s">
        <v>197</v>
      </c>
      <c r="Y1005" t="s">
        <v>198</v>
      </c>
    </row>
    <row r="1006">
      <c r="A1006">
        <v>3111</v>
      </c>
      <c r="B1006" t="s">
        <v>20</v>
      </c>
      <c r="C1006" t="s">
        <v>114</v>
      </c>
      <c r="D1006" t="s">
        <v>197</v>
      </c>
      <c r="E1006" t="s">
        <v>201</v>
      </c>
      <c r="U1006" t="s">
        <v>197</v>
      </c>
      <c r="V1006" t="s">
        <v>197</v>
      </c>
      <c r="W1006" t="s">
        <v>197</v>
      </c>
      <c r="X1006" t="s">
        <v>197</v>
      </c>
      <c r="Y1006" t="s">
        <v>198</v>
      </c>
    </row>
    <row r="1007">
      <c r="A1007">
        <v>3118</v>
      </c>
      <c r="B1007" t="s">
        <v>20</v>
      </c>
      <c r="C1007" t="s">
        <v>114</v>
      </c>
      <c r="D1007" t="s">
        <v>195</v>
      </c>
      <c r="E1007" t="s">
        <v>196</v>
      </c>
      <c r="F1007">
        <v>5.2</v>
      </c>
      <c r="G1007" t="s">
        <v>195</v>
      </c>
      <c r="H1007" t="s">
        <v>93</v>
      </c>
      <c r="I1007">
        <v>0.5</v>
      </c>
      <c r="J1007" t="s">
        <v>197</v>
      </c>
      <c r="K1007" t="s">
        <v>197</v>
      </c>
      <c r="L1007">
        <v/>
      </c>
      <c r="N1007" t="s">
        <v>197</v>
      </c>
      <c r="R1007" t="s">
        <v>53</v>
      </c>
      <c r="S1007" t="s">
        <v>64</v>
      </c>
      <c r="T1007" t="s">
        <v>76</v>
      </c>
      <c r="U1007" t="s">
        <v>197</v>
      </c>
      <c r="V1007" t="s">
        <v>197</v>
      </c>
      <c r="W1007" t="s">
        <v>197</v>
      </c>
      <c r="X1007" t="s">
        <v>197</v>
      </c>
      <c r="Y1007" t="s">
        <v>198</v>
      </c>
    </row>
    <row r="1008">
      <c r="A1008">
        <v>3122</v>
      </c>
      <c r="B1008" t="s">
        <v>20</v>
      </c>
      <c r="C1008" t="s">
        <v>114</v>
      </c>
      <c r="D1008" t="s">
        <v>197</v>
      </c>
      <c r="E1008" t="s">
        <v>201</v>
      </c>
      <c r="U1008" t="s">
        <v>197</v>
      </c>
      <c r="V1008" t="s">
        <v>197</v>
      </c>
      <c r="W1008" t="s">
        <v>197</v>
      </c>
      <c r="X1008" t="s">
        <v>197</v>
      </c>
      <c r="Y1008" t="s">
        <v>198</v>
      </c>
    </row>
    <row r="1009">
      <c r="A1009">
        <v>3119</v>
      </c>
      <c r="B1009" t="s">
        <v>20</v>
      </c>
      <c r="C1009" t="s">
        <v>114</v>
      </c>
      <c r="D1009" t="s">
        <v>197</v>
      </c>
      <c r="E1009" t="s">
        <v>201</v>
      </c>
      <c r="U1009" t="s">
        <v>197</v>
      </c>
      <c r="V1009" t="s">
        <v>197</v>
      </c>
      <c r="W1009" t="s">
        <v>197</v>
      </c>
      <c r="X1009" t="s">
        <v>197</v>
      </c>
      <c r="Y1009" t="s">
        <v>198</v>
      </c>
    </row>
    <row r="1010">
      <c r="A1010">
        <v>3123</v>
      </c>
      <c r="B1010" t="s">
        <v>20</v>
      </c>
      <c r="C1010" t="s">
        <v>114</v>
      </c>
      <c r="D1010" t="s">
        <v>195</v>
      </c>
      <c r="E1010" t="s">
        <v>196</v>
      </c>
      <c r="F1010">
        <v>0.3</v>
      </c>
      <c r="G1010" t="s">
        <v>197</v>
      </c>
      <c r="H1010" t="s">
        <v>93</v>
      </c>
      <c r="I1010">
        <v>0.3</v>
      </c>
      <c r="J1010" t="s">
        <v>195</v>
      </c>
      <c r="K1010" t="s">
        <v>195</v>
      </c>
      <c r="L1010" t="s">
        <v>93</v>
      </c>
      <c r="M1010">
        <v>4.2</v>
      </c>
      <c r="N1010" t="s">
        <v>195</v>
      </c>
      <c r="O1010" t="s">
        <v>93</v>
      </c>
      <c r="P1010">
        <v>4.4</v>
      </c>
      <c r="Q1010" t="s">
        <v>195</v>
      </c>
      <c r="R1010" t="s">
        <v>49</v>
      </c>
      <c r="T1010" t="s">
        <v>76</v>
      </c>
      <c r="U1010" t="s">
        <v>197</v>
      </c>
      <c r="V1010" t="s">
        <v>197</v>
      </c>
      <c r="W1010" t="s">
        <v>197</v>
      </c>
      <c r="X1010" t="s">
        <v>197</v>
      </c>
      <c r="Y1010" t="s">
        <v>198</v>
      </c>
    </row>
    <row r="1011">
      <c r="A1011">
        <v>3127</v>
      </c>
      <c r="B1011" t="s">
        <v>20</v>
      </c>
      <c r="C1011" t="s">
        <v>114</v>
      </c>
      <c r="D1011" t="s">
        <v>195</v>
      </c>
      <c r="E1011" t="s">
        <v>196</v>
      </c>
      <c r="F1011">
        <v>1.4</v>
      </c>
      <c r="G1011" t="s">
        <v>197</v>
      </c>
      <c r="H1011" t="s">
        <v>93</v>
      </c>
      <c r="I1011">
        <v>0.3</v>
      </c>
      <c r="J1011" t="s">
        <v>195</v>
      </c>
      <c r="K1011" t="s">
        <v>195</v>
      </c>
      <c r="L1011" t="s">
        <v>93</v>
      </c>
      <c r="M1011">
        <v>3.5</v>
      </c>
      <c r="N1011" t="s">
        <v>195</v>
      </c>
      <c r="O1011" t="s">
        <v>93</v>
      </c>
      <c r="P1011">
        <v>3.8</v>
      </c>
      <c r="Q1011" t="s">
        <v>195</v>
      </c>
      <c r="R1011" t="s">
        <v>49</v>
      </c>
      <c r="T1011" t="s">
        <v>76</v>
      </c>
      <c r="U1011" t="s">
        <v>197</v>
      </c>
      <c r="V1011" t="s">
        <v>197</v>
      </c>
      <c r="W1011" t="s">
        <v>197</v>
      </c>
      <c r="X1011" t="s">
        <v>197</v>
      </c>
      <c r="Y1011" t="s">
        <v>198</v>
      </c>
    </row>
    <row r="1012">
      <c r="A1012">
        <v>3126</v>
      </c>
      <c r="B1012" t="s">
        <v>20</v>
      </c>
      <c r="C1012" t="s">
        <v>114</v>
      </c>
      <c r="D1012" t="s">
        <v>197</v>
      </c>
      <c r="E1012" t="s">
        <v>201</v>
      </c>
      <c r="U1012" t="s">
        <v>197</v>
      </c>
      <c r="V1012" t="s">
        <v>197</v>
      </c>
      <c r="W1012" t="s">
        <v>197</v>
      </c>
      <c r="X1012" t="s">
        <v>197</v>
      </c>
      <c r="Y1012" t="s">
        <v>198</v>
      </c>
    </row>
    <row r="1013">
      <c r="A1013">
        <v>3133</v>
      </c>
      <c r="B1013" t="s">
        <v>194</v>
      </c>
      <c r="C1013" t="s">
        <v>114</v>
      </c>
      <c r="D1013" t="s">
        <v>197</v>
      </c>
      <c r="E1013" t="s">
        <v>201</v>
      </c>
      <c r="U1013" t="s">
        <v>197</v>
      </c>
      <c r="V1013" t="s">
        <v>197</v>
      </c>
      <c r="W1013" t="s">
        <v>197</v>
      </c>
      <c r="X1013" t="s">
        <v>197</v>
      </c>
      <c r="Y1013" t="s">
        <v>209</v>
      </c>
    </row>
    <row r="1014">
      <c r="A1014">
        <v>3135</v>
      </c>
      <c r="B1014" t="s">
        <v>194</v>
      </c>
      <c r="C1014" t="s">
        <v>114</v>
      </c>
      <c r="D1014" t="s">
        <v>197</v>
      </c>
      <c r="E1014" t="s">
        <v>201</v>
      </c>
      <c r="U1014" t="s">
        <v>197</v>
      </c>
      <c r="V1014" t="s">
        <v>197</v>
      </c>
      <c r="W1014" t="s">
        <v>197</v>
      </c>
      <c r="X1014" t="s">
        <v>197</v>
      </c>
      <c r="Y1014" t="s">
        <v>198</v>
      </c>
    </row>
    <row r="1015">
      <c r="A1015">
        <v>3137</v>
      </c>
      <c r="B1015" t="s">
        <v>20</v>
      </c>
      <c r="C1015" t="s">
        <v>114</v>
      </c>
      <c r="D1015" t="s">
        <v>197</v>
      </c>
      <c r="E1015" t="s">
        <v>201</v>
      </c>
      <c r="U1015" t="s">
        <v>197</v>
      </c>
      <c r="V1015" t="s">
        <v>197</v>
      </c>
      <c r="W1015" t="s">
        <v>197</v>
      </c>
      <c r="X1015" t="s">
        <v>197</v>
      </c>
      <c r="Y1015" t="s">
        <v>198</v>
      </c>
    </row>
    <row r="1016">
      <c r="A1016">
        <v>3139</v>
      </c>
      <c r="B1016" t="s">
        <v>199</v>
      </c>
      <c r="C1016" t="s">
        <v>114</v>
      </c>
      <c r="D1016" t="s">
        <v>195</v>
      </c>
      <c r="E1016" t="s">
        <v>196</v>
      </c>
      <c r="F1016">
        <v>5.7</v>
      </c>
      <c r="G1016" t="s">
        <v>197</v>
      </c>
      <c r="H1016" t="s">
        <v>94</v>
      </c>
      <c r="I1016">
        <v>0.8</v>
      </c>
      <c r="J1016" t="s">
        <v>197</v>
      </c>
      <c r="K1016" t="s">
        <v>197</v>
      </c>
      <c r="L1016">
        <v/>
      </c>
      <c r="N1016" t="s">
        <v>197</v>
      </c>
      <c r="R1016" t="s">
        <v>53</v>
      </c>
      <c r="S1016" t="s">
        <v>65</v>
      </c>
      <c r="T1016" t="s">
        <v>76</v>
      </c>
      <c r="U1016" t="s">
        <v>197</v>
      </c>
      <c r="V1016" t="s">
        <v>197</v>
      </c>
      <c r="W1016" t="s">
        <v>197</v>
      </c>
      <c r="X1016" t="s">
        <v>197</v>
      </c>
      <c r="Y1016" t="s">
        <v>198</v>
      </c>
    </row>
    <row r="1017">
      <c r="A1017">
        <v>3141</v>
      </c>
      <c r="B1017" t="s">
        <v>199</v>
      </c>
      <c r="C1017" t="s">
        <v>114</v>
      </c>
      <c r="D1017" t="s">
        <v>197</v>
      </c>
      <c r="E1017" t="s">
        <v>201</v>
      </c>
      <c r="U1017" t="s">
        <v>197</v>
      </c>
      <c r="V1017" t="s">
        <v>197</v>
      </c>
      <c r="W1017" t="s">
        <v>197</v>
      </c>
      <c r="X1017" t="s">
        <v>197</v>
      </c>
      <c r="Y1017" t="s">
        <v>206</v>
      </c>
    </row>
    <row r="1018">
      <c r="A1018">
        <v>3145</v>
      </c>
      <c r="B1018" t="s">
        <v>199</v>
      </c>
      <c r="C1018" t="s">
        <v>114</v>
      </c>
      <c r="D1018" t="s">
        <v>195</v>
      </c>
      <c r="E1018" t="s">
        <v>196</v>
      </c>
      <c r="F1018">
        <v>2.8</v>
      </c>
      <c r="G1018" t="s">
        <v>197</v>
      </c>
      <c r="H1018" t="s">
        <v>95</v>
      </c>
      <c r="I1018">
        <v>0.2</v>
      </c>
      <c r="J1018" t="s">
        <v>195</v>
      </c>
      <c r="K1018" t="s">
        <v>195</v>
      </c>
      <c r="L1018" t="s">
        <v>95</v>
      </c>
      <c r="M1018">
        <v>3.2</v>
      </c>
      <c r="N1018" t="s">
        <v>195</v>
      </c>
      <c r="O1018" t="s">
        <v>95</v>
      </c>
      <c r="P1018">
        <v>5.3</v>
      </c>
      <c r="Q1018" t="s">
        <v>195</v>
      </c>
      <c r="R1018" t="s">
        <v>49</v>
      </c>
      <c r="T1018" t="s">
        <v>76</v>
      </c>
      <c r="U1018" t="s">
        <v>197</v>
      </c>
      <c r="V1018" t="s">
        <v>197</v>
      </c>
      <c r="W1018" t="s">
        <v>197</v>
      </c>
      <c r="X1018" t="s">
        <v>197</v>
      </c>
      <c r="Y1018" t="s">
        <v>198</v>
      </c>
    </row>
    <row r="1019">
      <c r="A1019">
        <v>3144</v>
      </c>
      <c r="B1019" t="s">
        <v>199</v>
      </c>
      <c r="C1019" t="s">
        <v>114</v>
      </c>
      <c r="D1019" t="s">
        <v>197</v>
      </c>
      <c r="E1019" t="s">
        <v>201</v>
      </c>
      <c r="U1019" t="s">
        <v>197</v>
      </c>
      <c r="V1019" t="s">
        <v>197</v>
      </c>
      <c r="W1019" t="s">
        <v>197</v>
      </c>
      <c r="X1019" t="s">
        <v>197</v>
      </c>
      <c r="Y1019" t="s">
        <v>198</v>
      </c>
    </row>
    <row r="1020">
      <c r="A1020">
        <v>3146</v>
      </c>
      <c r="B1020" t="s">
        <v>20</v>
      </c>
      <c r="C1020" t="s">
        <v>114</v>
      </c>
      <c r="D1020" t="s">
        <v>197</v>
      </c>
      <c r="E1020" t="s">
        <v>201</v>
      </c>
      <c r="U1020" t="s">
        <v>197</v>
      </c>
      <c r="V1020" t="s">
        <v>197</v>
      </c>
      <c r="W1020" t="s">
        <v>197</v>
      </c>
      <c r="X1020" t="s">
        <v>197</v>
      </c>
      <c r="Y1020" t="s">
        <v>198</v>
      </c>
    </row>
    <row r="1021">
      <c r="A1021">
        <v>3148</v>
      </c>
      <c r="B1021" t="s">
        <v>199</v>
      </c>
      <c r="C1021" t="s">
        <v>114</v>
      </c>
      <c r="D1021" t="s">
        <v>195</v>
      </c>
      <c r="E1021" t="s">
        <v>200</v>
      </c>
      <c r="F1021">
        <v>127.2</v>
      </c>
      <c r="G1021" t="s">
        <v>197</v>
      </c>
      <c r="H1021" t="s">
        <v>94</v>
      </c>
      <c r="I1021">
        <v>2</v>
      </c>
      <c r="J1021" t="s">
        <v>195</v>
      </c>
      <c r="K1021" t="s">
        <v>195</v>
      </c>
      <c r="L1021" t="s">
        <v>94</v>
      </c>
      <c r="M1021">
        <v>7.9</v>
      </c>
      <c r="N1021" t="s">
        <v>195</v>
      </c>
      <c r="O1021" t="s">
        <v>94</v>
      </c>
      <c r="P1021">
        <v>6.9</v>
      </c>
      <c r="Q1021" t="s">
        <v>197</v>
      </c>
      <c r="R1021" t="s">
        <v>50</v>
      </c>
      <c r="T1021" t="s">
        <v>77</v>
      </c>
      <c r="U1021" t="s">
        <v>195</v>
      </c>
      <c r="V1021" t="s">
        <v>195</v>
      </c>
      <c r="W1021" t="s">
        <v>197</v>
      </c>
      <c r="X1021" t="s">
        <v>197</v>
      </c>
      <c r="Y1021" t="s">
        <v>206</v>
      </c>
    </row>
    <row r="1022">
      <c r="A1022">
        <v>3152</v>
      </c>
      <c r="B1022" t="s">
        <v>20</v>
      </c>
      <c r="C1022" t="s">
        <v>114</v>
      </c>
      <c r="D1022" t="s">
        <v>195</v>
      </c>
      <c r="E1022" t="s">
        <v>196</v>
      </c>
      <c r="F1022">
        <v>4.4</v>
      </c>
      <c r="G1022" t="s">
        <v>197</v>
      </c>
      <c r="H1022" t="s">
        <v>94</v>
      </c>
      <c r="I1022">
        <v>1</v>
      </c>
      <c r="J1022" t="s">
        <v>197</v>
      </c>
      <c r="K1022" t="s">
        <v>197</v>
      </c>
      <c r="L1022">
        <v/>
      </c>
      <c r="N1022" t="s">
        <v>197</v>
      </c>
      <c r="R1022" t="s">
        <v>53</v>
      </c>
      <c r="S1022" t="s">
        <v>64</v>
      </c>
      <c r="T1022" t="s">
        <v>77</v>
      </c>
      <c r="U1022" t="s">
        <v>197</v>
      </c>
      <c r="V1022" t="s">
        <v>197</v>
      </c>
      <c r="W1022" t="s">
        <v>197</v>
      </c>
      <c r="X1022" t="s">
        <v>197</v>
      </c>
      <c r="Y1022" t="s">
        <v>202</v>
      </c>
    </row>
    <row r="1023">
      <c r="A1023">
        <v>3154</v>
      </c>
      <c r="B1023" t="s">
        <v>20</v>
      </c>
      <c r="C1023" t="s">
        <v>114</v>
      </c>
      <c r="D1023" t="s">
        <v>195</v>
      </c>
      <c r="E1023" t="s">
        <v>196</v>
      </c>
      <c r="F1023">
        <v>0.6</v>
      </c>
      <c r="G1023" t="s">
        <v>197</v>
      </c>
      <c r="H1023" t="s">
        <v>94</v>
      </c>
      <c r="I1023">
        <v>0.4</v>
      </c>
      <c r="J1023" t="s">
        <v>195</v>
      </c>
      <c r="K1023" t="s">
        <v>195</v>
      </c>
      <c r="L1023" t="s">
        <v>94</v>
      </c>
      <c r="M1023">
        <v>3.6</v>
      </c>
      <c r="N1023" t="s">
        <v>195</v>
      </c>
      <c r="O1023" t="s">
        <v>94</v>
      </c>
      <c r="P1023">
        <v>3.7</v>
      </c>
      <c r="Q1023" t="s">
        <v>195</v>
      </c>
      <c r="R1023" t="s">
        <v>49</v>
      </c>
      <c r="T1023" t="s">
        <v>77</v>
      </c>
      <c r="U1023" t="s">
        <v>197</v>
      </c>
      <c r="V1023" t="s">
        <v>197</v>
      </c>
      <c r="W1023" t="s">
        <v>197</v>
      </c>
      <c r="X1023" t="s">
        <v>197</v>
      </c>
      <c r="Y1023" t="s">
        <v>203</v>
      </c>
    </row>
    <row r="1024">
      <c r="A1024">
        <v>3153</v>
      </c>
      <c r="B1024" t="s">
        <v>199</v>
      </c>
      <c r="C1024" t="s">
        <v>114</v>
      </c>
      <c r="D1024" t="s">
        <v>195</v>
      </c>
      <c r="E1024" t="s">
        <v>196</v>
      </c>
      <c r="F1024">
        <v>2.6</v>
      </c>
      <c r="G1024" t="s">
        <v>197</v>
      </c>
      <c r="H1024" t="s">
        <v>94</v>
      </c>
      <c r="I1024">
        <v>0.2</v>
      </c>
      <c r="J1024" t="s">
        <v>195</v>
      </c>
      <c r="K1024" t="s">
        <v>195</v>
      </c>
      <c r="L1024" t="s">
        <v>94</v>
      </c>
      <c r="M1024">
        <v>4.7</v>
      </c>
      <c r="N1024" t="s">
        <v>195</v>
      </c>
      <c r="O1024" t="s">
        <v>94</v>
      </c>
      <c r="P1024">
        <v>4.8</v>
      </c>
      <c r="Q1024" t="s">
        <v>195</v>
      </c>
      <c r="R1024" t="s">
        <v>49</v>
      </c>
      <c r="T1024" t="s">
        <v>77</v>
      </c>
      <c r="U1024" t="s">
        <v>197</v>
      </c>
      <c r="V1024" t="s">
        <v>197</v>
      </c>
      <c r="W1024" t="s">
        <v>197</v>
      </c>
      <c r="X1024" t="s">
        <v>197</v>
      </c>
      <c r="Y1024" t="s">
        <v>206</v>
      </c>
    </row>
    <row r="1025">
      <c r="A1025">
        <v>3161</v>
      </c>
      <c r="B1025" t="s">
        <v>20</v>
      </c>
      <c r="C1025" t="s">
        <v>114</v>
      </c>
      <c r="D1025" t="s">
        <v>195</v>
      </c>
      <c r="E1025" t="s">
        <v>196</v>
      </c>
      <c r="F1025">
        <v>1.9</v>
      </c>
      <c r="G1025" t="s">
        <v>197</v>
      </c>
      <c r="H1025" t="s">
        <v>94</v>
      </c>
      <c r="I1025">
        <v>1.9</v>
      </c>
      <c r="J1025" t="s">
        <v>195</v>
      </c>
      <c r="K1025" t="s">
        <v>195</v>
      </c>
      <c r="L1025" t="s">
        <v>94</v>
      </c>
      <c r="M1025">
        <v>7.4</v>
      </c>
      <c r="N1025" t="s">
        <v>195</v>
      </c>
      <c r="O1025" t="s">
        <v>94</v>
      </c>
      <c r="P1025">
        <v>7.4</v>
      </c>
      <c r="Q1025" t="s">
        <v>195</v>
      </c>
      <c r="R1025" t="s">
        <v>49</v>
      </c>
      <c r="T1025" t="s">
        <v>77</v>
      </c>
      <c r="U1025" t="s">
        <v>197</v>
      </c>
      <c r="V1025" t="s">
        <v>197</v>
      </c>
      <c r="W1025" t="s">
        <v>197</v>
      </c>
      <c r="X1025" t="s">
        <v>197</v>
      </c>
      <c r="Y1025" t="s">
        <v>202</v>
      </c>
    </row>
    <row r="1026">
      <c r="A1026">
        <v>3163</v>
      </c>
      <c r="B1026" t="s">
        <v>20</v>
      </c>
      <c r="C1026" t="s">
        <v>114</v>
      </c>
      <c r="D1026" t="s">
        <v>197</v>
      </c>
      <c r="E1026" t="s">
        <v>201</v>
      </c>
      <c r="U1026" t="s">
        <v>197</v>
      </c>
      <c r="V1026" t="s">
        <v>197</v>
      </c>
      <c r="W1026" t="s">
        <v>197</v>
      </c>
      <c r="X1026" t="s">
        <v>197</v>
      </c>
      <c r="Y1026" t="s">
        <v>202</v>
      </c>
    </row>
    <row r="1027">
      <c r="A1027">
        <v>3167</v>
      </c>
      <c r="B1027" t="s">
        <v>20</v>
      </c>
      <c r="C1027" t="s">
        <v>114</v>
      </c>
      <c r="D1027" t="s">
        <v>195</v>
      </c>
      <c r="E1027" t="s">
        <v>196</v>
      </c>
      <c r="F1027">
        <v>0.4</v>
      </c>
      <c r="G1027" t="s">
        <v>197</v>
      </c>
      <c r="H1027" t="s">
        <v>94</v>
      </c>
      <c r="I1027">
        <v>0.6</v>
      </c>
      <c r="J1027" t="s">
        <v>197</v>
      </c>
      <c r="K1027" t="s">
        <v>197</v>
      </c>
      <c r="L1027">
        <v/>
      </c>
      <c r="N1027" t="s">
        <v>197</v>
      </c>
      <c r="R1027" t="s">
        <v>53</v>
      </c>
      <c r="S1027" t="s">
        <v>68</v>
      </c>
      <c r="T1027" t="s">
        <v>77</v>
      </c>
      <c r="U1027" t="s">
        <v>197</v>
      </c>
      <c r="V1027" t="s">
        <v>197</v>
      </c>
      <c r="W1027" t="s">
        <v>197</v>
      </c>
      <c r="X1027" t="s">
        <v>197</v>
      </c>
      <c r="Y1027" t="s">
        <v>119</v>
      </c>
    </row>
    <row r="1028">
      <c r="A1028">
        <v>3170</v>
      </c>
      <c r="B1028" t="s">
        <v>20</v>
      </c>
      <c r="C1028" t="s">
        <v>114</v>
      </c>
      <c r="D1028" t="s">
        <v>197</v>
      </c>
      <c r="E1028" t="s">
        <v>201</v>
      </c>
      <c r="U1028" t="s">
        <v>197</v>
      </c>
      <c r="V1028" t="s">
        <v>197</v>
      </c>
      <c r="W1028" t="s">
        <v>197</v>
      </c>
      <c r="X1028" t="s">
        <v>197</v>
      </c>
      <c r="Y1028" t="s">
        <v>202</v>
      </c>
    </row>
    <row r="1029">
      <c r="A1029">
        <v>3169</v>
      </c>
      <c r="B1029" t="s">
        <v>20</v>
      </c>
      <c r="C1029" t="s">
        <v>114</v>
      </c>
      <c r="D1029" t="s">
        <v>195</v>
      </c>
      <c r="E1029" t="s">
        <v>196</v>
      </c>
      <c r="F1029">
        <v>0.7</v>
      </c>
      <c r="G1029" t="s">
        <v>197</v>
      </c>
      <c r="H1029" t="s">
        <v>93</v>
      </c>
      <c r="I1029">
        <v>0.3</v>
      </c>
      <c r="J1029" t="s">
        <v>195</v>
      </c>
      <c r="K1029" t="s">
        <v>195</v>
      </c>
      <c r="L1029" t="s">
        <v>93</v>
      </c>
      <c r="M1029">
        <v>6.2</v>
      </c>
      <c r="N1029" t="s">
        <v>195</v>
      </c>
      <c r="O1029" t="s">
        <v>93</v>
      </c>
      <c r="P1029">
        <v>6.3</v>
      </c>
      <c r="Q1029" t="s">
        <v>195</v>
      </c>
      <c r="R1029" t="s">
        <v>49</v>
      </c>
      <c r="T1029" t="s">
        <v>77</v>
      </c>
      <c r="U1029" t="s">
        <v>197</v>
      </c>
      <c r="V1029" t="s">
        <v>197</v>
      </c>
      <c r="W1029" t="s">
        <v>197</v>
      </c>
      <c r="X1029" t="s">
        <v>197</v>
      </c>
      <c r="Y1029" t="s">
        <v>202</v>
      </c>
    </row>
    <row r="1030">
      <c r="A1030">
        <v>3172</v>
      </c>
      <c r="B1030" t="s">
        <v>20</v>
      </c>
      <c r="C1030" t="s">
        <v>114</v>
      </c>
      <c r="D1030" t="s">
        <v>197</v>
      </c>
      <c r="E1030" t="s">
        <v>201</v>
      </c>
      <c r="U1030" t="s">
        <v>197</v>
      </c>
      <c r="V1030" t="s">
        <v>197</v>
      </c>
      <c r="W1030" t="s">
        <v>197</v>
      </c>
      <c r="X1030" t="s">
        <v>197</v>
      </c>
      <c r="Y1030" t="s">
        <v>198</v>
      </c>
    </row>
    <row r="1031">
      <c r="A1031">
        <v>3174</v>
      </c>
      <c r="B1031" t="s">
        <v>20</v>
      </c>
      <c r="C1031" t="s">
        <v>114</v>
      </c>
      <c r="D1031" t="s">
        <v>195</v>
      </c>
      <c r="E1031" t="s">
        <v>196</v>
      </c>
      <c r="F1031">
        <v>6.6</v>
      </c>
      <c r="G1031" t="s">
        <v>197</v>
      </c>
      <c r="H1031" t="s">
        <v>95</v>
      </c>
      <c r="I1031">
        <v>0.2</v>
      </c>
      <c r="J1031" t="s">
        <v>195</v>
      </c>
      <c r="K1031" t="s">
        <v>195</v>
      </c>
      <c r="L1031" t="s">
        <v>95</v>
      </c>
      <c r="M1031">
        <v>4.9</v>
      </c>
      <c r="N1031" t="s">
        <v>195</v>
      </c>
      <c r="O1031" t="s">
        <v>95</v>
      </c>
      <c r="P1031">
        <v>5.2</v>
      </c>
      <c r="Q1031" t="s">
        <v>195</v>
      </c>
      <c r="R1031" t="s">
        <v>49</v>
      </c>
      <c r="T1031" t="s">
        <v>77</v>
      </c>
      <c r="U1031" t="s">
        <v>197</v>
      </c>
      <c r="V1031" t="s">
        <v>197</v>
      </c>
      <c r="W1031" t="s">
        <v>197</v>
      </c>
      <c r="X1031" t="s">
        <v>197</v>
      </c>
      <c r="Y1031" t="s">
        <v>198</v>
      </c>
    </row>
    <row r="1032">
      <c r="A1032">
        <v>3175</v>
      </c>
      <c r="B1032" t="s">
        <v>199</v>
      </c>
      <c r="C1032" t="s">
        <v>114</v>
      </c>
      <c r="D1032" t="s">
        <v>195</v>
      </c>
      <c r="E1032" t="s">
        <v>200</v>
      </c>
      <c r="F1032">
        <v>2189</v>
      </c>
      <c r="G1032" t="s">
        <v>197</v>
      </c>
      <c r="H1032" t="s">
        <v>93</v>
      </c>
      <c r="I1032">
        <v>2</v>
      </c>
      <c r="J1032" t="s">
        <v>197</v>
      </c>
      <c r="K1032" t="s">
        <v>197</v>
      </c>
      <c r="L1032">
        <v/>
      </c>
      <c r="N1032" t="s">
        <v>197</v>
      </c>
      <c r="R1032" t="s">
        <v>53</v>
      </c>
      <c r="S1032" t="s">
        <v>64</v>
      </c>
      <c r="T1032" t="s">
        <v>76</v>
      </c>
      <c r="U1032" t="s">
        <v>197</v>
      </c>
      <c r="V1032" t="s">
        <v>197</v>
      </c>
      <c r="W1032" t="s">
        <v>197</v>
      </c>
      <c r="X1032" t="s">
        <v>197</v>
      </c>
      <c r="Y1032" t="s">
        <v>206</v>
      </c>
    </row>
    <row r="1033">
      <c r="A1033">
        <v>3182</v>
      </c>
      <c r="B1033" t="s">
        <v>199</v>
      </c>
      <c r="C1033" t="s">
        <v>114</v>
      </c>
      <c r="D1033" t="s">
        <v>195</v>
      </c>
      <c r="E1033" t="s">
        <v>196</v>
      </c>
      <c r="F1033">
        <v>0.9</v>
      </c>
      <c r="G1033" t="s">
        <v>197</v>
      </c>
      <c r="H1033" t="s">
        <v>93</v>
      </c>
      <c r="I1033">
        <v>0.7</v>
      </c>
      <c r="J1033" t="s">
        <v>197</v>
      </c>
      <c r="K1033" t="s">
        <v>197</v>
      </c>
      <c r="L1033">
        <v/>
      </c>
      <c r="N1033" t="s">
        <v>197</v>
      </c>
      <c r="R1033" t="s">
        <v>53</v>
      </c>
      <c r="S1033" t="s">
        <v>64</v>
      </c>
      <c r="T1033" t="s">
        <v>78</v>
      </c>
      <c r="U1033" t="s">
        <v>197</v>
      </c>
      <c r="V1033" t="s">
        <v>197</v>
      </c>
      <c r="W1033" t="s">
        <v>197</v>
      </c>
      <c r="X1033" t="s">
        <v>197</v>
      </c>
      <c r="Y1033" t="s">
        <v>206</v>
      </c>
    </row>
    <row r="1034">
      <c r="A1034">
        <v>3188</v>
      </c>
      <c r="B1034" t="s">
        <v>20</v>
      </c>
      <c r="C1034" t="s">
        <v>114</v>
      </c>
      <c r="D1034" t="s">
        <v>197</v>
      </c>
      <c r="E1034" t="s">
        <v>201</v>
      </c>
      <c r="U1034" t="s">
        <v>197</v>
      </c>
      <c r="V1034" t="s">
        <v>197</v>
      </c>
      <c r="W1034" t="s">
        <v>197</v>
      </c>
      <c r="X1034" t="s">
        <v>197</v>
      </c>
      <c r="Y1034" t="s">
        <v>198</v>
      </c>
    </row>
    <row r="1035">
      <c r="A1035">
        <v>3185</v>
      </c>
      <c r="B1035" t="s">
        <v>199</v>
      </c>
      <c r="C1035" t="s">
        <v>114</v>
      </c>
      <c r="D1035" t="s">
        <v>197</v>
      </c>
      <c r="E1035" t="s">
        <v>201</v>
      </c>
      <c r="U1035" t="s">
        <v>197</v>
      </c>
      <c r="V1035" t="s">
        <v>197</v>
      </c>
      <c r="W1035" t="s">
        <v>197</v>
      </c>
      <c r="X1035" t="s">
        <v>197</v>
      </c>
      <c r="Y1035" t="s">
        <v>206</v>
      </c>
    </row>
    <row r="1036">
      <c r="A1036">
        <v>3190</v>
      </c>
      <c r="B1036" t="s">
        <v>194</v>
      </c>
      <c r="C1036" t="s">
        <v>114</v>
      </c>
      <c r="D1036" t="s">
        <v>195</v>
      </c>
      <c r="E1036" t="s">
        <v>196</v>
      </c>
      <c r="F1036">
        <v>12</v>
      </c>
      <c r="G1036" t="s">
        <v>197</v>
      </c>
      <c r="H1036" t="s">
        <v>93</v>
      </c>
      <c r="I1036">
        <v>25.1</v>
      </c>
      <c r="J1036" t="s">
        <v>197</v>
      </c>
      <c r="K1036" t="s">
        <v>195</v>
      </c>
      <c r="L1036" t="s">
        <v>93</v>
      </c>
      <c r="M1036">
        <v>25.1</v>
      </c>
      <c r="N1036" t="s">
        <v>195</v>
      </c>
      <c r="O1036" t="s">
        <v>93</v>
      </c>
      <c r="P1036">
        <v>25.3</v>
      </c>
      <c r="Q1036" t="s">
        <v>195</v>
      </c>
      <c r="R1036" t="s">
        <v>49</v>
      </c>
      <c r="T1036" t="s">
        <v>78</v>
      </c>
      <c r="U1036" t="s">
        <v>197</v>
      </c>
      <c r="V1036" t="s">
        <v>197</v>
      </c>
      <c r="W1036" t="s">
        <v>197</v>
      </c>
      <c r="X1036" t="s">
        <v>197</v>
      </c>
      <c r="Y1036" t="s">
        <v>209</v>
      </c>
    </row>
    <row r="1037">
      <c r="A1037">
        <v>3187</v>
      </c>
      <c r="B1037" t="s">
        <v>199</v>
      </c>
      <c r="C1037" t="s">
        <v>114</v>
      </c>
      <c r="D1037" t="s">
        <v>195</v>
      </c>
      <c r="E1037" t="s">
        <v>196</v>
      </c>
      <c r="F1037">
        <v>0.3</v>
      </c>
      <c r="G1037" t="s">
        <v>197</v>
      </c>
      <c r="H1037" t="s">
        <v>93</v>
      </c>
      <c r="I1037">
        <v>2.2</v>
      </c>
      <c r="J1037" t="s">
        <v>195</v>
      </c>
      <c r="K1037" t="s">
        <v>195</v>
      </c>
      <c r="L1037" t="s">
        <v>93</v>
      </c>
      <c r="M1037">
        <v>5.1</v>
      </c>
      <c r="N1037" t="s">
        <v>195</v>
      </c>
      <c r="O1037" t="s">
        <v>93</v>
      </c>
      <c r="P1037">
        <v>33.1</v>
      </c>
      <c r="Q1037" t="s">
        <v>195</v>
      </c>
      <c r="R1037" t="s">
        <v>49</v>
      </c>
      <c r="T1037" t="s">
        <v>78</v>
      </c>
      <c r="U1037" t="s">
        <v>197</v>
      </c>
      <c r="V1037" t="s">
        <v>197</v>
      </c>
      <c r="W1037" t="s">
        <v>197</v>
      </c>
      <c r="X1037" t="s">
        <v>197</v>
      </c>
      <c r="Y1037" t="s">
        <v>198</v>
      </c>
    </row>
    <row r="1038">
      <c r="A1038">
        <v>3195</v>
      </c>
      <c r="B1038" t="s">
        <v>199</v>
      </c>
      <c r="C1038" t="s">
        <v>114</v>
      </c>
      <c r="D1038" t="s">
        <v>197</v>
      </c>
      <c r="E1038" t="s">
        <v>201</v>
      </c>
      <c r="U1038" t="s">
        <v>197</v>
      </c>
      <c r="V1038" t="s">
        <v>197</v>
      </c>
      <c r="W1038" t="s">
        <v>197</v>
      </c>
      <c r="X1038" t="s">
        <v>197</v>
      </c>
      <c r="Y1038" t="s">
        <v>206</v>
      </c>
    </row>
    <row r="1039">
      <c r="A1039">
        <v>3198</v>
      </c>
      <c r="B1039" t="s">
        <v>199</v>
      </c>
      <c r="C1039" t="s">
        <v>114</v>
      </c>
      <c r="D1039" t="s">
        <v>195</v>
      </c>
      <c r="E1039" t="s">
        <v>196</v>
      </c>
      <c r="F1039">
        <v>24.9</v>
      </c>
      <c r="G1039" t="s">
        <v>197</v>
      </c>
      <c r="H1039" t="s">
        <v>96</v>
      </c>
      <c r="I1039">
        <v>484.6</v>
      </c>
      <c r="J1039" t="s">
        <v>195</v>
      </c>
      <c r="K1039" t="s">
        <v>195</v>
      </c>
      <c r="L1039" t="s">
        <v>96</v>
      </c>
      <c r="M1039">
        <v>487.3</v>
      </c>
      <c r="N1039" t="s">
        <v>197</v>
      </c>
      <c r="R1039" t="s">
        <v>52</v>
      </c>
      <c r="S1039" t="s">
        <v>64</v>
      </c>
      <c r="T1039" t="s">
        <v>78</v>
      </c>
      <c r="U1039" t="s">
        <v>197</v>
      </c>
      <c r="V1039" t="s">
        <v>197</v>
      </c>
      <c r="W1039" t="s">
        <v>197</v>
      </c>
      <c r="X1039" t="s">
        <v>197</v>
      </c>
      <c r="Y1039" t="s">
        <v>198</v>
      </c>
    </row>
    <row r="1040">
      <c r="A1040">
        <v>3197</v>
      </c>
      <c r="B1040" t="s">
        <v>20</v>
      </c>
      <c r="C1040" t="s">
        <v>114</v>
      </c>
      <c r="D1040" t="s">
        <v>197</v>
      </c>
      <c r="E1040" t="s">
        <v>201</v>
      </c>
      <c r="U1040" t="s">
        <v>197</v>
      </c>
      <c r="V1040" t="s">
        <v>197</v>
      </c>
      <c r="W1040" t="s">
        <v>197</v>
      </c>
      <c r="X1040" t="s">
        <v>197</v>
      </c>
      <c r="Y1040" t="s">
        <v>202</v>
      </c>
    </row>
    <row r="1041">
      <c r="A1041">
        <v>3199</v>
      </c>
      <c r="B1041" t="s">
        <v>20</v>
      </c>
      <c r="C1041" t="s">
        <v>114</v>
      </c>
      <c r="D1041" t="s">
        <v>197</v>
      </c>
      <c r="E1041" t="s">
        <v>201</v>
      </c>
      <c r="U1041" t="s">
        <v>197</v>
      </c>
      <c r="V1041" t="s">
        <v>197</v>
      </c>
      <c r="W1041" t="s">
        <v>197</v>
      </c>
      <c r="X1041" t="s">
        <v>197</v>
      </c>
      <c r="Y1041" t="s">
        <v>202</v>
      </c>
    </row>
    <row r="1042">
      <c r="A1042">
        <v>3206</v>
      </c>
      <c r="B1042" t="s">
        <v>20</v>
      </c>
      <c r="C1042" t="s">
        <v>114</v>
      </c>
      <c r="D1042" t="s">
        <v>195</v>
      </c>
      <c r="E1042" t="s">
        <v>196</v>
      </c>
      <c r="F1042">
        <v>1</v>
      </c>
      <c r="G1042" t="s">
        <v>197</v>
      </c>
      <c r="H1042" t="s">
        <v>96</v>
      </c>
      <c r="I1042">
        <v>382.6</v>
      </c>
      <c r="J1042" t="s">
        <v>195</v>
      </c>
      <c r="K1042" t="s">
        <v>195</v>
      </c>
      <c r="L1042" t="s">
        <v>96</v>
      </c>
      <c r="M1042">
        <v>386.6</v>
      </c>
      <c r="N1042" t="s">
        <v>197</v>
      </c>
      <c r="R1042" t="s">
        <v>52</v>
      </c>
      <c r="S1042" t="s">
        <v>64</v>
      </c>
      <c r="T1042" t="s">
        <v>78</v>
      </c>
      <c r="U1042" t="s">
        <v>197</v>
      </c>
      <c r="V1042" t="s">
        <v>197</v>
      </c>
      <c r="W1042" t="s">
        <v>197</v>
      </c>
      <c r="X1042" t="s">
        <v>197</v>
      </c>
      <c r="Y1042" t="s">
        <v>202</v>
      </c>
    </row>
    <row r="1043">
      <c r="A1043">
        <v>3208</v>
      </c>
      <c r="B1043" t="s">
        <v>20</v>
      </c>
      <c r="C1043" t="s">
        <v>114</v>
      </c>
      <c r="D1043" t="s">
        <v>197</v>
      </c>
      <c r="E1043" t="s">
        <v>201</v>
      </c>
      <c r="U1043" t="s">
        <v>197</v>
      </c>
      <c r="V1043" t="s">
        <v>197</v>
      </c>
      <c r="W1043" t="s">
        <v>197</v>
      </c>
      <c r="X1043" t="s">
        <v>197</v>
      </c>
      <c r="Y1043" t="s">
        <v>202</v>
      </c>
    </row>
    <row r="1044">
      <c r="A1044">
        <v>3210</v>
      </c>
      <c r="B1044" t="s">
        <v>20</v>
      </c>
      <c r="C1044" t="s">
        <v>114</v>
      </c>
      <c r="D1044" t="s">
        <v>197</v>
      </c>
      <c r="E1044" t="s">
        <v>201</v>
      </c>
      <c r="U1044" t="s">
        <v>197</v>
      </c>
      <c r="V1044" t="s">
        <v>197</v>
      </c>
      <c r="W1044" t="s">
        <v>197</v>
      </c>
      <c r="X1044" t="s">
        <v>197</v>
      </c>
      <c r="Y1044" t="s">
        <v>202</v>
      </c>
    </row>
    <row r="1045">
      <c r="A1045">
        <v>3212</v>
      </c>
      <c r="B1045" t="s">
        <v>20</v>
      </c>
      <c r="C1045" t="s">
        <v>114</v>
      </c>
      <c r="D1045" t="s">
        <v>197</v>
      </c>
      <c r="E1045" t="s">
        <v>201</v>
      </c>
      <c r="U1045" t="s">
        <v>197</v>
      </c>
      <c r="V1045" t="s">
        <v>197</v>
      </c>
      <c r="W1045" t="s">
        <v>197</v>
      </c>
      <c r="X1045" t="s">
        <v>197</v>
      </c>
      <c r="Y1045" t="s">
        <v>202</v>
      </c>
    </row>
    <row r="1046">
      <c r="A1046">
        <v>3214</v>
      </c>
      <c r="B1046" t="s">
        <v>20</v>
      </c>
      <c r="C1046" t="s">
        <v>114</v>
      </c>
      <c r="D1046" t="s">
        <v>195</v>
      </c>
      <c r="E1046" t="s">
        <v>200</v>
      </c>
      <c r="F1046">
        <v>1650</v>
      </c>
      <c r="G1046" t="s">
        <v>195</v>
      </c>
      <c r="H1046" t="s">
        <v>93</v>
      </c>
      <c r="I1046">
        <v>1.2</v>
      </c>
      <c r="J1046" t="s">
        <v>197</v>
      </c>
      <c r="K1046" t="s">
        <v>197</v>
      </c>
      <c r="L1046">
        <v/>
      </c>
      <c r="N1046" t="s">
        <v>197</v>
      </c>
      <c r="R1046" t="s">
        <v>53</v>
      </c>
      <c r="S1046" t="s">
        <v>64</v>
      </c>
      <c r="T1046" t="s">
        <v>76</v>
      </c>
      <c r="U1046" t="s">
        <v>197</v>
      </c>
      <c r="V1046" t="s">
        <v>197</v>
      </c>
      <c r="W1046" t="s">
        <v>197</v>
      </c>
      <c r="X1046" t="s">
        <v>197</v>
      </c>
      <c r="Y1046" t="s">
        <v>202</v>
      </c>
    </row>
    <row r="1047">
      <c r="A1047">
        <v>3215</v>
      </c>
      <c r="B1047" t="s">
        <v>20</v>
      </c>
      <c r="C1047" t="s">
        <v>114</v>
      </c>
      <c r="D1047" t="s">
        <v>197</v>
      </c>
      <c r="E1047" t="s">
        <v>201</v>
      </c>
      <c r="U1047" t="s">
        <v>197</v>
      </c>
      <c r="V1047" t="s">
        <v>197</v>
      </c>
      <c r="W1047" t="s">
        <v>197</v>
      </c>
      <c r="X1047" t="s">
        <v>197</v>
      </c>
      <c r="Y1047" t="s">
        <v>202</v>
      </c>
    </row>
    <row r="1048">
      <c r="A1048">
        <v>3201</v>
      </c>
      <c r="B1048" t="s">
        <v>20</v>
      </c>
      <c r="C1048" t="s">
        <v>114</v>
      </c>
      <c r="D1048" t="s">
        <v>197</v>
      </c>
      <c r="E1048" t="s">
        <v>201</v>
      </c>
      <c r="U1048" t="s">
        <v>197</v>
      </c>
      <c r="V1048" t="s">
        <v>197</v>
      </c>
      <c r="W1048" t="s">
        <v>197</v>
      </c>
      <c r="X1048" t="s">
        <v>197</v>
      </c>
      <c r="Y1048" t="s">
        <v>202</v>
      </c>
    </row>
    <row r="1049">
      <c r="A1049">
        <v>3204</v>
      </c>
      <c r="B1049" t="s">
        <v>199</v>
      </c>
      <c r="C1049" t="s">
        <v>114</v>
      </c>
      <c r="D1049" t="s">
        <v>197</v>
      </c>
      <c r="E1049" t="s">
        <v>201</v>
      </c>
      <c r="U1049" t="s">
        <v>197</v>
      </c>
      <c r="V1049" t="s">
        <v>197</v>
      </c>
      <c r="W1049" t="s">
        <v>197</v>
      </c>
      <c r="X1049" t="s">
        <v>197</v>
      </c>
      <c r="Y1049" t="s">
        <v>206</v>
      </c>
    </row>
    <row r="1050">
      <c r="A1050">
        <v>3205</v>
      </c>
      <c r="B1050" t="s">
        <v>199</v>
      </c>
      <c r="C1050" t="s">
        <v>114</v>
      </c>
      <c r="D1050" t="s">
        <v>197</v>
      </c>
      <c r="E1050" t="s">
        <v>201</v>
      </c>
      <c r="U1050" t="s">
        <v>197</v>
      </c>
      <c r="V1050" t="s">
        <v>197</v>
      </c>
      <c r="W1050" t="s">
        <v>197</v>
      </c>
      <c r="X1050" t="s">
        <v>197</v>
      </c>
      <c r="Y1050" t="s">
        <v>206</v>
      </c>
    </row>
    <row r="1051">
      <c r="A1051">
        <v>3209</v>
      </c>
      <c r="B1051" t="s">
        <v>199</v>
      </c>
      <c r="C1051" t="s">
        <v>114</v>
      </c>
      <c r="D1051" t="s">
        <v>195</v>
      </c>
      <c r="E1051" t="s">
        <v>200</v>
      </c>
      <c r="F1051">
        <v>241.2</v>
      </c>
      <c r="G1051" t="s">
        <v>195</v>
      </c>
      <c r="H1051" t="s">
        <v>96</v>
      </c>
      <c r="I1051">
        <v>3.7</v>
      </c>
      <c r="J1051" t="s">
        <v>197</v>
      </c>
      <c r="K1051" t="s">
        <v>197</v>
      </c>
      <c r="L1051">
        <v/>
      </c>
      <c r="N1051" t="s">
        <v>197</v>
      </c>
      <c r="R1051" t="s">
        <v>53</v>
      </c>
      <c r="S1051" t="s">
        <v>64</v>
      </c>
      <c r="T1051" t="s">
        <v>76</v>
      </c>
      <c r="U1051" t="s">
        <v>197</v>
      </c>
      <c r="V1051" t="s">
        <v>197</v>
      </c>
      <c r="W1051" t="s">
        <v>197</v>
      </c>
      <c r="X1051" t="s">
        <v>197</v>
      </c>
      <c r="Y1051" t="s">
        <v>198</v>
      </c>
    </row>
    <row r="1052">
      <c r="A1052">
        <v>3213</v>
      </c>
      <c r="B1052" t="s">
        <v>20</v>
      </c>
      <c r="C1052" t="s">
        <v>114</v>
      </c>
      <c r="D1052" t="s">
        <v>197</v>
      </c>
      <c r="E1052" t="s">
        <v>201</v>
      </c>
      <c r="U1052" t="s">
        <v>197</v>
      </c>
      <c r="V1052" t="s">
        <v>197</v>
      </c>
      <c r="W1052" t="s">
        <v>197</v>
      </c>
      <c r="X1052" t="s">
        <v>197</v>
      </c>
      <c r="Y1052" t="s">
        <v>202</v>
      </c>
    </row>
    <row r="1053">
      <c r="A1053">
        <v>3223</v>
      </c>
      <c r="B1053" t="s">
        <v>20</v>
      </c>
      <c r="C1053" t="s">
        <v>114</v>
      </c>
      <c r="D1053" t="s">
        <v>195</v>
      </c>
      <c r="E1053" t="s">
        <v>196</v>
      </c>
      <c r="F1053">
        <v>1.2</v>
      </c>
      <c r="G1053" t="s">
        <v>197</v>
      </c>
      <c r="H1053" t="s">
        <v>96</v>
      </c>
      <c r="I1053">
        <v>3.8</v>
      </c>
      <c r="J1053" t="s">
        <v>195</v>
      </c>
      <c r="K1053" t="s">
        <v>195</v>
      </c>
      <c r="L1053" t="s">
        <v>96</v>
      </c>
      <c r="M1053">
        <v>9.199999999999999</v>
      </c>
      <c r="N1053" t="s">
        <v>197</v>
      </c>
      <c r="R1053" t="s">
        <v>52</v>
      </c>
      <c r="S1053" t="s">
        <v>68</v>
      </c>
      <c r="T1053" t="s">
        <v>76</v>
      </c>
      <c r="U1053" t="s">
        <v>197</v>
      </c>
      <c r="V1053" t="s">
        <v>197</v>
      </c>
      <c r="W1053" t="s">
        <v>197</v>
      </c>
      <c r="X1053" t="s">
        <v>197</v>
      </c>
      <c r="Y1053" t="s">
        <v>119</v>
      </c>
    </row>
    <row r="1054">
      <c r="A1054">
        <v>3219</v>
      </c>
      <c r="B1054" t="s">
        <v>20</v>
      </c>
      <c r="C1054" t="s">
        <v>114</v>
      </c>
      <c r="D1054" t="s">
        <v>195</v>
      </c>
      <c r="E1054" t="s">
        <v>196</v>
      </c>
      <c r="F1054">
        <v>20.6</v>
      </c>
      <c r="G1054" t="s">
        <v>197</v>
      </c>
      <c r="H1054" t="s">
        <v>96</v>
      </c>
      <c r="I1054">
        <v>1.2</v>
      </c>
      <c r="J1054" t="s">
        <v>195</v>
      </c>
      <c r="K1054" t="s">
        <v>195</v>
      </c>
      <c r="L1054" t="s">
        <v>96</v>
      </c>
      <c r="M1054">
        <v>19.7</v>
      </c>
      <c r="N1054" t="s">
        <v>197</v>
      </c>
      <c r="R1054" t="s">
        <v>52</v>
      </c>
      <c r="S1054" t="s">
        <v>68</v>
      </c>
      <c r="T1054" t="s">
        <v>76</v>
      </c>
      <c r="U1054" t="s">
        <v>197</v>
      </c>
      <c r="V1054" t="s">
        <v>197</v>
      </c>
      <c r="W1054" t="s">
        <v>197</v>
      </c>
      <c r="X1054" t="s">
        <v>197</v>
      </c>
      <c r="Y1054" t="s">
        <v>119</v>
      </c>
    </row>
    <row r="1055">
      <c r="A1055">
        <v>3221</v>
      </c>
      <c r="B1055" t="s">
        <v>20</v>
      </c>
      <c r="C1055" t="s">
        <v>114</v>
      </c>
      <c r="D1055" t="s">
        <v>197</v>
      </c>
      <c r="E1055" t="s">
        <v>201</v>
      </c>
      <c r="U1055" t="s">
        <v>197</v>
      </c>
      <c r="V1055" t="s">
        <v>197</v>
      </c>
      <c r="W1055" t="s">
        <v>197</v>
      </c>
      <c r="X1055" t="s">
        <v>197</v>
      </c>
      <c r="Y1055" t="s">
        <v>202</v>
      </c>
    </row>
    <row r="1056">
      <c r="A1056">
        <v>3234</v>
      </c>
      <c r="B1056" t="s">
        <v>194</v>
      </c>
      <c r="C1056" t="s">
        <v>114</v>
      </c>
      <c r="D1056" t="s">
        <v>195</v>
      </c>
      <c r="E1056" t="s">
        <v>196</v>
      </c>
      <c r="F1056">
        <v>0.2</v>
      </c>
      <c r="G1056" t="s">
        <v>197</v>
      </c>
      <c r="H1056" t="s">
        <v>96</v>
      </c>
      <c r="I1056">
        <v>0.7</v>
      </c>
      <c r="J1056" t="s">
        <v>195</v>
      </c>
      <c r="K1056" t="s">
        <v>195</v>
      </c>
      <c r="L1056" t="s">
        <v>96</v>
      </c>
      <c r="M1056">
        <v>7.1</v>
      </c>
      <c r="N1056" t="s">
        <v>197</v>
      </c>
      <c r="R1056" t="s">
        <v>52</v>
      </c>
      <c r="S1056" t="s">
        <v>64</v>
      </c>
      <c r="T1056" t="s">
        <v>76</v>
      </c>
      <c r="U1056" t="s">
        <v>197</v>
      </c>
      <c r="V1056" t="s">
        <v>197</v>
      </c>
      <c r="W1056" t="s">
        <v>197</v>
      </c>
      <c r="X1056" t="s">
        <v>197</v>
      </c>
      <c r="Y1056" t="s">
        <v>198</v>
      </c>
    </row>
    <row r="1057">
      <c r="A1057">
        <v>3236</v>
      </c>
      <c r="B1057" t="s">
        <v>194</v>
      </c>
      <c r="C1057" t="s">
        <v>114</v>
      </c>
      <c r="D1057" t="s">
        <v>197</v>
      </c>
      <c r="E1057" t="s">
        <v>201</v>
      </c>
      <c r="U1057" t="s">
        <v>197</v>
      </c>
      <c r="V1057" t="s">
        <v>197</v>
      </c>
      <c r="W1057" t="s">
        <v>197</v>
      </c>
      <c r="X1057" t="s">
        <v>197</v>
      </c>
      <c r="Y1057" t="s">
        <v>209</v>
      </c>
    </row>
    <row r="1058">
      <c r="A1058">
        <v>3240</v>
      </c>
      <c r="B1058" t="s">
        <v>20</v>
      </c>
      <c r="C1058" t="s">
        <v>114</v>
      </c>
      <c r="D1058" t="s">
        <v>197</v>
      </c>
      <c r="E1058" t="s">
        <v>201</v>
      </c>
      <c r="U1058" t="s">
        <v>197</v>
      </c>
      <c r="V1058" t="s">
        <v>197</v>
      </c>
      <c r="W1058" t="s">
        <v>197</v>
      </c>
      <c r="X1058" t="s">
        <v>197</v>
      </c>
      <c r="Y1058" t="s">
        <v>202</v>
      </c>
    </row>
    <row r="1059">
      <c r="A1059">
        <v>3242</v>
      </c>
      <c r="B1059" t="s">
        <v>20</v>
      </c>
      <c r="C1059" t="s">
        <v>114</v>
      </c>
      <c r="D1059" t="s">
        <v>197</v>
      </c>
      <c r="E1059" t="s">
        <v>201</v>
      </c>
      <c r="U1059" t="s">
        <v>197</v>
      </c>
      <c r="V1059" t="s">
        <v>197</v>
      </c>
      <c r="W1059" t="s">
        <v>197</v>
      </c>
      <c r="X1059" t="s">
        <v>197</v>
      </c>
      <c r="Y1059" t="s">
        <v>202</v>
      </c>
    </row>
    <row r="1060">
      <c r="A1060">
        <v>3243</v>
      </c>
      <c r="B1060" t="s">
        <v>199</v>
      </c>
      <c r="C1060" t="s">
        <v>114</v>
      </c>
      <c r="D1060" t="s">
        <v>195</v>
      </c>
      <c r="E1060" t="s">
        <v>196</v>
      </c>
      <c r="F1060">
        <v>0.8</v>
      </c>
      <c r="G1060" t="s">
        <v>197</v>
      </c>
      <c r="H1060" t="s">
        <v>96</v>
      </c>
      <c r="I1060">
        <v>0.4</v>
      </c>
      <c r="J1060" t="s">
        <v>195</v>
      </c>
      <c r="K1060" t="s">
        <v>195</v>
      </c>
      <c r="L1060" t="s">
        <v>96</v>
      </c>
      <c r="M1060">
        <v>4.5</v>
      </c>
      <c r="N1060" t="s">
        <v>197</v>
      </c>
      <c r="R1060" t="s">
        <v>52</v>
      </c>
      <c r="S1060" t="s">
        <v>64</v>
      </c>
      <c r="T1060" t="s">
        <v>76</v>
      </c>
      <c r="U1060" t="s">
        <v>197</v>
      </c>
      <c r="V1060" t="s">
        <v>197</v>
      </c>
      <c r="W1060" t="s">
        <v>197</v>
      </c>
      <c r="X1060" t="s">
        <v>197</v>
      </c>
      <c r="Y1060" t="s">
        <v>206</v>
      </c>
    </row>
    <row r="1061">
      <c r="A1061">
        <v>3239</v>
      </c>
      <c r="B1061" t="s">
        <v>199</v>
      </c>
      <c r="C1061" t="s">
        <v>114</v>
      </c>
      <c r="D1061" t="s">
        <v>195</v>
      </c>
      <c r="E1061" t="s">
        <v>196</v>
      </c>
      <c r="F1061">
        <v>6.8</v>
      </c>
      <c r="G1061" t="s">
        <v>195</v>
      </c>
      <c r="H1061" t="s">
        <v>96</v>
      </c>
      <c r="I1061">
        <v>3.5</v>
      </c>
      <c r="J1061" t="s">
        <v>197</v>
      </c>
      <c r="K1061" t="s">
        <v>197</v>
      </c>
      <c r="L1061">
        <v/>
      </c>
      <c r="N1061" t="s">
        <v>197</v>
      </c>
      <c r="R1061" t="s">
        <v>53</v>
      </c>
      <c r="S1061" t="s">
        <v>68</v>
      </c>
      <c r="T1061" t="s">
        <v>76</v>
      </c>
      <c r="U1061" t="s">
        <v>197</v>
      </c>
      <c r="V1061" t="s">
        <v>197</v>
      </c>
      <c r="W1061" t="s">
        <v>197</v>
      </c>
      <c r="X1061" t="s">
        <v>197</v>
      </c>
      <c r="Y1061" t="s">
        <v>119</v>
      </c>
    </row>
    <row r="1062">
      <c r="A1062">
        <v>3241</v>
      </c>
      <c r="B1062" t="s">
        <v>20</v>
      </c>
      <c r="C1062" t="s">
        <v>114</v>
      </c>
      <c r="D1062" t="s">
        <v>197</v>
      </c>
      <c r="E1062" t="s">
        <v>201</v>
      </c>
      <c r="U1062" t="s">
        <v>197</v>
      </c>
      <c r="V1062" t="s">
        <v>197</v>
      </c>
      <c r="W1062" t="s">
        <v>197</v>
      </c>
      <c r="X1062" t="s">
        <v>197</v>
      </c>
      <c r="Y1062" t="s">
        <v>202</v>
      </c>
    </row>
    <row r="1063">
      <c r="A1063">
        <v>3246</v>
      </c>
      <c r="B1063" t="s">
        <v>20</v>
      </c>
      <c r="C1063" t="s">
        <v>114</v>
      </c>
      <c r="D1063" t="s">
        <v>197</v>
      </c>
      <c r="E1063" t="s">
        <v>201</v>
      </c>
      <c r="U1063" t="s">
        <v>197</v>
      </c>
      <c r="V1063" t="s">
        <v>197</v>
      </c>
      <c r="W1063" t="s">
        <v>197</v>
      </c>
      <c r="X1063" t="s">
        <v>197</v>
      </c>
      <c r="Y1063" t="s">
        <v>202</v>
      </c>
    </row>
    <row r="1064">
      <c r="A1064">
        <v>3250</v>
      </c>
      <c r="B1064" t="s">
        <v>199</v>
      </c>
      <c r="C1064" t="s">
        <v>114</v>
      </c>
      <c r="D1064" t="s">
        <v>197</v>
      </c>
      <c r="E1064" t="s">
        <v>201</v>
      </c>
      <c r="U1064" t="s">
        <v>197</v>
      </c>
      <c r="V1064" t="s">
        <v>197</v>
      </c>
      <c r="W1064" t="s">
        <v>197</v>
      </c>
      <c r="X1064" t="s">
        <v>197</v>
      </c>
      <c r="Y1064" t="s">
        <v>206</v>
      </c>
    </row>
    <row r="1065">
      <c r="A1065">
        <v>3248</v>
      </c>
      <c r="B1065" t="s">
        <v>20</v>
      </c>
      <c r="C1065" t="s">
        <v>114</v>
      </c>
      <c r="D1065" t="s">
        <v>195</v>
      </c>
      <c r="E1065" t="s">
        <v>196</v>
      </c>
      <c r="F1065">
        <v>100.6</v>
      </c>
      <c r="G1065" t="s">
        <v>197</v>
      </c>
      <c r="H1065" t="s">
        <v>94</v>
      </c>
      <c r="I1065">
        <v>1.7</v>
      </c>
      <c r="J1065" t="s">
        <v>195</v>
      </c>
      <c r="K1065" t="s">
        <v>195</v>
      </c>
      <c r="L1065" t="s">
        <v>94</v>
      </c>
      <c r="M1065">
        <v>6.6</v>
      </c>
      <c r="N1065" t="s">
        <v>195</v>
      </c>
      <c r="O1065" t="s">
        <v>94</v>
      </c>
      <c r="P1065">
        <v>5.9</v>
      </c>
      <c r="Q1065" t="s">
        <v>195</v>
      </c>
      <c r="R1065" t="s">
        <v>50</v>
      </c>
      <c r="T1065" t="s">
        <v>76</v>
      </c>
      <c r="U1065" t="s">
        <v>195</v>
      </c>
      <c r="V1065" t="s">
        <v>195</v>
      </c>
      <c r="W1065" t="s">
        <v>195</v>
      </c>
      <c r="X1065" t="s">
        <v>197</v>
      </c>
      <c r="Y1065" t="s">
        <v>104</v>
      </c>
    </row>
    <row r="1066">
      <c r="A1066">
        <v>3249</v>
      </c>
      <c r="B1066" t="s">
        <v>194</v>
      </c>
      <c r="C1066" t="s">
        <v>114</v>
      </c>
      <c r="D1066" t="s">
        <v>197</v>
      </c>
      <c r="E1066" t="s">
        <v>201</v>
      </c>
      <c r="U1066" t="s">
        <v>197</v>
      </c>
      <c r="V1066" t="s">
        <v>197</v>
      </c>
      <c r="W1066" t="s">
        <v>197</v>
      </c>
      <c r="X1066" t="s">
        <v>197</v>
      </c>
      <c r="Y1066" t="s">
        <v>209</v>
      </c>
    </row>
    <row r="1067">
      <c r="A1067">
        <v>3252</v>
      </c>
      <c r="B1067" t="s">
        <v>20</v>
      </c>
      <c r="C1067" t="s">
        <v>114</v>
      </c>
      <c r="D1067" t="s">
        <v>195</v>
      </c>
      <c r="E1067" t="s">
        <v>196</v>
      </c>
      <c r="F1067">
        <v>3.3</v>
      </c>
      <c r="G1067" t="s">
        <v>197</v>
      </c>
      <c r="H1067" t="s">
        <v>95</v>
      </c>
      <c r="I1067">
        <v>3.2</v>
      </c>
      <c r="J1067" t="s">
        <v>195</v>
      </c>
      <c r="K1067" t="s">
        <v>195</v>
      </c>
      <c r="L1067" t="s">
        <v>95</v>
      </c>
      <c r="M1067">
        <v>5.6</v>
      </c>
      <c r="N1067" t="s">
        <v>195</v>
      </c>
      <c r="O1067" t="s">
        <v>95</v>
      </c>
      <c r="P1067">
        <v>6</v>
      </c>
      <c r="Q1067" t="s">
        <v>195</v>
      </c>
      <c r="R1067" t="s">
        <v>49</v>
      </c>
      <c r="T1067" t="s">
        <v>76</v>
      </c>
      <c r="U1067" t="s">
        <v>197</v>
      </c>
      <c r="V1067" t="s">
        <v>197</v>
      </c>
      <c r="W1067" t="s">
        <v>197</v>
      </c>
      <c r="X1067" t="s">
        <v>197</v>
      </c>
      <c r="Y1067" t="s">
        <v>198</v>
      </c>
    </row>
    <row r="1068">
      <c r="A1068">
        <v>3256</v>
      </c>
      <c r="B1068" t="s">
        <v>199</v>
      </c>
      <c r="C1068" t="s">
        <v>114</v>
      </c>
      <c r="D1068" t="s">
        <v>195</v>
      </c>
      <c r="E1068" t="s">
        <v>196</v>
      </c>
      <c r="F1068">
        <v>0.8</v>
      </c>
      <c r="G1068" t="s">
        <v>197</v>
      </c>
      <c r="H1068" t="s">
        <v>94</v>
      </c>
      <c r="I1068">
        <v>2</v>
      </c>
      <c r="J1068" t="s">
        <v>195</v>
      </c>
      <c r="K1068" t="s">
        <v>195</v>
      </c>
      <c r="L1068" t="s">
        <v>94</v>
      </c>
      <c r="M1068">
        <v>4.3</v>
      </c>
      <c r="N1068" t="s">
        <v>195</v>
      </c>
      <c r="O1068" t="s">
        <v>94</v>
      </c>
      <c r="P1068">
        <v>4.5</v>
      </c>
      <c r="Q1068" t="s">
        <v>195</v>
      </c>
      <c r="R1068" t="s">
        <v>49</v>
      </c>
      <c r="T1068" t="s">
        <v>76</v>
      </c>
      <c r="U1068" t="s">
        <v>197</v>
      </c>
      <c r="V1068" t="s">
        <v>197</v>
      </c>
      <c r="W1068" t="s">
        <v>197</v>
      </c>
      <c r="X1068" t="s">
        <v>197</v>
      </c>
      <c r="Y1068" t="s">
        <v>210</v>
      </c>
    </row>
    <row r="1069">
      <c r="A1069">
        <v>3254</v>
      </c>
      <c r="B1069" t="s">
        <v>20</v>
      </c>
      <c r="C1069" t="s">
        <v>114</v>
      </c>
      <c r="D1069" t="s">
        <v>195</v>
      </c>
      <c r="E1069" t="s">
        <v>196</v>
      </c>
      <c r="F1069">
        <v>3.4</v>
      </c>
      <c r="G1069" t="s">
        <v>195</v>
      </c>
      <c r="H1069" t="s">
        <v>95</v>
      </c>
      <c r="I1069">
        <v>2.9</v>
      </c>
      <c r="J1069" t="s">
        <v>195</v>
      </c>
      <c r="K1069" t="s">
        <v>195</v>
      </c>
      <c r="L1069" t="s">
        <v>95</v>
      </c>
      <c r="M1069">
        <v>6</v>
      </c>
      <c r="N1069" t="s">
        <v>195</v>
      </c>
      <c r="O1069" t="s">
        <v>95</v>
      </c>
      <c r="P1069">
        <v>7.3</v>
      </c>
      <c r="Q1069" t="s">
        <v>195</v>
      </c>
      <c r="R1069" t="s">
        <v>49</v>
      </c>
      <c r="T1069" t="s">
        <v>76</v>
      </c>
      <c r="U1069" t="s">
        <v>195</v>
      </c>
      <c r="V1069" t="s">
        <v>195</v>
      </c>
      <c r="W1069" t="s">
        <v>197</v>
      </c>
      <c r="X1069" t="s">
        <v>197</v>
      </c>
      <c r="Y1069" t="s">
        <v>211</v>
      </c>
    </row>
    <row r="1070">
      <c r="A1070">
        <v>3258</v>
      </c>
      <c r="B1070" t="s">
        <v>20</v>
      </c>
      <c r="C1070" t="s">
        <v>114</v>
      </c>
      <c r="D1070" t="s">
        <v>195</v>
      </c>
      <c r="E1070" t="s">
        <v>196</v>
      </c>
      <c r="F1070">
        <v>4.6</v>
      </c>
      <c r="G1070" t="s">
        <v>197</v>
      </c>
      <c r="H1070" t="s">
        <v>95</v>
      </c>
      <c r="I1070">
        <v>0.3</v>
      </c>
      <c r="J1070" t="s">
        <v>195</v>
      </c>
      <c r="K1070" t="s">
        <v>195</v>
      </c>
      <c r="L1070" t="s">
        <v>95</v>
      </c>
      <c r="M1070">
        <v>1.9</v>
      </c>
      <c r="N1070" t="s">
        <v>195</v>
      </c>
      <c r="O1070" t="s">
        <v>95</v>
      </c>
      <c r="P1070">
        <v>2.1</v>
      </c>
      <c r="Q1070" t="s">
        <v>195</v>
      </c>
      <c r="R1070" t="s">
        <v>49</v>
      </c>
      <c r="T1070" t="s">
        <v>76</v>
      </c>
      <c r="U1070" t="s">
        <v>197</v>
      </c>
      <c r="V1070" t="s">
        <v>197</v>
      </c>
      <c r="W1070" t="s">
        <v>197</v>
      </c>
      <c r="X1070" t="s">
        <v>197</v>
      </c>
      <c r="Y1070" t="s">
        <v>198</v>
      </c>
    </row>
    <row r="1071">
      <c r="A1071">
        <v>3260</v>
      </c>
      <c r="B1071" t="s">
        <v>20</v>
      </c>
      <c r="C1071" t="s">
        <v>114</v>
      </c>
      <c r="D1071" t="s">
        <v>195</v>
      </c>
      <c r="E1071" t="s">
        <v>196</v>
      </c>
      <c r="F1071">
        <v>4.2</v>
      </c>
      <c r="G1071" t="s">
        <v>197</v>
      </c>
      <c r="H1071" t="s">
        <v>95</v>
      </c>
      <c r="I1071">
        <v>0.3</v>
      </c>
      <c r="J1071" t="s">
        <v>195</v>
      </c>
      <c r="K1071" t="s">
        <v>195</v>
      </c>
      <c r="L1071" t="s">
        <v>95</v>
      </c>
      <c r="M1071">
        <v>4.2</v>
      </c>
      <c r="N1071" t="s">
        <v>195</v>
      </c>
      <c r="O1071" t="s">
        <v>95</v>
      </c>
      <c r="P1071">
        <v>4.6</v>
      </c>
      <c r="Q1071" t="s">
        <v>195</v>
      </c>
      <c r="R1071" t="s">
        <v>49</v>
      </c>
      <c r="T1071" t="s">
        <v>76</v>
      </c>
      <c r="U1071" t="s">
        <v>195</v>
      </c>
      <c r="V1071" t="s">
        <v>197</v>
      </c>
      <c r="W1071" t="s">
        <v>197</v>
      </c>
      <c r="X1071" t="s">
        <v>197</v>
      </c>
      <c r="Y1071" t="s">
        <v>202</v>
      </c>
    </row>
    <row r="1072">
      <c r="A1072">
        <v>3259</v>
      </c>
      <c r="B1072" t="s">
        <v>20</v>
      </c>
      <c r="C1072" t="s">
        <v>114</v>
      </c>
      <c r="D1072" t="s">
        <v>195</v>
      </c>
      <c r="E1072" t="s">
        <v>200</v>
      </c>
      <c r="F1072">
        <v>1431.7</v>
      </c>
      <c r="G1072" t="s">
        <v>197</v>
      </c>
      <c r="H1072" t="s">
        <v>93</v>
      </c>
      <c r="I1072">
        <v>0.6</v>
      </c>
      <c r="J1072" t="s">
        <v>197</v>
      </c>
      <c r="K1072" t="s">
        <v>197</v>
      </c>
      <c r="L1072">
        <v/>
      </c>
      <c r="N1072" t="s">
        <v>197</v>
      </c>
      <c r="R1072" t="s">
        <v>53</v>
      </c>
      <c r="S1072" t="s">
        <v>64</v>
      </c>
      <c r="T1072" t="s">
        <v>76</v>
      </c>
      <c r="U1072" t="s">
        <v>197</v>
      </c>
      <c r="V1072" t="s">
        <v>197</v>
      </c>
      <c r="W1072" t="s">
        <v>197</v>
      </c>
      <c r="X1072" t="s">
        <v>197</v>
      </c>
      <c r="Y1072" t="s">
        <v>198</v>
      </c>
    </row>
    <row r="1073">
      <c r="A1073">
        <v>3262</v>
      </c>
      <c r="B1073" t="s">
        <v>194</v>
      </c>
      <c r="C1073" t="s">
        <v>114</v>
      </c>
      <c r="D1073" t="s">
        <v>197</v>
      </c>
      <c r="E1073" t="s">
        <v>201</v>
      </c>
      <c r="U1073" t="s">
        <v>197</v>
      </c>
      <c r="V1073" t="s">
        <v>197</v>
      </c>
      <c r="W1073" t="s">
        <v>197</v>
      </c>
      <c r="X1073" t="s">
        <v>197</v>
      </c>
      <c r="Y1073" t="s">
        <v>209</v>
      </c>
    </row>
    <row r="1074">
      <c r="A1074">
        <v>3264</v>
      </c>
      <c r="B1074" t="s">
        <v>20</v>
      </c>
      <c r="C1074" t="s">
        <v>114</v>
      </c>
      <c r="D1074" t="s">
        <v>195</v>
      </c>
      <c r="E1074" t="s">
        <v>196</v>
      </c>
      <c r="F1074">
        <v>0.2</v>
      </c>
      <c r="G1074" t="s">
        <v>197</v>
      </c>
      <c r="H1074" t="s">
        <v>94</v>
      </c>
      <c r="I1074">
        <v>0.7</v>
      </c>
      <c r="J1074" t="s">
        <v>195</v>
      </c>
      <c r="K1074" t="s">
        <v>195</v>
      </c>
      <c r="L1074" t="s">
        <v>94</v>
      </c>
      <c r="M1074">
        <v>4.8</v>
      </c>
      <c r="N1074" t="s">
        <v>195</v>
      </c>
      <c r="O1074" t="s">
        <v>94</v>
      </c>
      <c r="P1074">
        <v>4.8</v>
      </c>
      <c r="Q1074" t="s">
        <v>195</v>
      </c>
      <c r="R1074" t="s">
        <v>49</v>
      </c>
      <c r="T1074" t="s">
        <v>76</v>
      </c>
      <c r="U1074" t="s">
        <v>197</v>
      </c>
      <c r="V1074" t="s">
        <v>197</v>
      </c>
      <c r="W1074" t="s">
        <v>197</v>
      </c>
      <c r="X1074" t="s">
        <v>197</v>
      </c>
      <c r="Y1074" t="s">
        <v>203</v>
      </c>
    </row>
    <row r="1075">
      <c r="A1075">
        <v>3263</v>
      </c>
      <c r="B1075" t="s">
        <v>20</v>
      </c>
      <c r="C1075" t="s">
        <v>114</v>
      </c>
      <c r="D1075" t="s">
        <v>197</v>
      </c>
      <c r="E1075" t="s">
        <v>201</v>
      </c>
      <c r="U1075" t="s">
        <v>197</v>
      </c>
      <c r="V1075" t="s">
        <v>197</v>
      </c>
      <c r="W1075" t="s">
        <v>197</v>
      </c>
      <c r="X1075" t="s">
        <v>197</v>
      </c>
      <c r="Y1075" t="s">
        <v>202</v>
      </c>
    </row>
    <row r="1076">
      <c r="A1076">
        <v>3265</v>
      </c>
      <c r="B1076" t="s">
        <v>199</v>
      </c>
      <c r="C1076" t="s">
        <v>114</v>
      </c>
      <c r="D1076" t="s">
        <v>197</v>
      </c>
      <c r="E1076" t="s">
        <v>201</v>
      </c>
      <c r="U1076" t="s">
        <v>197</v>
      </c>
      <c r="V1076" t="s">
        <v>197</v>
      </c>
      <c r="W1076" t="s">
        <v>197</v>
      </c>
      <c r="X1076" t="s">
        <v>197</v>
      </c>
      <c r="Y1076" t="s">
        <v>206</v>
      </c>
    </row>
    <row r="1077">
      <c r="A1077">
        <v>3266</v>
      </c>
      <c r="B1077" t="s">
        <v>20</v>
      </c>
      <c r="C1077" t="s">
        <v>114</v>
      </c>
      <c r="D1077" t="s">
        <v>197</v>
      </c>
      <c r="E1077" t="s">
        <v>201</v>
      </c>
      <c r="U1077" t="s">
        <v>197</v>
      </c>
      <c r="V1077" t="s">
        <v>197</v>
      </c>
      <c r="W1077" t="s">
        <v>197</v>
      </c>
      <c r="X1077" t="s">
        <v>197</v>
      </c>
      <c r="Y1077" t="s">
        <v>202</v>
      </c>
    </row>
    <row r="1078">
      <c r="A1078">
        <v>3271</v>
      </c>
      <c r="B1078" t="s">
        <v>20</v>
      </c>
      <c r="C1078" t="s">
        <v>114</v>
      </c>
      <c r="D1078" t="s">
        <v>195</v>
      </c>
      <c r="E1078" t="s">
        <v>196</v>
      </c>
      <c r="F1078">
        <v>1.4</v>
      </c>
      <c r="G1078" t="s">
        <v>197</v>
      </c>
      <c r="H1078" t="s">
        <v>94</v>
      </c>
      <c r="I1078">
        <v>2.5</v>
      </c>
      <c r="J1078" t="s">
        <v>197</v>
      </c>
      <c r="K1078" t="s">
        <v>197</v>
      </c>
      <c r="L1078">
        <v/>
      </c>
      <c r="N1078" t="s">
        <v>197</v>
      </c>
      <c r="R1078" t="s">
        <v>53</v>
      </c>
      <c r="S1078" t="s">
        <v>68</v>
      </c>
      <c r="T1078" t="s">
        <v>76</v>
      </c>
      <c r="U1078" t="s">
        <v>197</v>
      </c>
      <c r="V1078" t="s">
        <v>197</v>
      </c>
      <c r="W1078" t="s">
        <v>197</v>
      </c>
      <c r="X1078" t="s">
        <v>197</v>
      </c>
      <c r="Y1078" t="s">
        <v>119</v>
      </c>
    </row>
    <row r="1079">
      <c r="A1079">
        <v>3272</v>
      </c>
      <c r="B1079" t="s">
        <v>20</v>
      </c>
      <c r="C1079" t="s">
        <v>114</v>
      </c>
      <c r="D1079" t="s">
        <v>197</v>
      </c>
      <c r="E1079" t="s">
        <v>201</v>
      </c>
      <c r="U1079" t="s">
        <v>197</v>
      </c>
      <c r="V1079" t="s">
        <v>197</v>
      </c>
      <c r="W1079" t="s">
        <v>197</v>
      </c>
      <c r="X1079" t="s">
        <v>197</v>
      </c>
      <c r="Y1079" t="s">
        <v>202</v>
      </c>
    </row>
    <row r="1080">
      <c r="A1080">
        <v>3269</v>
      </c>
      <c r="B1080" t="s">
        <v>194</v>
      </c>
      <c r="C1080" t="s">
        <v>114</v>
      </c>
      <c r="D1080" t="s">
        <v>197</v>
      </c>
      <c r="E1080" t="s">
        <v>201</v>
      </c>
      <c r="U1080" t="s">
        <v>197</v>
      </c>
      <c r="V1080" t="s">
        <v>197</v>
      </c>
      <c r="W1080" t="s">
        <v>197</v>
      </c>
      <c r="X1080" t="s">
        <v>197</v>
      </c>
      <c r="Y1080" t="s">
        <v>209</v>
      </c>
    </row>
    <row r="1081">
      <c r="A1081">
        <v>3277</v>
      </c>
      <c r="B1081" t="s">
        <v>199</v>
      </c>
      <c r="C1081" t="s">
        <v>114</v>
      </c>
      <c r="D1081" t="s">
        <v>197</v>
      </c>
      <c r="E1081" t="s">
        <v>201</v>
      </c>
      <c r="U1081" t="s">
        <v>197</v>
      </c>
      <c r="V1081" t="s">
        <v>197</v>
      </c>
      <c r="W1081" t="s">
        <v>197</v>
      </c>
      <c r="X1081" t="s">
        <v>197</v>
      </c>
      <c r="Y1081" t="s">
        <v>206</v>
      </c>
    </row>
    <row r="1082">
      <c r="A1082">
        <v>3280</v>
      </c>
      <c r="B1082" t="s">
        <v>199</v>
      </c>
      <c r="C1082" t="s">
        <v>114</v>
      </c>
      <c r="D1082" t="s">
        <v>195</v>
      </c>
      <c r="E1082" t="s">
        <v>196</v>
      </c>
      <c r="F1082">
        <v>0.8</v>
      </c>
      <c r="G1082" t="s">
        <v>197</v>
      </c>
      <c r="H1082" t="s">
        <v>94</v>
      </c>
      <c r="I1082">
        <v>0.4</v>
      </c>
      <c r="J1082" t="s">
        <v>197</v>
      </c>
      <c r="K1082" t="s">
        <v>197</v>
      </c>
      <c r="L1082">
        <v/>
      </c>
      <c r="N1082" t="s">
        <v>197</v>
      </c>
      <c r="R1082" t="s">
        <v>53</v>
      </c>
      <c r="S1082" t="s">
        <v>64</v>
      </c>
      <c r="T1082" t="s">
        <v>77</v>
      </c>
      <c r="U1082" t="s">
        <v>197</v>
      </c>
      <c r="V1082" t="s">
        <v>197</v>
      </c>
      <c r="W1082" t="s">
        <v>197</v>
      </c>
      <c r="X1082" t="s">
        <v>197</v>
      </c>
      <c r="Y1082" t="s">
        <v>206</v>
      </c>
    </row>
    <row r="1083">
      <c r="A1083">
        <v>3284</v>
      </c>
      <c r="B1083" t="s">
        <v>194</v>
      </c>
      <c r="C1083" t="s">
        <v>114</v>
      </c>
      <c r="D1083" t="s">
        <v>195</v>
      </c>
      <c r="E1083" t="s">
        <v>196</v>
      </c>
      <c r="F1083">
        <v>13.3</v>
      </c>
      <c r="G1083" t="s">
        <v>197</v>
      </c>
      <c r="H1083" t="s">
        <v>95</v>
      </c>
      <c r="I1083">
        <v>0.2</v>
      </c>
      <c r="J1083" t="s">
        <v>195</v>
      </c>
      <c r="K1083" t="s">
        <v>195</v>
      </c>
      <c r="L1083" t="s">
        <v>95</v>
      </c>
      <c r="M1083">
        <v>3.4</v>
      </c>
      <c r="N1083" t="s">
        <v>195</v>
      </c>
      <c r="O1083" t="s">
        <v>95</v>
      </c>
      <c r="P1083">
        <v>3.7</v>
      </c>
      <c r="Q1083" t="s">
        <v>195</v>
      </c>
      <c r="R1083" t="s">
        <v>49</v>
      </c>
      <c r="T1083" t="s">
        <v>77</v>
      </c>
      <c r="U1083" t="s">
        <v>197</v>
      </c>
      <c r="V1083" t="s">
        <v>197</v>
      </c>
      <c r="W1083" t="s">
        <v>197</v>
      </c>
      <c r="X1083" t="s">
        <v>197</v>
      </c>
      <c r="Y1083" t="s">
        <v>209</v>
      </c>
    </row>
    <row r="1084">
      <c r="A1084">
        <v>3279</v>
      </c>
      <c r="B1084" t="s">
        <v>20</v>
      </c>
      <c r="C1084" t="s">
        <v>114</v>
      </c>
      <c r="D1084" t="s">
        <v>197</v>
      </c>
      <c r="E1084" t="s">
        <v>201</v>
      </c>
      <c r="U1084" t="s">
        <v>197</v>
      </c>
      <c r="V1084" t="s">
        <v>197</v>
      </c>
      <c r="W1084" t="s">
        <v>197</v>
      </c>
      <c r="X1084" t="s">
        <v>197</v>
      </c>
      <c r="Y1084" t="s">
        <v>202</v>
      </c>
    </row>
    <row r="1085">
      <c r="A1085">
        <v>3289</v>
      </c>
      <c r="B1085" t="s">
        <v>20</v>
      </c>
      <c r="C1085" t="s">
        <v>114</v>
      </c>
      <c r="D1085" t="s">
        <v>195</v>
      </c>
      <c r="E1085" t="s">
        <v>196</v>
      </c>
      <c r="F1085">
        <v>0.1</v>
      </c>
      <c r="G1085" t="s">
        <v>197</v>
      </c>
      <c r="H1085" t="s">
        <v>94</v>
      </c>
      <c r="I1085">
        <v>0.5</v>
      </c>
      <c r="J1085" t="s">
        <v>197</v>
      </c>
      <c r="K1085" t="s">
        <v>197</v>
      </c>
      <c r="L1085">
        <v/>
      </c>
      <c r="N1085" t="s">
        <v>197</v>
      </c>
      <c r="R1085" t="s">
        <v>53</v>
      </c>
      <c r="S1085" t="s">
        <v>64</v>
      </c>
      <c r="T1085" t="s">
        <v>77</v>
      </c>
      <c r="U1085" t="s">
        <v>197</v>
      </c>
      <c r="V1085" t="s">
        <v>197</v>
      </c>
      <c r="W1085" t="s">
        <v>197</v>
      </c>
      <c r="X1085" t="s">
        <v>197</v>
      </c>
      <c r="Y1085" t="s">
        <v>202</v>
      </c>
    </row>
    <row r="1086">
      <c r="A1086">
        <v>3290</v>
      </c>
      <c r="B1086" t="s">
        <v>20</v>
      </c>
      <c r="C1086" t="s">
        <v>114</v>
      </c>
      <c r="D1086" t="s">
        <v>197</v>
      </c>
      <c r="E1086" t="s">
        <v>201</v>
      </c>
      <c r="U1086" t="s">
        <v>197</v>
      </c>
      <c r="V1086" t="s">
        <v>197</v>
      </c>
      <c r="W1086" t="s">
        <v>197</v>
      </c>
      <c r="X1086" t="s">
        <v>197</v>
      </c>
      <c r="Y1086" t="s">
        <v>202</v>
      </c>
    </row>
    <row r="1087">
      <c r="A1087">
        <v>3292</v>
      </c>
      <c r="B1087" t="s">
        <v>199</v>
      </c>
      <c r="C1087" t="s">
        <v>114</v>
      </c>
      <c r="D1087" t="s">
        <v>195</v>
      </c>
      <c r="E1087" t="s">
        <v>196</v>
      </c>
      <c r="F1087">
        <v>2.7</v>
      </c>
      <c r="G1087" t="s">
        <v>197</v>
      </c>
      <c r="H1087" t="s">
        <v>94</v>
      </c>
      <c r="I1087">
        <v>13.4</v>
      </c>
      <c r="J1087" t="s">
        <v>195</v>
      </c>
      <c r="K1087" t="s">
        <v>195</v>
      </c>
      <c r="L1087" t="s">
        <v>94</v>
      </c>
      <c r="M1087">
        <v>16.2</v>
      </c>
      <c r="N1087" t="s">
        <v>195</v>
      </c>
      <c r="O1087" t="s">
        <v>94</v>
      </c>
      <c r="P1087">
        <v>16.3</v>
      </c>
      <c r="Q1087" t="s">
        <v>195</v>
      </c>
      <c r="R1087" t="s">
        <v>49</v>
      </c>
      <c r="T1087" t="s">
        <v>77</v>
      </c>
      <c r="U1087" t="s">
        <v>195</v>
      </c>
      <c r="V1087" t="s">
        <v>195</v>
      </c>
      <c r="W1087" t="s">
        <v>197</v>
      </c>
      <c r="X1087" t="s">
        <v>197</v>
      </c>
      <c r="Y1087" t="s">
        <v>206</v>
      </c>
    </row>
    <row r="1088">
      <c r="A1088">
        <v>3294</v>
      </c>
      <c r="B1088" t="s">
        <v>194</v>
      </c>
      <c r="C1088" t="s">
        <v>114</v>
      </c>
      <c r="D1088" t="s">
        <v>197</v>
      </c>
      <c r="E1088" t="s">
        <v>201</v>
      </c>
      <c r="U1088" t="s">
        <v>197</v>
      </c>
      <c r="V1088" t="s">
        <v>197</v>
      </c>
      <c r="W1088" t="s">
        <v>197</v>
      </c>
      <c r="X1088" t="s">
        <v>197</v>
      </c>
      <c r="Y1088" t="s">
        <v>209</v>
      </c>
    </row>
    <row r="1089">
      <c r="A1089">
        <v>3302</v>
      </c>
      <c r="B1089" t="s">
        <v>20</v>
      </c>
      <c r="C1089" t="s">
        <v>114</v>
      </c>
      <c r="D1089" t="s">
        <v>197</v>
      </c>
      <c r="E1089" t="s">
        <v>201</v>
      </c>
      <c r="U1089" t="s">
        <v>197</v>
      </c>
      <c r="V1089" t="s">
        <v>197</v>
      </c>
      <c r="W1089" t="s">
        <v>197</v>
      </c>
      <c r="X1089" t="s">
        <v>197</v>
      </c>
      <c r="Y1089" t="s">
        <v>202</v>
      </c>
    </row>
    <row r="1090">
      <c r="A1090">
        <v>3303</v>
      </c>
      <c r="B1090" t="s">
        <v>20</v>
      </c>
      <c r="C1090" t="s">
        <v>114</v>
      </c>
      <c r="D1090" t="s">
        <v>197</v>
      </c>
      <c r="E1090" t="s">
        <v>201</v>
      </c>
      <c r="U1090" t="s">
        <v>197</v>
      </c>
      <c r="V1090" t="s">
        <v>197</v>
      </c>
      <c r="W1090" t="s">
        <v>197</v>
      </c>
      <c r="X1090" t="s">
        <v>197</v>
      </c>
      <c r="Y1090" t="s">
        <v>202</v>
      </c>
    </row>
    <row r="1091">
      <c r="A1091">
        <v>3304</v>
      </c>
      <c r="B1091" t="s">
        <v>194</v>
      </c>
      <c r="C1091" t="s">
        <v>114</v>
      </c>
      <c r="D1091" t="s">
        <v>197</v>
      </c>
      <c r="E1091" t="s">
        <v>201</v>
      </c>
      <c r="U1091" t="s">
        <v>197</v>
      </c>
      <c r="V1091" t="s">
        <v>197</v>
      </c>
      <c r="W1091" t="s">
        <v>197</v>
      </c>
      <c r="X1091" t="s">
        <v>197</v>
      </c>
      <c r="Y1091" t="s">
        <v>209</v>
      </c>
    </row>
    <row r="1092">
      <c r="A1092">
        <v>3312</v>
      </c>
      <c r="B1092" t="s">
        <v>199</v>
      </c>
      <c r="C1092" t="s">
        <v>114</v>
      </c>
      <c r="D1092" t="s">
        <v>195</v>
      </c>
      <c r="E1092" t="s">
        <v>196</v>
      </c>
      <c r="F1092">
        <v>0.1</v>
      </c>
      <c r="G1092" t="s">
        <v>197</v>
      </c>
      <c r="H1092" t="s">
        <v>93</v>
      </c>
      <c r="I1092">
        <v>447</v>
      </c>
      <c r="J1092" t="s">
        <v>197</v>
      </c>
      <c r="K1092" t="s">
        <v>197</v>
      </c>
      <c r="L1092">
        <v/>
      </c>
      <c r="N1092" t="s">
        <v>197</v>
      </c>
      <c r="R1092" t="s">
        <v>53</v>
      </c>
      <c r="S1092" t="s">
        <v>64</v>
      </c>
      <c r="T1092" t="s">
        <v>78</v>
      </c>
      <c r="U1092" t="s">
        <v>197</v>
      </c>
      <c r="V1092" t="s">
        <v>197</v>
      </c>
      <c r="W1092" t="s">
        <v>197</v>
      </c>
      <c r="X1092" t="s">
        <v>197</v>
      </c>
      <c r="Y1092" t="s">
        <v>206</v>
      </c>
    </row>
    <row r="1093">
      <c r="A1093">
        <v>3316</v>
      </c>
      <c r="B1093" t="s">
        <v>194</v>
      </c>
      <c r="C1093" t="s">
        <v>114</v>
      </c>
      <c r="D1093" t="s">
        <v>197</v>
      </c>
      <c r="E1093" t="s">
        <v>201</v>
      </c>
      <c r="U1093" t="s">
        <v>197</v>
      </c>
      <c r="V1093" t="s">
        <v>197</v>
      </c>
      <c r="W1093" t="s">
        <v>197</v>
      </c>
      <c r="X1093" t="s">
        <v>197</v>
      </c>
      <c r="Y1093" t="s">
        <v>209</v>
      </c>
    </row>
    <row r="1094">
      <c r="A1094">
        <v>3317</v>
      </c>
      <c r="B1094" t="s">
        <v>199</v>
      </c>
      <c r="C1094" t="s">
        <v>114</v>
      </c>
      <c r="D1094" t="s">
        <v>197</v>
      </c>
      <c r="E1094" t="s">
        <v>201</v>
      </c>
      <c r="U1094" t="s">
        <v>197</v>
      </c>
      <c r="V1094" t="s">
        <v>197</v>
      </c>
      <c r="W1094" t="s">
        <v>197</v>
      </c>
      <c r="X1094" t="s">
        <v>197</v>
      </c>
      <c r="Y1094" t="s">
        <v>206</v>
      </c>
    </row>
    <row r="1095">
      <c r="A1095">
        <v>3308</v>
      </c>
      <c r="B1095" t="s">
        <v>20</v>
      </c>
      <c r="C1095" t="s">
        <v>114</v>
      </c>
      <c r="D1095" t="s">
        <v>195</v>
      </c>
      <c r="E1095" t="s">
        <v>196</v>
      </c>
      <c r="F1095">
        <v>71.2</v>
      </c>
      <c r="G1095" t="s">
        <v>197</v>
      </c>
      <c r="H1095" t="s">
        <v>93</v>
      </c>
      <c r="I1095">
        <v>0.8</v>
      </c>
      <c r="J1095" t="s">
        <v>197</v>
      </c>
      <c r="K1095" t="s">
        <v>197</v>
      </c>
      <c r="L1095">
        <v/>
      </c>
      <c r="N1095" t="s">
        <v>197</v>
      </c>
      <c r="R1095" t="s">
        <v>53</v>
      </c>
      <c r="S1095" t="s">
        <v>64</v>
      </c>
      <c r="T1095" t="s">
        <v>76</v>
      </c>
      <c r="U1095" t="s">
        <v>197</v>
      </c>
      <c r="V1095" t="s">
        <v>197</v>
      </c>
      <c r="W1095" t="s">
        <v>197</v>
      </c>
      <c r="X1095" t="s">
        <v>197</v>
      </c>
      <c r="Y1095" t="s">
        <v>198</v>
      </c>
    </row>
    <row r="1096">
      <c r="A1096">
        <v>3311</v>
      </c>
      <c r="B1096" t="s">
        <v>20</v>
      </c>
      <c r="C1096" t="s">
        <v>114</v>
      </c>
      <c r="D1096" t="s">
        <v>197</v>
      </c>
      <c r="E1096" t="s">
        <v>201</v>
      </c>
      <c r="U1096" t="s">
        <v>197</v>
      </c>
      <c r="V1096" t="s">
        <v>197</v>
      </c>
      <c r="W1096" t="s">
        <v>197</v>
      </c>
      <c r="X1096" t="s">
        <v>197</v>
      </c>
      <c r="Y1096" t="s">
        <v>202</v>
      </c>
    </row>
    <row r="1097">
      <c r="A1097">
        <v>3320</v>
      </c>
      <c r="B1097" t="s">
        <v>20</v>
      </c>
      <c r="C1097" t="s">
        <v>114</v>
      </c>
      <c r="D1097" t="s">
        <v>197</v>
      </c>
      <c r="E1097" t="s">
        <v>201</v>
      </c>
      <c r="U1097" t="s">
        <v>197</v>
      </c>
      <c r="V1097" t="s">
        <v>197</v>
      </c>
      <c r="W1097" t="s">
        <v>197</v>
      </c>
      <c r="X1097" t="s">
        <v>197</v>
      </c>
      <c r="Y1097" t="s">
        <v>202</v>
      </c>
    </row>
    <row r="1098">
      <c r="A1098">
        <v>3324</v>
      </c>
      <c r="B1098" t="s">
        <v>20</v>
      </c>
      <c r="C1098" t="s">
        <v>114</v>
      </c>
      <c r="D1098" t="s">
        <v>197</v>
      </c>
      <c r="E1098" t="s">
        <v>201</v>
      </c>
      <c r="U1098" t="s">
        <v>197</v>
      </c>
      <c r="V1098" t="s">
        <v>197</v>
      </c>
      <c r="W1098" t="s">
        <v>197</v>
      </c>
      <c r="X1098" t="s">
        <v>197</v>
      </c>
      <c r="Y1098" t="s">
        <v>202</v>
      </c>
    </row>
    <row r="1099">
      <c r="A1099">
        <v>3326</v>
      </c>
      <c r="B1099" t="s">
        <v>20</v>
      </c>
      <c r="C1099" t="s">
        <v>114</v>
      </c>
      <c r="D1099" t="s">
        <v>197</v>
      </c>
      <c r="E1099" t="s">
        <v>201</v>
      </c>
      <c r="U1099" t="s">
        <v>197</v>
      </c>
      <c r="V1099" t="s">
        <v>197</v>
      </c>
      <c r="W1099" t="s">
        <v>197</v>
      </c>
      <c r="X1099" t="s">
        <v>197</v>
      </c>
      <c r="Y1099" t="s">
        <v>202</v>
      </c>
    </row>
    <row r="1100">
      <c r="A1100">
        <v>3337</v>
      </c>
      <c r="B1100" t="s">
        <v>20</v>
      </c>
      <c r="C1100" t="s">
        <v>114</v>
      </c>
      <c r="D1100" t="s">
        <v>195</v>
      </c>
      <c r="E1100" t="s">
        <v>196</v>
      </c>
      <c r="F1100">
        <v>21.1</v>
      </c>
      <c r="G1100" t="s">
        <v>197</v>
      </c>
      <c r="H1100" t="s">
        <v>93</v>
      </c>
      <c r="I1100">
        <v>4.5</v>
      </c>
      <c r="J1100" t="s">
        <v>197</v>
      </c>
      <c r="K1100" t="s">
        <v>195</v>
      </c>
      <c r="L1100" t="s">
        <v>93</v>
      </c>
      <c r="M1100">
        <v>4.5</v>
      </c>
      <c r="N1100" t="s">
        <v>195</v>
      </c>
      <c r="O1100" t="s">
        <v>93</v>
      </c>
      <c r="P1100">
        <v>4.8</v>
      </c>
      <c r="Q1100" t="s">
        <v>195</v>
      </c>
      <c r="R1100" t="s">
        <v>49</v>
      </c>
      <c r="T1100" t="s">
        <v>76</v>
      </c>
      <c r="U1100" t="s">
        <v>197</v>
      </c>
      <c r="V1100" t="s">
        <v>197</v>
      </c>
      <c r="W1100" t="s">
        <v>197</v>
      </c>
      <c r="X1100" t="s">
        <v>197</v>
      </c>
      <c r="Y1100" t="s">
        <v>203</v>
      </c>
    </row>
    <row r="1101">
      <c r="A1101">
        <v>3339</v>
      </c>
      <c r="B1101" t="s">
        <v>20</v>
      </c>
      <c r="C1101" t="s">
        <v>114</v>
      </c>
      <c r="D1101" t="s">
        <v>195</v>
      </c>
      <c r="E1101" t="s">
        <v>196</v>
      </c>
      <c r="F1101">
        <v>0.4</v>
      </c>
      <c r="G1101" t="s">
        <v>197</v>
      </c>
      <c r="H1101" t="s">
        <v>93</v>
      </c>
      <c r="I1101">
        <v>0.6</v>
      </c>
      <c r="J1101" t="s">
        <v>195</v>
      </c>
      <c r="K1101" t="s">
        <v>195</v>
      </c>
      <c r="L1101" t="s">
        <v>93</v>
      </c>
      <c r="M1101">
        <v>4.1</v>
      </c>
      <c r="N1101" t="s">
        <v>195</v>
      </c>
      <c r="O1101" t="s">
        <v>93</v>
      </c>
      <c r="P1101">
        <v>4.8</v>
      </c>
      <c r="Q1101" t="s">
        <v>195</v>
      </c>
      <c r="R1101" t="s">
        <v>49</v>
      </c>
      <c r="T1101" t="s">
        <v>76</v>
      </c>
      <c r="U1101" t="s">
        <v>197</v>
      </c>
      <c r="V1101" t="s">
        <v>197</v>
      </c>
      <c r="W1101" t="s">
        <v>197</v>
      </c>
      <c r="X1101" t="s">
        <v>197</v>
      </c>
      <c r="Y1101" t="s">
        <v>202</v>
      </c>
    </row>
    <row r="1102">
      <c r="A1102">
        <v>3341</v>
      </c>
      <c r="B1102" t="s">
        <v>20</v>
      </c>
      <c r="C1102" t="s">
        <v>114</v>
      </c>
      <c r="D1102" t="s">
        <v>195</v>
      </c>
      <c r="E1102" t="s">
        <v>196</v>
      </c>
      <c r="F1102">
        <v>5.6</v>
      </c>
      <c r="G1102" t="s">
        <v>197</v>
      </c>
      <c r="H1102" t="s">
        <v>93</v>
      </c>
      <c r="I1102">
        <v>1.4</v>
      </c>
      <c r="J1102" t="s">
        <v>195</v>
      </c>
      <c r="K1102" t="s">
        <v>195</v>
      </c>
      <c r="L1102" t="s">
        <v>93</v>
      </c>
      <c r="M1102">
        <v>3.5</v>
      </c>
      <c r="N1102" t="s">
        <v>195</v>
      </c>
      <c r="O1102" t="s">
        <v>93</v>
      </c>
      <c r="P1102">
        <v>3.8</v>
      </c>
      <c r="Q1102" t="s">
        <v>195</v>
      </c>
      <c r="R1102" t="s">
        <v>49</v>
      </c>
      <c r="T1102" t="s">
        <v>76</v>
      </c>
      <c r="U1102" t="s">
        <v>197</v>
      </c>
      <c r="V1102" t="s">
        <v>197</v>
      </c>
      <c r="W1102" t="s">
        <v>197</v>
      </c>
      <c r="X1102" t="s">
        <v>197</v>
      </c>
      <c r="Y1102" t="s">
        <v>202</v>
      </c>
    </row>
    <row r="1103">
      <c r="A1103">
        <v>3347</v>
      </c>
      <c r="B1103" t="s">
        <v>20</v>
      </c>
      <c r="C1103" t="s">
        <v>114</v>
      </c>
      <c r="D1103" t="s">
        <v>195</v>
      </c>
      <c r="E1103" t="s">
        <v>196</v>
      </c>
      <c r="F1103">
        <v>1.5</v>
      </c>
      <c r="G1103" t="s">
        <v>197</v>
      </c>
      <c r="H1103" t="s">
        <v>93</v>
      </c>
      <c r="I1103">
        <v>0.4</v>
      </c>
      <c r="J1103" t="s">
        <v>195</v>
      </c>
      <c r="K1103" t="s">
        <v>195</v>
      </c>
      <c r="L1103" t="s">
        <v>93</v>
      </c>
      <c r="M1103">
        <v>3</v>
      </c>
      <c r="N1103" t="s">
        <v>195</v>
      </c>
      <c r="O1103" t="s">
        <v>93</v>
      </c>
      <c r="P1103">
        <v>3.7</v>
      </c>
      <c r="Q1103" t="s">
        <v>195</v>
      </c>
      <c r="R1103" t="s">
        <v>49</v>
      </c>
      <c r="T1103" t="s">
        <v>76</v>
      </c>
      <c r="U1103" t="s">
        <v>197</v>
      </c>
      <c r="V1103" t="s">
        <v>197</v>
      </c>
      <c r="W1103" t="s">
        <v>197</v>
      </c>
      <c r="X1103" t="s">
        <v>197</v>
      </c>
      <c r="Y1103" t="s">
        <v>202</v>
      </c>
    </row>
    <row r="1104">
      <c r="A1104">
        <v>3348</v>
      </c>
      <c r="B1104" t="s">
        <v>20</v>
      </c>
      <c r="C1104" t="s">
        <v>114</v>
      </c>
      <c r="D1104" t="s">
        <v>197</v>
      </c>
      <c r="E1104" t="s">
        <v>201</v>
      </c>
      <c r="U1104" t="s">
        <v>197</v>
      </c>
      <c r="V1104" t="s">
        <v>197</v>
      </c>
      <c r="W1104" t="s">
        <v>197</v>
      </c>
      <c r="X1104" t="s">
        <v>197</v>
      </c>
      <c r="Y1104" t="s">
        <v>202</v>
      </c>
    </row>
    <row r="1105">
      <c r="A1105">
        <v>3350</v>
      </c>
      <c r="B1105" t="s">
        <v>20</v>
      </c>
      <c r="C1105" t="s">
        <v>114</v>
      </c>
      <c r="D1105" t="s">
        <v>195</v>
      </c>
      <c r="E1105" t="s">
        <v>196</v>
      </c>
      <c r="F1105">
        <v>3.5</v>
      </c>
      <c r="G1105" t="s">
        <v>197</v>
      </c>
      <c r="H1105" t="s">
        <v>93</v>
      </c>
      <c r="I1105">
        <v>0.4</v>
      </c>
      <c r="J1105" t="s">
        <v>195</v>
      </c>
      <c r="K1105" t="s">
        <v>195</v>
      </c>
      <c r="L1105" t="s">
        <v>93</v>
      </c>
      <c r="M1105">
        <v>3</v>
      </c>
      <c r="N1105" t="s">
        <v>195</v>
      </c>
      <c r="O1105" t="s">
        <v>93</v>
      </c>
      <c r="P1105">
        <v>3.4</v>
      </c>
      <c r="Q1105" t="s">
        <v>195</v>
      </c>
      <c r="R1105" t="s">
        <v>49</v>
      </c>
      <c r="T1105" t="s">
        <v>76</v>
      </c>
      <c r="U1105" t="s">
        <v>197</v>
      </c>
      <c r="V1105" t="s">
        <v>197</v>
      </c>
      <c r="W1105" t="s">
        <v>197</v>
      </c>
      <c r="X1105" t="s">
        <v>197</v>
      </c>
      <c r="Y1105" t="s">
        <v>203</v>
      </c>
    </row>
    <row r="1106">
      <c r="A1106">
        <v>3349</v>
      </c>
      <c r="B1106" t="s">
        <v>20</v>
      </c>
      <c r="C1106" t="s">
        <v>114</v>
      </c>
      <c r="D1106" t="s">
        <v>197</v>
      </c>
      <c r="E1106" t="s">
        <v>201</v>
      </c>
      <c r="U1106" t="s">
        <v>197</v>
      </c>
      <c r="V1106" t="s">
        <v>197</v>
      </c>
      <c r="W1106" t="s">
        <v>197</v>
      </c>
      <c r="X1106" t="s">
        <v>197</v>
      </c>
      <c r="Y1106" t="s">
        <v>202</v>
      </c>
    </row>
    <row r="1107">
      <c r="A1107">
        <v>3352</v>
      </c>
      <c r="B1107" t="s">
        <v>20</v>
      </c>
      <c r="C1107" t="s">
        <v>114</v>
      </c>
      <c r="D1107" t="s">
        <v>197</v>
      </c>
      <c r="E1107" t="s">
        <v>201</v>
      </c>
      <c r="U1107" t="s">
        <v>197</v>
      </c>
      <c r="V1107" t="s">
        <v>197</v>
      </c>
      <c r="W1107" t="s">
        <v>197</v>
      </c>
      <c r="X1107" t="s">
        <v>197</v>
      </c>
      <c r="Y1107" t="s">
        <v>202</v>
      </c>
    </row>
    <row r="1108">
      <c r="A1108">
        <v>3353</v>
      </c>
      <c r="B1108" t="s">
        <v>20</v>
      </c>
      <c r="C1108" t="s">
        <v>114</v>
      </c>
      <c r="D1108" t="s">
        <v>195</v>
      </c>
      <c r="E1108" t="s">
        <v>200</v>
      </c>
      <c r="F1108">
        <v>1372.9</v>
      </c>
      <c r="G1108" t="s">
        <v>197</v>
      </c>
      <c r="H1108" t="s">
        <v>93</v>
      </c>
      <c r="I1108">
        <v>3.6</v>
      </c>
      <c r="J1108" t="s">
        <v>197</v>
      </c>
      <c r="K1108" t="s">
        <v>197</v>
      </c>
      <c r="L1108">
        <v/>
      </c>
      <c r="N1108" t="s">
        <v>197</v>
      </c>
      <c r="R1108" t="s">
        <v>53</v>
      </c>
      <c r="S1108" t="s">
        <v>64</v>
      </c>
      <c r="T1108" t="s">
        <v>76</v>
      </c>
      <c r="U1108" t="s">
        <v>197</v>
      </c>
      <c r="V1108" t="s">
        <v>197</v>
      </c>
      <c r="W1108" t="s">
        <v>197</v>
      </c>
      <c r="X1108" t="s">
        <v>197</v>
      </c>
      <c r="Y1108" t="s">
        <v>202</v>
      </c>
    </row>
    <row r="1109">
      <c r="A1109">
        <v>3361</v>
      </c>
      <c r="B1109" t="s">
        <v>20</v>
      </c>
      <c r="C1109" t="s">
        <v>114</v>
      </c>
      <c r="D1109" t="s">
        <v>195</v>
      </c>
      <c r="E1109" t="s">
        <v>196</v>
      </c>
      <c r="F1109">
        <v>0.3</v>
      </c>
      <c r="G1109" t="s">
        <v>195</v>
      </c>
      <c r="H1109" t="s">
        <v>93</v>
      </c>
      <c r="I1109">
        <v>0.1</v>
      </c>
      <c r="J1109" t="s">
        <v>195</v>
      </c>
      <c r="K1109" t="s">
        <v>195</v>
      </c>
      <c r="L1109" t="s">
        <v>93</v>
      </c>
      <c r="M1109">
        <v>4.1</v>
      </c>
      <c r="N1109" t="s">
        <v>195</v>
      </c>
      <c r="O1109" t="s">
        <v>93</v>
      </c>
      <c r="P1109">
        <v>4.7</v>
      </c>
      <c r="Q1109" t="s">
        <v>195</v>
      </c>
      <c r="R1109" t="s">
        <v>49</v>
      </c>
      <c r="T1109" t="s">
        <v>76</v>
      </c>
      <c r="U1109" t="s">
        <v>197</v>
      </c>
      <c r="V1109" t="s">
        <v>197</v>
      </c>
      <c r="W1109" t="s">
        <v>197</v>
      </c>
      <c r="X1109" t="s">
        <v>197</v>
      </c>
      <c r="Y1109" t="s">
        <v>203</v>
      </c>
    </row>
    <row r="1110">
      <c r="A1110">
        <v>3363</v>
      </c>
      <c r="B1110" t="s">
        <v>20</v>
      </c>
      <c r="C1110" t="s">
        <v>114</v>
      </c>
      <c r="D1110" t="s">
        <v>197</v>
      </c>
      <c r="E1110" t="s">
        <v>201</v>
      </c>
      <c r="U1110" t="s">
        <v>197</v>
      </c>
      <c r="V1110" t="s">
        <v>197</v>
      </c>
      <c r="W1110" t="s">
        <v>197</v>
      </c>
      <c r="X1110" t="s">
        <v>197</v>
      </c>
      <c r="Y1110" t="s">
        <v>202</v>
      </c>
    </row>
    <row r="1111">
      <c r="A1111">
        <v>3371</v>
      </c>
      <c r="B1111" t="s">
        <v>20</v>
      </c>
      <c r="C1111" t="s">
        <v>114</v>
      </c>
      <c r="D1111" t="s">
        <v>195</v>
      </c>
      <c r="E1111" t="s">
        <v>200</v>
      </c>
      <c r="F1111">
        <v>2579.8</v>
      </c>
      <c r="G1111" t="s">
        <v>197</v>
      </c>
      <c r="H1111" t="s">
        <v>96</v>
      </c>
      <c r="I1111">
        <v>2.1</v>
      </c>
      <c r="J1111" t="s">
        <v>197</v>
      </c>
      <c r="K1111" t="s">
        <v>197</v>
      </c>
      <c r="L1111">
        <v/>
      </c>
      <c r="N1111" t="s">
        <v>197</v>
      </c>
      <c r="R1111" t="s">
        <v>53</v>
      </c>
      <c r="S1111" t="s">
        <v>64</v>
      </c>
      <c r="T1111" t="s">
        <v>76</v>
      </c>
      <c r="U1111" t="s">
        <v>197</v>
      </c>
      <c r="V1111" t="s">
        <v>197</v>
      </c>
      <c r="W1111" t="s">
        <v>197</v>
      </c>
      <c r="X1111" t="s">
        <v>197</v>
      </c>
      <c r="Y1111" t="s">
        <v>202</v>
      </c>
    </row>
    <row r="1112">
      <c r="A1112">
        <v>3370</v>
      </c>
      <c r="B1112" t="s">
        <v>199</v>
      </c>
      <c r="C1112" t="s">
        <v>114</v>
      </c>
      <c r="D1112" t="s">
        <v>197</v>
      </c>
      <c r="E1112" t="s">
        <v>201</v>
      </c>
      <c r="U1112" t="s">
        <v>197</v>
      </c>
      <c r="V1112" t="s">
        <v>197</v>
      </c>
      <c r="W1112" t="s">
        <v>197</v>
      </c>
      <c r="X1112" t="s">
        <v>197</v>
      </c>
      <c r="Y1112" t="s">
        <v>206</v>
      </c>
    </row>
    <row r="1113">
      <c r="A1113">
        <v>3373</v>
      </c>
      <c r="B1113" t="s">
        <v>20</v>
      </c>
      <c r="C1113" t="s">
        <v>114</v>
      </c>
      <c r="D1113" t="s">
        <v>195</v>
      </c>
      <c r="E1113" t="s">
        <v>196</v>
      </c>
      <c r="F1113">
        <v>11.8</v>
      </c>
      <c r="G1113" t="s">
        <v>197</v>
      </c>
      <c r="H1113" t="s">
        <v>93</v>
      </c>
      <c r="I1113">
        <v>0.3</v>
      </c>
      <c r="J1113" t="s">
        <v>195</v>
      </c>
      <c r="K1113" t="s">
        <v>195</v>
      </c>
      <c r="L1113" t="s">
        <v>93</v>
      </c>
      <c r="M1113">
        <v>2.4</v>
      </c>
      <c r="N1113" t="s">
        <v>195</v>
      </c>
      <c r="O1113" t="s">
        <v>93</v>
      </c>
      <c r="P1113">
        <v>2.8</v>
      </c>
      <c r="Q1113" t="s">
        <v>195</v>
      </c>
      <c r="R1113" t="s">
        <v>49</v>
      </c>
      <c r="T1113" t="s">
        <v>76</v>
      </c>
      <c r="U1113" t="s">
        <v>197</v>
      </c>
      <c r="V1113" t="s">
        <v>197</v>
      </c>
      <c r="W1113" t="s">
        <v>197</v>
      </c>
      <c r="X1113" t="s">
        <v>197</v>
      </c>
      <c r="Y1113" t="s">
        <v>202</v>
      </c>
    </row>
    <row r="1114">
      <c r="A1114">
        <v>3376</v>
      </c>
      <c r="B1114" t="s">
        <v>20</v>
      </c>
      <c r="C1114" t="s">
        <v>114</v>
      </c>
      <c r="D1114" t="s">
        <v>197</v>
      </c>
      <c r="E1114" t="s">
        <v>201</v>
      </c>
      <c r="U1114" t="s">
        <v>197</v>
      </c>
      <c r="V1114" t="s">
        <v>197</v>
      </c>
      <c r="W1114" t="s">
        <v>197</v>
      </c>
      <c r="X1114" t="s">
        <v>197</v>
      </c>
      <c r="Y1114" t="s">
        <v>202</v>
      </c>
    </row>
    <row r="1115">
      <c r="A1115">
        <v>3377</v>
      </c>
      <c r="B1115" t="s">
        <v>20</v>
      </c>
      <c r="C1115" t="s">
        <v>114</v>
      </c>
      <c r="D1115" t="s">
        <v>195</v>
      </c>
      <c r="E1115" t="s">
        <v>200</v>
      </c>
      <c r="F1115">
        <v>1003.7</v>
      </c>
      <c r="G1115" t="s">
        <v>197</v>
      </c>
      <c r="H1115" t="s">
        <v>93</v>
      </c>
      <c r="I1115">
        <v>0.4</v>
      </c>
      <c r="J1115" t="s">
        <v>197</v>
      </c>
      <c r="K1115" t="s">
        <v>197</v>
      </c>
      <c r="L1115">
        <v/>
      </c>
      <c r="N1115" t="s">
        <v>197</v>
      </c>
      <c r="R1115" t="s">
        <v>53</v>
      </c>
      <c r="S1115" t="s">
        <v>64</v>
      </c>
      <c r="T1115" t="s">
        <v>76</v>
      </c>
      <c r="U1115" t="s">
        <v>197</v>
      </c>
      <c r="V1115" t="s">
        <v>197</v>
      </c>
      <c r="W1115" t="s">
        <v>197</v>
      </c>
      <c r="X1115" t="s">
        <v>197</v>
      </c>
      <c r="Y1115" t="s">
        <v>202</v>
      </c>
    </row>
    <row r="1116">
      <c r="A1116">
        <v>3384</v>
      </c>
      <c r="B1116" t="s">
        <v>194</v>
      </c>
      <c r="C1116" t="s">
        <v>114</v>
      </c>
      <c r="D1116" t="s">
        <v>197</v>
      </c>
      <c r="E1116" t="s">
        <v>201</v>
      </c>
      <c r="U1116" t="s">
        <v>197</v>
      </c>
      <c r="V1116" t="s">
        <v>197</v>
      </c>
      <c r="W1116" t="s">
        <v>197</v>
      </c>
      <c r="X1116" t="s">
        <v>197</v>
      </c>
      <c r="Y1116" t="s">
        <v>209</v>
      </c>
    </row>
    <row r="1117">
      <c r="A1117">
        <v>3390</v>
      </c>
      <c r="B1117" t="s">
        <v>194</v>
      </c>
      <c r="C1117" t="s">
        <v>114</v>
      </c>
      <c r="D1117" t="s">
        <v>197</v>
      </c>
      <c r="E1117" t="s">
        <v>201</v>
      </c>
      <c r="U1117" t="s">
        <v>197</v>
      </c>
      <c r="V1117" t="s">
        <v>197</v>
      </c>
      <c r="W1117" t="s">
        <v>197</v>
      </c>
      <c r="X1117" t="s">
        <v>197</v>
      </c>
      <c r="Y1117" t="s">
        <v>209</v>
      </c>
    </row>
    <row r="1118">
      <c r="A1118">
        <v>3394</v>
      </c>
      <c r="B1118" t="s">
        <v>20</v>
      </c>
      <c r="C1118" t="s">
        <v>114</v>
      </c>
      <c r="D1118" t="s">
        <v>197</v>
      </c>
      <c r="E1118" t="s">
        <v>201</v>
      </c>
      <c r="U1118" t="s">
        <v>197</v>
      </c>
      <c r="V1118" t="s">
        <v>197</v>
      </c>
      <c r="W1118" t="s">
        <v>197</v>
      </c>
      <c r="X1118" t="s">
        <v>197</v>
      </c>
      <c r="Y1118" t="s">
        <v>202</v>
      </c>
    </row>
    <row r="1119">
      <c r="A1119">
        <v>3387</v>
      </c>
      <c r="B1119" t="s">
        <v>20</v>
      </c>
      <c r="C1119" t="s">
        <v>114</v>
      </c>
      <c r="D1119" t="s">
        <v>197</v>
      </c>
      <c r="E1119" t="s">
        <v>201</v>
      </c>
      <c r="U1119" t="s">
        <v>197</v>
      </c>
      <c r="V1119" t="s">
        <v>197</v>
      </c>
      <c r="W1119" t="s">
        <v>197</v>
      </c>
      <c r="X1119" t="s">
        <v>197</v>
      </c>
      <c r="Y1119" t="s">
        <v>202</v>
      </c>
    </row>
    <row r="1120">
      <c r="A1120">
        <v>3392</v>
      </c>
      <c r="B1120" t="s">
        <v>20</v>
      </c>
      <c r="C1120" t="s">
        <v>114</v>
      </c>
      <c r="D1120" t="s">
        <v>195</v>
      </c>
      <c r="E1120" t="s">
        <v>196</v>
      </c>
      <c r="F1120">
        <v>1.5</v>
      </c>
      <c r="G1120" t="s">
        <v>197</v>
      </c>
      <c r="H1120" t="s">
        <v>95</v>
      </c>
      <c r="I1120">
        <v>0.9</v>
      </c>
      <c r="J1120" t="s">
        <v>197</v>
      </c>
      <c r="K1120" t="s">
        <v>197</v>
      </c>
      <c r="L1120">
        <v/>
      </c>
      <c r="N1120" t="s">
        <v>197</v>
      </c>
      <c r="R1120" t="s">
        <v>53</v>
      </c>
      <c r="S1120" t="s">
        <v>64</v>
      </c>
      <c r="T1120" t="s">
        <v>77</v>
      </c>
      <c r="U1120" t="s">
        <v>197</v>
      </c>
      <c r="V1120" t="s">
        <v>197</v>
      </c>
      <c r="W1120" t="s">
        <v>197</v>
      </c>
      <c r="X1120" t="s">
        <v>197</v>
      </c>
      <c r="Y1120" t="s">
        <v>202</v>
      </c>
    </row>
    <row r="1121">
      <c r="A1121">
        <v>3399</v>
      </c>
      <c r="B1121" t="s">
        <v>199</v>
      </c>
      <c r="C1121" t="s">
        <v>114</v>
      </c>
      <c r="D1121" t="s">
        <v>197</v>
      </c>
      <c r="E1121" t="s">
        <v>201</v>
      </c>
      <c r="U1121" t="s">
        <v>197</v>
      </c>
      <c r="V1121" t="s">
        <v>197</v>
      </c>
      <c r="W1121" t="s">
        <v>197</v>
      </c>
      <c r="X1121" t="s">
        <v>197</v>
      </c>
      <c r="Y1121" t="s">
        <v>206</v>
      </c>
    </row>
    <row r="1122">
      <c r="A1122">
        <v>3395</v>
      </c>
      <c r="B1122" t="s">
        <v>20</v>
      </c>
      <c r="C1122" t="s">
        <v>114</v>
      </c>
      <c r="D1122" t="s">
        <v>197</v>
      </c>
      <c r="E1122" t="s">
        <v>201</v>
      </c>
      <c r="U1122" t="s">
        <v>197</v>
      </c>
      <c r="V1122" t="s">
        <v>197</v>
      </c>
      <c r="W1122" t="s">
        <v>197</v>
      </c>
      <c r="X1122" t="s">
        <v>197</v>
      </c>
      <c r="Y1122" t="s">
        <v>202</v>
      </c>
    </row>
    <row r="1123">
      <c r="A1123">
        <v>3403</v>
      </c>
      <c r="B1123" t="s">
        <v>194</v>
      </c>
      <c r="C1123" t="s">
        <v>114</v>
      </c>
      <c r="D1123" t="s">
        <v>197</v>
      </c>
      <c r="E1123" t="s">
        <v>201</v>
      </c>
      <c r="U1123" t="s">
        <v>197</v>
      </c>
      <c r="V1123" t="s">
        <v>197</v>
      </c>
      <c r="W1123" t="s">
        <v>197</v>
      </c>
      <c r="X1123" t="s">
        <v>197</v>
      </c>
      <c r="Y1123" t="s">
        <v>209</v>
      </c>
    </row>
    <row r="1124">
      <c r="A1124">
        <v>3407</v>
      </c>
      <c r="B1124" t="s">
        <v>20</v>
      </c>
      <c r="C1124" t="s">
        <v>114</v>
      </c>
      <c r="D1124" t="s">
        <v>195</v>
      </c>
      <c r="E1124" t="s">
        <v>196</v>
      </c>
      <c r="F1124">
        <v>7.3</v>
      </c>
      <c r="G1124" t="s">
        <v>197</v>
      </c>
      <c r="H1124" t="s">
        <v>93</v>
      </c>
      <c r="I1124">
        <v>1.9</v>
      </c>
      <c r="J1124" t="s">
        <v>195</v>
      </c>
      <c r="K1124" t="s">
        <v>195</v>
      </c>
      <c r="L1124" t="s">
        <v>93</v>
      </c>
      <c r="M1124">
        <v>4.7</v>
      </c>
      <c r="N1124" t="s">
        <v>195</v>
      </c>
      <c r="O1124" t="s">
        <v>93</v>
      </c>
      <c r="P1124">
        <v>5.2</v>
      </c>
      <c r="Q1124" t="s">
        <v>195</v>
      </c>
      <c r="R1124" t="s">
        <v>49</v>
      </c>
      <c r="T1124" t="s">
        <v>77</v>
      </c>
      <c r="U1124" t="s">
        <v>197</v>
      </c>
      <c r="V1124" t="s">
        <v>197</v>
      </c>
      <c r="W1124" t="s">
        <v>197</v>
      </c>
      <c r="X1124" t="s">
        <v>197</v>
      </c>
      <c r="Y1124" t="s">
        <v>202</v>
      </c>
    </row>
    <row r="1125">
      <c r="A1125">
        <v>3410</v>
      </c>
      <c r="B1125" t="s">
        <v>199</v>
      </c>
      <c r="C1125" t="s">
        <v>114</v>
      </c>
      <c r="D1125" t="s">
        <v>197</v>
      </c>
      <c r="E1125" t="s">
        <v>201</v>
      </c>
      <c r="U1125" t="s">
        <v>197</v>
      </c>
      <c r="V1125" t="s">
        <v>197</v>
      </c>
      <c r="W1125" t="s">
        <v>197</v>
      </c>
      <c r="X1125" t="s">
        <v>197</v>
      </c>
      <c r="Y1125" t="s">
        <v>206</v>
      </c>
    </row>
    <row r="1126">
      <c r="A1126">
        <v>3409</v>
      </c>
      <c r="B1126" t="s">
        <v>20</v>
      </c>
      <c r="C1126" t="s">
        <v>114</v>
      </c>
      <c r="D1126" t="s">
        <v>197</v>
      </c>
      <c r="E1126" t="s">
        <v>201</v>
      </c>
      <c r="U1126" t="s">
        <v>197</v>
      </c>
      <c r="V1126" t="s">
        <v>197</v>
      </c>
      <c r="W1126" t="s">
        <v>197</v>
      </c>
      <c r="X1126" t="s">
        <v>197</v>
      </c>
      <c r="Y1126" t="s">
        <v>202</v>
      </c>
    </row>
    <row r="1127">
      <c r="A1127">
        <v>3418</v>
      </c>
      <c r="B1127" t="s">
        <v>20</v>
      </c>
      <c r="C1127" t="s">
        <v>114</v>
      </c>
      <c r="D1127" t="s">
        <v>195</v>
      </c>
      <c r="E1127" t="s">
        <v>196</v>
      </c>
      <c r="F1127">
        <v>1.4</v>
      </c>
      <c r="G1127" t="s">
        <v>197</v>
      </c>
      <c r="H1127" t="s">
        <v>95</v>
      </c>
      <c r="I1127">
        <v>0.3</v>
      </c>
      <c r="J1127" t="s">
        <v>195</v>
      </c>
      <c r="K1127" t="s">
        <v>195</v>
      </c>
      <c r="L1127" t="s">
        <v>95</v>
      </c>
      <c r="M1127">
        <v>2.3</v>
      </c>
      <c r="N1127" t="s">
        <v>195</v>
      </c>
      <c r="O1127" t="s">
        <v>95</v>
      </c>
      <c r="P1127">
        <v>2.6</v>
      </c>
      <c r="Q1127" t="s">
        <v>195</v>
      </c>
      <c r="R1127" t="s">
        <v>49</v>
      </c>
      <c r="T1127" t="s">
        <v>78</v>
      </c>
      <c r="U1127" t="s">
        <v>195</v>
      </c>
      <c r="V1127" t="s">
        <v>197</v>
      </c>
      <c r="W1127" t="s">
        <v>197</v>
      </c>
      <c r="X1127" t="s">
        <v>197</v>
      </c>
      <c r="Y1127" t="s">
        <v>207</v>
      </c>
    </row>
    <row r="1128">
      <c r="A1128">
        <v>3421</v>
      </c>
      <c r="B1128" t="s">
        <v>20</v>
      </c>
      <c r="C1128" t="s">
        <v>114</v>
      </c>
      <c r="D1128" t="s">
        <v>197</v>
      </c>
      <c r="E1128" t="s">
        <v>201</v>
      </c>
      <c r="U1128" t="s">
        <v>197</v>
      </c>
      <c r="V1128" t="s">
        <v>197</v>
      </c>
      <c r="W1128" t="s">
        <v>197</v>
      </c>
      <c r="X1128" t="s">
        <v>197</v>
      </c>
      <c r="Y1128" t="s">
        <v>202</v>
      </c>
    </row>
    <row r="1129">
      <c r="A1129">
        <v>3428</v>
      </c>
      <c r="B1129" t="s">
        <v>194</v>
      </c>
      <c r="C1129" t="s">
        <v>114</v>
      </c>
      <c r="D1129" t="s">
        <v>195</v>
      </c>
      <c r="E1129" t="s">
        <v>200</v>
      </c>
      <c r="F1129">
        <v>424.9</v>
      </c>
      <c r="G1129" t="s">
        <v>197</v>
      </c>
      <c r="H1129" t="s">
        <v>93</v>
      </c>
      <c r="I1129">
        <v>138.7</v>
      </c>
      <c r="J1129" t="s">
        <v>195</v>
      </c>
      <c r="K1129" t="s">
        <v>195</v>
      </c>
      <c r="L1129" t="s">
        <v>93</v>
      </c>
      <c r="M1129">
        <v>142.4</v>
      </c>
      <c r="N1129" t="s">
        <v>195</v>
      </c>
      <c r="O1129" t="s">
        <v>93</v>
      </c>
      <c r="P1129">
        <v>142.9</v>
      </c>
      <c r="Q1129" t="s">
        <v>197</v>
      </c>
      <c r="R1129" t="s">
        <v>49</v>
      </c>
      <c r="T1129" t="s">
        <v>78</v>
      </c>
      <c r="U1129" t="s">
        <v>197</v>
      </c>
      <c r="V1129" t="s">
        <v>197</v>
      </c>
      <c r="W1129" t="s">
        <v>197</v>
      </c>
      <c r="X1129" t="s">
        <v>197</v>
      </c>
      <c r="Y1129" t="s">
        <v>209</v>
      </c>
    </row>
    <row r="1130">
      <c r="A1130">
        <v>3426</v>
      </c>
      <c r="B1130" t="s">
        <v>20</v>
      </c>
      <c r="C1130" t="s">
        <v>114</v>
      </c>
      <c r="D1130" t="s">
        <v>197</v>
      </c>
      <c r="E1130" t="s">
        <v>201</v>
      </c>
      <c r="U1130" t="s">
        <v>197</v>
      </c>
      <c r="V1130" t="s">
        <v>197</v>
      </c>
      <c r="W1130" t="s">
        <v>197</v>
      </c>
      <c r="X1130" t="s">
        <v>197</v>
      </c>
      <c r="Y1130" t="s">
        <v>202</v>
      </c>
    </row>
    <row r="1131">
      <c r="A1131">
        <v>3432</v>
      </c>
      <c r="B1131" t="s">
        <v>20</v>
      </c>
      <c r="C1131" t="s">
        <v>114</v>
      </c>
      <c r="D1131" t="s">
        <v>195</v>
      </c>
      <c r="E1131" t="s">
        <v>200</v>
      </c>
      <c r="F1131">
        <v>1244.9</v>
      </c>
      <c r="G1131" t="s">
        <v>197</v>
      </c>
      <c r="H1131" t="s">
        <v>94</v>
      </c>
      <c r="I1131">
        <v>0.4</v>
      </c>
      <c r="J1131" t="s">
        <v>195</v>
      </c>
      <c r="K1131" t="s">
        <v>197</v>
      </c>
      <c r="L1131">
        <v/>
      </c>
      <c r="N1131" t="s">
        <v>197</v>
      </c>
      <c r="R1131" t="s">
        <v>53</v>
      </c>
      <c r="S1131" t="s">
        <v>64</v>
      </c>
      <c r="T1131" t="s">
        <v>77</v>
      </c>
      <c r="U1131" t="s">
        <v>197</v>
      </c>
      <c r="V1131" t="s">
        <v>197</v>
      </c>
      <c r="W1131" t="s">
        <v>197</v>
      </c>
      <c r="X1131" t="s">
        <v>197</v>
      </c>
      <c r="Y1131" t="s">
        <v>202</v>
      </c>
    </row>
    <row r="1132">
      <c r="A1132">
        <v>3436</v>
      </c>
      <c r="B1132" t="s">
        <v>199</v>
      </c>
      <c r="C1132" t="s">
        <v>115</v>
      </c>
      <c r="D1132" t="s">
        <v>197</v>
      </c>
      <c r="E1132" t="s">
        <v>201</v>
      </c>
      <c r="U1132" t="s">
        <v>197</v>
      </c>
      <c r="V1132" t="s">
        <v>197</v>
      </c>
      <c r="W1132" t="s">
        <v>197</v>
      </c>
      <c r="X1132" t="s">
        <v>197</v>
      </c>
      <c r="Y1132" t="s">
        <v>206</v>
      </c>
    </row>
    <row r="1133">
      <c r="A1133">
        <v>3439</v>
      </c>
      <c r="B1133" t="s">
        <v>199</v>
      </c>
      <c r="C1133" t="s">
        <v>115</v>
      </c>
      <c r="D1133" t="s">
        <v>197</v>
      </c>
      <c r="E1133" t="s">
        <v>201</v>
      </c>
      <c r="U1133" t="s">
        <v>197</v>
      </c>
      <c r="V1133" t="s">
        <v>197</v>
      </c>
      <c r="W1133" t="s">
        <v>197</v>
      </c>
      <c r="X1133" t="s">
        <v>197</v>
      </c>
      <c r="Y1133" t="s">
        <v>206</v>
      </c>
    </row>
    <row r="1134">
      <c r="A1134">
        <v>3440</v>
      </c>
      <c r="B1134" t="s">
        <v>194</v>
      </c>
      <c r="C1134" t="s">
        <v>115</v>
      </c>
      <c r="D1134" t="s">
        <v>197</v>
      </c>
      <c r="E1134" t="s">
        <v>201</v>
      </c>
      <c r="U1134" t="s">
        <v>197</v>
      </c>
      <c r="V1134" t="s">
        <v>197</v>
      </c>
      <c r="W1134" t="s">
        <v>197</v>
      </c>
      <c r="X1134" t="s">
        <v>197</v>
      </c>
      <c r="Y1134" t="s">
        <v>209</v>
      </c>
    </row>
    <row r="1135">
      <c r="A1135">
        <v>3442</v>
      </c>
      <c r="B1135" t="s">
        <v>199</v>
      </c>
      <c r="C1135" t="s">
        <v>115</v>
      </c>
      <c r="D1135" t="s">
        <v>197</v>
      </c>
      <c r="E1135" t="s">
        <v>201</v>
      </c>
      <c r="U1135" t="s">
        <v>197</v>
      </c>
      <c r="V1135" t="s">
        <v>197</v>
      </c>
      <c r="W1135" t="s">
        <v>197</v>
      </c>
      <c r="X1135" t="s">
        <v>197</v>
      </c>
      <c r="Y1135" t="s">
        <v>206</v>
      </c>
    </row>
    <row r="1136">
      <c r="A1136">
        <v>3438</v>
      </c>
      <c r="B1136" t="s">
        <v>194</v>
      </c>
      <c r="C1136" t="s">
        <v>115</v>
      </c>
      <c r="D1136" t="s">
        <v>197</v>
      </c>
      <c r="E1136" t="s">
        <v>201</v>
      </c>
      <c r="U1136" t="s">
        <v>197</v>
      </c>
      <c r="V1136" t="s">
        <v>197</v>
      </c>
      <c r="W1136" t="s">
        <v>197</v>
      </c>
      <c r="X1136" t="s">
        <v>197</v>
      </c>
      <c r="Y1136" t="s">
        <v>209</v>
      </c>
    </row>
    <row r="1137">
      <c r="A1137">
        <v>3444</v>
      </c>
      <c r="B1137" t="s">
        <v>20</v>
      </c>
      <c r="C1137" t="s">
        <v>115</v>
      </c>
      <c r="D1137" t="s">
        <v>197</v>
      </c>
      <c r="E1137" t="s">
        <v>201</v>
      </c>
      <c r="U1137" t="s">
        <v>197</v>
      </c>
      <c r="V1137" t="s">
        <v>197</v>
      </c>
      <c r="W1137" t="s">
        <v>197</v>
      </c>
      <c r="X1137" t="s">
        <v>197</v>
      </c>
      <c r="Y1137" t="s">
        <v>202</v>
      </c>
    </row>
    <row r="1138">
      <c r="A1138">
        <v>3446</v>
      </c>
      <c r="B1138" t="s">
        <v>20</v>
      </c>
      <c r="C1138" t="s">
        <v>115</v>
      </c>
      <c r="D1138" t="s">
        <v>195</v>
      </c>
      <c r="E1138" t="s">
        <v>196</v>
      </c>
      <c r="F1138">
        <v>2.1</v>
      </c>
      <c r="G1138" t="s">
        <v>197</v>
      </c>
      <c r="H1138" t="s">
        <v>93</v>
      </c>
      <c r="I1138">
        <v>2.7</v>
      </c>
      <c r="J1138" t="s">
        <v>195</v>
      </c>
      <c r="K1138" t="s">
        <v>195</v>
      </c>
      <c r="L1138" t="s">
        <v>93</v>
      </c>
      <c r="M1138">
        <v>5</v>
      </c>
      <c r="N1138" t="s">
        <v>195</v>
      </c>
      <c r="O1138" t="s">
        <v>93</v>
      </c>
      <c r="P1138">
        <v>6.7</v>
      </c>
      <c r="Q1138" t="s">
        <v>195</v>
      </c>
      <c r="R1138" t="s">
        <v>49</v>
      </c>
      <c r="T1138" t="s">
        <v>78</v>
      </c>
      <c r="U1138" t="s">
        <v>197</v>
      </c>
      <c r="V1138" t="s">
        <v>197</v>
      </c>
      <c r="W1138" t="s">
        <v>197</v>
      </c>
      <c r="X1138" t="s">
        <v>197</v>
      </c>
      <c r="Y1138" t="s">
        <v>202</v>
      </c>
    </row>
    <row r="1139">
      <c r="A1139">
        <v>3448</v>
      </c>
      <c r="B1139" t="s">
        <v>20</v>
      </c>
      <c r="C1139" t="s">
        <v>115</v>
      </c>
      <c r="D1139" t="s">
        <v>195</v>
      </c>
      <c r="E1139" t="s">
        <v>200</v>
      </c>
      <c r="F1139">
        <v>163.5</v>
      </c>
      <c r="G1139" t="s">
        <v>197</v>
      </c>
      <c r="H1139" t="s">
        <v>96</v>
      </c>
      <c r="I1139">
        <v>4.5</v>
      </c>
      <c r="J1139" t="s">
        <v>197</v>
      </c>
      <c r="K1139" t="s">
        <v>197</v>
      </c>
      <c r="L1139">
        <v/>
      </c>
      <c r="N1139" t="s">
        <v>197</v>
      </c>
      <c r="R1139" t="s">
        <v>53</v>
      </c>
      <c r="S1139" t="s">
        <v>64</v>
      </c>
      <c r="T1139" t="s">
        <v>76</v>
      </c>
      <c r="U1139" t="s">
        <v>197</v>
      </c>
      <c r="V1139" t="s">
        <v>197</v>
      </c>
      <c r="W1139" t="s">
        <v>197</v>
      </c>
      <c r="X1139" t="s">
        <v>197</v>
      </c>
      <c r="Y1139" t="s">
        <v>202</v>
      </c>
    </row>
    <row r="1140">
      <c r="A1140">
        <v>3449</v>
      </c>
      <c r="B1140" t="s">
        <v>199</v>
      </c>
      <c r="C1140" t="s">
        <v>115</v>
      </c>
      <c r="D1140" t="s">
        <v>195</v>
      </c>
      <c r="E1140" t="s">
        <v>196</v>
      </c>
      <c r="F1140">
        <v>8.199999999999999</v>
      </c>
      <c r="G1140" t="s">
        <v>195</v>
      </c>
      <c r="H1140" t="s">
        <v>93</v>
      </c>
      <c r="I1140">
        <v>0.2</v>
      </c>
      <c r="J1140" t="s">
        <v>195</v>
      </c>
      <c r="K1140" t="s">
        <v>195</v>
      </c>
      <c r="L1140" t="s">
        <v>93</v>
      </c>
      <c r="M1140">
        <v>2.8</v>
      </c>
      <c r="N1140" t="s">
        <v>195</v>
      </c>
      <c r="O1140" t="s">
        <v>93</v>
      </c>
      <c r="P1140">
        <v>3.1</v>
      </c>
      <c r="Q1140" t="s">
        <v>195</v>
      </c>
      <c r="R1140" t="s">
        <v>49</v>
      </c>
      <c r="T1140" t="s">
        <v>78</v>
      </c>
      <c r="U1140" t="s">
        <v>197</v>
      </c>
      <c r="V1140" t="s">
        <v>197</v>
      </c>
      <c r="W1140" t="s">
        <v>197</v>
      </c>
      <c r="X1140" t="s">
        <v>197</v>
      </c>
      <c r="Y1140" t="s">
        <v>206</v>
      </c>
    </row>
    <row r="1141">
      <c r="A1141">
        <v>3455</v>
      </c>
      <c r="B1141" t="s">
        <v>20</v>
      </c>
      <c r="C1141" t="s">
        <v>115</v>
      </c>
      <c r="D1141" t="s">
        <v>197</v>
      </c>
      <c r="E1141" t="s">
        <v>201</v>
      </c>
      <c r="U1141" t="s">
        <v>197</v>
      </c>
      <c r="V1141" t="s">
        <v>197</v>
      </c>
      <c r="W1141" t="s">
        <v>197</v>
      </c>
      <c r="X1141" t="s">
        <v>197</v>
      </c>
      <c r="Y1141" t="s">
        <v>202</v>
      </c>
    </row>
    <row r="1142">
      <c r="A1142">
        <v>3456</v>
      </c>
      <c r="B1142" t="s">
        <v>20</v>
      </c>
      <c r="C1142" t="s">
        <v>115</v>
      </c>
      <c r="D1142" t="s">
        <v>197</v>
      </c>
      <c r="E1142" t="s">
        <v>201</v>
      </c>
      <c r="U1142" t="s">
        <v>197</v>
      </c>
      <c r="V1142" t="s">
        <v>197</v>
      </c>
      <c r="W1142" t="s">
        <v>197</v>
      </c>
      <c r="X1142" t="s">
        <v>197</v>
      </c>
      <c r="Y1142" t="s">
        <v>202</v>
      </c>
    </row>
    <row r="1143">
      <c r="A1143">
        <v>3459</v>
      </c>
      <c r="B1143" t="s">
        <v>20</v>
      </c>
      <c r="C1143" t="s">
        <v>115</v>
      </c>
      <c r="D1143" t="s">
        <v>195</v>
      </c>
      <c r="E1143" t="s">
        <v>196</v>
      </c>
      <c r="F1143">
        <v>1</v>
      </c>
      <c r="G1143" t="s">
        <v>197</v>
      </c>
      <c r="H1143" t="s">
        <v>93</v>
      </c>
      <c r="I1143">
        <v>1.3</v>
      </c>
      <c r="J1143" t="s">
        <v>195</v>
      </c>
      <c r="K1143" t="s">
        <v>195</v>
      </c>
      <c r="L1143" t="s">
        <v>93</v>
      </c>
      <c r="M1143">
        <v>5.5</v>
      </c>
      <c r="N1143" t="s">
        <v>195</v>
      </c>
      <c r="O1143" t="s">
        <v>93</v>
      </c>
      <c r="P1143">
        <v>5.9</v>
      </c>
      <c r="Q1143" t="s">
        <v>195</v>
      </c>
      <c r="R1143" t="s">
        <v>49</v>
      </c>
      <c r="T1143" t="s">
        <v>76</v>
      </c>
      <c r="U1143" t="s">
        <v>197</v>
      </c>
      <c r="V1143" t="s">
        <v>197</v>
      </c>
      <c r="W1143" t="s">
        <v>197</v>
      </c>
      <c r="X1143" t="s">
        <v>197</v>
      </c>
      <c r="Y1143" t="s">
        <v>202</v>
      </c>
    </row>
    <row r="1144">
      <c r="A1144">
        <v>3460</v>
      </c>
      <c r="B1144" t="s">
        <v>194</v>
      </c>
      <c r="C1144" t="s">
        <v>115</v>
      </c>
      <c r="D1144" t="s">
        <v>197</v>
      </c>
      <c r="E1144" t="s">
        <v>201</v>
      </c>
      <c r="U1144" t="s">
        <v>197</v>
      </c>
      <c r="V1144" t="s">
        <v>197</v>
      </c>
      <c r="W1144" t="s">
        <v>197</v>
      </c>
      <c r="X1144" t="s">
        <v>197</v>
      </c>
      <c r="Y1144" t="s">
        <v>209</v>
      </c>
    </row>
    <row r="1145">
      <c r="A1145">
        <v>3465</v>
      </c>
      <c r="B1145" t="s">
        <v>20</v>
      </c>
      <c r="C1145" t="s">
        <v>115</v>
      </c>
      <c r="D1145" t="s">
        <v>195</v>
      </c>
      <c r="E1145" t="s">
        <v>196</v>
      </c>
      <c r="F1145">
        <v>3.1</v>
      </c>
      <c r="G1145" t="s">
        <v>197</v>
      </c>
      <c r="H1145" t="s">
        <v>96</v>
      </c>
      <c r="I1145">
        <v>1.4</v>
      </c>
      <c r="J1145" t="s">
        <v>195</v>
      </c>
      <c r="K1145" t="s">
        <v>195</v>
      </c>
      <c r="L1145" t="s">
        <v>96</v>
      </c>
      <c r="M1145">
        <v>6</v>
      </c>
      <c r="N1145" t="s">
        <v>197</v>
      </c>
      <c r="R1145" t="s">
        <v>52</v>
      </c>
      <c r="S1145" t="s">
        <v>64</v>
      </c>
      <c r="T1145" t="s">
        <v>76</v>
      </c>
      <c r="U1145" t="s">
        <v>197</v>
      </c>
      <c r="V1145" t="s">
        <v>197</v>
      </c>
      <c r="W1145" t="s">
        <v>197</v>
      </c>
      <c r="X1145" t="s">
        <v>197</v>
      </c>
      <c r="Y1145" t="s">
        <v>202</v>
      </c>
    </row>
    <row r="1146">
      <c r="A1146">
        <v>3468</v>
      </c>
      <c r="B1146" t="s">
        <v>199</v>
      </c>
      <c r="C1146" t="s">
        <v>115</v>
      </c>
      <c r="D1146" t="s">
        <v>195</v>
      </c>
      <c r="E1146" t="s">
        <v>196</v>
      </c>
      <c r="F1146">
        <v>5.3</v>
      </c>
      <c r="G1146" t="s">
        <v>195</v>
      </c>
      <c r="H1146" t="s">
        <v>96</v>
      </c>
      <c r="I1146">
        <v>0.3</v>
      </c>
      <c r="J1146" t="s">
        <v>195</v>
      </c>
      <c r="K1146" t="s">
        <v>195</v>
      </c>
      <c r="L1146" t="s">
        <v>96</v>
      </c>
      <c r="M1146">
        <v>5.2</v>
      </c>
      <c r="N1146" t="s">
        <v>197</v>
      </c>
      <c r="R1146" t="s">
        <v>52</v>
      </c>
      <c r="S1146" t="s">
        <v>68</v>
      </c>
      <c r="T1146" t="s">
        <v>76</v>
      </c>
      <c r="U1146" t="s">
        <v>197</v>
      </c>
      <c r="V1146" t="s">
        <v>197</v>
      </c>
      <c r="W1146" t="s">
        <v>197</v>
      </c>
      <c r="X1146" t="s">
        <v>197</v>
      </c>
      <c r="Y1146" t="s">
        <v>119</v>
      </c>
    </row>
    <row r="1147">
      <c r="A1147">
        <v>3467</v>
      </c>
      <c r="B1147" t="s">
        <v>20</v>
      </c>
      <c r="C1147" t="s">
        <v>115</v>
      </c>
      <c r="D1147" t="s">
        <v>197</v>
      </c>
      <c r="E1147" t="s">
        <v>201</v>
      </c>
      <c r="U1147" t="s">
        <v>197</v>
      </c>
      <c r="V1147" t="s">
        <v>197</v>
      </c>
      <c r="W1147" t="s">
        <v>197</v>
      </c>
      <c r="X1147" t="s">
        <v>197</v>
      </c>
      <c r="Y1147" t="s">
        <v>202</v>
      </c>
    </row>
    <row r="1148">
      <c r="A1148">
        <v>3466</v>
      </c>
      <c r="B1148" t="s">
        <v>20</v>
      </c>
      <c r="C1148" t="s">
        <v>115</v>
      </c>
      <c r="D1148" t="s">
        <v>197</v>
      </c>
      <c r="E1148" t="s">
        <v>201</v>
      </c>
      <c r="U1148" t="s">
        <v>197</v>
      </c>
      <c r="V1148" t="s">
        <v>197</v>
      </c>
      <c r="W1148" t="s">
        <v>197</v>
      </c>
      <c r="X1148" t="s">
        <v>197</v>
      </c>
      <c r="Y1148" t="s">
        <v>202</v>
      </c>
    </row>
    <row r="1149">
      <c r="A1149">
        <v>3476</v>
      </c>
      <c r="B1149" t="s">
        <v>20</v>
      </c>
      <c r="C1149" t="s">
        <v>115</v>
      </c>
      <c r="D1149" t="s">
        <v>195</v>
      </c>
      <c r="E1149" t="s">
        <v>196</v>
      </c>
      <c r="F1149">
        <v>0.4</v>
      </c>
      <c r="G1149" t="s">
        <v>197</v>
      </c>
      <c r="H1149" t="s">
        <v>96</v>
      </c>
      <c r="I1149">
        <v>4.5</v>
      </c>
      <c r="J1149" t="s">
        <v>195</v>
      </c>
      <c r="K1149" t="s">
        <v>195</v>
      </c>
      <c r="L1149" t="s">
        <v>96</v>
      </c>
      <c r="M1149">
        <v>12.8</v>
      </c>
      <c r="N1149" t="s">
        <v>197</v>
      </c>
      <c r="R1149" t="s">
        <v>52</v>
      </c>
      <c r="S1149" t="s">
        <v>66</v>
      </c>
      <c r="T1149" t="s">
        <v>76</v>
      </c>
      <c r="U1149" t="s">
        <v>195</v>
      </c>
      <c r="V1149" t="s">
        <v>195</v>
      </c>
      <c r="W1149" t="s">
        <v>197</v>
      </c>
      <c r="X1149" t="s">
        <v>197</v>
      </c>
      <c r="Y1149" t="s">
        <v>211</v>
      </c>
    </row>
    <row r="1150">
      <c r="A1150">
        <v>3472</v>
      </c>
      <c r="B1150" t="s">
        <v>20</v>
      </c>
      <c r="C1150" t="s">
        <v>115</v>
      </c>
      <c r="D1150" t="s">
        <v>197</v>
      </c>
      <c r="E1150" t="s">
        <v>201</v>
      </c>
      <c r="U1150" t="s">
        <v>197</v>
      </c>
      <c r="V1150" t="s">
        <v>197</v>
      </c>
      <c r="W1150" t="s">
        <v>197</v>
      </c>
      <c r="X1150" t="s">
        <v>197</v>
      </c>
      <c r="Y1150" t="s">
        <v>202</v>
      </c>
    </row>
    <row r="1151">
      <c r="A1151">
        <v>3481</v>
      </c>
      <c r="B1151" t="s">
        <v>20</v>
      </c>
      <c r="C1151" t="s">
        <v>115</v>
      </c>
      <c r="D1151" t="s">
        <v>195</v>
      </c>
      <c r="E1151" t="s">
        <v>196</v>
      </c>
      <c r="F1151">
        <v>5.7</v>
      </c>
      <c r="G1151" t="s">
        <v>197</v>
      </c>
      <c r="H1151" t="s">
        <v>93</v>
      </c>
      <c r="I1151">
        <v>5.1</v>
      </c>
      <c r="J1151" t="s">
        <v>195</v>
      </c>
      <c r="K1151" t="s">
        <v>195</v>
      </c>
      <c r="L1151" t="s">
        <v>93</v>
      </c>
      <c r="M1151">
        <v>15.9</v>
      </c>
      <c r="N1151" t="s">
        <v>195</v>
      </c>
      <c r="O1151" t="s">
        <v>93</v>
      </c>
      <c r="P1151">
        <v>16.1</v>
      </c>
      <c r="Q1151" t="s">
        <v>195</v>
      </c>
      <c r="R1151" t="s">
        <v>49</v>
      </c>
      <c r="T1151" t="s">
        <v>76</v>
      </c>
      <c r="U1151" t="s">
        <v>197</v>
      </c>
      <c r="V1151" t="s">
        <v>197</v>
      </c>
      <c r="W1151" t="s">
        <v>197</v>
      </c>
      <c r="X1151" t="s">
        <v>197</v>
      </c>
      <c r="Y1151" t="s">
        <v>203</v>
      </c>
    </row>
    <row r="1152">
      <c r="A1152">
        <v>3482</v>
      </c>
      <c r="B1152" t="s">
        <v>20</v>
      </c>
      <c r="C1152" t="s">
        <v>115</v>
      </c>
      <c r="D1152" t="s">
        <v>195</v>
      </c>
      <c r="E1152" t="s">
        <v>196</v>
      </c>
      <c r="F1152">
        <v>2.1</v>
      </c>
      <c r="G1152" t="s">
        <v>197</v>
      </c>
      <c r="H1152" t="s">
        <v>93</v>
      </c>
      <c r="I1152">
        <v>2.5</v>
      </c>
      <c r="J1152" t="s">
        <v>195</v>
      </c>
      <c r="K1152" t="s">
        <v>195</v>
      </c>
      <c r="L1152" t="s">
        <v>93</v>
      </c>
      <c r="M1152">
        <v>15.1</v>
      </c>
      <c r="N1152" t="s">
        <v>195</v>
      </c>
      <c r="O1152" t="s">
        <v>93</v>
      </c>
      <c r="P1152">
        <v>15.3</v>
      </c>
      <c r="Q1152" t="s">
        <v>195</v>
      </c>
      <c r="R1152" t="s">
        <v>49</v>
      </c>
      <c r="T1152" t="s">
        <v>76</v>
      </c>
      <c r="U1152" t="s">
        <v>197</v>
      </c>
      <c r="V1152" t="s">
        <v>197</v>
      </c>
      <c r="W1152" t="s">
        <v>197</v>
      </c>
      <c r="X1152" t="s">
        <v>197</v>
      </c>
      <c r="Y1152" t="s">
        <v>202</v>
      </c>
    </row>
    <row r="1153">
      <c r="A1153">
        <v>3484</v>
      </c>
      <c r="B1153" t="s">
        <v>20</v>
      </c>
      <c r="C1153" t="s">
        <v>115</v>
      </c>
      <c r="D1153" t="s">
        <v>195</v>
      </c>
      <c r="E1153" t="s">
        <v>196</v>
      </c>
      <c r="F1153">
        <v>14.7</v>
      </c>
      <c r="G1153" t="s">
        <v>197</v>
      </c>
      <c r="H1153" t="s">
        <v>93</v>
      </c>
      <c r="I1153">
        <v>0.2</v>
      </c>
      <c r="J1153" t="s">
        <v>195</v>
      </c>
      <c r="K1153" t="s">
        <v>195</v>
      </c>
      <c r="L1153" t="s">
        <v>93</v>
      </c>
      <c r="M1153">
        <v>3.3</v>
      </c>
      <c r="N1153" t="s">
        <v>195</v>
      </c>
      <c r="O1153" t="s">
        <v>93</v>
      </c>
      <c r="P1153">
        <v>3.5</v>
      </c>
      <c r="Q1153" t="s">
        <v>195</v>
      </c>
      <c r="R1153" t="s">
        <v>49</v>
      </c>
      <c r="T1153" t="s">
        <v>76</v>
      </c>
      <c r="U1153" t="s">
        <v>197</v>
      </c>
      <c r="V1153" t="s">
        <v>197</v>
      </c>
      <c r="W1153" t="s">
        <v>197</v>
      </c>
      <c r="X1153" t="s">
        <v>197</v>
      </c>
      <c r="Y1153" t="s">
        <v>203</v>
      </c>
    </row>
    <row r="1154">
      <c r="A1154">
        <v>3486</v>
      </c>
      <c r="B1154" t="s">
        <v>194</v>
      </c>
      <c r="C1154" t="s">
        <v>115</v>
      </c>
      <c r="D1154" t="s">
        <v>197</v>
      </c>
      <c r="E1154" t="s">
        <v>201</v>
      </c>
      <c r="U1154" t="s">
        <v>197</v>
      </c>
      <c r="V1154" t="s">
        <v>197</v>
      </c>
      <c r="W1154" t="s">
        <v>197</v>
      </c>
      <c r="X1154" t="s">
        <v>197</v>
      </c>
      <c r="Y1154" t="s">
        <v>209</v>
      </c>
    </row>
    <row r="1155">
      <c r="A1155">
        <v>3487</v>
      </c>
      <c r="B1155" t="s">
        <v>20</v>
      </c>
      <c r="C1155" t="s">
        <v>115</v>
      </c>
      <c r="D1155" t="s">
        <v>195</v>
      </c>
      <c r="E1155" t="s">
        <v>200</v>
      </c>
      <c r="F1155">
        <v>308.5</v>
      </c>
      <c r="G1155" t="s">
        <v>197</v>
      </c>
      <c r="H1155" t="s">
        <v>95</v>
      </c>
      <c r="I1155">
        <v>0.9</v>
      </c>
      <c r="J1155" t="s">
        <v>195</v>
      </c>
      <c r="K1155" t="s">
        <v>195</v>
      </c>
      <c r="L1155" t="s">
        <v>95</v>
      </c>
      <c r="M1155">
        <v>3.3</v>
      </c>
      <c r="N1155" t="s">
        <v>195</v>
      </c>
      <c r="O1155" t="s">
        <v>95</v>
      </c>
      <c r="P1155">
        <v>3.7</v>
      </c>
      <c r="Q1155" t="s">
        <v>197</v>
      </c>
      <c r="R1155" t="s">
        <v>49</v>
      </c>
      <c r="T1155" t="s">
        <v>77</v>
      </c>
      <c r="U1155" t="s">
        <v>197</v>
      </c>
      <c r="V1155" t="s">
        <v>197</v>
      </c>
      <c r="W1155" t="s">
        <v>197</v>
      </c>
      <c r="X1155" t="s">
        <v>197</v>
      </c>
      <c r="Y1155" t="s">
        <v>202</v>
      </c>
    </row>
    <row r="1156">
      <c r="A1156">
        <v>3495</v>
      </c>
      <c r="B1156" t="s">
        <v>199</v>
      </c>
      <c r="C1156" t="s">
        <v>115</v>
      </c>
      <c r="D1156" t="s">
        <v>195</v>
      </c>
      <c r="E1156" t="s">
        <v>196</v>
      </c>
      <c r="F1156">
        <v>0.4</v>
      </c>
      <c r="G1156" t="s">
        <v>197</v>
      </c>
      <c r="H1156" t="s">
        <v>96</v>
      </c>
      <c r="I1156">
        <v>1.3</v>
      </c>
      <c r="J1156" t="s">
        <v>195</v>
      </c>
      <c r="K1156" t="s">
        <v>195</v>
      </c>
      <c r="L1156" t="s">
        <v>96</v>
      </c>
      <c r="M1156">
        <v>6.5</v>
      </c>
      <c r="N1156" t="s">
        <v>197</v>
      </c>
      <c r="R1156" t="s">
        <v>52</v>
      </c>
      <c r="S1156" t="s">
        <v>64</v>
      </c>
      <c r="T1156" t="s">
        <v>76</v>
      </c>
      <c r="U1156" t="s">
        <v>197</v>
      </c>
      <c r="V1156" t="s">
        <v>197</v>
      </c>
      <c r="W1156" t="s">
        <v>197</v>
      </c>
      <c r="X1156" t="s">
        <v>197</v>
      </c>
      <c r="Y1156" t="s">
        <v>206</v>
      </c>
    </row>
    <row r="1157">
      <c r="A1157">
        <v>3494</v>
      </c>
      <c r="B1157" t="s">
        <v>199</v>
      </c>
      <c r="C1157" t="s">
        <v>115</v>
      </c>
      <c r="D1157" t="s">
        <v>195</v>
      </c>
      <c r="E1157" t="s">
        <v>196</v>
      </c>
      <c r="F1157">
        <v>2.4</v>
      </c>
      <c r="G1157" t="s">
        <v>197</v>
      </c>
      <c r="H1157" t="s">
        <v>93</v>
      </c>
      <c r="I1157">
        <v>2.4</v>
      </c>
      <c r="J1157" t="s">
        <v>195</v>
      </c>
      <c r="K1157" t="s">
        <v>195</v>
      </c>
      <c r="L1157" t="s">
        <v>93</v>
      </c>
      <c r="M1157">
        <v>5.2</v>
      </c>
      <c r="N1157" t="s">
        <v>195</v>
      </c>
      <c r="O1157" t="s">
        <v>93</v>
      </c>
      <c r="P1157">
        <v>5.5</v>
      </c>
      <c r="Q1157" t="s">
        <v>195</v>
      </c>
      <c r="R1157" t="s">
        <v>49</v>
      </c>
      <c r="T1157" t="s">
        <v>76</v>
      </c>
      <c r="U1157" t="s">
        <v>197</v>
      </c>
      <c r="V1157" t="s">
        <v>197</v>
      </c>
      <c r="W1157" t="s">
        <v>197</v>
      </c>
      <c r="X1157" t="s">
        <v>197</v>
      </c>
      <c r="Y1157" t="s">
        <v>210</v>
      </c>
    </row>
    <row r="1158">
      <c r="A1158">
        <v>3493</v>
      </c>
      <c r="B1158" t="s">
        <v>199</v>
      </c>
      <c r="C1158" t="s">
        <v>115</v>
      </c>
      <c r="D1158" t="s">
        <v>195</v>
      </c>
      <c r="E1158" t="s">
        <v>196</v>
      </c>
      <c r="F1158">
        <v>15.3</v>
      </c>
      <c r="G1158" t="s">
        <v>195</v>
      </c>
      <c r="H1158" t="s">
        <v>93</v>
      </c>
      <c r="I1158">
        <v>1</v>
      </c>
      <c r="J1158" t="s">
        <v>197</v>
      </c>
      <c r="K1158" t="s">
        <v>197</v>
      </c>
      <c r="L1158">
        <v/>
      </c>
      <c r="N1158" t="s">
        <v>197</v>
      </c>
      <c r="R1158" t="s">
        <v>53</v>
      </c>
      <c r="S1158" t="s">
        <v>64</v>
      </c>
      <c r="T1158" t="s">
        <v>76</v>
      </c>
      <c r="U1158" t="s">
        <v>197</v>
      </c>
      <c r="V1158" t="s">
        <v>197</v>
      </c>
      <c r="W1158" t="s">
        <v>197</v>
      </c>
      <c r="X1158" t="s">
        <v>197</v>
      </c>
      <c r="Y1158" t="s">
        <v>206</v>
      </c>
    </row>
    <row r="1159">
      <c r="A1159">
        <v>3497</v>
      </c>
      <c r="B1159" t="s">
        <v>194</v>
      </c>
      <c r="C1159" t="s">
        <v>115</v>
      </c>
      <c r="D1159" t="s">
        <v>197</v>
      </c>
      <c r="E1159" t="s">
        <v>201</v>
      </c>
      <c r="U1159" t="s">
        <v>197</v>
      </c>
      <c r="V1159" t="s">
        <v>197</v>
      </c>
      <c r="W1159" t="s">
        <v>197</v>
      </c>
      <c r="X1159" t="s">
        <v>197</v>
      </c>
      <c r="Y1159" t="s">
        <v>209</v>
      </c>
    </row>
    <row r="1160">
      <c r="A1160">
        <v>3499</v>
      </c>
      <c r="B1160" t="s">
        <v>199</v>
      </c>
      <c r="C1160" t="s">
        <v>115</v>
      </c>
      <c r="D1160" t="s">
        <v>197</v>
      </c>
      <c r="E1160" t="s">
        <v>201</v>
      </c>
      <c r="U1160" t="s">
        <v>197</v>
      </c>
      <c r="V1160" t="s">
        <v>197</v>
      </c>
      <c r="W1160" t="s">
        <v>197</v>
      </c>
      <c r="X1160" t="s">
        <v>197</v>
      </c>
      <c r="Y1160" t="s">
        <v>206</v>
      </c>
    </row>
    <row r="1161">
      <c r="A1161">
        <v>3501</v>
      </c>
      <c r="B1161" t="s">
        <v>199</v>
      </c>
      <c r="C1161" t="s">
        <v>115</v>
      </c>
      <c r="D1161" t="s">
        <v>195</v>
      </c>
      <c r="E1161" t="s">
        <v>196</v>
      </c>
      <c r="F1161">
        <v>1.6</v>
      </c>
      <c r="G1161" t="s">
        <v>197</v>
      </c>
      <c r="H1161" t="s">
        <v>93</v>
      </c>
      <c r="I1161">
        <v>0.2</v>
      </c>
      <c r="J1161" t="s">
        <v>195</v>
      </c>
      <c r="K1161" t="s">
        <v>195</v>
      </c>
      <c r="L1161" t="s">
        <v>93</v>
      </c>
      <c r="M1161">
        <v>6</v>
      </c>
      <c r="N1161" t="s">
        <v>195</v>
      </c>
      <c r="O1161" t="s">
        <v>93</v>
      </c>
      <c r="P1161">
        <v>6.1</v>
      </c>
      <c r="Q1161" t="s">
        <v>195</v>
      </c>
      <c r="R1161" t="s">
        <v>49</v>
      </c>
      <c r="T1161" t="s">
        <v>76</v>
      </c>
      <c r="U1161" t="s">
        <v>197</v>
      </c>
      <c r="V1161" t="s">
        <v>197</v>
      </c>
      <c r="W1161" t="s">
        <v>197</v>
      </c>
      <c r="X1161" t="s">
        <v>197</v>
      </c>
      <c r="Y1161" t="s">
        <v>206</v>
      </c>
    </row>
    <row r="1162">
      <c r="A1162">
        <v>3496</v>
      </c>
      <c r="B1162" t="s">
        <v>20</v>
      </c>
      <c r="C1162" t="s">
        <v>115</v>
      </c>
      <c r="D1162" t="s">
        <v>197</v>
      </c>
      <c r="E1162" t="s">
        <v>201</v>
      </c>
      <c r="U1162" t="s">
        <v>197</v>
      </c>
      <c r="V1162" t="s">
        <v>197</v>
      </c>
      <c r="W1162" t="s">
        <v>197</v>
      </c>
      <c r="X1162" t="s">
        <v>197</v>
      </c>
      <c r="Y1162" t="s">
        <v>202</v>
      </c>
    </row>
    <row r="1163">
      <c r="A1163">
        <v>3503</v>
      </c>
      <c r="B1163" t="s">
        <v>199</v>
      </c>
      <c r="C1163" t="s">
        <v>115</v>
      </c>
      <c r="D1163" t="s">
        <v>197</v>
      </c>
      <c r="E1163" t="s">
        <v>201</v>
      </c>
      <c r="U1163" t="s">
        <v>197</v>
      </c>
      <c r="V1163" t="s">
        <v>197</v>
      </c>
      <c r="W1163" t="s">
        <v>197</v>
      </c>
      <c r="X1163" t="s">
        <v>197</v>
      </c>
      <c r="Y1163" t="s">
        <v>206</v>
      </c>
    </row>
    <row r="1164">
      <c r="A1164">
        <v>3505</v>
      </c>
      <c r="B1164" t="s">
        <v>20</v>
      </c>
      <c r="C1164" t="s">
        <v>115</v>
      </c>
      <c r="D1164" t="s">
        <v>197</v>
      </c>
      <c r="E1164" t="s">
        <v>201</v>
      </c>
      <c r="U1164" t="s">
        <v>197</v>
      </c>
      <c r="V1164" t="s">
        <v>197</v>
      </c>
      <c r="W1164" t="s">
        <v>197</v>
      </c>
      <c r="X1164" t="s">
        <v>197</v>
      </c>
      <c r="Y1164" t="s">
        <v>202</v>
      </c>
    </row>
    <row r="1165">
      <c r="A1165">
        <v>3502</v>
      </c>
      <c r="B1165" t="s">
        <v>194</v>
      </c>
      <c r="C1165" t="s">
        <v>115</v>
      </c>
      <c r="D1165" t="s">
        <v>197</v>
      </c>
      <c r="E1165" t="s">
        <v>201</v>
      </c>
      <c r="U1165" t="s">
        <v>197</v>
      </c>
      <c r="V1165" t="s">
        <v>197</v>
      </c>
      <c r="W1165" t="s">
        <v>197</v>
      </c>
      <c r="X1165" t="s">
        <v>197</v>
      </c>
      <c r="Y1165" t="s">
        <v>209</v>
      </c>
    </row>
    <row r="1166">
      <c r="A1166">
        <v>3507</v>
      </c>
      <c r="B1166" t="s">
        <v>20</v>
      </c>
      <c r="C1166" t="s">
        <v>115</v>
      </c>
      <c r="D1166" t="s">
        <v>197</v>
      </c>
      <c r="E1166" t="s">
        <v>201</v>
      </c>
      <c r="U1166" t="s">
        <v>197</v>
      </c>
      <c r="V1166" t="s">
        <v>197</v>
      </c>
      <c r="W1166" t="s">
        <v>197</v>
      </c>
      <c r="X1166" t="s">
        <v>197</v>
      </c>
      <c r="Y1166" t="s">
        <v>202</v>
      </c>
    </row>
    <row r="1167">
      <c r="A1167">
        <v>3509</v>
      </c>
      <c r="B1167" t="s">
        <v>194</v>
      </c>
      <c r="C1167" t="s">
        <v>115</v>
      </c>
      <c r="D1167" t="s">
        <v>197</v>
      </c>
      <c r="E1167" t="s">
        <v>201</v>
      </c>
      <c r="U1167" t="s">
        <v>197</v>
      </c>
      <c r="V1167" t="s">
        <v>197</v>
      </c>
      <c r="W1167" t="s">
        <v>197</v>
      </c>
      <c r="X1167" t="s">
        <v>197</v>
      </c>
      <c r="Y1167" t="s">
        <v>209</v>
      </c>
    </row>
    <row r="1168">
      <c r="A1168">
        <v>3508</v>
      </c>
      <c r="B1168" t="s">
        <v>20</v>
      </c>
      <c r="C1168" t="s">
        <v>115</v>
      </c>
      <c r="D1168" t="s">
        <v>197</v>
      </c>
      <c r="E1168" t="s">
        <v>201</v>
      </c>
      <c r="U1168" t="s">
        <v>197</v>
      </c>
      <c r="V1168" t="s">
        <v>197</v>
      </c>
      <c r="W1168" t="s">
        <v>197</v>
      </c>
      <c r="X1168" t="s">
        <v>197</v>
      </c>
      <c r="Y1168" t="s">
        <v>202</v>
      </c>
    </row>
    <row r="1169">
      <c r="A1169">
        <v>3510</v>
      </c>
      <c r="B1169" t="s">
        <v>20</v>
      </c>
      <c r="C1169" t="s">
        <v>115</v>
      </c>
      <c r="D1169" t="s">
        <v>195</v>
      </c>
      <c r="E1169" t="s">
        <v>196</v>
      </c>
      <c r="F1169">
        <v>2.3</v>
      </c>
      <c r="G1169" t="s">
        <v>197</v>
      </c>
      <c r="H1169" t="s">
        <v>94</v>
      </c>
      <c r="I1169">
        <v>0.4</v>
      </c>
      <c r="J1169" t="s">
        <v>195</v>
      </c>
      <c r="K1169" t="s">
        <v>195</v>
      </c>
      <c r="L1169" t="s">
        <v>94</v>
      </c>
      <c r="M1169">
        <v>4</v>
      </c>
      <c r="N1169" t="s">
        <v>195</v>
      </c>
      <c r="O1169" t="s">
        <v>94</v>
      </c>
      <c r="P1169">
        <v>4</v>
      </c>
      <c r="Q1169" t="s">
        <v>195</v>
      </c>
      <c r="R1169" t="s">
        <v>49</v>
      </c>
      <c r="T1169" t="s">
        <v>76</v>
      </c>
      <c r="U1169" t="s">
        <v>197</v>
      </c>
      <c r="V1169" t="s">
        <v>197</v>
      </c>
      <c r="W1169" t="s">
        <v>197</v>
      </c>
      <c r="X1169" t="s">
        <v>197</v>
      </c>
      <c r="Y1169" t="s">
        <v>203</v>
      </c>
    </row>
    <row r="1170">
      <c r="A1170">
        <v>3515</v>
      </c>
      <c r="B1170" t="s">
        <v>20</v>
      </c>
      <c r="C1170" t="s">
        <v>115</v>
      </c>
      <c r="D1170" t="s">
        <v>197</v>
      </c>
      <c r="E1170" t="s">
        <v>201</v>
      </c>
      <c r="U1170" t="s">
        <v>197</v>
      </c>
      <c r="V1170" t="s">
        <v>197</v>
      </c>
      <c r="W1170" t="s">
        <v>197</v>
      </c>
      <c r="X1170" t="s">
        <v>197</v>
      </c>
      <c r="Y1170" t="s">
        <v>202</v>
      </c>
    </row>
    <row r="1171">
      <c r="A1171">
        <v>3512</v>
      </c>
      <c r="B1171" t="s">
        <v>20</v>
      </c>
      <c r="C1171" t="s">
        <v>115</v>
      </c>
      <c r="D1171" t="s">
        <v>197</v>
      </c>
      <c r="E1171" t="s">
        <v>201</v>
      </c>
      <c r="U1171" t="s">
        <v>197</v>
      </c>
      <c r="V1171" t="s">
        <v>197</v>
      </c>
      <c r="W1171" t="s">
        <v>197</v>
      </c>
      <c r="X1171" t="s">
        <v>197</v>
      </c>
      <c r="Y1171" t="s">
        <v>202</v>
      </c>
    </row>
    <row r="1172">
      <c r="A1172">
        <v>3516</v>
      </c>
      <c r="B1172" t="s">
        <v>199</v>
      </c>
      <c r="C1172" t="s">
        <v>115</v>
      </c>
      <c r="D1172" t="s">
        <v>195</v>
      </c>
      <c r="E1172" t="s">
        <v>196</v>
      </c>
      <c r="F1172">
        <v>1.7</v>
      </c>
      <c r="G1172" t="s">
        <v>197</v>
      </c>
      <c r="H1172" t="s">
        <v>94</v>
      </c>
      <c r="I1172">
        <v>0.9</v>
      </c>
      <c r="J1172" t="s">
        <v>195</v>
      </c>
      <c r="K1172" t="s">
        <v>195</v>
      </c>
      <c r="L1172" t="s">
        <v>94</v>
      </c>
      <c r="M1172">
        <v>5.4</v>
      </c>
      <c r="N1172" t="s">
        <v>195</v>
      </c>
      <c r="O1172" t="s">
        <v>94</v>
      </c>
      <c r="P1172">
        <v>5.3</v>
      </c>
      <c r="Q1172" t="s">
        <v>195</v>
      </c>
      <c r="R1172" t="s">
        <v>50</v>
      </c>
      <c r="T1172" t="s">
        <v>76</v>
      </c>
      <c r="U1172" t="s">
        <v>197</v>
      </c>
      <c r="V1172" t="s">
        <v>197</v>
      </c>
      <c r="W1172" t="s">
        <v>197</v>
      </c>
      <c r="X1172" t="s">
        <v>197</v>
      </c>
      <c r="Y1172" t="s">
        <v>206</v>
      </c>
    </row>
    <row r="1173">
      <c r="A1173">
        <v>3518</v>
      </c>
      <c r="B1173" t="s">
        <v>20</v>
      </c>
      <c r="C1173" t="s">
        <v>115</v>
      </c>
      <c r="D1173" t="s">
        <v>195</v>
      </c>
      <c r="E1173" t="s">
        <v>196</v>
      </c>
      <c r="F1173">
        <v>109.8</v>
      </c>
      <c r="G1173" t="s">
        <v>195</v>
      </c>
      <c r="H1173" t="s">
        <v>94</v>
      </c>
      <c r="I1173">
        <v>0.4</v>
      </c>
      <c r="J1173" t="s">
        <v>197</v>
      </c>
      <c r="K1173" t="s">
        <v>197</v>
      </c>
      <c r="L1173">
        <v/>
      </c>
      <c r="N1173" t="s">
        <v>197</v>
      </c>
      <c r="R1173" t="s">
        <v>53</v>
      </c>
      <c r="S1173" t="s">
        <v>64</v>
      </c>
      <c r="T1173" t="s">
        <v>77</v>
      </c>
      <c r="U1173" t="s">
        <v>197</v>
      </c>
      <c r="V1173" t="s">
        <v>197</v>
      </c>
      <c r="W1173" t="s">
        <v>197</v>
      </c>
      <c r="X1173" t="s">
        <v>197</v>
      </c>
      <c r="Y1173" t="s">
        <v>202</v>
      </c>
    </row>
    <row r="1174">
      <c r="A1174">
        <v>3524</v>
      </c>
      <c r="B1174" t="s">
        <v>20</v>
      </c>
      <c r="C1174" t="s">
        <v>115</v>
      </c>
      <c r="D1174" t="s">
        <v>197</v>
      </c>
      <c r="E1174" t="s">
        <v>201</v>
      </c>
      <c r="U1174" t="s">
        <v>197</v>
      </c>
      <c r="V1174" t="s">
        <v>197</v>
      </c>
      <c r="W1174" t="s">
        <v>197</v>
      </c>
      <c r="X1174" t="s">
        <v>197</v>
      </c>
      <c r="Y1174" t="s">
        <v>119</v>
      </c>
    </row>
    <row r="1175">
      <c r="A1175">
        <v>3523</v>
      </c>
      <c r="B1175" t="s">
        <v>194</v>
      </c>
      <c r="C1175" t="s">
        <v>115</v>
      </c>
      <c r="D1175" t="s">
        <v>197</v>
      </c>
      <c r="E1175" t="s">
        <v>201</v>
      </c>
      <c r="U1175" t="s">
        <v>197</v>
      </c>
      <c r="V1175" t="s">
        <v>197</v>
      </c>
      <c r="W1175" t="s">
        <v>197</v>
      </c>
      <c r="X1175" t="s">
        <v>197</v>
      </c>
      <c r="Y1175" t="s">
        <v>209</v>
      </c>
    </row>
    <row r="1176">
      <c r="A1176">
        <v>3530</v>
      </c>
      <c r="B1176" t="s">
        <v>20</v>
      </c>
      <c r="C1176" t="s">
        <v>115</v>
      </c>
      <c r="D1176" t="s">
        <v>197</v>
      </c>
      <c r="E1176" t="s">
        <v>201</v>
      </c>
      <c r="U1176" t="s">
        <v>197</v>
      </c>
      <c r="V1176" t="s">
        <v>197</v>
      </c>
      <c r="W1176" t="s">
        <v>197</v>
      </c>
      <c r="X1176" t="s">
        <v>197</v>
      </c>
      <c r="Y1176" t="s">
        <v>202</v>
      </c>
    </row>
    <row r="1177">
      <c r="A1177">
        <v>3532</v>
      </c>
      <c r="B1177" t="s">
        <v>194</v>
      </c>
      <c r="C1177" t="s">
        <v>115</v>
      </c>
      <c r="D1177" t="s">
        <v>197</v>
      </c>
      <c r="E1177" t="s">
        <v>201</v>
      </c>
      <c r="U1177" t="s">
        <v>197</v>
      </c>
      <c r="V1177" t="s">
        <v>197</v>
      </c>
      <c r="W1177" t="s">
        <v>197</v>
      </c>
      <c r="X1177" t="s">
        <v>197</v>
      </c>
      <c r="Y1177" t="s">
        <v>209</v>
      </c>
    </row>
    <row r="1178">
      <c r="A1178">
        <v>3539</v>
      </c>
      <c r="B1178" t="s">
        <v>199</v>
      </c>
      <c r="C1178" t="s">
        <v>115</v>
      </c>
      <c r="D1178" t="s">
        <v>195</v>
      </c>
      <c r="E1178" t="s">
        <v>196</v>
      </c>
      <c r="F1178">
        <v>4.3</v>
      </c>
      <c r="G1178" t="s">
        <v>197</v>
      </c>
      <c r="H1178" t="s">
        <v>94</v>
      </c>
      <c r="I1178">
        <v>1.4</v>
      </c>
      <c r="J1178" t="s">
        <v>195</v>
      </c>
      <c r="K1178" t="s">
        <v>195</v>
      </c>
      <c r="L1178" t="s">
        <v>94</v>
      </c>
      <c r="M1178">
        <v>9.5</v>
      </c>
      <c r="N1178" t="s">
        <v>195</v>
      </c>
      <c r="O1178" t="s">
        <v>94</v>
      </c>
      <c r="P1178">
        <v>10.2</v>
      </c>
      <c r="Q1178" t="s">
        <v>195</v>
      </c>
      <c r="R1178" t="s">
        <v>49</v>
      </c>
      <c r="T1178" t="s">
        <v>77</v>
      </c>
      <c r="U1178" t="s">
        <v>195</v>
      </c>
      <c r="V1178" t="s">
        <v>197</v>
      </c>
      <c r="W1178" t="s">
        <v>197</v>
      </c>
      <c r="X1178" t="s">
        <v>197</v>
      </c>
      <c r="Y1178" t="s">
        <v>206</v>
      </c>
    </row>
    <row r="1179">
      <c r="A1179">
        <v>3540</v>
      </c>
      <c r="B1179" t="s">
        <v>199</v>
      </c>
      <c r="C1179" t="s">
        <v>115</v>
      </c>
      <c r="D1179" t="s">
        <v>197</v>
      </c>
      <c r="E1179" t="s">
        <v>201</v>
      </c>
      <c r="U1179" t="s">
        <v>197</v>
      </c>
      <c r="V1179" t="s">
        <v>197</v>
      </c>
      <c r="W1179" t="s">
        <v>197</v>
      </c>
      <c r="X1179" t="s">
        <v>197</v>
      </c>
      <c r="Y1179" t="s">
        <v>206</v>
      </c>
    </row>
    <row r="1180">
      <c r="A1180">
        <v>3543</v>
      </c>
      <c r="B1180" t="s">
        <v>20</v>
      </c>
      <c r="C1180" t="s">
        <v>115</v>
      </c>
      <c r="D1180" t="s">
        <v>197</v>
      </c>
      <c r="E1180" t="s">
        <v>201</v>
      </c>
      <c r="U1180" t="s">
        <v>197</v>
      </c>
      <c r="V1180" t="s">
        <v>197</v>
      </c>
      <c r="W1180" t="s">
        <v>197</v>
      </c>
      <c r="X1180" t="s">
        <v>197</v>
      </c>
      <c r="Y1180" t="s">
        <v>202</v>
      </c>
    </row>
    <row r="1181">
      <c r="A1181">
        <v>3538</v>
      </c>
      <c r="B1181" t="s">
        <v>20</v>
      </c>
      <c r="C1181" t="s">
        <v>115</v>
      </c>
      <c r="D1181" t="s">
        <v>197</v>
      </c>
      <c r="E1181" t="s">
        <v>201</v>
      </c>
      <c r="U1181" t="s">
        <v>197</v>
      </c>
      <c r="V1181" t="s">
        <v>197</v>
      </c>
      <c r="W1181" t="s">
        <v>197</v>
      </c>
      <c r="X1181" t="s">
        <v>197</v>
      </c>
      <c r="Y1181" t="s">
        <v>119</v>
      </c>
    </row>
    <row r="1182">
      <c r="A1182">
        <v>3546</v>
      </c>
      <c r="B1182" t="s">
        <v>20</v>
      </c>
      <c r="C1182" t="s">
        <v>115</v>
      </c>
      <c r="D1182" t="s">
        <v>195</v>
      </c>
      <c r="E1182" t="s">
        <v>196</v>
      </c>
      <c r="F1182">
        <v>2.3</v>
      </c>
      <c r="G1182" t="s">
        <v>197</v>
      </c>
      <c r="H1182" t="s">
        <v>94</v>
      </c>
      <c r="I1182">
        <v>1.9</v>
      </c>
      <c r="J1182" t="s">
        <v>195</v>
      </c>
      <c r="K1182" t="s">
        <v>195</v>
      </c>
      <c r="L1182" t="s">
        <v>94</v>
      </c>
      <c r="M1182">
        <v>5</v>
      </c>
      <c r="N1182" t="s">
        <v>195</v>
      </c>
      <c r="O1182" t="s">
        <v>94</v>
      </c>
      <c r="P1182">
        <v>5.1</v>
      </c>
      <c r="Q1182" t="s">
        <v>195</v>
      </c>
      <c r="R1182" t="s">
        <v>49</v>
      </c>
      <c r="T1182" t="s">
        <v>77</v>
      </c>
      <c r="U1182" t="s">
        <v>197</v>
      </c>
      <c r="V1182" t="s">
        <v>197</v>
      </c>
      <c r="W1182" t="s">
        <v>197</v>
      </c>
      <c r="X1182" t="s">
        <v>197</v>
      </c>
      <c r="Y1182" t="s">
        <v>202</v>
      </c>
    </row>
    <row r="1183">
      <c r="A1183">
        <v>3551</v>
      </c>
      <c r="B1183" t="s">
        <v>194</v>
      </c>
      <c r="C1183" t="s">
        <v>115</v>
      </c>
      <c r="D1183" t="s">
        <v>195</v>
      </c>
      <c r="E1183" t="s">
        <v>196</v>
      </c>
      <c r="F1183">
        <v>4.1</v>
      </c>
      <c r="G1183" t="s">
        <v>197</v>
      </c>
      <c r="H1183" t="s">
        <v>95</v>
      </c>
      <c r="I1183">
        <v>2.3</v>
      </c>
      <c r="J1183" t="s">
        <v>195</v>
      </c>
      <c r="K1183" t="s">
        <v>195</v>
      </c>
      <c r="L1183" t="s">
        <v>94</v>
      </c>
      <c r="M1183">
        <v>37.2</v>
      </c>
      <c r="N1183" t="s">
        <v>195</v>
      </c>
      <c r="O1183" t="s">
        <v>94</v>
      </c>
      <c r="P1183">
        <v>37.2</v>
      </c>
      <c r="Q1183" t="s">
        <v>195</v>
      </c>
      <c r="R1183" t="s">
        <v>49</v>
      </c>
      <c r="T1183" t="s">
        <v>77</v>
      </c>
      <c r="U1183" t="s">
        <v>197</v>
      </c>
      <c r="V1183" t="s">
        <v>197</v>
      </c>
      <c r="W1183" t="s">
        <v>197</v>
      </c>
      <c r="X1183" t="s">
        <v>197</v>
      </c>
      <c r="Y1183" t="s">
        <v>209</v>
      </c>
    </row>
    <row r="1184">
      <c r="A1184">
        <v>3552</v>
      </c>
      <c r="B1184" t="s">
        <v>199</v>
      </c>
      <c r="C1184" t="s">
        <v>115</v>
      </c>
      <c r="D1184" t="s">
        <v>197</v>
      </c>
      <c r="E1184" t="s">
        <v>201</v>
      </c>
      <c r="U1184" t="s">
        <v>197</v>
      </c>
      <c r="V1184" t="s">
        <v>197</v>
      </c>
      <c r="W1184" t="s">
        <v>197</v>
      </c>
      <c r="X1184" t="s">
        <v>197</v>
      </c>
      <c r="Y1184" t="s">
        <v>206</v>
      </c>
    </row>
    <row r="1185">
      <c r="A1185">
        <v>3556</v>
      </c>
      <c r="B1185" t="s">
        <v>194</v>
      </c>
      <c r="C1185" t="s">
        <v>115</v>
      </c>
      <c r="D1185" t="s">
        <v>197</v>
      </c>
      <c r="E1185" t="s">
        <v>201</v>
      </c>
      <c r="U1185" t="s">
        <v>197</v>
      </c>
      <c r="V1185" t="s">
        <v>197</v>
      </c>
      <c r="W1185" t="s">
        <v>197</v>
      </c>
      <c r="X1185" t="s">
        <v>197</v>
      </c>
      <c r="Y1185" t="s">
        <v>209</v>
      </c>
    </row>
    <row r="1186">
      <c r="A1186">
        <v>3562</v>
      </c>
      <c r="B1186" t="s">
        <v>194</v>
      </c>
      <c r="C1186" t="s">
        <v>115</v>
      </c>
      <c r="D1186" t="s">
        <v>197</v>
      </c>
      <c r="E1186" t="s">
        <v>201</v>
      </c>
      <c r="U1186" t="s">
        <v>197</v>
      </c>
      <c r="V1186" t="s">
        <v>197</v>
      </c>
      <c r="W1186" t="s">
        <v>197</v>
      </c>
      <c r="X1186" t="s">
        <v>197</v>
      </c>
      <c r="Y1186" t="s">
        <v>209</v>
      </c>
    </row>
    <row r="1187">
      <c r="A1187">
        <v>3561</v>
      </c>
      <c r="B1187" t="s">
        <v>194</v>
      </c>
      <c r="C1187" t="s">
        <v>115</v>
      </c>
      <c r="D1187" t="s">
        <v>195</v>
      </c>
      <c r="E1187" t="s">
        <v>196</v>
      </c>
      <c r="F1187">
        <v>100.9</v>
      </c>
      <c r="G1187" t="s">
        <v>197</v>
      </c>
      <c r="H1187" t="s">
        <v>95</v>
      </c>
      <c r="I1187">
        <v>0.7</v>
      </c>
      <c r="J1187" t="s">
        <v>195</v>
      </c>
      <c r="K1187" t="s">
        <v>195</v>
      </c>
      <c r="L1187" t="s">
        <v>95</v>
      </c>
      <c r="M1187">
        <v>3.9</v>
      </c>
      <c r="N1187" t="s">
        <v>195</v>
      </c>
      <c r="O1187" t="s">
        <v>95</v>
      </c>
      <c r="P1187">
        <v>4.6</v>
      </c>
      <c r="Q1187" t="s">
        <v>195</v>
      </c>
      <c r="R1187" t="s">
        <v>49</v>
      </c>
      <c r="T1187" t="s">
        <v>77</v>
      </c>
      <c r="U1187" t="s">
        <v>197</v>
      </c>
      <c r="V1187" t="s">
        <v>197</v>
      </c>
      <c r="W1187" t="s">
        <v>197</v>
      </c>
      <c r="X1187" t="s">
        <v>197</v>
      </c>
      <c r="Y1187" t="s">
        <v>204</v>
      </c>
    </row>
    <row r="1188">
      <c r="A1188">
        <v>3554</v>
      </c>
      <c r="B1188" t="s">
        <v>20</v>
      </c>
      <c r="C1188" t="s">
        <v>115</v>
      </c>
      <c r="D1188" t="s">
        <v>197</v>
      </c>
      <c r="E1188" t="s">
        <v>201</v>
      </c>
      <c r="U1188" t="s">
        <v>197</v>
      </c>
      <c r="V1188" t="s">
        <v>197</v>
      </c>
      <c r="W1188" t="s">
        <v>197</v>
      </c>
      <c r="X1188" t="s">
        <v>197</v>
      </c>
      <c r="Y1188" t="s">
        <v>202</v>
      </c>
    </row>
    <row r="1189">
      <c r="A1189">
        <v>3557</v>
      </c>
      <c r="B1189" t="s">
        <v>194</v>
      </c>
      <c r="C1189" t="s">
        <v>115</v>
      </c>
      <c r="D1189" t="s">
        <v>197</v>
      </c>
      <c r="E1189" t="s">
        <v>201</v>
      </c>
      <c r="U1189" t="s">
        <v>197</v>
      </c>
      <c r="V1189" t="s">
        <v>197</v>
      </c>
      <c r="W1189" t="s">
        <v>197</v>
      </c>
      <c r="X1189" t="s">
        <v>197</v>
      </c>
      <c r="Y1189" t="s">
        <v>209</v>
      </c>
    </row>
    <row r="1190">
      <c r="A1190">
        <v>3563</v>
      </c>
      <c r="B1190" t="s">
        <v>20</v>
      </c>
      <c r="C1190" t="s">
        <v>115</v>
      </c>
      <c r="D1190" t="s">
        <v>197</v>
      </c>
      <c r="E1190" t="s">
        <v>201</v>
      </c>
      <c r="U1190" t="s">
        <v>197</v>
      </c>
      <c r="V1190" t="s">
        <v>197</v>
      </c>
      <c r="W1190" t="s">
        <v>197</v>
      </c>
      <c r="X1190" t="s">
        <v>197</v>
      </c>
      <c r="Y1190" t="s">
        <v>202</v>
      </c>
    </row>
    <row r="1191">
      <c r="A1191">
        <v>3567</v>
      </c>
      <c r="B1191" t="s">
        <v>194</v>
      </c>
      <c r="C1191" t="s">
        <v>115</v>
      </c>
      <c r="D1191" t="s">
        <v>197</v>
      </c>
      <c r="E1191" t="s">
        <v>201</v>
      </c>
      <c r="U1191" t="s">
        <v>197</v>
      </c>
      <c r="V1191" t="s">
        <v>197</v>
      </c>
      <c r="W1191" t="s">
        <v>197</v>
      </c>
      <c r="X1191" t="s">
        <v>197</v>
      </c>
      <c r="Y1191" t="s">
        <v>209</v>
      </c>
    </row>
    <row r="1192">
      <c r="A1192">
        <v>3574</v>
      </c>
      <c r="B1192" t="s">
        <v>199</v>
      </c>
      <c r="C1192" t="s">
        <v>115</v>
      </c>
      <c r="D1192" t="s">
        <v>195</v>
      </c>
      <c r="E1192" t="s">
        <v>196</v>
      </c>
      <c r="F1192">
        <v>0.4</v>
      </c>
      <c r="G1192" t="s">
        <v>197</v>
      </c>
      <c r="H1192" t="s">
        <v>95</v>
      </c>
      <c r="I1192">
        <v>1.4</v>
      </c>
      <c r="J1192" t="s">
        <v>197</v>
      </c>
      <c r="K1192" t="s">
        <v>197</v>
      </c>
      <c r="L1192">
        <v/>
      </c>
      <c r="N1192" t="s">
        <v>197</v>
      </c>
      <c r="R1192" t="s">
        <v>53</v>
      </c>
      <c r="S1192" t="s">
        <v>68</v>
      </c>
      <c r="T1192" t="s">
        <v>77</v>
      </c>
      <c r="U1192" t="s">
        <v>197</v>
      </c>
      <c r="V1192" t="s">
        <v>197</v>
      </c>
      <c r="W1192" t="s">
        <v>197</v>
      </c>
      <c r="X1192" t="s">
        <v>197</v>
      </c>
      <c r="Y1192" t="s">
        <v>119</v>
      </c>
    </row>
    <row r="1193">
      <c r="A1193">
        <v>3572</v>
      </c>
      <c r="B1193" t="s">
        <v>20</v>
      </c>
      <c r="C1193" t="s">
        <v>115</v>
      </c>
      <c r="D1193" t="s">
        <v>197</v>
      </c>
      <c r="E1193" t="s">
        <v>201</v>
      </c>
      <c r="U1193" t="s">
        <v>197</v>
      </c>
      <c r="V1193" t="s">
        <v>197</v>
      </c>
      <c r="W1193" t="s">
        <v>197</v>
      </c>
      <c r="X1193" t="s">
        <v>197</v>
      </c>
      <c r="Y1193" t="s">
        <v>202</v>
      </c>
    </row>
    <row r="1194">
      <c r="A1194">
        <v>3575</v>
      </c>
      <c r="B1194" t="s">
        <v>20</v>
      </c>
      <c r="C1194" t="s">
        <v>115</v>
      </c>
      <c r="D1194" t="s">
        <v>197</v>
      </c>
      <c r="E1194" t="s">
        <v>201</v>
      </c>
      <c r="U1194" t="s">
        <v>197</v>
      </c>
      <c r="V1194" t="s">
        <v>197</v>
      </c>
      <c r="W1194" t="s">
        <v>197</v>
      </c>
      <c r="X1194" t="s">
        <v>197</v>
      </c>
      <c r="Y1194" t="s">
        <v>202</v>
      </c>
    </row>
    <row r="1195">
      <c r="A1195">
        <v>3577</v>
      </c>
      <c r="B1195" t="s">
        <v>199</v>
      </c>
      <c r="C1195" t="s">
        <v>115</v>
      </c>
      <c r="D1195" t="s">
        <v>197</v>
      </c>
      <c r="E1195" t="s">
        <v>201</v>
      </c>
      <c r="U1195" t="s">
        <v>197</v>
      </c>
      <c r="V1195" t="s">
        <v>197</v>
      </c>
      <c r="W1195" t="s">
        <v>197</v>
      </c>
      <c r="X1195" t="s">
        <v>197</v>
      </c>
      <c r="Y1195" t="s">
        <v>206</v>
      </c>
    </row>
    <row r="1196">
      <c r="A1196">
        <v>3579</v>
      </c>
      <c r="B1196" t="s">
        <v>20</v>
      </c>
      <c r="C1196" t="s">
        <v>115</v>
      </c>
      <c r="D1196" t="s">
        <v>197</v>
      </c>
      <c r="E1196" t="s">
        <v>201</v>
      </c>
      <c r="U1196" t="s">
        <v>197</v>
      </c>
      <c r="V1196" t="s">
        <v>197</v>
      </c>
      <c r="W1196" t="s">
        <v>197</v>
      </c>
      <c r="X1196" t="s">
        <v>197</v>
      </c>
      <c r="Y1196" t="s">
        <v>202</v>
      </c>
    </row>
    <row r="1197">
      <c r="A1197">
        <v>3581</v>
      </c>
      <c r="B1197" t="s">
        <v>199</v>
      </c>
      <c r="C1197" t="s">
        <v>115</v>
      </c>
      <c r="D1197" t="s">
        <v>197</v>
      </c>
      <c r="E1197" t="s">
        <v>201</v>
      </c>
      <c r="U1197" t="s">
        <v>197</v>
      </c>
      <c r="V1197" t="s">
        <v>197</v>
      </c>
      <c r="W1197" t="s">
        <v>197</v>
      </c>
      <c r="X1197" t="s">
        <v>197</v>
      </c>
      <c r="Y1197" t="s">
        <v>206</v>
      </c>
    </row>
    <row r="1198">
      <c r="A1198">
        <v>3583</v>
      </c>
      <c r="B1198" t="s">
        <v>199</v>
      </c>
      <c r="C1198" t="s">
        <v>115</v>
      </c>
      <c r="D1198" t="s">
        <v>195</v>
      </c>
      <c r="E1198" t="s">
        <v>196</v>
      </c>
      <c r="F1198">
        <v>1.5</v>
      </c>
      <c r="G1198" t="s">
        <v>197</v>
      </c>
      <c r="H1198" t="s">
        <v>94</v>
      </c>
      <c r="I1198">
        <v>1.4</v>
      </c>
      <c r="J1198" t="s">
        <v>195</v>
      </c>
      <c r="K1198" t="s">
        <v>195</v>
      </c>
      <c r="L1198" t="s">
        <v>94</v>
      </c>
      <c r="M1198">
        <v>3.9</v>
      </c>
      <c r="N1198" t="s">
        <v>195</v>
      </c>
      <c r="O1198" t="s">
        <v>94</v>
      </c>
      <c r="P1198">
        <v>4</v>
      </c>
      <c r="Q1198" t="s">
        <v>195</v>
      </c>
      <c r="R1198" t="s">
        <v>49</v>
      </c>
      <c r="T1198" t="s">
        <v>78</v>
      </c>
      <c r="U1198" t="s">
        <v>197</v>
      </c>
      <c r="V1198" t="s">
        <v>197</v>
      </c>
      <c r="W1198" t="s">
        <v>197</v>
      </c>
      <c r="X1198" t="s">
        <v>197</v>
      </c>
      <c r="Y1198" t="s">
        <v>206</v>
      </c>
    </row>
    <row r="1199">
      <c r="A1199">
        <v>3580</v>
      </c>
      <c r="B1199" t="s">
        <v>20</v>
      </c>
      <c r="C1199" t="s">
        <v>115</v>
      </c>
      <c r="D1199" t="s">
        <v>197</v>
      </c>
      <c r="E1199" t="s">
        <v>201</v>
      </c>
      <c r="U1199" t="s">
        <v>197</v>
      </c>
      <c r="V1199" t="s">
        <v>197</v>
      </c>
      <c r="W1199" t="s">
        <v>197</v>
      </c>
      <c r="X1199" t="s">
        <v>197</v>
      </c>
      <c r="Y1199" t="s">
        <v>202</v>
      </c>
    </row>
    <row r="1200">
      <c r="A1200">
        <v>3582</v>
      </c>
      <c r="B1200" t="s">
        <v>199</v>
      </c>
      <c r="C1200" t="s">
        <v>115</v>
      </c>
      <c r="D1200" t="s">
        <v>195</v>
      </c>
      <c r="E1200" t="s">
        <v>200</v>
      </c>
      <c r="F1200">
        <v>686.2</v>
      </c>
      <c r="G1200" t="s">
        <v>195</v>
      </c>
      <c r="H1200" t="s">
        <v>93</v>
      </c>
      <c r="I1200">
        <v>0.6</v>
      </c>
      <c r="J1200" t="s">
        <v>197</v>
      </c>
      <c r="K1200" t="s">
        <v>197</v>
      </c>
      <c r="L1200">
        <v/>
      </c>
      <c r="N1200" t="s">
        <v>197</v>
      </c>
      <c r="R1200" t="s">
        <v>53</v>
      </c>
      <c r="S1200" t="s">
        <v>64</v>
      </c>
      <c r="T1200" t="s">
        <v>76</v>
      </c>
      <c r="U1200" t="s">
        <v>195</v>
      </c>
      <c r="V1200" t="s">
        <v>195</v>
      </c>
      <c r="W1200" t="s">
        <v>195</v>
      </c>
      <c r="X1200" t="s">
        <v>197</v>
      </c>
      <c r="Y1200" t="s">
        <v>104</v>
      </c>
    </row>
    <row r="1201">
      <c r="A1201">
        <v>3586</v>
      </c>
      <c r="B1201" t="s">
        <v>20</v>
      </c>
      <c r="C1201" t="s">
        <v>115</v>
      </c>
      <c r="D1201" t="s">
        <v>197</v>
      </c>
      <c r="E1201" t="s">
        <v>201</v>
      </c>
      <c r="U1201" t="s">
        <v>197</v>
      </c>
      <c r="V1201" t="s">
        <v>197</v>
      </c>
      <c r="W1201" t="s">
        <v>197</v>
      </c>
      <c r="X1201" t="s">
        <v>197</v>
      </c>
      <c r="Y1201" t="s">
        <v>202</v>
      </c>
    </row>
    <row r="1202">
      <c r="A1202">
        <v>3584</v>
      </c>
      <c r="B1202" t="s">
        <v>199</v>
      </c>
      <c r="C1202" t="s">
        <v>115</v>
      </c>
      <c r="D1202" t="s">
        <v>197</v>
      </c>
      <c r="E1202" t="s">
        <v>201</v>
      </c>
      <c r="U1202" t="s">
        <v>197</v>
      </c>
      <c r="V1202" t="s">
        <v>197</v>
      </c>
      <c r="W1202" t="s">
        <v>197</v>
      </c>
      <c r="X1202" t="s">
        <v>197</v>
      </c>
      <c r="Y1202" t="s">
        <v>206</v>
      </c>
    </row>
    <row r="1203">
      <c r="A1203">
        <v>3591</v>
      </c>
      <c r="B1203" t="s">
        <v>194</v>
      </c>
      <c r="C1203" t="s">
        <v>115</v>
      </c>
      <c r="D1203" t="s">
        <v>197</v>
      </c>
      <c r="E1203" t="s">
        <v>201</v>
      </c>
      <c r="U1203" t="s">
        <v>197</v>
      </c>
      <c r="V1203" t="s">
        <v>197</v>
      </c>
      <c r="W1203" t="s">
        <v>197</v>
      </c>
      <c r="X1203" t="s">
        <v>197</v>
      </c>
      <c r="Y1203" t="s">
        <v>209</v>
      </c>
    </row>
    <row r="1204">
      <c r="A1204">
        <v>3594</v>
      </c>
      <c r="B1204" t="s">
        <v>20</v>
      </c>
      <c r="C1204" t="s">
        <v>115</v>
      </c>
      <c r="D1204" t="s">
        <v>197</v>
      </c>
      <c r="E1204" t="s">
        <v>201</v>
      </c>
      <c r="U1204" t="s">
        <v>197</v>
      </c>
      <c r="V1204" t="s">
        <v>197</v>
      </c>
      <c r="W1204" t="s">
        <v>197</v>
      </c>
      <c r="X1204" t="s">
        <v>197</v>
      </c>
      <c r="Y1204" t="s">
        <v>202</v>
      </c>
    </row>
    <row r="1205">
      <c r="A1205">
        <v>3600</v>
      </c>
      <c r="B1205" t="s">
        <v>194</v>
      </c>
      <c r="C1205" t="s">
        <v>115</v>
      </c>
      <c r="D1205" t="s">
        <v>197</v>
      </c>
      <c r="E1205" t="s">
        <v>201</v>
      </c>
      <c r="U1205" t="s">
        <v>197</v>
      </c>
      <c r="V1205" t="s">
        <v>197</v>
      </c>
      <c r="W1205" t="s">
        <v>197</v>
      </c>
      <c r="X1205" t="s">
        <v>197</v>
      </c>
      <c r="Y1205" t="s">
        <v>209</v>
      </c>
    </row>
    <row r="1206">
      <c r="A1206">
        <v>3590</v>
      </c>
      <c r="B1206" t="s">
        <v>194</v>
      </c>
      <c r="C1206" t="s">
        <v>115</v>
      </c>
      <c r="D1206" t="s">
        <v>197</v>
      </c>
      <c r="E1206" t="s">
        <v>201</v>
      </c>
      <c r="U1206" t="s">
        <v>197</v>
      </c>
      <c r="V1206" t="s">
        <v>197</v>
      </c>
      <c r="W1206" t="s">
        <v>197</v>
      </c>
      <c r="X1206" t="s">
        <v>197</v>
      </c>
      <c r="Y1206" t="s">
        <v>209</v>
      </c>
    </row>
    <row r="1207">
      <c r="A1207">
        <v>3593</v>
      </c>
      <c r="B1207" t="s">
        <v>199</v>
      </c>
      <c r="C1207" t="s">
        <v>115</v>
      </c>
      <c r="D1207" t="s">
        <v>197</v>
      </c>
      <c r="E1207" t="s">
        <v>201</v>
      </c>
      <c r="U1207" t="s">
        <v>197</v>
      </c>
      <c r="V1207" t="s">
        <v>197</v>
      </c>
      <c r="W1207" t="s">
        <v>197</v>
      </c>
      <c r="X1207" t="s">
        <v>197</v>
      </c>
      <c r="Y1207" t="s">
        <v>206</v>
      </c>
    </row>
    <row r="1208">
      <c r="A1208">
        <v>3595</v>
      </c>
      <c r="B1208" t="s">
        <v>20</v>
      </c>
      <c r="C1208" t="s">
        <v>115</v>
      </c>
      <c r="D1208" t="s">
        <v>197</v>
      </c>
      <c r="E1208" t="s">
        <v>201</v>
      </c>
      <c r="U1208" t="s">
        <v>197</v>
      </c>
      <c r="V1208" t="s">
        <v>197</v>
      </c>
      <c r="W1208" t="s">
        <v>197</v>
      </c>
      <c r="X1208" t="s">
        <v>197</v>
      </c>
      <c r="Y1208" t="s">
        <v>202</v>
      </c>
    </row>
    <row r="1209">
      <c r="A1209">
        <v>3596</v>
      </c>
      <c r="B1209" t="s">
        <v>20</v>
      </c>
      <c r="C1209" t="s">
        <v>115</v>
      </c>
      <c r="D1209" t="s">
        <v>197</v>
      </c>
      <c r="E1209" t="s">
        <v>201</v>
      </c>
      <c r="U1209" t="s">
        <v>197</v>
      </c>
      <c r="V1209" t="s">
        <v>197</v>
      </c>
      <c r="W1209" t="s">
        <v>197</v>
      </c>
      <c r="X1209" t="s">
        <v>197</v>
      </c>
      <c r="Y1209" t="s">
        <v>202</v>
      </c>
    </row>
    <row r="1210">
      <c r="A1210">
        <v>3610</v>
      </c>
      <c r="B1210" t="s">
        <v>20</v>
      </c>
      <c r="C1210" t="s">
        <v>115</v>
      </c>
      <c r="D1210" t="s">
        <v>197</v>
      </c>
      <c r="E1210" t="s">
        <v>201</v>
      </c>
      <c r="U1210" t="s">
        <v>197</v>
      </c>
      <c r="V1210" t="s">
        <v>197</v>
      </c>
      <c r="W1210" t="s">
        <v>197</v>
      </c>
      <c r="X1210" t="s">
        <v>197</v>
      </c>
      <c r="Y1210" t="s">
        <v>202</v>
      </c>
    </row>
    <row r="1211">
      <c r="A1211">
        <v>3598</v>
      </c>
      <c r="B1211" t="s">
        <v>194</v>
      </c>
      <c r="C1211" t="s">
        <v>115</v>
      </c>
      <c r="D1211" t="s">
        <v>197</v>
      </c>
      <c r="E1211" t="s">
        <v>201</v>
      </c>
      <c r="U1211" t="s">
        <v>197</v>
      </c>
      <c r="V1211" t="s">
        <v>197</v>
      </c>
      <c r="W1211" t="s">
        <v>197</v>
      </c>
      <c r="X1211" t="s">
        <v>197</v>
      </c>
      <c r="Y1211" t="s">
        <v>209</v>
      </c>
    </row>
    <row r="1212">
      <c r="A1212">
        <v>3601</v>
      </c>
      <c r="B1212" t="s">
        <v>194</v>
      </c>
      <c r="C1212" t="s">
        <v>115</v>
      </c>
      <c r="D1212" t="s">
        <v>197</v>
      </c>
      <c r="E1212" t="s">
        <v>201</v>
      </c>
      <c r="U1212" t="s">
        <v>197</v>
      </c>
      <c r="V1212" t="s">
        <v>197</v>
      </c>
      <c r="W1212" t="s">
        <v>197</v>
      </c>
      <c r="X1212" t="s">
        <v>197</v>
      </c>
      <c r="Y1212" t="s">
        <v>209</v>
      </c>
    </row>
    <row r="1213">
      <c r="A1213">
        <v>3602</v>
      </c>
      <c r="B1213" t="s">
        <v>194</v>
      </c>
      <c r="C1213" t="s">
        <v>115</v>
      </c>
      <c r="D1213" t="s">
        <v>197</v>
      </c>
      <c r="E1213" t="s">
        <v>201</v>
      </c>
      <c r="U1213" t="s">
        <v>197</v>
      </c>
      <c r="V1213" t="s">
        <v>197</v>
      </c>
      <c r="W1213" t="s">
        <v>197</v>
      </c>
      <c r="X1213" t="s">
        <v>197</v>
      </c>
      <c r="Y1213" t="s">
        <v>209</v>
      </c>
    </row>
    <row r="1214">
      <c r="A1214">
        <v>3603</v>
      </c>
      <c r="B1214" t="s">
        <v>20</v>
      </c>
      <c r="C1214" t="s">
        <v>115</v>
      </c>
      <c r="D1214" t="s">
        <v>197</v>
      </c>
      <c r="E1214" t="s">
        <v>201</v>
      </c>
      <c r="U1214" t="s">
        <v>197</v>
      </c>
      <c r="V1214" t="s">
        <v>197</v>
      </c>
      <c r="W1214" t="s">
        <v>197</v>
      </c>
      <c r="X1214" t="s">
        <v>197</v>
      </c>
      <c r="Y1214" t="s">
        <v>202</v>
      </c>
    </row>
    <row r="1215">
      <c r="A1215">
        <v>3604</v>
      </c>
      <c r="B1215" t="s">
        <v>20</v>
      </c>
      <c r="C1215" t="s">
        <v>115</v>
      </c>
      <c r="D1215" t="s">
        <v>195</v>
      </c>
      <c r="E1215" t="s">
        <v>196</v>
      </c>
      <c r="F1215">
        <v>58.1</v>
      </c>
      <c r="G1215" t="s">
        <v>197</v>
      </c>
      <c r="H1215" t="s">
        <v>93</v>
      </c>
      <c r="I1215">
        <v>0.6</v>
      </c>
      <c r="J1215" t="s">
        <v>195</v>
      </c>
      <c r="K1215" t="s">
        <v>195</v>
      </c>
      <c r="L1215" t="s">
        <v>93</v>
      </c>
      <c r="M1215">
        <v>3.9</v>
      </c>
      <c r="N1215" t="s">
        <v>195</v>
      </c>
      <c r="O1215" t="s">
        <v>93</v>
      </c>
      <c r="P1215">
        <v>4.1</v>
      </c>
      <c r="Q1215" t="s">
        <v>195</v>
      </c>
      <c r="R1215" t="s">
        <v>49</v>
      </c>
      <c r="T1215" t="s">
        <v>76</v>
      </c>
      <c r="U1215" t="s">
        <v>197</v>
      </c>
      <c r="V1215" t="s">
        <v>197</v>
      </c>
      <c r="W1215" t="s">
        <v>197</v>
      </c>
      <c r="X1215" t="s">
        <v>197</v>
      </c>
      <c r="Y1215" t="s">
        <v>202</v>
      </c>
    </row>
    <row r="1216">
      <c r="A1216">
        <v>3606</v>
      </c>
      <c r="B1216" t="s">
        <v>199</v>
      </c>
      <c r="C1216" t="s">
        <v>115</v>
      </c>
      <c r="D1216" t="s">
        <v>195</v>
      </c>
      <c r="E1216" t="s">
        <v>196</v>
      </c>
      <c r="F1216">
        <v>49.1</v>
      </c>
      <c r="G1216" t="s">
        <v>197</v>
      </c>
      <c r="H1216" t="s">
        <v>93</v>
      </c>
      <c r="I1216">
        <v>0.3</v>
      </c>
      <c r="J1216" t="s">
        <v>195</v>
      </c>
      <c r="K1216" t="s">
        <v>195</v>
      </c>
      <c r="L1216" t="s">
        <v>93</v>
      </c>
      <c r="M1216">
        <v>8.5</v>
      </c>
      <c r="N1216" t="s">
        <v>195</v>
      </c>
      <c r="O1216" t="s">
        <v>93</v>
      </c>
      <c r="P1216">
        <v>8.5</v>
      </c>
      <c r="Q1216" t="s">
        <v>195</v>
      </c>
      <c r="R1216" t="s">
        <v>49</v>
      </c>
      <c r="T1216" t="s">
        <v>76</v>
      </c>
      <c r="U1216" t="s">
        <v>197</v>
      </c>
      <c r="V1216" t="s">
        <v>197</v>
      </c>
      <c r="W1216" t="s">
        <v>197</v>
      </c>
      <c r="X1216" t="s">
        <v>197</v>
      </c>
      <c r="Y1216" t="s">
        <v>210</v>
      </c>
    </row>
    <row r="1217">
      <c r="A1217">
        <v>3607</v>
      </c>
      <c r="B1217" t="s">
        <v>20</v>
      </c>
      <c r="C1217" t="s">
        <v>115</v>
      </c>
      <c r="D1217" t="s">
        <v>197</v>
      </c>
      <c r="E1217" t="s">
        <v>201</v>
      </c>
      <c r="U1217" t="s">
        <v>197</v>
      </c>
      <c r="V1217" t="s">
        <v>197</v>
      </c>
      <c r="W1217" t="s">
        <v>197</v>
      </c>
      <c r="X1217" t="s">
        <v>197</v>
      </c>
      <c r="Y1217" t="s">
        <v>202</v>
      </c>
    </row>
    <row r="1218">
      <c r="A1218">
        <v>3613</v>
      </c>
      <c r="B1218" t="s">
        <v>199</v>
      </c>
      <c r="C1218" t="s">
        <v>115</v>
      </c>
      <c r="D1218" t="s">
        <v>195</v>
      </c>
      <c r="E1218" t="s">
        <v>196</v>
      </c>
      <c r="F1218">
        <v>25.7</v>
      </c>
      <c r="G1218" t="s">
        <v>195</v>
      </c>
      <c r="H1218" t="s">
        <v>93</v>
      </c>
      <c r="I1218">
        <v>0.7</v>
      </c>
      <c r="J1218" t="s">
        <v>197</v>
      </c>
      <c r="K1218" t="s">
        <v>195</v>
      </c>
      <c r="L1218" t="s">
        <v>93</v>
      </c>
      <c r="M1218">
        <v>5.1</v>
      </c>
      <c r="N1218" t="s">
        <v>195</v>
      </c>
      <c r="O1218" t="s">
        <v>93</v>
      </c>
      <c r="P1218">
        <v>5.2</v>
      </c>
      <c r="Q1218" t="s">
        <v>195</v>
      </c>
      <c r="R1218" t="s">
        <v>49</v>
      </c>
      <c r="T1218" t="s">
        <v>78</v>
      </c>
      <c r="U1218" t="s">
        <v>197</v>
      </c>
      <c r="V1218" t="s">
        <v>197</v>
      </c>
      <c r="W1218" t="s">
        <v>197</v>
      </c>
      <c r="X1218" t="s">
        <v>197</v>
      </c>
      <c r="Y1218" t="s">
        <v>206</v>
      </c>
    </row>
    <row r="1219">
      <c r="A1219">
        <v>3612</v>
      </c>
      <c r="B1219" t="s">
        <v>199</v>
      </c>
      <c r="C1219" t="s">
        <v>115</v>
      </c>
      <c r="D1219" t="s">
        <v>197</v>
      </c>
      <c r="E1219" t="s">
        <v>201</v>
      </c>
      <c r="U1219" t="s">
        <v>197</v>
      </c>
      <c r="V1219" t="s">
        <v>197</v>
      </c>
      <c r="W1219" t="s">
        <v>197</v>
      </c>
      <c r="X1219" t="s">
        <v>197</v>
      </c>
      <c r="Y1219" t="s">
        <v>206</v>
      </c>
    </row>
    <row r="1220">
      <c r="A1220">
        <v>3615</v>
      </c>
      <c r="B1220" t="s">
        <v>20</v>
      </c>
      <c r="C1220" t="s">
        <v>115</v>
      </c>
      <c r="D1220" t="s">
        <v>197</v>
      </c>
      <c r="E1220" t="s">
        <v>201</v>
      </c>
      <c r="U1220" t="s">
        <v>197</v>
      </c>
      <c r="V1220" t="s">
        <v>197</v>
      </c>
      <c r="W1220" t="s">
        <v>197</v>
      </c>
      <c r="X1220" t="s">
        <v>197</v>
      </c>
      <c r="Y1220" t="s">
        <v>202</v>
      </c>
    </row>
    <row r="1221">
      <c r="A1221">
        <v>3614</v>
      </c>
      <c r="B1221" t="s">
        <v>20</v>
      </c>
      <c r="C1221" t="s">
        <v>115</v>
      </c>
      <c r="D1221" t="s">
        <v>197</v>
      </c>
      <c r="E1221" t="s">
        <v>201</v>
      </c>
      <c r="U1221" t="s">
        <v>197</v>
      </c>
      <c r="V1221" t="s">
        <v>197</v>
      </c>
      <c r="W1221" t="s">
        <v>197</v>
      </c>
      <c r="X1221" t="s">
        <v>197</v>
      </c>
      <c r="Y1221" t="s">
        <v>202</v>
      </c>
    </row>
    <row r="1222">
      <c r="A1222">
        <v>3622</v>
      </c>
      <c r="B1222" t="s">
        <v>20</v>
      </c>
      <c r="C1222" t="s">
        <v>115</v>
      </c>
      <c r="D1222" t="s">
        <v>195</v>
      </c>
      <c r="E1222" t="s">
        <v>196</v>
      </c>
      <c r="F1222">
        <v>1</v>
      </c>
      <c r="G1222" t="s">
        <v>197</v>
      </c>
      <c r="H1222" t="s">
        <v>93</v>
      </c>
      <c r="I1222">
        <v>0.3</v>
      </c>
      <c r="J1222" t="s">
        <v>195</v>
      </c>
      <c r="K1222" t="s">
        <v>195</v>
      </c>
      <c r="L1222" t="s">
        <v>93</v>
      </c>
      <c r="M1222">
        <v>4.3</v>
      </c>
      <c r="N1222" t="s">
        <v>195</v>
      </c>
      <c r="O1222" t="s">
        <v>93</v>
      </c>
      <c r="P1222">
        <v>4.5</v>
      </c>
      <c r="Q1222" t="s">
        <v>195</v>
      </c>
      <c r="R1222" t="s">
        <v>49</v>
      </c>
      <c r="T1222" t="s">
        <v>76</v>
      </c>
      <c r="U1222" t="s">
        <v>197</v>
      </c>
      <c r="V1222" t="s">
        <v>197</v>
      </c>
      <c r="W1222" t="s">
        <v>197</v>
      </c>
      <c r="X1222" t="s">
        <v>197</v>
      </c>
      <c r="Y1222" t="s">
        <v>203</v>
      </c>
    </row>
    <row r="1223">
      <c r="A1223">
        <v>3621</v>
      </c>
      <c r="B1223" t="s">
        <v>194</v>
      </c>
      <c r="C1223" t="s">
        <v>115</v>
      </c>
      <c r="D1223" t="s">
        <v>195</v>
      </c>
      <c r="E1223" t="s">
        <v>196</v>
      </c>
      <c r="F1223">
        <v>2.3</v>
      </c>
      <c r="G1223" t="s">
        <v>197</v>
      </c>
      <c r="H1223" t="s">
        <v>96</v>
      </c>
      <c r="I1223">
        <v>1</v>
      </c>
      <c r="J1223" t="s">
        <v>195</v>
      </c>
      <c r="K1223" t="s">
        <v>195</v>
      </c>
      <c r="L1223" t="s">
        <v>96</v>
      </c>
      <c r="M1223">
        <v>6.1</v>
      </c>
      <c r="N1223" t="s">
        <v>197</v>
      </c>
      <c r="R1223" t="s">
        <v>52</v>
      </c>
      <c r="S1223" t="s">
        <v>64</v>
      </c>
      <c r="T1223" t="s">
        <v>76</v>
      </c>
      <c r="U1223" t="s">
        <v>197</v>
      </c>
      <c r="V1223" t="s">
        <v>197</v>
      </c>
      <c r="W1223" t="s">
        <v>197</v>
      </c>
      <c r="X1223" t="s">
        <v>197</v>
      </c>
      <c r="Y1223" t="s">
        <v>209</v>
      </c>
    </row>
    <row r="1224">
      <c r="A1224">
        <v>3620</v>
      </c>
      <c r="B1224" t="s">
        <v>199</v>
      </c>
      <c r="C1224" t="s">
        <v>115</v>
      </c>
      <c r="D1224" t="s">
        <v>197</v>
      </c>
      <c r="E1224" t="s">
        <v>201</v>
      </c>
      <c r="U1224" t="s">
        <v>197</v>
      </c>
      <c r="V1224" t="s">
        <v>197</v>
      </c>
      <c r="W1224" t="s">
        <v>197</v>
      </c>
      <c r="X1224" t="s">
        <v>197</v>
      </c>
      <c r="Y1224" t="s">
        <v>206</v>
      </c>
    </row>
    <row r="1225">
      <c r="A1225">
        <v>3635</v>
      </c>
      <c r="B1225" t="s">
        <v>20</v>
      </c>
      <c r="C1225" t="s">
        <v>115</v>
      </c>
      <c r="D1225" t="s">
        <v>195</v>
      </c>
      <c r="E1225" t="s">
        <v>196</v>
      </c>
      <c r="F1225">
        <v>0.6</v>
      </c>
      <c r="G1225" t="s">
        <v>197</v>
      </c>
      <c r="H1225" t="s">
        <v>96</v>
      </c>
      <c r="I1225">
        <v>2.5</v>
      </c>
      <c r="J1225" t="s">
        <v>195</v>
      </c>
      <c r="K1225" t="s">
        <v>195</v>
      </c>
      <c r="L1225" t="s">
        <v>96</v>
      </c>
      <c r="M1225">
        <v>6.8</v>
      </c>
      <c r="N1225" t="s">
        <v>195</v>
      </c>
      <c r="O1225" t="s">
        <v>93</v>
      </c>
      <c r="P1225">
        <v>50.9</v>
      </c>
      <c r="Q1225" t="s">
        <v>195</v>
      </c>
      <c r="R1225" t="s">
        <v>49</v>
      </c>
      <c r="T1225" t="s">
        <v>76</v>
      </c>
      <c r="U1225" t="s">
        <v>197</v>
      </c>
      <c r="V1225" t="s">
        <v>197</v>
      </c>
      <c r="W1225" t="s">
        <v>197</v>
      </c>
      <c r="X1225" t="s">
        <v>197</v>
      </c>
      <c r="Y1225" t="s">
        <v>203</v>
      </c>
    </row>
    <row r="1226">
      <c r="A1226">
        <v>3641</v>
      </c>
      <c r="B1226" t="s">
        <v>20</v>
      </c>
      <c r="C1226" t="s">
        <v>115</v>
      </c>
      <c r="D1226" t="s">
        <v>195</v>
      </c>
      <c r="E1226" t="s">
        <v>196</v>
      </c>
      <c r="F1226">
        <v>13</v>
      </c>
      <c r="G1226" t="s">
        <v>197</v>
      </c>
      <c r="H1226" t="s">
        <v>93</v>
      </c>
      <c r="I1226">
        <v>2</v>
      </c>
      <c r="J1226" t="s">
        <v>197</v>
      </c>
      <c r="K1226" t="s">
        <v>197</v>
      </c>
      <c r="L1226">
        <v/>
      </c>
      <c r="N1226" t="s">
        <v>197</v>
      </c>
      <c r="R1226" t="s">
        <v>53</v>
      </c>
      <c r="S1226" t="s">
        <v>64</v>
      </c>
      <c r="T1226" t="s">
        <v>76</v>
      </c>
      <c r="U1226" t="s">
        <v>197</v>
      </c>
      <c r="V1226" t="s">
        <v>197</v>
      </c>
      <c r="W1226" t="s">
        <v>197</v>
      </c>
      <c r="X1226" t="s">
        <v>197</v>
      </c>
      <c r="Y1226" t="s">
        <v>202</v>
      </c>
    </row>
    <row r="1227">
      <c r="A1227">
        <v>3636</v>
      </c>
      <c r="B1227" t="s">
        <v>199</v>
      </c>
      <c r="C1227" t="s">
        <v>115</v>
      </c>
      <c r="D1227" t="s">
        <v>195</v>
      </c>
      <c r="E1227" t="s">
        <v>196</v>
      </c>
      <c r="F1227">
        <v>50.3</v>
      </c>
      <c r="G1227" t="s">
        <v>197</v>
      </c>
      <c r="H1227" t="s">
        <v>93</v>
      </c>
      <c r="I1227">
        <v>1.2</v>
      </c>
      <c r="J1227" t="s">
        <v>195</v>
      </c>
      <c r="K1227" t="s">
        <v>195</v>
      </c>
      <c r="L1227" t="s">
        <v>93</v>
      </c>
      <c r="M1227">
        <v>4.2</v>
      </c>
      <c r="N1227" t="s">
        <v>195</v>
      </c>
      <c r="O1227" t="s">
        <v>93</v>
      </c>
      <c r="P1227">
        <v>4.4</v>
      </c>
      <c r="Q1227" t="s">
        <v>195</v>
      </c>
      <c r="R1227" t="s">
        <v>49</v>
      </c>
      <c r="T1227" t="s">
        <v>76</v>
      </c>
      <c r="U1227" t="s">
        <v>197</v>
      </c>
      <c r="V1227" t="s">
        <v>197</v>
      </c>
      <c r="W1227" t="s">
        <v>197</v>
      </c>
      <c r="X1227" t="s">
        <v>197</v>
      </c>
      <c r="Y1227" t="s">
        <v>210</v>
      </c>
    </row>
    <row r="1228">
      <c r="A1228">
        <v>3639</v>
      </c>
      <c r="B1228" t="s">
        <v>194</v>
      </c>
      <c r="C1228" t="s">
        <v>115</v>
      </c>
      <c r="D1228" t="s">
        <v>197</v>
      </c>
      <c r="E1228" t="s">
        <v>201</v>
      </c>
      <c r="U1228" t="s">
        <v>197</v>
      </c>
      <c r="V1228" t="s">
        <v>197</v>
      </c>
      <c r="W1228" t="s">
        <v>197</v>
      </c>
      <c r="X1228" t="s">
        <v>197</v>
      </c>
      <c r="Y1228" t="s">
        <v>209</v>
      </c>
    </row>
    <row r="1229">
      <c r="A1229">
        <v>3640</v>
      </c>
      <c r="B1229" t="s">
        <v>20</v>
      </c>
      <c r="C1229" t="s">
        <v>115</v>
      </c>
      <c r="D1229" t="s">
        <v>195</v>
      </c>
      <c r="E1229" t="s">
        <v>196</v>
      </c>
      <c r="F1229">
        <v>27.1</v>
      </c>
      <c r="G1229" t="s">
        <v>197</v>
      </c>
      <c r="H1229" t="s">
        <v>93</v>
      </c>
      <c r="I1229">
        <v>0.8</v>
      </c>
      <c r="J1229" t="s">
        <v>197</v>
      </c>
      <c r="K1229" t="s">
        <v>197</v>
      </c>
      <c r="L1229">
        <v/>
      </c>
      <c r="N1229" t="s">
        <v>197</v>
      </c>
      <c r="R1229" t="s">
        <v>53</v>
      </c>
      <c r="S1229" t="s">
        <v>68</v>
      </c>
      <c r="T1229" t="s">
        <v>76</v>
      </c>
      <c r="U1229" t="s">
        <v>197</v>
      </c>
      <c r="V1229" t="s">
        <v>197</v>
      </c>
      <c r="W1229" t="s">
        <v>197</v>
      </c>
      <c r="X1229" t="s">
        <v>197</v>
      </c>
      <c r="Y1229" t="s">
        <v>119</v>
      </c>
    </row>
    <row r="1230">
      <c r="A1230">
        <v>3644</v>
      </c>
      <c r="B1230" t="s">
        <v>20</v>
      </c>
      <c r="C1230" t="s">
        <v>115</v>
      </c>
      <c r="D1230" t="s">
        <v>195</v>
      </c>
      <c r="E1230" t="s">
        <v>196</v>
      </c>
      <c r="F1230">
        <v>15.9</v>
      </c>
      <c r="G1230" t="s">
        <v>197</v>
      </c>
      <c r="H1230" t="s">
        <v>93</v>
      </c>
      <c r="I1230">
        <v>0.5</v>
      </c>
      <c r="J1230" t="s">
        <v>195</v>
      </c>
      <c r="K1230" t="s">
        <v>195</v>
      </c>
      <c r="L1230" t="s">
        <v>93</v>
      </c>
      <c r="M1230">
        <v>20.8</v>
      </c>
      <c r="N1230" t="s">
        <v>195</v>
      </c>
      <c r="O1230" t="s">
        <v>93</v>
      </c>
      <c r="P1230">
        <v>21.1</v>
      </c>
      <c r="Q1230" t="s">
        <v>195</v>
      </c>
      <c r="R1230" t="s">
        <v>49</v>
      </c>
      <c r="T1230" t="s">
        <v>76</v>
      </c>
      <c r="U1230" t="s">
        <v>197</v>
      </c>
      <c r="V1230" t="s">
        <v>197</v>
      </c>
      <c r="W1230" t="s">
        <v>197</v>
      </c>
      <c r="X1230" t="s">
        <v>197</v>
      </c>
      <c r="Y1230" t="s">
        <v>203</v>
      </c>
    </row>
    <row r="1231">
      <c r="A1231">
        <v>3645</v>
      </c>
      <c r="B1231" t="s">
        <v>194</v>
      </c>
      <c r="C1231" t="s">
        <v>115</v>
      </c>
      <c r="D1231" t="s">
        <v>197</v>
      </c>
      <c r="E1231" t="s">
        <v>201</v>
      </c>
      <c r="U1231" t="s">
        <v>197</v>
      </c>
      <c r="V1231" t="s">
        <v>197</v>
      </c>
      <c r="W1231" t="s">
        <v>197</v>
      </c>
      <c r="X1231" t="s">
        <v>197</v>
      </c>
      <c r="Y1231" t="s">
        <v>209</v>
      </c>
    </row>
    <row r="1232">
      <c r="A1232">
        <v>3643</v>
      </c>
      <c r="B1232" t="s">
        <v>20</v>
      </c>
      <c r="C1232" t="s">
        <v>115</v>
      </c>
      <c r="D1232" t="s">
        <v>197</v>
      </c>
      <c r="E1232" t="s">
        <v>201</v>
      </c>
      <c r="U1232" t="s">
        <v>197</v>
      </c>
      <c r="V1232" t="s">
        <v>197</v>
      </c>
      <c r="W1232" t="s">
        <v>197</v>
      </c>
      <c r="X1232" t="s">
        <v>197</v>
      </c>
      <c r="Y1232" t="s">
        <v>202</v>
      </c>
    </row>
    <row r="1233">
      <c r="A1233">
        <v>3648</v>
      </c>
      <c r="B1233" t="s">
        <v>199</v>
      </c>
      <c r="C1233" t="s">
        <v>115</v>
      </c>
      <c r="D1233" t="s">
        <v>197</v>
      </c>
      <c r="E1233" t="s">
        <v>201</v>
      </c>
      <c r="U1233" t="s">
        <v>197</v>
      </c>
      <c r="V1233" t="s">
        <v>197</v>
      </c>
      <c r="W1233" t="s">
        <v>197</v>
      </c>
      <c r="X1233" t="s">
        <v>197</v>
      </c>
      <c r="Y1233" t="s">
        <v>119</v>
      </c>
    </row>
    <row r="1234">
      <c r="A1234">
        <v>3649</v>
      </c>
      <c r="B1234" t="s">
        <v>194</v>
      </c>
      <c r="C1234" t="s">
        <v>115</v>
      </c>
      <c r="D1234" t="s">
        <v>195</v>
      </c>
      <c r="E1234" t="s">
        <v>196</v>
      </c>
      <c r="F1234">
        <v>0.3</v>
      </c>
      <c r="G1234" t="s">
        <v>197</v>
      </c>
      <c r="H1234" t="s">
        <v>93</v>
      </c>
      <c r="I1234">
        <v>0.3</v>
      </c>
      <c r="J1234" t="s">
        <v>195</v>
      </c>
      <c r="K1234" t="s">
        <v>195</v>
      </c>
      <c r="L1234" t="s">
        <v>93</v>
      </c>
      <c r="M1234">
        <v>3.3</v>
      </c>
      <c r="N1234" t="s">
        <v>195</v>
      </c>
      <c r="O1234" t="s">
        <v>93</v>
      </c>
      <c r="P1234">
        <v>3.5</v>
      </c>
      <c r="Q1234" t="s">
        <v>195</v>
      </c>
      <c r="R1234" t="s">
        <v>49</v>
      </c>
      <c r="T1234" t="s">
        <v>76</v>
      </c>
      <c r="U1234" t="s">
        <v>197</v>
      </c>
      <c r="V1234" t="s">
        <v>197</v>
      </c>
      <c r="W1234" t="s">
        <v>197</v>
      </c>
      <c r="X1234" t="s">
        <v>197</v>
      </c>
      <c r="Y1234" t="s">
        <v>204</v>
      </c>
    </row>
    <row r="1235">
      <c r="A1235">
        <v>3650</v>
      </c>
      <c r="B1235" t="s">
        <v>20</v>
      </c>
      <c r="C1235" t="s">
        <v>115</v>
      </c>
      <c r="D1235" t="s">
        <v>197</v>
      </c>
      <c r="E1235" t="s">
        <v>201</v>
      </c>
      <c r="U1235" t="s">
        <v>197</v>
      </c>
      <c r="V1235" t="s">
        <v>197</v>
      </c>
      <c r="W1235" t="s">
        <v>197</v>
      </c>
      <c r="X1235" t="s">
        <v>197</v>
      </c>
      <c r="Y1235" t="s">
        <v>119</v>
      </c>
    </row>
    <row r="1236">
      <c r="A1236">
        <v>3647</v>
      </c>
      <c r="B1236" t="s">
        <v>199</v>
      </c>
      <c r="C1236" t="s">
        <v>115</v>
      </c>
      <c r="D1236" t="s">
        <v>197</v>
      </c>
      <c r="E1236" t="s">
        <v>201</v>
      </c>
      <c r="U1236" t="s">
        <v>197</v>
      </c>
      <c r="V1236" t="s">
        <v>197</v>
      </c>
      <c r="W1236" t="s">
        <v>197</v>
      </c>
      <c r="X1236" t="s">
        <v>197</v>
      </c>
      <c r="Y1236" t="s">
        <v>119</v>
      </c>
    </row>
    <row r="1237">
      <c r="A1237">
        <v>3652</v>
      </c>
      <c r="B1237" t="s">
        <v>194</v>
      </c>
      <c r="C1237" t="s">
        <v>115</v>
      </c>
      <c r="D1237" t="s">
        <v>197</v>
      </c>
      <c r="E1237" t="s">
        <v>201</v>
      </c>
      <c r="U1237" t="s">
        <v>197</v>
      </c>
      <c r="V1237" t="s">
        <v>197</v>
      </c>
      <c r="W1237" t="s">
        <v>197</v>
      </c>
      <c r="X1237" t="s">
        <v>197</v>
      </c>
      <c r="Y1237" t="s">
        <v>119</v>
      </c>
    </row>
    <row r="1238">
      <c r="A1238">
        <v>3655</v>
      </c>
      <c r="B1238" t="s">
        <v>199</v>
      </c>
      <c r="C1238" t="s">
        <v>115</v>
      </c>
      <c r="D1238" t="s">
        <v>195</v>
      </c>
      <c r="E1238" t="s">
        <v>196</v>
      </c>
      <c r="F1238">
        <v>0.5</v>
      </c>
      <c r="G1238" t="s">
        <v>197</v>
      </c>
      <c r="H1238" t="s">
        <v>95</v>
      </c>
      <c r="I1238">
        <v>1.6</v>
      </c>
      <c r="J1238" t="s">
        <v>195</v>
      </c>
      <c r="K1238" t="s">
        <v>195</v>
      </c>
      <c r="L1238" t="s">
        <v>95</v>
      </c>
      <c r="M1238">
        <v>4.8</v>
      </c>
      <c r="N1238" t="s">
        <v>195</v>
      </c>
      <c r="O1238" t="s">
        <v>95</v>
      </c>
      <c r="P1238">
        <v>5.1</v>
      </c>
      <c r="Q1238" t="s">
        <v>195</v>
      </c>
      <c r="R1238" t="s">
        <v>49</v>
      </c>
      <c r="T1238" t="s">
        <v>76</v>
      </c>
      <c r="U1238" t="s">
        <v>197</v>
      </c>
      <c r="V1238" t="s">
        <v>197</v>
      </c>
      <c r="W1238" t="s">
        <v>197</v>
      </c>
      <c r="X1238" t="s">
        <v>197</v>
      </c>
      <c r="Y1238" t="s">
        <v>210</v>
      </c>
    </row>
  </sheetData>
  <autoFilter ref="A4:Y1238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330A28"/>
    <outlinePr summaryBelow="1" summaryRight="1"/>
    <pageSetUpPr/>
  </sheetPr>
  <dimension ref="A1:V3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6" customWidth="1" min="4" max="4"/>
    <col width="18" customWidth="1" min="5" max="5"/>
    <col width="24" customWidth="1" min="6" max="6"/>
    <col width="11" customWidth="1" min="7" max="7"/>
    <col width="12" customWidth="1" min="8" max="8"/>
    <col width="11" customWidth="1" min="9" max="9"/>
    <col width="10" customWidth="1" min="10" max="10"/>
    <col width="11" customWidth="1" min="11" max="11"/>
    <col width="10" customWidth="1" min="12" max="12"/>
    <col width="22" customWidth="1" min="13" max="13"/>
    <col width="22" customWidth="1" min="14" max="14"/>
    <col width="10" customWidth="1" min="15" max="15"/>
    <col width="11" customWidth="1" min="16" max="16"/>
    <col width="12" customWidth="1" min="17" max="17"/>
    <col width="10" customWidth="1" min="18" max="18"/>
    <col width="14" customWidth="1" min="19" max="19"/>
    <col width="24" customWidth="1" min="20" max="20"/>
    <col width="13" customWidth="1" min="21" max="21"/>
    <col width="13" customWidth="1" min="22" max="22"/>
  </cols>
  <sheetData>
    <row r="1" ht="30" customHeight="1">
      <c r="A1" s="36" t="s">
        <v>99</v>
      </c>
    </row>
    <row r="2">
      <c r="A2" s="37" t="s">
        <v>212</v>
      </c>
    </row>
    <row r="4" ht="44" customHeight="1">
      <c r="A4" s="11" t="s">
        <v>171</v>
      </c>
      <c r="B4" s="11" t="s">
        <v>172</v>
      </c>
      <c r="C4" s="11" t="s">
        <v>109</v>
      </c>
      <c r="D4" s="11" t="s">
        <v>213</v>
      </c>
      <c r="E4" s="11" t="s">
        <v>118</v>
      </c>
      <c r="F4" s="11" t="s">
        <v>214</v>
      </c>
      <c r="G4" s="11" t="s">
        <v>215</v>
      </c>
      <c r="H4" s="11" t="s">
        <v>216</v>
      </c>
      <c r="I4" s="11" t="s">
        <v>128</v>
      </c>
      <c r="J4" s="11" t="s">
        <v>217</v>
      </c>
      <c r="K4" s="11" t="s">
        <v>218</v>
      </c>
      <c r="L4" s="11" t="s">
        <v>219</v>
      </c>
      <c r="M4" s="11" t="s">
        <v>220</v>
      </c>
      <c r="N4" s="11" t="s">
        <v>221</v>
      </c>
      <c r="O4" s="11" t="s">
        <v>156</v>
      </c>
      <c r="P4" s="11" t="s">
        <v>222</v>
      </c>
      <c r="Q4" s="11" t="s">
        <v>137</v>
      </c>
      <c r="R4" s="11" t="s">
        <v>138</v>
      </c>
      <c r="S4" s="11" t="s">
        <v>223</v>
      </c>
      <c r="T4" s="11" t="s">
        <v>224</v>
      </c>
      <c r="U4" s="11" t="s">
        <v>225</v>
      </c>
      <c r="V4" s="11" t="s">
        <v>226</v>
      </c>
    </row>
    <row r="5">
      <c r="A5">
        <v>267</v>
      </c>
      <c r="B5" t="s">
        <v>194</v>
      </c>
      <c r="C5" t="s">
        <v>112</v>
      </c>
      <c r="D5" t="s">
        <v>227</v>
      </c>
      <c r="E5" t="s">
        <v>119</v>
      </c>
      <c r="F5" t="s">
        <v>93</v>
      </c>
      <c r="G5" t="s">
        <v>195</v>
      </c>
      <c r="H5" t="s">
        <v>195</v>
      </c>
      <c r="I5" t="s">
        <v>195</v>
      </c>
      <c r="J5">
        <v>15.3</v>
      </c>
      <c r="K5" t="s">
        <v>195</v>
      </c>
      <c r="L5" t="s">
        <v>197</v>
      </c>
      <c r="M5" t="s">
        <v>207</v>
      </c>
      <c r="N5" t="s">
        <v>93</v>
      </c>
      <c r="O5">
        <v>0.3</v>
      </c>
      <c r="P5" t="s">
        <v>195</v>
      </c>
      <c r="Q5" t="s">
        <v>197</v>
      </c>
      <c r="R5" t="s">
        <v>197</v>
      </c>
      <c r="S5" t="s">
        <v>197</v>
      </c>
      <c r="T5" t="s">
        <v>93</v>
      </c>
      <c r="U5" t="s">
        <v>195</v>
      </c>
      <c r="V5" t="s">
        <v>195</v>
      </c>
    </row>
    <row r="6">
      <c r="A6">
        <v>276</v>
      </c>
      <c r="B6" t="s">
        <v>20</v>
      </c>
      <c r="C6" t="s">
        <v>112</v>
      </c>
      <c r="D6" t="s">
        <v>228</v>
      </c>
      <c r="E6" t="s">
        <v>119</v>
      </c>
      <c r="F6" t="s">
        <v>93</v>
      </c>
      <c r="G6" t="s">
        <v>195</v>
      </c>
      <c r="H6" t="s">
        <v>195</v>
      </c>
      <c r="I6" t="s">
        <v>197</v>
      </c>
      <c r="K6" t="s">
        <v>197</v>
      </c>
      <c r="L6" t="s">
        <v>197</v>
      </c>
      <c r="M6" t="s">
        <v>121</v>
      </c>
      <c r="N6" t="s">
        <v>13</v>
      </c>
      <c r="O6">
        <v>4.3</v>
      </c>
      <c r="P6" t="s">
        <v>197</v>
      </c>
      <c r="Q6" t="s">
        <v>197</v>
      </c>
      <c r="R6" t="s">
        <v>197</v>
      </c>
      <c r="S6" t="s">
        <v>197</v>
      </c>
      <c r="T6" t="s">
        <v>93</v>
      </c>
      <c r="U6" t="s">
        <v>197</v>
      </c>
      <c r="V6" t="s">
        <v>197</v>
      </c>
    </row>
    <row r="7">
      <c r="A7">
        <v>278</v>
      </c>
      <c r="B7" t="s">
        <v>20</v>
      </c>
      <c r="C7" t="s">
        <v>112</v>
      </c>
      <c r="D7" t="s">
        <v>229</v>
      </c>
      <c r="E7" t="s">
        <v>119</v>
      </c>
      <c r="F7" t="s">
        <v>93</v>
      </c>
      <c r="G7" t="s">
        <v>195</v>
      </c>
      <c r="H7" t="s">
        <v>195</v>
      </c>
      <c r="I7" t="s">
        <v>195</v>
      </c>
      <c r="J7">
        <v>0.1</v>
      </c>
      <c r="K7" t="s">
        <v>195</v>
      </c>
      <c r="L7" t="s">
        <v>197</v>
      </c>
      <c r="M7" t="s">
        <v>121</v>
      </c>
      <c r="N7" t="s">
        <v>13</v>
      </c>
      <c r="O7">
        <v>4.3</v>
      </c>
      <c r="P7" t="s">
        <v>197</v>
      </c>
      <c r="Q7" t="s">
        <v>197</v>
      </c>
      <c r="R7" t="s">
        <v>197</v>
      </c>
      <c r="S7" t="s">
        <v>195</v>
      </c>
      <c r="T7" t="s">
        <v>93</v>
      </c>
      <c r="U7" t="s">
        <v>197</v>
      </c>
      <c r="V7" t="s">
        <v>197</v>
      </c>
    </row>
    <row r="8">
      <c r="A8">
        <v>286</v>
      </c>
      <c r="B8" t="s">
        <v>199</v>
      </c>
      <c r="C8" t="s">
        <v>112</v>
      </c>
      <c r="D8" t="s">
        <v>230</v>
      </c>
      <c r="E8" t="s">
        <v>119</v>
      </c>
      <c r="F8" t="s">
        <v>95</v>
      </c>
      <c r="G8" t="s">
        <v>195</v>
      </c>
      <c r="H8" t="s">
        <v>195</v>
      </c>
      <c r="I8" t="s">
        <v>195</v>
      </c>
      <c r="J8">
        <v>25.1</v>
      </c>
      <c r="K8" t="s">
        <v>195</v>
      </c>
      <c r="L8" t="s">
        <v>197</v>
      </c>
      <c r="M8" t="s">
        <v>207</v>
      </c>
      <c r="N8" t="s">
        <v>95</v>
      </c>
      <c r="O8">
        <v>0.4</v>
      </c>
      <c r="P8" t="s">
        <v>195</v>
      </c>
      <c r="Q8" t="s">
        <v>195</v>
      </c>
      <c r="R8" t="s">
        <v>197</v>
      </c>
      <c r="S8" t="s">
        <v>197</v>
      </c>
      <c r="T8" t="s">
        <v>95</v>
      </c>
      <c r="U8" t="s">
        <v>195</v>
      </c>
      <c r="V8" t="s">
        <v>195</v>
      </c>
    </row>
    <row r="9">
      <c r="A9">
        <v>277</v>
      </c>
      <c r="B9" t="s">
        <v>20</v>
      </c>
      <c r="C9" t="s">
        <v>112</v>
      </c>
      <c r="D9" t="s">
        <v>231</v>
      </c>
      <c r="E9" t="s">
        <v>119</v>
      </c>
      <c r="F9" t="s">
        <v>94</v>
      </c>
      <c r="G9" t="s">
        <v>195</v>
      </c>
      <c r="H9" t="s">
        <v>195</v>
      </c>
      <c r="I9" t="s">
        <v>197</v>
      </c>
      <c r="K9" t="s">
        <v>197</v>
      </c>
      <c r="L9" t="s">
        <v>197</v>
      </c>
      <c r="M9" t="s">
        <v>121</v>
      </c>
      <c r="N9" t="s">
        <v>13</v>
      </c>
      <c r="O9">
        <v>4.3</v>
      </c>
      <c r="P9" t="s">
        <v>197</v>
      </c>
      <c r="Q9" t="s">
        <v>197</v>
      </c>
      <c r="R9" t="s">
        <v>197</v>
      </c>
      <c r="S9" t="s">
        <v>197</v>
      </c>
      <c r="T9" t="s">
        <v>94</v>
      </c>
      <c r="U9" t="s">
        <v>197</v>
      </c>
      <c r="V9" t="s">
        <v>197</v>
      </c>
    </row>
    <row r="10">
      <c r="A10">
        <v>287</v>
      </c>
      <c r="B10" t="s">
        <v>20</v>
      </c>
      <c r="C10" t="s">
        <v>112</v>
      </c>
      <c r="D10" t="s">
        <v>232</v>
      </c>
      <c r="E10" t="s">
        <v>119</v>
      </c>
      <c r="F10" t="s">
        <v>93</v>
      </c>
      <c r="G10" t="s">
        <v>195</v>
      </c>
      <c r="H10" t="s">
        <v>195</v>
      </c>
      <c r="I10" t="s">
        <v>195</v>
      </c>
      <c r="J10">
        <v>28.4</v>
      </c>
      <c r="K10" t="s">
        <v>195</v>
      </c>
      <c r="L10" t="s">
        <v>197</v>
      </c>
      <c r="M10" t="s">
        <v>121</v>
      </c>
      <c r="N10" t="s">
        <v>13</v>
      </c>
      <c r="O10">
        <v>4.3</v>
      </c>
      <c r="P10" t="s">
        <v>197</v>
      </c>
      <c r="Q10" t="s">
        <v>197</v>
      </c>
      <c r="R10" t="s">
        <v>197</v>
      </c>
      <c r="S10" t="s">
        <v>195</v>
      </c>
      <c r="T10" t="s">
        <v>95</v>
      </c>
      <c r="U10" t="s">
        <v>195</v>
      </c>
      <c r="V10" t="s">
        <v>195</v>
      </c>
    </row>
    <row r="11">
      <c r="A11">
        <v>298</v>
      </c>
      <c r="B11" t="s">
        <v>20</v>
      </c>
      <c r="C11" t="s">
        <v>112</v>
      </c>
      <c r="D11" t="s">
        <v>233</v>
      </c>
      <c r="E11" t="s">
        <v>119</v>
      </c>
      <c r="F11" t="s">
        <v>93</v>
      </c>
      <c r="G11" t="s">
        <v>195</v>
      </c>
      <c r="H11" t="s">
        <v>197</v>
      </c>
      <c r="I11" t="s">
        <v>195</v>
      </c>
      <c r="J11">
        <v>5</v>
      </c>
      <c r="K11" t="s">
        <v>195</v>
      </c>
      <c r="L11" t="s">
        <v>197</v>
      </c>
      <c r="M11" t="s">
        <v>207</v>
      </c>
      <c r="N11" t="s">
        <v>93</v>
      </c>
      <c r="O11">
        <v>0.1</v>
      </c>
      <c r="P11" t="s">
        <v>195</v>
      </c>
      <c r="Q11" t="s">
        <v>197</v>
      </c>
      <c r="R11" t="s">
        <v>197</v>
      </c>
      <c r="S11" t="s">
        <v>197</v>
      </c>
      <c r="T11" t="s">
        <v>93</v>
      </c>
      <c r="U11" t="s">
        <v>195</v>
      </c>
    </row>
    <row r="12">
      <c r="A12">
        <v>296</v>
      </c>
      <c r="B12" t="s">
        <v>20</v>
      </c>
      <c r="C12" t="s">
        <v>112</v>
      </c>
      <c r="D12" t="s">
        <v>234</v>
      </c>
      <c r="E12" t="s">
        <v>119</v>
      </c>
      <c r="F12" t="s">
        <v>93</v>
      </c>
      <c r="G12" t="s">
        <v>195</v>
      </c>
      <c r="H12" t="s">
        <v>195</v>
      </c>
      <c r="I12" t="s">
        <v>197</v>
      </c>
      <c r="K12" t="s">
        <v>197</v>
      </c>
      <c r="L12" t="s">
        <v>197</v>
      </c>
      <c r="M12" t="s">
        <v>121</v>
      </c>
      <c r="N12" t="s">
        <v>13</v>
      </c>
      <c r="O12">
        <v>4.3</v>
      </c>
      <c r="P12" t="s">
        <v>197</v>
      </c>
      <c r="Q12" t="s">
        <v>197</v>
      </c>
      <c r="R12" t="s">
        <v>197</v>
      </c>
      <c r="S12" t="s">
        <v>197</v>
      </c>
      <c r="T12" t="s">
        <v>95</v>
      </c>
      <c r="U12" t="s">
        <v>197</v>
      </c>
      <c r="V12" t="s">
        <v>197</v>
      </c>
    </row>
    <row r="13">
      <c r="A13">
        <v>309</v>
      </c>
      <c r="B13" t="s">
        <v>194</v>
      </c>
      <c r="C13" t="s">
        <v>112</v>
      </c>
      <c r="D13" t="s">
        <v>235</v>
      </c>
      <c r="E13" t="s">
        <v>119</v>
      </c>
      <c r="F13" t="s">
        <v>95</v>
      </c>
      <c r="G13" t="s">
        <v>195</v>
      </c>
      <c r="H13" t="s">
        <v>195</v>
      </c>
      <c r="I13" t="s">
        <v>195</v>
      </c>
      <c r="J13">
        <v>6.1</v>
      </c>
      <c r="K13" t="s">
        <v>195</v>
      </c>
      <c r="L13" t="s">
        <v>197</v>
      </c>
      <c r="M13" t="s">
        <v>121</v>
      </c>
      <c r="N13" t="s">
        <v>13</v>
      </c>
      <c r="O13">
        <v>4.3</v>
      </c>
      <c r="P13" t="s">
        <v>197</v>
      </c>
      <c r="Q13" t="s">
        <v>197</v>
      </c>
      <c r="R13" t="s">
        <v>197</v>
      </c>
      <c r="S13" t="s">
        <v>195</v>
      </c>
      <c r="T13" t="s">
        <v>95</v>
      </c>
      <c r="U13" t="s">
        <v>195</v>
      </c>
      <c r="V13" t="s">
        <v>197</v>
      </c>
    </row>
    <row r="14">
      <c r="A14">
        <v>313</v>
      </c>
      <c r="B14" t="s">
        <v>20</v>
      </c>
      <c r="C14" t="s">
        <v>112</v>
      </c>
      <c r="D14" t="s">
        <v>236</v>
      </c>
      <c r="E14" t="s">
        <v>119</v>
      </c>
      <c r="F14" t="s">
        <v>95</v>
      </c>
      <c r="G14" t="s">
        <v>195</v>
      </c>
      <c r="H14" t="s">
        <v>195</v>
      </c>
      <c r="I14" t="s">
        <v>197</v>
      </c>
      <c r="K14" t="s">
        <v>197</v>
      </c>
      <c r="L14" t="s">
        <v>197</v>
      </c>
      <c r="M14" t="s">
        <v>121</v>
      </c>
      <c r="N14" t="s">
        <v>13</v>
      </c>
      <c r="O14">
        <v>4.3</v>
      </c>
      <c r="P14" t="s">
        <v>197</v>
      </c>
      <c r="Q14" t="s">
        <v>197</v>
      </c>
      <c r="R14" t="s">
        <v>197</v>
      </c>
      <c r="S14" t="s">
        <v>197</v>
      </c>
      <c r="T14" t="s">
        <v>95</v>
      </c>
      <c r="U14" t="s">
        <v>197</v>
      </c>
      <c r="V14" t="s">
        <v>197</v>
      </c>
    </row>
    <row r="15">
      <c r="A15">
        <v>308</v>
      </c>
      <c r="B15" t="s">
        <v>20</v>
      </c>
      <c r="C15" t="s">
        <v>112</v>
      </c>
      <c r="D15" t="s">
        <v>237</v>
      </c>
      <c r="E15" t="s">
        <v>119</v>
      </c>
      <c r="F15" t="s">
        <v>93</v>
      </c>
      <c r="G15" t="s">
        <v>195</v>
      </c>
      <c r="H15" t="s">
        <v>195</v>
      </c>
      <c r="I15" t="s">
        <v>195</v>
      </c>
      <c r="J15">
        <v>21.4</v>
      </c>
      <c r="K15" t="s">
        <v>197</v>
      </c>
      <c r="L15" t="s">
        <v>197</v>
      </c>
      <c r="M15" t="s">
        <v>207</v>
      </c>
      <c r="N15" t="s">
        <v>93</v>
      </c>
      <c r="O15">
        <v>0.4</v>
      </c>
      <c r="P15" t="s">
        <v>195</v>
      </c>
      <c r="Q15" t="s">
        <v>197</v>
      </c>
      <c r="R15" t="s">
        <v>197</v>
      </c>
      <c r="S15" t="s">
        <v>197</v>
      </c>
      <c r="T15" t="s">
        <v>93</v>
      </c>
      <c r="U15" t="s">
        <v>195</v>
      </c>
      <c r="V15" t="s">
        <v>195</v>
      </c>
    </row>
    <row r="16">
      <c r="A16">
        <v>317</v>
      </c>
      <c r="B16" t="s">
        <v>20</v>
      </c>
      <c r="C16" t="s">
        <v>112</v>
      </c>
      <c r="D16" t="s">
        <v>238</v>
      </c>
      <c r="E16" t="s">
        <v>119</v>
      </c>
      <c r="F16" t="s">
        <v>95</v>
      </c>
      <c r="G16" t="s">
        <v>195</v>
      </c>
      <c r="H16" t="s">
        <v>195</v>
      </c>
      <c r="I16" t="s">
        <v>195</v>
      </c>
      <c r="J16">
        <v>1.9</v>
      </c>
      <c r="K16" t="s">
        <v>195</v>
      </c>
      <c r="L16" t="s">
        <v>197</v>
      </c>
      <c r="M16" t="s">
        <v>207</v>
      </c>
      <c r="N16" t="s">
        <v>95</v>
      </c>
      <c r="O16">
        <v>0.3</v>
      </c>
      <c r="P16" t="s">
        <v>195</v>
      </c>
      <c r="Q16" t="s">
        <v>195</v>
      </c>
      <c r="R16" t="s">
        <v>197</v>
      </c>
      <c r="S16" t="s">
        <v>197</v>
      </c>
      <c r="T16" t="s">
        <v>95</v>
      </c>
      <c r="U16" t="s">
        <v>195</v>
      </c>
      <c r="V16" t="s">
        <v>195</v>
      </c>
    </row>
    <row r="17">
      <c r="A17">
        <v>326</v>
      </c>
      <c r="B17" t="s">
        <v>194</v>
      </c>
      <c r="C17" t="s">
        <v>112</v>
      </c>
      <c r="D17" t="s">
        <v>239</v>
      </c>
      <c r="E17" t="s">
        <v>119</v>
      </c>
      <c r="F17" t="s">
        <v>94</v>
      </c>
      <c r="G17" t="s">
        <v>195</v>
      </c>
      <c r="H17" t="s">
        <v>195</v>
      </c>
      <c r="I17" t="s">
        <v>197</v>
      </c>
      <c r="K17" t="s">
        <v>197</v>
      </c>
      <c r="L17" t="s">
        <v>197</v>
      </c>
      <c r="M17" t="s">
        <v>121</v>
      </c>
      <c r="N17" t="s">
        <v>13</v>
      </c>
      <c r="O17">
        <v>4.3</v>
      </c>
      <c r="P17" t="s">
        <v>197</v>
      </c>
      <c r="Q17" t="s">
        <v>197</v>
      </c>
      <c r="R17" t="s">
        <v>197</v>
      </c>
      <c r="S17" t="s">
        <v>197</v>
      </c>
      <c r="T17" t="s">
        <v>94</v>
      </c>
      <c r="U17" t="s">
        <v>197</v>
      </c>
      <c r="V17" t="s">
        <v>197</v>
      </c>
    </row>
    <row r="18">
      <c r="A18">
        <v>327</v>
      </c>
      <c r="B18" t="s">
        <v>199</v>
      </c>
      <c r="C18" t="s">
        <v>112</v>
      </c>
      <c r="D18" t="s">
        <v>240</v>
      </c>
      <c r="E18" t="s">
        <v>119</v>
      </c>
      <c r="F18" t="s">
        <v>95</v>
      </c>
      <c r="G18" t="s">
        <v>197</v>
      </c>
      <c r="H18" t="s">
        <v>197</v>
      </c>
      <c r="I18" t="s">
        <v>195</v>
      </c>
      <c r="J18">
        <v>1</v>
      </c>
      <c r="K18" t="s">
        <v>195</v>
      </c>
      <c r="L18" t="s">
        <v>197</v>
      </c>
      <c r="M18" t="s">
        <v>207</v>
      </c>
      <c r="N18" t="s">
        <v>95</v>
      </c>
      <c r="O18">
        <v>0.1</v>
      </c>
      <c r="P18" t="s">
        <v>195</v>
      </c>
      <c r="Q18" t="s">
        <v>195</v>
      </c>
      <c r="R18" t="s">
        <v>195</v>
      </c>
      <c r="S18" t="s">
        <v>197</v>
      </c>
      <c r="T18" t="s">
        <v>95</v>
      </c>
    </row>
    <row r="19">
      <c r="A19">
        <v>343</v>
      </c>
      <c r="B19" t="s">
        <v>199</v>
      </c>
      <c r="C19" t="s">
        <v>112</v>
      </c>
      <c r="D19" t="s">
        <v>241</v>
      </c>
      <c r="E19" t="s">
        <v>119</v>
      </c>
      <c r="F19" t="s">
        <v>93</v>
      </c>
      <c r="G19" t="s">
        <v>195</v>
      </c>
      <c r="H19" t="s">
        <v>195</v>
      </c>
      <c r="I19" t="s">
        <v>195</v>
      </c>
      <c r="J19">
        <v>146.6</v>
      </c>
      <c r="K19" t="s">
        <v>195</v>
      </c>
      <c r="L19" t="s">
        <v>197</v>
      </c>
      <c r="M19" t="s">
        <v>121</v>
      </c>
      <c r="N19" t="s">
        <v>13</v>
      </c>
      <c r="O19">
        <v>4.3</v>
      </c>
      <c r="P19" t="s">
        <v>197</v>
      </c>
      <c r="Q19" t="s">
        <v>197</v>
      </c>
      <c r="R19" t="s">
        <v>197</v>
      </c>
      <c r="S19" t="s">
        <v>195</v>
      </c>
      <c r="T19" t="s">
        <v>93</v>
      </c>
      <c r="U19" t="s">
        <v>197</v>
      </c>
      <c r="V19" t="s">
        <v>197</v>
      </c>
    </row>
    <row r="20">
      <c r="A20">
        <v>359</v>
      </c>
      <c r="B20" t="s">
        <v>20</v>
      </c>
      <c r="C20" t="s">
        <v>112</v>
      </c>
      <c r="D20" t="s">
        <v>242</v>
      </c>
      <c r="E20" t="s">
        <v>119</v>
      </c>
      <c r="F20" t="s">
        <v>93</v>
      </c>
      <c r="G20" t="s">
        <v>195</v>
      </c>
      <c r="H20" t="s">
        <v>195</v>
      </c>
      <c r="I20" t="s">
        <v>195</v>
      </c>
      <c r="J20">
        <v>70.40000000000001</v>
      </c>
      <c r="K20" t="s">
        <v>195</v>
      </c>
      <c r="L20" t="s">
        <v>197</v>
      </c>
      <c r="M20" t="s">
        <v>121</v>
      </c>
      <c r="N20" t="s">
        <v>13</v>
      </c>
      <c r="O20">
        <v>4.3</v>
      </c>
      <c r="P20" t="s">
        <v>197</v>
      </c>
      <c r="Q20" t="s">
        <v>197</v>
      </c>
      <c r="R20" t="s">
        <v>197</v>
      </c>
      <c r="S20" t="s">
        <v>195</v>
      </c>
      <c r="T20" t="s">
        <v>93</v>
      </c>
      <c r="U20" t="s">
        <v>197</v>
      </c>
      <c r="V20" t="s">
        <v>197</v>
      </c>
    </row>
    <row r="21">
      <c r="A21">
        <v>369</v>
      </c>
      <c r="B21" t="s">
        <v>20</v>
      </c>
      <c r="C21" t="s">
        <v>112</v>
      </c>
      <c r="D21" t="s">
        <v>243</v>
      </c>
      <c r="E21" t="s">
        <v>119</v>
      </c>
      <c r="F21" t="s">
        <v>93</v>
      </c>
      <c r="G21" t="s">
        <v>195</v>
      </c>
      <c r="H21" t="s">
        <v>195</v>
      </c>
      <c r="I21" t="s">
        <v>197</v>
      </c>
      <c r="K21" t="s">
        <v>197</v>
      </c>
      <c r="L21" t="s">
        <v>197</v>
      </c>
      <c r="M21" t="s">
        <v>121</v>
      </c>
      <c r="N21" t="s">
        <v>13</v>
      </c>
      <c r="O21">
        <v>4.3</v>
      </c>
      <c r="P21" t="s">
        <v>197</v>
      </c>
      <c r="Q21" t="s">
        <v>197</v>
      </c>
      <c r="R21" t="s">
        <v>197</v>
      </c>
      <c r="S21" t="s">
        <v>197</v>
      </c>
      <c r="T21" t="s">
        <v>93</v>
      </c>
      <c r="U21" t="s">
        <v>197</v>
      </c>
      <c r="V21" t="s">
        <v>197</v>
      </c>
    </row>
    <row r="22">
      <c r="A22">
        <v>376</v>
      </c>
      <c r="B22" t="s">
        <v>20</v>
      </c>
      <c r="C22" t="s">
        <v>112</v>
      </c>
      <c r="D22" t="s">
        <v>244</v>
      </c>
      <c r="E22" t="s">
        <v>119</v>
      </c>
      <c r="F22" t="s">
        <v>93</v>
      </c>
      <c r="G22" t="s">
        <v>195</v>
      </c>
      <c r="H22" t="s">
        <v>195</v>
      </c>
      <c r="I22" t="s">
        <v>197</v>
      </c>
      <c r="K22" t="s">
        <v>197</v>
      </c>
      <c r="L22" t="s">
        <v>197</v>
      </c>
      <c r="M22" t="s">
        <v>121</v>
      </c>
      <c r="N22" t="s">
        <v>13</v>
      </c>
      <c r="O22">
        <v>4.3</v>
      </c>
      <c r="P22" t="s">
        <v>197</v>
      </c>
      <c r="Q22" t="s">
        <v>197</v>
      </c>
      <c r="R22" t="s">
        <v>197</v>
      </c>
      <c r="S22" t="s">
        <v>197</v>
      </c>
      <c r="T22" t="s">
        <v>93</v>
      </c>
      <c r="U22" t="s">
        <v>197</v>
      </c>
      <c r="V22" t="s">
        <v>197</v>
      </c>
    </row>
    <row r="23">
      <c r="A23">
        <v>388</v>
      </c>
      <c r="B23" t="s">
        <v>20</v>
      </c>
      <c r="C23" t="s">
        <v>112</v>
      </c>
      <c r="D23" t="s">
        <v>245</v>
      </c>
      <c r="E23" t="s">
        <v>119</v>
      </c>
      <c r="F23" t="s">
        <v>93</v>
      </c>
      <c r="G23" t="s">
        <v>195</v>
      </c>
      <c r="H23" t="s">
        <v>195</v>
      </c>
      <c r="I23" t="s">
        <v>197</v>
      </c>
      <c r="K23" t="s">
        <v>197</v>
      </c>
      <c r="L23" t="s">
        <v>197</v>
      </c>
      <c r="M23" t="s">
        <v>121</v>
      </c>
      <c r="N23" t="s">
        <v>13</v>
      </c>
      <c r="O23">
        <v>4.3</v>
      </c>
      <c r="P23" t="s">
        <v>197</v>
      </c>
      <c r="Q23" t="s">
        <v>197</v>
      </c>
      <c r="R23" t="s">
        <v>197</v>
      </c>
      <c r="S23" t="s">
        <v>197</v>
      </c>
      <c r="T23" t="s">
        <v>93</v>
      </c>
      <c r="U23" t="s">
        <v>197</v>
      </c>
      <c r="V23" t="s">
        <v>197</v>
      </c>
    </row>
    <row r="24">
      <c r="A24">
        <v>379</v>
      </c>
      <c r="B24" t="s">
        <v>20</v>
      </c>
      <c r="C24" t="s">
        <v>112</v>
      </c>
      <c r="D24" t="s">
        <v>246</v>
      </c>
      <c r="E24" t="s">
        <v>120</v>
      </c>
      <c r="F24" t="s">
        <v>93</v>
      </c>
      <c r="G24" t="s">
        <v>195</v>
      </c>
      <c r="H24" t="s">
        <v>195</v>
      </c>
      <c r="I24" t="s">
        <v>197</v>
      </c>
      <c r="K24" t="s">
        <v>197</v>
      </c>
      <c r="L24" t="s">
        <v>197</v>
      </c>
      <c r="M24" t="s">
        <v>121</v>
      </c>
      <c r="N24" t="s">
        <v>13</v>
      </c>
      <c r="O24">
        <v>4.3</v>
      </c>
      <c r="P24" t="s">
        <v>197</v>
      </c>
      <c r="Q24" t="s">
        <v>197</v>
      </c>
      <c r="R24" t="s">
        <v>197</v>
      </c>
      <c r="S24" t="s">
        <v>197</v>
      </c>
      <c r="T24" t="s">
        <v>93</v>
      </c>
      <c r="U24" t="s">
        <v>197</v>
      </c>
      <c r="V24" t="s">
        <v>197</v>
      </c>
    </row>
    <row r="25">
      <c r="A25">
        <v>417</v>
      </c>
      <c r="B25" t="s">
        <v>20</v>
      </c>
      <c r="C25" t="s">
        <v>112</v>
      </c>
      <c r="D25" t="s">
        <v>247</v>
      </c>
      <c r="E25" t="s">
        <v>119</v>
      </c>
      <c r="F25" t="s">
        <v>94</v>
      </c>
      <c r="G25" t="s">
        <v>195</v>
      </c>
      <c r="H25" t="s">
        <v>195</v>
      </c>
      <c r="I25" t="s">
        <v>195</v>
      </c>
      <c r="J25">
        <v>2.2</v>
      </c>
      <c r="K25" t="s">
        <v>195</v>
      </c>
      <c r="L25" t="s">
        <v>197</v>
      </c>
      <c r="M25" t="s">
        <v>121</v>
      </c>
      <c r="N25" t="s">
        <v>13</v>
      </c>
      <c r="O25">
        <v>10.8</v>
      </c>
      <c r="P25" t="s">
        <v>197</v>
      </c>
      <c r="Q25" t="s">
        <v>197</v>
      </c>
      <c r="R25" t="s">
        <v>197</v>
      </c>
      <c r="S25" t="s">
        <v>195</v>
      </c>
      <c r="T25" t="s">
        <v>94</v>
      </c>
      <c r="U25" t="s">
        <v>197</v>
      </c>
      <c r="V25" t="s">
        <v>197</v>
      </c>
    </row>
    <row r="26">
      <c r="A26">
        <v>423</v>
      </c>
      <c r="B26" t="s">
        <v>20</v>
      </c>
      <c r="C26" t="s">
        <v>112</v>
      </c>
      <c r="D26" t="s">
        <v>248</v>
      </c>
      <c r="E26" t="s">
        <v>119</v>
      </c>
      <c r="F26" t="s">
        <v>94</v>
      </c>
      <c r="G26" t="s">
        <v>195</v>
      </c>
      <c r="H26" t="s">
        <v>195</v>
      </c>
      <c r="I26" t="s">
        <v>197</v>
      </c>
      <c r="K26" t="s">
        <v>195</v>
      </c>
      <c r="L26" t="s">
        <v>197</v>
      </c>
      <c r="M26" t="s">
        <v>121</v>
      </c>
      <c r="N26" t="s">
        <v>13</v>
      </c>
      <c r="O26">
        <v>4.3</v>
      </c>
      <c r="P26" t="s">
        <v>197</v>
      </c>
      <c r="Q26" t="s">
        <v>197</v>
      </c>
      <c r="R26" t="s">
        <v>197</v>
      </c>
      <c r="S26" t="s">
        <v>197</v>
      </c>
      <c r="T26" t="s">
        <v>94</v>
      </c>
      <c r="U26" t="s">
        <v>197</v>
      </c>
      <c r="V26" t="s">
        <v>197</v>
      </c>
    </row>
    <row r="27">
      <c r="A27">
        <v>433</v>
      </c>
      <c r="B27" t="s">
        <v>20</v>
      </c>
      <c r="C27" t="s">
        <v>112</v>
      </c>
      <c r="D27" t="s">
        <v>249</v>
      </c>
      <c r="E27" t="s">
        <v>119</v>
      </c>
      <c r="F27" t="s">
        <v>93</v>
      </c>
      <c r="G27" t="s">
        <v>195</v>
      </c>
      <c r="H27" t="s">
        <v>195</v>
      </c>
      <c r="I27" t="s">
        <v>197</v>
      </c>
      <c r="K27" t="s">
        <v>197</v>
      </c>
      <c r="L27" t="s">
        <v>197</v>
      </c>
      <c r="M27" t="s">
        <v>121</v>
      </c>
      <c r="N27" t="s">
        <v>13</v>
      </c>
      <c r="O27">
        <v>4.3</v>
      </c>
      <c r="P27" t="s">
        <v>197</v>
      </c>
      <c r="Q27" t="s">
        <v>197</v>
      </c>
      <c r="R27" t="s">
        <v>197</v>
      </c>
      <c r="S27" t="s">
        <v>197</v>
      </c>
      <c r="T27" t="s">
        <v>93</v>
      </c>
      <c r="U27" t="s">
        <v>197</v>
      </c>
      <c r="V27" t="s">
        <v>197</v>
      </c>
    </row>
    <row r="28">
      <c r="A28">
        <v>435</v>
      </c>
      <c r="B28" t="s">
        <v>20</v>
      </c>
      <c r="C28" t="s">
        <v>112</v>
      </c>
      <c r="D28" t="s">
        <v>250</v>
      </c>
      <c r="E28" t="s">
        <v>119</v>
      </c>
      <c r="F28" t="s">
        <v>95</v>
      </c>
      <c r="G28" t="s">
        <v>195</v>
      </c>
      <c r="H28" t="s">
        <v>195</v>
      </c>
      <c r="I28" t="s">
        <v>197</v>
      </c>
      <c r="K28" t="s">
        <v>197</v>
      </c>
      <c r="L28" t="s">
        <v>197</v>
      </c>
      <c r="M28" t="s">
        <v>121</v>
      </c>
      <c r="N28" t="s">
        <v>13</v>
      </c>
      <c r="O28">
        <v>4.3</v>
      </c>
      <c r="P28" t="s">
        <v>197</v>
      </c>
      <c r="Q28" t="s">
        <v>197</v>
      </c>
      <c r="R28" t="s">
        <v>197</v>
      </c>
      <c r="S28" t="s">
        <v>197</v>
      </c>
      <c r="T28" t="s">
        <v>95</v>
      </c>
      <c r="U28" t="s">
        <v>197</v>
      </c>
      <c r="V28" t="s">
        <v>197</v>
      </c>
    </row>
    <row r="29">
      <c r="A29">
        <v>438</v>
      </c>
      <c r="B29" t="s">
        <v>20</v>
      </c>
      <c r="C29" t="s">
        <v>112</v>
      </c>
      <c r="D29" t="s">
        <v>251</v>
      </c>
      <c r="E29" t="s">
        <v>119</v>
      </c>
      <c r="F29" t="s">
        <v>95</v>
      </c>
      <c r="G29" t="s">
        <v>195</v>
      </c>
      <c r="H29" t="s">
        <v>195</v>
      </c>
      <c r="I29" t="s">
        <v>197</v>
      </c>
      <c r="K29" t="s">
        <v>197</v>
      </c>
      <c r="L29" t="s">
        <v>197</v>
      </c>
      <c r="M29" t="s">
        <v>121</v>
      </c>
      <c r="N29" t="s">
        <v>13</v>
      </c>
      <c r="O29">
        <v>4.3</v>
      </c>
      <c r="P29" t="s">
        <v>197</v>
      </c>
      <c r="Q29" t="s">
        <v>197</v>
      </c>
      <c r="R29" t="s">
        <v>197</v>
      </c>
      <c r="S29" t="s">
        <v>197</v>
      </c>
      <c r="T29" t="s">
        <v>95</v>
      </c>
      <c r="U29" t="s">
        <v>197</v>
      </c>
      <c r="V29" t="s">
        <v>197</v>
      </c>
    </row>
    <row r="30">
      <c r="A30">
        <v>449</v>
      </c>
      <c r="B30" t="s">
        <v>199</v>
      </c>
      <c r="C30" t="s">
        <v>112</v>
      </c>
      <c r="D30" t="s">
        <v>252</v>
      </c>
      <c r="E30" t="s">
        <v>119</v>
      </c>
      <c r="F30" t="s">
        <v>94</v>
      </c>
      <c r="G30" t="s">
        <v>195</v>
      </c>
      <c r="H30" t="s">
        <v>195</v>
      </c>
      <c r="I30" t="s">
        <v>197</v>
      </c>
      <c r="K30" t="s">
        <v>195</v>
      </c>
      <c r="L30" t="s">
        <v>197</v>
      </c>
      <c r="M30" t="s">
        <v>121</v>
      </c>
      <c r="N30" t="s">
        <v>13</v>
      </c>
      <c r="O30">
        <v>4.3</v>
      </c>
      <c r="P30" t="s">
        <v>197</v>
      </c>
      <c r="Q30" t="s">
        <v>197</v>
      </c>
      <c r="R30" t="s">
        <v>197</v>
      </c>
      <c r="S30" t="s">
        <v>197</v>
      </c>
      <c r="T30" t="s">
        <v>94</v>
      </c>
      <c r="U30" t="s">
        <v>197</v>
      </c>
      <c r="V30" t="s">
        <v>197</v>
      </c>
    </row>
    <row r="31">
      <c r="A31">
        <v>450</v>
      </c>
      <c r="B31" t="s">
        <v>20</v>
      </c>
      <c r="C31" t="s">
        <v>112</v>
      </c>
      <c r="D31" t="s">
        <v>253</v>
      </c>
      <c r="E31" t="s">
        <v>119</v>
      </c>
      <c r="F31" t="s">
        <v>94</v>
      </c>
      <c r="G31" t="s">
        <v>195</v>
      </c>
      <c r="H31" t="s">
        <v>195</v>
      </c>
      <c r="I31" t="s">
        <v>195</v>
      </c>
      <c r="J31">
        <v>19.5</v>
      </c>
      <c r="K31" t="s">
        <v>195</v>
      </c>
      <c r="L31" t="s">
        <v>197</v>
      </c>
      <c r="M31" t="s">
        <v>207</v>
      </c>
      <c r="N31" t="s">
        <v>94</v>
      </c>
      <c r="O31">
        <v>0.3</v>
      </c>
      <c r="P31" t="s">
        <v>195</v>
      </c>
      <c r="Q31" t="s">
        <v>197</v>
      </c>
      <c r="R31" t="s">
        <v>197</v>
      </c>
      <c r="S31" t="s">
        <v>197</v>
      </c>
      <c r="T31" t="s">
        <v>94</v>
      </c>
      <c r="U31" t="s">
        <v>195</v>
      </c>
      <c r="V31" t="s">
        <v>195</v>
      </c>
    </row>
    <row r="32">
      <c r="A32">
        <v>446</v>
      </c>
      <c r="B32" t="s">
        <v>199</v>
      </c>
      <c r="C32" t="s">
        <v>112</v>
      </c>
      <c r="D32" t="s">
        <v>254</v>
      </c>
      <c r="E32" t="s">
        <v>119</v>
      </c>
      <c r="F32" t="s">
        <v>94</v>
      </c>
      <c r="G32" t="s">
        <v>195</v>
      </c>
      <c r="H32" t="s">
        <v>195</v>
      </c>
      <c r="I32" t="s">
        <v>197</v>
      </c>
      <c r="K32" t="s">
        <v>195</v>
      </c>
      <c r="L32" t="s">
        <v>197</v>
      </c>
      <c r="M32" t="s">
        <v>121</v>
      </c>
      <c r="N32" t="s">
        <v>13</v>
      </c>
      <c r="O32">
        <v>4.3</v>
      </c>
      <c r="P32" t="s">
        <v>195</v>
      </c>
      <c r="Q32" t="s">
        <v>195</v>
      </c>
      <c r="R32" t="s">
        <v>197</v>
      </c>
      <c r="S32" t="s">
        <v>197</v>
      </c>
      <c r="T32" t="s">
        <v>94</v>
      </c>
      <c r="U32" t="s">
        <v>197</v>
      </c>
      <c r="V32" t="s">
        <v>197</v>
      </c>
    </row>
    <row r="33">
      <c r="A33">
        <v>455</v>
      </c>
      <c r="B33" t="s">
        <v>20</v>
      </c>
      <c r="C33" t="s">
        <v>112</v>
      </c>
      <c r="D33" t="s">
        <v>255</v>
      </c>
      <c r="E33" t="s">
        <v>119</v>
      </c>
      <c r="F33" t="s">
        <v>94</v>
      </c>
      <c r="G33" t="s">
        <v>195</v>
      </c>
      <c r="H33" t="s">
        <v>195</v>
      </c>
      <c r="I33" t="s">
        <v>197</v>
      </c>
      <c r="K33" t="s">
        <v>195</v>
      </c>
      <c r="L33" t="s">
        <v>197</v>
      </c>
      <c r="M33" t="s">
        <v>121</v>
      </c>
      <c r="N33" t="s">
        <v>13</v>
      </c>
      <c r="O33">
        <v>4.3</v>
      </c>
      <c r="P33" t="s">
        <v>197</v>
      </c>
      <c r="Q33" t="s">
        <v>197</v>
      </c>
      <c r="R33" t="s">
        <v>197</v>
      </c>
      <c r="S33" t="s">
        <v>197</v>
      </c>
      <c r="T33" t="s">
        <v>94</v>
      </c>
      <c r="U33" t="s">
        <v>197</v>
      </c>
      <c r="V33" t="s">
        <v>197</v>
      </c>
    </row>
    <row r="34">
      <c r="A34">
        <v>459</v>
      </c>
      <c r="B34" t="s">
        <v>20</v>
      </c>
      <c r="C34" t="s">
        <v>112</v>
      </c>
      <c r="D34" t="s">
        <v>256</v>
      </c>
      <c r="E34" t="s">
        <v>119</v>
      </c>
      <c r="F34" t="s">
        <v>94</v>
      </c>
      <c r="G34" t="s">
        <v>195</v>
      </c>
      <c r="H34" t="s">
        <v>195</v>
      </c>
      <c r="I34" t="s">
        <v>197</v>
      </c>
      <c r="K34" t="s">
        <v>195</v>
      </c>
      <c r="L34" t="s">
        <v>197</v>
      </c>
      <c r="M34" t="s">
        <v>121</v>
      </c>
      <c r="N34" t="s">
        <v>13</v>
      </c>
      <c r="O34">
        <v>4.3</v>
      </c>
      <c r="P34" t="s">
        <v>197</v>
      </c>
      <c r="Q34" t="s">
        <v>197</v>
      </c>
      <c r="R34" t="s">
        <v>197</v>
      </c>
      <c r="S34" t="s">
        <v>197</v>
      </c>
      <c r="T34" t="s">
        <v>94</v>
      </c>
      <c r="U34" t="s">
        <v>197</v>
      </c>
      <c r="V34" t="s">
        <v>197</v>
      </c>
    </row>
    <row r="35">
      <c r="A35">
        <v>461</v>
      </c>
      <c r="B35" t="s">
        <v>20</v>
      </c>
      <c r="C35" t="s">
        <v>112</v>
      </c>
      <c r="D35" t="s">
        <v>257</v>
      </c>
      <c r="E35" t="s">
        <v>119</v>
      </c>
      <c r="F35" t="s">
        <v>94</v>
      </c>
      <c r="G35" t="s">
        <v>195</v>
      </c>
      <c r="H35" t="s">
        <v>195</v>
      </c>
      <c r="I35" t="s">
        <v>195</v>
      </c>
      <c r="J35">
        <v>5.6</v>
      </c>
      <c r="K35" t="s">
        <v>195</v>
      </c>
      <c r="L35" t="s">
        <v>197</v>
      </c>
      <c r="M35" t="s">
        <v>121</v>
      </c>
      <c r="N35" t="s">
        <v>13</v>
      </c>
      <c r="O35">
        <v>4.3</v>
      </c>
      <c r="P35" t="s">
        <v>197</v>
      </c>
      <c r="Q35" t="s">
        <v>197</v>
      </c>
      <c r="R35" t="s">
        <v>197</v>
      </c>
      <c r="S35" t="s">
        <v>195</v>
      </c>
      <c r="T35" t="s">
        <v>94</v>
      </c>
      <c r="U35" t="s">
        <v>195</v>
      </c>
      <c r="V35" t="s">
        <v>197</v>
      </c>
    </row>
    <row r="36">
      <c r="A36">
        <v>470</v>
      </c>
      <c r="B36" t="s">
        <v>199</v>
      </c>
      <c r="C36" t="s">
        <v>112</v>
      </c>
      <c r="D36" t="s">
        <v>258</v>
      </c>
      <c r="E36" t="s">
        <v>119</v>
      </c>
      <c r="F36" t="s">
        <v>95</v>
      </c>
      <c r="G36" t="s">
        <v>195</v>
      </c>
      <c r="H36" t="s">
        <v>195</v>
      </c>
      <c r="I36" t="s">
        <v>195</v>
      </c>
      <c r="J36">
        <v>8.1</v>
      </c>
      <c r="K36" t="s">
        <v>195</v>
      </c>
      <c r="L36" t="s">
        <v>197</v>
      </c>
      <c r="M36" t="s">
        <v>121</v>
      </c>
      <c r="N36" t="s">
        <v>13</v>
      </c>
      <c r="O36">
        <v>4.3</v>
      </c>
      <c r="P36" t="s">
        <v>197</v>
      </c>
      <c r="Q36" t="s">
        <v>197</v>
      </c>
      <c r="R36" t="s">
        <v>197</v>
      </c>
      <c r="S36" t="s">
        <v>195</v>
      </c>
      <c r="T36" t="s">
        <v>95</v>
      </c>
      <c r="U36" t="s">
        <v>195</v>
      </c>
      <c r="V36" t="s">
        <v>197</v>
      </c>
    </row>
    <row r="37">
      <c r="A37">
        <v>478</v>
      </c>
      <c r="B37" t="s">
        <v>20</v>
      </c>
      <c r="C37" t="s">
        <v>112</v>
      </c>
      <c r="D37" t="s">
        <v>259</v>
      </c>
      <c r="E37" t="s">
        <v>119</v>
      </c>
      <c r="F37" t="s">
        <v>94</v>
      </c>
      <c r="G37" t="s">
        <v>195</v>
      </c>
      <c r="H37" t="s">
        <v>195</v>
      </c>
      <c r="I37" t="s">
        <v>197</v>
      </c>
      <c r="K37" t="s">
        <v>195</v>
      </c>
      <c r="L37" t="s">
        <v>197</v>
      </c>
      <c r="M37" t="s">
        <v>121</v>
      </c>
      <c r="N37" t="s">
        <v>13</v>
      </c>
      <c r="O37">
        <v>4.3</v>
      </c>
      <c r="P37" t="s">
        <v>197</v>
      </c>
      <c r="Q37" t="s">
        <v>197</v>
      </c>
      <c r="R37" t="s">
        <v>197</v>
      </c>
      <c r="S37" t="s">
        <v>197</v>
      </c>
      <c r="T37" t="s">
        <v>94</v>
      </c>
      <c r="U37" t="s">
        <v>197</v>
      </c>
      <c r="V37" t="s">
        <v>197</v>
      </c>
    </row>
    <row r="38">
      <c r="A38">
        <v>484</v>
      </c>
      <c r="B38" t="s">
        <v>20</v>
      </c>
      <c r="C38" t="s">
        <v>112</v>
      </c>
      <c r="D38" t="s">
        <v>260</v>
      </c>
      <c r="E38" t="s">
        <v>119</v>
      </c>
      <c r="F38" t="s">
        <v>94</v>
      </c>
      <c r="G38" t="s">
        <v>195</v>
      </c>
      <c r="H38" t="s">
        <v>195</v>
      </c>
      <c r="I38" t="s">
        <v>195</v>
      </c>
      <c r="J38">
        <v>0.7</v>
      </c>
      <c r="K38" t="s">
        <v>195</v>
      </c>
      <c r="L38" t="s">
        <v>197</v>
      </c>
      <c r="M38" t="s">
        <v>121</v>
      </c>
      <c r="N38" t="s">
        <v>13</v>
      </c>
      <c r="O38">
        <v>4.3</v>
      </c>
      <c r="P38" t="s">
        <v>197</v>
      </c>
      <c r="Q38" t="s">
        <v>197</v>
      </c>
      <c r="R38" t="s">
        <v>197</v>
      </c>
      <c r="S38" t="s">
        <v>195</v>
      </c>
      <c r="T38" t="s">
        <v>94</v>
      </c>
      <c r="U38" t="s">
        <v>197</v>
      </c>
      <c r="V38" t="s">
        <v>197</v>
      </c>
    </row>
    <row r="39">
      <c r="A39">
        <v>488</v>
      </c>
      <c r="B39" t="s">
        <v>199</v>
      </c>
      <c r="C39" t="s">
        <v>112</v>
      </c>
      <c r="D39" t="s">
        <v>261</v>
      </c>
      <c r="E39" t="s">
        <v>119</v>
      </c>
      <c r="F39" t="s">
        <v>94</v>
      </c>
      <c r="G39" t="s">
        <v>195</v>
      </c>
      <c r="H39" t="s">
        <v>195</v>
      </c>
      <c r="I39" t="s">
        <v>195</v>
      </c>
      <c r="J39">
        <v>5.5</v>
      </c>
      <c r="K39" t="s">
        <v>195</v>
      </c>
      <c r="L39" t="s">
        <v>197</v>
      </c>
      <c r="M39" t="s">
        <v>121</v>
      </c>
      <c r="N39" t="s">
        <v>13</v>
      </c>
      <c r="O39">
        <v>4.3</v>
      </c>
      <c r="P39" t="s">
        <v>197</v>
      </c>
      <c r="Q39" t="s">
        <v>197</v>
      </c>
      <c r="R39" t="s">
        <v>197</v>
      </c>
      <c r="S39" t="s">
        <v>195</v>
      </c>
      <c r="T39" t="s">
        <v>95</v>
      </c>
      <c r="U39" t="s">
        <v>195</v>
      </c>
      <c r="V39" t="s">
        <v>197</v>
      </c>
    </row>
    <row r="40">
      <c r="A40">
        <v>487</v>
      </c>
      <c r="B40" t="s">
        <v>20</v>
      </c>
      <c r="C40" t="s">
        <v>112</v>
      </c>
      <c r="D40" t="s">
        <v>262</v>
      </c>
      <c r="E40" t="s">
        <v>119</v>
      </c>
      <c r="F40" t="s">
        <v>95</v>
      </c>
      <c r="G40" t="s">
        <v>195</v>
      </c>
      <c r="H40" t="s">
        <v>195</v>
      </c>
      <c r="I40" t="s">
        <v>197</v>
      </c>
      <c r="K40" t="s">
        <v>197</v>
      </c>
      <c r="L40" t="s">
        <v>197</v>
      </c>
      <c r="M40" t="s">
        <v>121</v>
      </c>
      <c r="N40" t="s">
        <v>13</v>
      </c>
      <c r="O40">
        <v>4.3</v>
      </c>
      <c r="P40" t="s">
        <v>197</v>
      </c>
      <c r="Q40" t="s">
        <v>197</v>
      </c>
      <c r="R40" t="s">
        <v>197</v>
      </c>
      <c r="S40" t="s">
        <v>197</v>
      </c>
      <c r="T40" t="s">
        <v>95</v>
      </c>
      <c r="U40" t="s">
        <v>197</v>
      </c>
      <c r="V40" t="s">
        <v>197</v>
      </c>
    </row>
    <row r="41">
      <c r="A41">
        <v>510</v>
      </c>
      <c r="B41" t="s">
        <v>20</v>
      </c>
      <c r="C41" t="s">
        <v>112</v>
      </c>
      <c r="D41" t="s">
        <v>263</v>
      </c>
      <c r="E41" t="s">
        <v>119</v>
      </c>
      <c r="F41" t="s">
        <v>93</v>
      </c>
      <c r="G41" t="s">
        <v>195</v>
      </c>
      <c r="H41" t="s">
        <v>195</v>
      </c>
      <c r="I41" t="s">
        <v>197</v>
      </c>
      <c r="K41" t="s">
        <v>197</v>
      </c>
      <c r="L41" t="s">
        <v>197</v>
      </c>
      <c r="M41" t="s">
        <v>121</v>
      </c>
      <c r="N41" t="s">
        <v>13</v>
      </c>
      <c r="O41">
        <v>4.3</v>
      </c>
      <c r="P41" t="s">
        <v>197</v>
      </c>
      <c r="Q41" t="s">
        <v>197</v>
      </c>
      <c r="R41" t="s">
        <v>197</v>
      </c>
      <c r="S41" t="s">
        <v>197</v>
      </c>
      <c r="T41" t="s">
        <v>93</v>
      </c>
      <c r="U41" t="s">
        <v>197</v>
      </c>
      <c r="V41" t="s">
        <v>197</v>
      </c>
    </row>
    <row r="42">
      <c r="A42">
        <v>543</v>
      </c>
      <c r="B42" t="s">
        <v>194</v>
      </c>
      <c r="C42" t="s">
        <v>112</v>
      </c>
      <c r="D42" t="s">
        <v>264</v>
      </c>
      <c r="E42" t="s">
        <v>119</v>
      </c>
      <c r="F42" t="s">
        <v>93</v>
      </c>
      <c r="G42" t="s">
        <v>195</v>
      </c>
      <c r="H42" t="s">
        <v>195</v>
      </c>
      <c r="I42" t="s">
        <v>197</v>
      </c>
      <c r="K42" t="s">
        <v>197</v>
      </c>
      <c r="L42" t="s">
        <v>197</v>
      </c>
      <c r="M42" t="s">
        <v>121</v>
      </c>
      <c r="N42" t="s">
        <v>13</v>
      </c>
      <c r="O42">
        <v>4.3</v>
      </c>
      <c r="P42" t="s">
        <v>197</v>
      </c>
      <c r="Q42" t="s">
        <v>197</v>
      </c>
      <c r="R42" t="s">
        <v>197</v>
      </c>
      <c r="S42" t="s">
        <v>197</v>
      </c>
      <c r="T42" t="s">
        <v>93</v>
      </c>
      <c r="U42" t="s">
        <v>197</v>
      </c>
      <c r="V42" t="s">
        <v>197</v>
      </c>
    </row>
    <row r="43">
      <c r="A43">
        <v>555</v>
      </c>
      <c r="B43" t="s">
        <v>194</v>
      </c>
      <c r="C43" t="s">
        <v>112</v>
      </c>
      <c r="D43" t="s">
        <v>265</v>
      </c>
      <c r="E43" t="s">
        <v>119</v>
      </c>
      <c r="F43" t="s">
        <v>93</v>
      </c>
      <c r="G43" t="s">
        <v>195</v>
      </c>
      <c r="H43" t="s">
        <v>195</v>
      </c>
      <c r="I43" t="s">
        <v>197</v>
      </c>
      <c r="K43" t="s">
        <v>197</v>
      </c>
      <c r="L43" t="s">
        <v>197</v>
      </c>
      <c r="M43" t="s">
        <v>121</v>
      </c>
      <c r="N43" t="s">
        <v>13</v>
      </c>
      <c r="O43">
        <v>4.3</v>
      </c>
      <c r="P43" t="s">
        <v>197</v>
      </c>
      <c r="Q43" t="s">
        <v>197</v>
      </c>
      <c r="R43" t="s">
        <v>197</v>
      </c>
      <c r="S43" t="s">
        <v>197</v>
      </c>
      <c r="T43" t="s">
        <v>93</v>
      </c>
      <c r="U43" t="s">
        <v>197</v>
      </c>
      <c r="V43" t="s">
        <v>197</v>
      </c>
    </row>
    <row r="44">
      <c r="A44">
        <v>575</v>
      </c>
      <c r="B44" t="s">
        <v>20</v>
      </c>
      <c r="C44" t="s">
        <v>112</v>
      </c>
      <c r="D44" t="s">
        <v>266</v>
      </c>
      <c r="E44" t="s">
        <v>119</v>
      </c>
      <c r="F44" t="s">
        <v>93</v>
      </c>
      <c r="G44" t="s">
        <v>195</v>
      </c>
      <c r="H44" t="s">
        <v>195</v>
      </c>
      <c r="I44" t="s">
        <v>197</v>
      </c>
      <c r="K44" t="s">
        <v>197</v>
      </c>
      <c r="L44" t="s">
        <v>197</v>
      </c>
      <c r="M44" t="s">
        <v>121</v>
      </c>
      <c r="N44" t="s">
        <v>13</v>
      </c>
      <c r="O44">
        <v>4.3</v>
      </c>
      <c r="P44" t="s">
        <v>197</v>
      </c>
      <c r="Q44" t="s">
        <v>197</v>
      </c>
      <c r="R44" t="s">
        <v>197</v>
      </c>
      <c r="S44" t="s">
        <v>197</v>
      </c>
      <c r="T44" t="s">
        <v>93</v>
      </c>
      <c r="U44" t="s">
        <v>197</v>
      </c>
      <c r="V44" t="s">
        <v>197</v>
      </c>
    </row>
    <row r="45">
      <c r="A45">
        <v>582</v>
      </c>
      <c r="B45" t="s">
        <v>194</v>
      </c>
      <c r="C45" t="s">
        <v>112</v>
      </c>
      <c r="D45" t="s">
        <v>267</v>
      </c>
      <c r="E45" t="s">
        <v>119</v>
      </c>
      <c r="F45" t="s">
        <v>93</v>
      </c>
      <c r="G45" t="s">
        <v>195</v>
      </c>
      <c r="H45" t="s">
        <v>195</v>
      </c>
      <c r="I45" t="s">
        <v>195</v>
      </c>
      <c r="J45">
        <v>3.2</v>
      </c>
      <c r="K45" t="s">
        <v>195</v>
      </c>
      <c r="L45" t="s">
        <v>197</v>
      </c>
      <c r="M45" t="s">
        <v>268</v>
      </c>
      <c r="N45" t="s">
        <v>93</v>
      </c>
      <c r="O45">
        <v>1</v>
      </c>
      <c r="P45" t="s">
        <v>195</v>
      </c>
      <c r="Q45" t="s">
        <v>195</v>
      </c>
      <c r="R45" t="s">
        <v>197</v>
      </c>
      <c r="S45" t="s">
        <v>197</v>
      </c>
      <c r="T45" t="s">
        <v>93</v>
      </c>
      <c r="U45" t="s">
        <v>195</v>
      </c>
      <c r="V45" t="s">
        <v>195</v>
      </c>
    </row>
    <row r="46">
      <c r="A46">
        <v>585</v>
      </c>
      <c r="B46" t="s">
        <v>20</v>
      </c>
      <c r="C46" t="s">
        <v>112</v>
      </c>
      <c r="D46" t="s">
        <v>269</v>
      </c>
      <c r="E46" t="s">
        <v>119</v>
      </c>
      <c r="F46" t="s">
        <v>93</v>
      </c>
      <c r="G46" t="s">
        <v>195</v>
      </c>
      <c r="H46" t="s">
        <v>195</v>
      </c>
      <c r="I46" t="s">
        <v>195</v>
      </c>
      <c r="J46">
        <v>37.2</v>
      </c>
      <c r="K46" t="s">
        <v>195</v>
      </c>
      <c r="L46" t="s">
        <v>197</v>
      </c>
      <c r="M46" t="s">
        <v>198</v>
      </c>
      <c r="N46" t="s">
        <v>93</v>
      </c>
      <c r="O46">
        <v>99.5</v>
      </c>
      <c r="P46" t="s">
        <v>197</v>
      </c>
      <c r="Q46" t="s">
        <v>197</v>
      </c>
      <c r="R46" t="s">
        <v>197</v>
      </c>
      <c r="S46" t="s">
        <v>197</v>
      </c>
      <c r="T46" t="s">
        <v>93</v>
      </c>
      <c r="U46" t="s">
        <v>197</v>
      </c>
      <c r="V46" t="s">
        <v>195</v>
      </c>
    </row>
    <row r="47">
      <c r="A47">
        <v>596</v>
      </c>
      <c r="B47" t="s">
        <v>194</v>
      </c>
      <c r="C47" t="s">
        <v>112</v>
      </c>
      <c r="D47" t="s">
        <v>270</v>
      </c>
      <c r="E47" t="s">
        <v>119</v>
      </c>
      <c r="F47" t="s">
        <v>95</v>
      </c>
      <c r="G47" t="s">
        <v>195</v>
      </c>
      <c r="H47" t="s">
        <v>195</v>
      </c>
      <c r="I47" t="s">
        <v>197</v>
      </c>
      <c r="K47" t="s">
        <v>197</v>
      </c>
      <c r="L47" t="s">
        <v>197</v>
      </c>
      <c r="M47" t="s">
        <v>121</v>
      </c>
      <c r="N47" t="s">
        <v>13</v>
      </c>
      <c r="O47">
        <v>4.3</v>
      </c>
      <c r="P47" t="s">
        <v>197</v>
      </c>
      <c r="Q47" t="s">
        <v>197</v>
      </c>
      <c r="R47" t="s">
        <v>197</v>
      </c>
      <c r="S47" t="s">
        <v>197</v>
      </c>
      <c r="T47" t="s">
        <v>95</v>
      </c>
      <c r="U47" t="s">
        <v>197</v>
      </c>
      <c r="V47" t="s">
        <v>197</v>
      </c>
    </row>
    <row r="48">
      <c r="A48">
        <v>603</v>
      </c>
      <c r="B48" t="s">
        <v>194</v>
      </c>
      <c r="C48" t="s">
        <v>112</v>
      </c>
      <c r="D48" t="s">
        <v>271</v>
      </c>
      <c r="E48" t="s">
        <v>119</v>
      </c>
      <c r="F48" t="s">
        <v>95</v>
      </c>
      <c r="G48" t="s">
        <v>195</v>
      </c>
      <c r="H48" t="s">
        <v>195</v>
      </c>
      <c r="I48" t="s">
        <v>197</v>
      </c>
      <c r="K48" t="s">
        <v>197</v>
      </c>
      <c r="L48" t="s">
        <v>197</v>
      </c>
      <c r="M48" t="s">
        <v>121</v>
      </c>
      <c r="N48" t="s">
        <v>13</v>
      </c>
      <c r="O48">
        <v>4.3</v>
      </c>
      <c r="P48" t="s">
        <v>197</v>
      </c>
      <c r="Q48" t="s">
        <v>197</v>
      </c>
      <c r="R48" t="s">
        <v>197</v>
      </c>
      <c r="S48" t="s">
        <v>197</v>
      </c>
      <c r="T48" t="s">
        <v>95</v>
      </c>
      <c r="U48" t="s">
        <v>197</v>
      </c>
      <c r="V48" t="s">
        <v>197</v>
      </c>
    </row>
    <row r="49">
      <c r="A49">
        <v>601</v>
      </c>
      <c r="B49" t="s">
        <v>20</v>
      </c>
      <c r="C49" t="s">
        <v>112</v>
      </c>
      <c r="D49" t="s">
        <v>272</v>
      </c>
      <c r="E49" t="s">
        <v>119</v>
      </c>
      <c r="F49" t="s">
        <v>95</v>
      </c>
      <c r="G49" t="s">
        <v>195</v>
      </c>
      <c r="H49" t="s">
        <v>195</v>
      </c>
      <c r="I49" t="s">
        <v>197</v>
      </c>
      <c r="K49" t="s">
        <v>197</v>
      </c>
      <c r="L49" t="s">
        <v>197</v>
      </c>
      <c r="M49" t="s">
        <v>121</v>
      </c>
      <c r="N49" t="s">
        <v>13</v>
      </c>
      <c r="O49">
        <v>4.3</v>
      </c>
      <c r="P49" t="s">
        <v>195</v>
      </c>
      <c r="Q49" t="s">
        <v>197</v>
      </c>
      <c r="R49" t="s">
        <v>197</v>
      </c>
      <c r="S49" t="s">
        <v>197</v>
      </c>
      <c r="T49" t="s">
        <v>95</v>
      </c>
      <c r="U49" t="s">
        <v>197</v>
      </c>
      <c r="V49" t="s">
        <v>197</v>
      </c>
    </row>
    <row r="50">
      <c r="A50">
        <v>545</v>
      </c>
      <c r="B50" t="s">
        <v>20</v>
      </c>
      <c r="C50" t="s">
        <v>112</v>
      </c>
      <c r="D50" t="s">
        <v>273</v>
      </c>
      <c r="E50" t="s">
        <v>119</v>
      </c>
      <c r="F50" t="s">
        <v>93</v>
      </c>
      <c r="G50" t="s">
        <v>195</v>
      </c>
      <c r="H50" t="s">
        <v>195</v>
      </c>
      <c r="I50" t="s">
        <v>197</v>
      </c>
      <c r="K50" t="s">
        <v>197</v>
      </c>
      <c r="L50" t="s">
        <v>197</v>
      </c>
      <c r="M50" t="s">
        <v>121</v>
      </c>
      <c r="N50" t="s">
        <v>13</v>
      </c>
      <c r="O50">
        <v>4.3</v>
      </c>
      <c r="P50" t="s">
        <v>195</v>
      </c>
      <c r="Q50" t="s">
        <v>195</v>
      </c>
      <c r="R50" t="s">
        <v>195</v>
      </c>
      <c r="S50" t="s">
        <v>197</v>
      </c>
      <c r="T50" t="s">
        <v>93</v>
      </c>
      <c r="U50" t="s">
        <v>197</v>
      </c>
      <c r="V50" t="s">
        <v>197</v>
      </c>
    </row>
    <row r="51">
      <c r="A51">
        <v>620</v>
      </c>
      <c r="B51" t="s">
        <v>20</v>
      </c>
      <c r="C51" t="s">
        <v>112</v>
      </c>
      <c r="D51" t="s">
        <v>274</v>
      </c>
      <c r="E51" t="s">
        <v>119</v>
      </c>
      <c r="F51" t="s">
        <v>94</v>
      </c>
      <c r="G51" t="s">
        <v>195</v>
      </c>
      <c r="H51" t="s">
        <v>195</v>
      </c>
      <c r="I51" t="s">
        <v>197</v>
      </c>
      <c r="K51" t="s">
        <v>195</v>
      </c>
      <c r="L51" t="s">
        <v>197</v>
      </c>
      <c r="M51" t="s">
        <v>121</v>
      </c>
      <c r="N51" t="s">
        <v>13</v>
      </c>
      <c r="O51">
        <v>4.3</v>
      </c>
      <c r="P51" t="s">
        <v>197</v>
      </c>
      <c r="Q51" t="s">
        <v>197</v>
      </c>
      <c r="R51" t="s">
        <v>197</v>
      </c>
      <c r="S51" t="s">
        <v>197</v>
      </c>
      <c r="T51" t="s">
        <v>94</v>
      </c>
      <c r="U51" t="s">
        <v>197</v>
      </c>
      <c r="V51" t="s">
        <v>197</v>
      </c>
    </row>
    <row r="52">
      <c r="A52">
        <v>625</v>
      </c>
      <c r="B52" t="s">
        <v>194</v>
      </c>
      <c r="C52" t="s">
        <v>112</v>
      </c>
      <c r="D52" t="s">
        <v>275</v>
      </c>
      <c r="E52" t="s">
        <v>119</v>
      </c>
      <c r="F52" t="s">
        <v>94</v>
      </c>
      <c r="G52" t="s">
        <v>195</v>
      </c>
      <c r="H52" t="s">
        <v>195</v>
      </c>
      <c r="I52" t="s">
        <v>197</v>
      </c>
      <c r="K52" t="s">
        <v>195</v>
      </c>
      <c r="L52" t="s">
        <v>197</v>
      </c>
      <c r="M52" t="s">
        <v>121</v>
      </c>
      <c r="N52" t="s">
        <v>13</v>
      </c>
      <c r="O52">
        <v>4.3</v>
      </c>
      <c r="P52" t="s">
        <v>197</v>
      </c>
      <c r="Q52" t="s">
        <v>197</v>
      </c>
      <c r="R52" t="s">
        <v>197</v>
      </c>
      <c r="S52" t="s">
        <v>197</v>
      </c>
      <c r="T52" t="s">
        <v>94</v>
      </c>
      <c r="U52" t="s">
        <v>197</v>
      </c>
      <c r="V52" t="s">
        <v>197</v>
      </c>
    </row>
    <row r="53">
      <c r="A53">
        <v>634</v>
      </c>
      <c r="B53" t="s">
        <v>199</v>
      </c>
      <c r="C53" t="s">
        <v>112</v>
      </c>
      <c r="D53" t="s">
        <v>276</v>
      </c>
      <c r="E53" t="s">
        <v>119</v>
      </c>
      <c r="F53" t="s">
        <v>93</v>
      </c>
      <c r="G53" t="s">
        <v>195</v>
      </c>
      <c r="H53" t="s">
        <v>195</v>
      </c>
      <c r="I53" t="s">
        <v>195</v>
      </c>
      <c r="J53">
        <v>5.7</v>
      </c>
      <c r="K53" t="s">
        <v>197</v>
      </c>
      <c r="L53" t="s">
        <v>197</v>
      </c>
      <c r="M53" t="s">
        <v>121</v>
      </c>
      <c r="N53" t="s">
        <v>13</v>
      </c>
      <c r="O53">
        <v>4.3</v>
      </c>
      <c r="P53" t="s">
        <v>197</v>
      </c>
      <c r="Q53" t="s">
        <v>197</v>
      </c>
      <c r="R53" t="s">
        <v>197</v>
      </c>
      <c r="S53" t="s">
        <v>195</v>
      </c>
      <c r="T53" t="s">
        <v>93</v>
      </c>
      <c r="U53" t="s">
        <v>195</v>
      </c>
      <c r="V53" t="s">
        <v>197</v>
      </c>
    </row>
    <row r="54">
      <c r="A54">
        <v>628</v>
      </c>
      <c r="B54" t="s">
        <v>20</v>
      </c>
      <c r="C54" t="s">
        <v>112</v>
      </c>
      <c r="D54" t="s">
        <v>277</v>
      </c>
      <c r="E54" t="s">
        <v>119</v>
      </c>
      <c r="F54" t="s">
        <v>94</v>
      </c>
      <c r="G54" t="s">
        <v>195</v>
      </c>
      <c r="H54" t="s">
        <v>195</v>
      </c>
      <c r="I54" t="s">
        <v>195</v>
      </c>
      <c r="J54">
        <v>17.4</v>
      </c>
      <c r="K54" t="s">
        <v>195</v>
      </c>
      <c r="L54" t="s">
        <v>197</v>
      </c>
      <c r="M54" t="s">
        <v>121</v>
      </c>
      <c r="N54" t="s">
        <v>13</v>
      </c>
      <c r="O54">
        <v>4.3</v>
      </c>
      <c r="P54" t="s">
        <v>197</v>
      </c>
      <c r="Q54" t="s">
        <v>197</v>
      </c>
      <c r="R54" t="s">
        <v>197</v>
      </c>
      <c r="S54" t="s">
        <v>195</v>
      </c>
      <c r="T54" t="s">
        <v>94</v>
      </c>
      <c r="U54" t="s">
        <v>195</v>
      </c>
      <c r="V54" t="s">
        <v>195</v>
      </c>
    </row>
    <row r="55">
      <c r="A55">
        <v>642</v>
      </c>
      <c r="B55" t="s">
        <v>20</v>
      </c>
      <c r="C55" t="s">
        <v>112</v>
      </c>
      <c r="D55" t="s">
        <v>278</v>
      </c>
      <c r="E55" t="s">
        <v>119</v>
      </c>
      <c r="F55" t="s">
        <v>94</v>
      </c>
      <c r="G55" t="s">
        <v>195</v>
      </c>
      <c r="H55" t="s">
        <v>195</v>
      </c>
      <c r="I55" t="s">
        <v>195</v>
      </c>
      <c r="J55">
        <v>16.2</v>
      </c>
      <c r="K55" t="s">
        <v>195</v>
      </c>
      <c r="L55" t="s">
        <v>197</v>
      </c>
      <c r="M55" t="s">
        <v>207</v>
      </c>
      <c r="N55" t="s">
        <v>93</v>
      </c>
      <c r="O55">
        <v>0.3</v>
      </c>
      <c r="P55" t="s">
        <v>195</v>
      </c>
      <c r="Q55" t="s">
        <v>197</v>
      </c>
      <c r="R55" t="s">
        <v>197</v>
      </c>
      <c r="S55" t="s">
        <v>197</v>
      </c>
      <c r="T55" t="s">
        <v>94</v>
      </c>
      <c r="U55" t="s">
        <v>195</v>
      </c>
      <c r="V55" t="s">
        <v>195</v>
      </c>
    </row>
    <row r="56">
      <c r="A56">
        <v>651</v>
      </c>
      <c r="B56" t="s">
        <v>20</v>
      </c>
      <c r="C56" t="s">
        <v>112</v>
      </c>
      <c r="D56" t="s">
        <v>279</v>
      </c>
      <c r="E56" t="s">
        <v>119</v>
      </c>
      <c r="F56" t="s">
        <v>95</v>
      </c>
      <c r="G56" t="s">
        <v>195</v>
      </c>
      <c r="H56" t="s">
        <v>195</v>
      </c>
      <c r="I56" t="s">
        <v>195</v>
      </c>
      <c r="J56">
        <v>0.7</v>
      </c>
      <c r="K56" t="s">
        <v>195</v>
      </c>
      <c r="L56" t="s">
        <v>197</v>
      </c>
      <c r="M56" t="s">
        <v>207</v>
      </c>
      <c r="N56" t="s">
        <v>95</v>
      </c>
      <c r="O56">
        <v>0.6</v>
      </c>
      <c r="P56" t="s">
        <v>195</v>
      </c>
      <c r="Q56" t="s">
        <v>195</v>
      </c>
      <c r="R56" t="s">
        <v>197</v>
      </c>
      <c r="S56" t="s">
        <v>197</v>
      </c>
      <c r="T56" t="s">
        <v>95</v>
      </c>
      <c r="U56" t="s">
        <v>195</v>
      </c>
      <c r="V56" t="s">
        <v>195</v>
      </c>
    </row>
    <row r="57">
      <c r="A57">
        <v>670</v>
      </c>
      <c r="B57" t="s">
        <v>20</v>
      </c>
      <c r="C57" t="s">
        <v>112</v>
      </c>
      <c r="D57" t="s">
        <v>280</v>
      </c>
      <c r="E57" t="s">
        <v>119</v>
      </c>
      <c r="F57" t="s">
        <v>94</v>
      </c>
      <c r="G57" t="s">
        <v>195</v>
      </c>
      <c r="H57" t="s">
        <v>197</v>
      </c>
      <c r="I57" t="s">
        <v>195</v>
      </c>
      <c r="J57">
        <v>5.1</v>
      </c>
      <c r="K57" t="s">
        <v>195</v>
      </c>
      <c r="L57" t="s">
        <v>197</v>
      </c>
      <c r="M57" t="s">
        <v>207</v>
      </c>
      <c r="N57" t="s">
        <v>94</v>
      </c>
      <c r="O57">
        <v>0.1</v>
      </c>
      <c r="P57" t="s">
        <v>195</v>
      </c>
      <c r="Q57" t="s">
        <v>195</v>
      </c>
      <c r="R57" t="s">
        <v>197</v>
      </c>
      <c r="S57" t="s">
        <v>197</v>
      </c>
      <c r="T57" t="s">
        <v>94</v>
      </c>
      <c r="U57" t="s">
        <v>195</v>
      </c>
    </row>
    <row r="58">
      <c r="A58">
        <v>688</v>
      </c>
      <c r="B58" t="s">
        <v>194</v>
      </c>
      <c r="C58" t="s">
        <v>112</v>
      </c>
      <c r="D58" t="s">
        <v>281</v>
      </c>
      <c r="E58" t="s">
        <v>119</v>
      </c>
      <c r="F58" t="s">
        <v>95</v>
      </c>
      <c r="G58" t="s">
        <v>195</v>
      </c>
      <c r="H58" t="s">
        <v>197</v>
      </c>
      <c r="I58" t="s">
        <v>195</v>
      </c>
      <c r="J58">
        <v>6.3</v>
      </c>
      <c r="K58" t="s">
        <v>195</v>
      </c>
      <c r="L58" t="s">
        <v>197</v>
      </c>
      <c r="M58" t="s">
        <v>207</v>
      </c>
      <c r="N58" t="s">
        <v>95</v>
      </c>
      <c r="O58">
        <v>0.1</v>
      </c>
      <c r="P58" t="s">
        <v>195</v>
      </c>
      <c r="Q58" t="s">
        <v>195</v>
      </c>
      <c r="R58" t="s">
        <v>197</v>
      </c>
      <c r="S58" t="s">
        <v>197</v>
      </c>
      <c r="T58" t="s">
        <v>95</v>
      </c>
      <c r="U58" t="s">
        <v>195</v>
      </c>
    </row>
    <row r="59">
      <c r="A59">
        <v>721</v>
      </c>
      <c r="B59" t="s">
        <v>20</v>
      </c>
      <c r="C59" t="s">
        <v>112</v>
      </c>
      <c r="D59" t="s">
        <v>282</v>
      </c>
      <c r="E59" t="s">
        <v>119</v>
      </c>
      <c r="F59" t="s">
        <v>95</v>
      </c>
      <c r="G59" t="s">
        <v>195</v>
      </c>
      <c r="H59" t="s">
        <v>195</v>
      </c>
      <c r="I59" t="s">
        <v>195</v>
      </c>
      <c r="J59">
        <v>23</v>
      </c>
      <c r="K59" t="s">
        <v>195</v>
      </c>
      <c r="L59" t="s">
        <v>197</v>
      </c>
      <c r="M59" t="s">
        <v>121</v>
      </c>
      <c r="N59" t="s">
        <v>13</v>
      </c>
      <c r="O59">
        <v>4.3</v>
      </c>
      <c r="P59" t="s">
        <v>197</v>
      </c>
      <c r="Q59" t="s">
        <v>197</v>
      </c>
      <c r="R59" t="s">
        <v>197</v>
      </c>
      <c r="S59" t="s">
        <v>195</v>
      </c>
      <c r="T59" t="s">
        <v>95</v>
      </c>
      <c r="U59" t="s">
        <v>195</v>
      </c>
      <c r="V59" t="s">
        <v>195</v>
      </c>
    </row>
    <row r="60">
      <c r="A60">
        <v>723</v>
      </c>
      <c r="B60" t="s">
        <v>20</v>
      </c>
      <c r="C60" t="s">
        <v>112</v>
      </c>
      <c r="D60" t="s">
        <v>283</v>
      </c>
      <c r="E60" t="s">
        <v>119</v>
      </c>
      <c r="F60" t="s">
        <v>95</v>
      </c>
      <c r="G60" t="s">
        <v>195</v>
      </c>
      <c r="H60" t="s">
        <v>197</v>
      </c>
      <c r="I60" t="s">
        <v>195</v>
      </c>
      <c r="J60">
        <v>3.3</v>
      </c>
      <c r="K60" t="s">
        <v>195</v>
      </c>
      <c r="L60" t="s">
        <v>197</v>
      </c>
      <c r="M60" t="s">
        <v>207</v>
      </c>
      <c r="N60" t="s">
        <v>95</v>
      </c>
      <c r="O60">
        <v>0.1</v>
      </c>
      <c r="P60" t="s">
        <v>195</v>
      </c>
      <c r="Q60" t="s">
        <v>197</v>
      </c>
      <c r="R60" t="s">
        <v>197</v>
      </c>
      <c r="S60" t="s">
        <v>197</v>
      </c>
      <c r="T60" t="s">
        <v>95</v>
      </c>
      <c r="U60" t="s">
        <v>195</v>
      </c>
    </row>
    <row r="61">
      <c r="A61">
        <v>712</v>
      </c>
      <c r="B61" t="s">
        <v>199</v>
      </c>
      <c r="C61" t="s">
        <v>112</v>
      </c>
      <c r="D61" t="s">
        <v>284</v>
      </c>
      <c r="E61" t="s">
        <v>119</v>
      </c>
      <c r="F61" t="s">
        <v>95</v>
      </c>
      <c r="G61" t="s">
        <v>195</v>
      </c>
      <c r="H61" t="s">
        <v>195</v>
      </c>
      <c r="I61" t="s">
        <v>197</v>
      </c>
      <c r="K61" t="s">
        <v>197</v>
      </c>
      <c r="L61" t="s">
        <v>197</v>
      </c>
      <c r="M61" t="s">
        <v>121</v>
      </c>
      <c r="N61" t="s">
        <v>13</v>
      </c>
      <c r="O61">
        <v>4.3</v>
      </c>
      <c r="P61" t="s">
        <v>197</v>
      </c>
      <c r="Q61" t="s">
        <v>197</v>
      </c>
      <c r="R61" t="s">
        <v>197</v>
      </c>
      <c r="S61" t="s">
        <v>197</v>
      </c>
      <c r="T61" t="s">
        <v>94</v>
      </c>
      <c r="U61" t="s">
        <v>197</v>
      </c>
      <c r="V61" t="s">
        <v>197</v>
      </c>
    </row>
    <row r="62">
      <c r="A62">
        <v>729</v>
      </c>
      <c r="B62" t="s">
        <v>199</v>
      </c>
      <c r="C62" t="s">
        <v>112</v>
      </c>
      <c r="D62" t="s">
        <v>285</v>
      </c>
      <c r="E62" t="s">
        <v>119</v>
      </c>
      <c r="F62" t="s">
        <v>94</v>
      </c>
      <c r="G62" t="s">
        <v>195</v>
      </c>
      <c r="H62" t="s">
        <v>195</v>
      </c>
      <c r="I62" t="s">
        <v>195</v>
      </c>
      <c r="J62">
        <v>20.9</v>
      </c>
      <c r="K62" t="s">
        <v>195</v>
      </c>
      <c r="L62" t="s">
        <v>197</v>
      </c>
      <c r="M62" t="s">
        <v>121</v>
      </c>
      <c r="N62" t="s">
        <v>13</v>
      </c>
      <c r="O62">
        <v>4.3</v>
      </c>
      <c r="P62" t="s">
        <v>197</v>
      </c>
      <c r="Q62" t="s">
        <v>197</v>
      </c>
      <c r="R62" t="s">
        <v>197</v>
      </c>
      <c r="S62" t="s">
        <v>195</v>
      </c>
      <c r="T62" t="s">
        <v>94</v>
      </c>
      <c r="U62" t="s">
        <v>195</v>
      </c>
      <c r="V62" t="s">
        <v>195</v>
      </c>
    </row>
    <row r="63">
      <c r="A63">
        <v>730</v>
      </c>
      <c r="B63" t="s">
        <v>20</v>
      </c>
      <c r="C63" t="s">
        <v>112</v>
      </c>
      <c r="D63" t="s">
        <v>286</v>
      </c>
      <c r="E63" t="s">
        <v>119</v>
      </c>
      <c r="F63" t="s">
        <v>94</v>
      </c>
      <c r="G63" t="s">
        <v>195</v>
      </c>
      <c r="H63" t="s">
        <v>197</v>
      </c>
      <c r="I63" t="s">
        <v>195</v>
      </c>
      <c r="J63">
        <v>3</v>
      </c>
      <c r="K63" t="s">
        <v>195</v>
      </c>
      <c r="L63" t="s">
        <v>197</v>
      </c>
      <c r="M63" t="s">
        <v>207</v>
      </c>
      <c r="N63" t="s">
        <v>95</v>
      </c>
      <c r="O63">
        <v>0.1</v>
      </c>
      <c r="P63" t="s">
        <v>195</v>
      </c>
      <c r="Q63" t="s">
        <v>195</v>
      </c>
      <c r="R63" t="s">
        <v>197</v>
      </c>
      <c r="S63" t="s">
        <v>197</v>
      </c>
      <c r="T63" t="s">
        <v>94</v>
      </c>
      <c r="U63" t="s">
        <v>195</v>
      </c>
    </row>
    <row r="64">
      <c r="A64">
        <v>738</v>
      </c>
      <c r="B64" t="s">
        <v>199</v>
      </c>
      <c r="C64" t="s">
        <v>112</v>
      </c>
      <c r="D64" t="s">
        <v>287</v>
      </c>
      <c r="E64" t="s">
        <v>121</v>
      </c>
      <c r="F64" t="s">
        <v>93</v>
      </c>
      <c r="G64" t="s">
        <v>195</v>
      </c>
      <c r="H64" t="s">
        <v>195</v>
      </c>
      <c r="I64" t="s">
        <v>197</v>
      </c>
      <c r="K64" t="s">
        <v>197</v>
      </c>
      <c r="L64" t="s">
        <v>197</v>
      </c>
      <c r="M64" t="s">
        <v>121</v>
      </c>
      <c r="N64" t="s">
        <v>13</v>
      </c>
      <c r="O64">
        <v>4.3</v>
      </c>
      <c r="P64" t="s">
        <v>197</v>
      </c>
      <c r="Q64" t="s">
        <v>197</v>
      </c>
      <c r="R64" t="s">
        <v>197</v>
      </c>
      <c r="S64" t="s">
        <v>197</v>
      </c>
      <c r="T64" t="s">
        <v>93</v>
      </c>
      <c r="U64" t="s">
        <v>197</v>
      </c>
      <c r="V64" t="s">
        <v>197</v>
      </c>
    </row>
    <row r="65">
      <c r="A65">
        <v>762</v>
      </c>
      <c r="B65" t="s">
        <v>20</v>
      </c>
      <c r="C65" t="s">
        <v>112</v>
      </c>
      <c r="D65" t="s">
        <v>288</v>
      </c>
      <c r="E65" t="s">
        <v>121</v>
      </c>
      <c r="F65" t="s">
        <v>93</v>
      </c>
      <c r="G65" t="s">
        <v>195</v>
      </c>
      <c r="H65" t="s">
        <v>195</v>
      </c>
      <c r="I65" t="s">
        <v>197</v>
      </c>
      <c r="K65" t="s">
        <v>197</v>
      </c>
      <c r="L65" t="s">
        <v>197</v>
      </c>
      <c r="M65" t="s">
        <v>121</v>
      </c>
      <c r="N65" t="s">
        <v>13</v>
      </c>
      <c r="O65">
        <v>4.3</v>
      </c>
      <c r="P65" t="s">
        <v>195</v>
      </c>
      <c r="Q65" t="s">
        <v>195</v>
      </c>
      <c r="R65" t="s">
        <v>197</v>
      </c>
      <c r="S65" t="s">
        <v>197</v>
      </c>
      <c r="T65" t="s">
        <v>93</v>
      </c>
      <c r="U65" t="s">
        <v>197</v>
      </c>
      <c r="V65" t="s">
        <v>197</v>
      </c>
    </row>
    <row r="66">
      <c r="A66">
        <v>754</v>
      </c>
      <c r="B66" t="s">
        <v>20</v>
      </c>
      <c r="C66" t="s">
        <v>112</v>
      </c>
      <c r="D66" t="s">
        <v>289</v>
      </c>
      <c r="E66" t="s">
        <v>119</v>
      </c>
      <c r="F66" t="s">
        <v>93</v>
      </c>
      <c r="G66" t="s">
        <v>195</v>
      </c>
      <c r="H66" t="s">
        <v>195</v>
      </c>
      <c r="I66" t="s">
        <v>195</v>
      </c>
      <c r="J66">
        <v>6.2</v>
      </c>
      <c r="K66" t="s">
        <v>195</v>
      </c>
      <c r="L66" t="s">
        <v>197</v>
      </c>
      <c r="M66" t="s">
        <v>121</v>
      </c>
      <c r="N66" t="s">
        <v>13</v>
      </c>
      <c r="O66">
        <v>4.3</v>
      </c>
      <c r="P66" t="s">
        <v>197</v>
      </c>
      <c r="Q66" t="s">
        <v>197</v>
      </c>
      <c r="R66" t="s">
        <v>197</v>
      </c>
      <c r="S66" t="s">
        <v>195</v>
      </c>
      <c r="T66" t="s">
        <v>93</v>
      </c>
      <c r="U66" t="s">
        <v>195</v>
      </c>
      <c r="V66" t="s">
        <v>195</v>
      </c>
    </row>
    <row r="67">
      <c r="A67">
        <v>772</v>
      </c>
      <c r="B67" t="s">
        <v>20</v>
      </c>
      <c r="C67" t="s">
        <v>112</v>
      </c>
      <c r="D67" t="s">
        <v>290</v>
      </c>
      <c r="E67" t="s">
        <v>119</v>
      </c>
      <c r="F67" t="s">
        <v>93</v>
      </c>
      <c r="G67" t="s">
        <v>195</v>
      </c>
      <c r="H67" t="s">
        <v>197</v>
      </c>
      <c r="I67" t="s">
        <v>195</v>
      </c>
      <c r="J67">
        <v>4.2</v>
      </c>
      <c r="K67" t="s">
        <v>195</v>
      </c>
      <c r="L67" t="s">
        <v>197</v>
      </c>
      <c r="M67" t="s">
        <v>135</v>
      </c>
      <c r="P67" t="s">
        <v>197</v>
      </c>
      <c r="Q67" t="s">
        <v>197</v>
      </c>
      <c r="R67" t="s">
        <v>197</v>
      </c>
      <c r="S67" t="s">
        <v>197</v>
      </c>
      <c r="T67" t="s">
        <v>93</v>
      </c>
      <c r="U67" t="s">
        <v>195</v>
      </c>
    </row>
    <row r="68">
      <c r="A68">
        <v>835</v>
      </c>
      <c r="B68" t="s">
        <v>20</v>
      </c>
      <c r="C68" t="s">
        <v>112</v>
      </c>
      <c r="D68" t="s">
        <v>291</v>
      </c>
      <c r="E68" t="s">
        <v>119</v>
      </c>
      <c r="F68" t="s">
        <v>93</v>
      </c>
      <c r="G68" t="s">
        <v>195</v>
      </c>
      <c r="H68" t="s">
        <v>195</v>
      </c>
      <c r="I68" t="s">
        <v>197</v>
      </c>
      <c r="K68" t="s">
        <v>197</v>
      </c>
      <c r="L68" t="s">
        <v>197</v>
      </c>
      <c r="M68" t="s">
        <v>121</v>
      </c>
      <c r="N68" t="s">
        <v>13</v>
      </c>
      <c r="O68">
        <v>4.3</v>
      </c>
      <c r="P68" t="s">
        <v>197</v>
      </c>
      <c r="Q68" t="s">
        <v>197</v>
      </c>
      <c r="R68" t="s">
        <v>197</v>
      </c>
      <c r="S68" t="s">
        <v>197</v>
      </c>
      <c r="T68" t="s">
        <v>93</v>
      </c>
      <c r="U68" t="s">
        <v>197</v>
      </c>
      <c r="V68" t="s">
        <v>197</v>
      </c>
    </row>
    <row r="69">
      <c r="A69">
        <v>836</v>
      </c>
      <c r="B69" t="s">
        <v>20</v>
      </c>
      <c r="C69" t="s">
        <v>112</v>
      </c>
      <c r="D69" t="s">
        <v>292</v>
      </c>
      <c r="E69" t="s">
        <v>119</v>
      </c>
      <c r="F69" t="s">
        <v>93</v>
      </c>
      <c r="G69" t="s">
        <v>195</v>
      </c>
      <c r="H69" t="s">
        <v>195</v>
      </c>
      <c r="I69" t="s">
        <v>195</v>
      </c>
      <c r="J69">
        <v>14.6</v>
      </c>
      <c r="K69" t="s">
        <v>197</v>
      </c>
      <c r="L69" t="s">
        <v>197</v>
      </c>
      <c r="M69" t="s">
        <v>121</v>
      </c>
      <c r="N69" t="s">
        <v>13</v>
      </c>
      <c r="O69">
        <v>4.3</v>
      </c>
      <c r="P69" t="s">
        <v>197</v>
      </c>
      <c r="Q69" t="s">
        <v>197</v>
      </c>
      <c r="R69" t="s">
        <v>197</v>
      </c>
      <c r="S69" t="s">
        <v>195</v>
      </c>
      <c r="T69" t="s">
        <v>93</v>
      </c>
      <c r="U69" t="s">
        <v>195</v>
      </c>
      <c r="V69" t="s">
        <v>197</v>
      </c>
    </row>
    <row r="70">
      <c r="A70">
        <v>827</v>
      </c>
      <c r="B70" t="s">
        <v>20</v>
      </c>
      <c r="C70" t="s">
        <v>112</v>
      </c>
      <c r="D70" t="s">
        <v>293</v>
      </c>
      <c r="E70" t="s">
        <v>119</v>
      </c>
      <c r="F70" t="s">
        <v>94</v>
      </c>
      <c r="G70" t="s">
        <v>195</v>
      </c>
      <c r="H70" t="s">
        <v>195</v>
      </c>
      <c r="I70" t="s">
        <v>197</v>
      </c>
      <c r="K70" t="s">
        <v>195</v>
      </c>
      <c r="L70" t="s">
        <v>197</v>
      </c>
      <c r="M70" t="s">
        <v>121</v>
      </c>
      <c r="N70" t="s">
        <v>13</v>
      </c>
      <c r="O70">
        <v>4.3</v>
      </c>
      <c r="P70" t="s">
        <v>197</v>
      </c>
      <c r="Q70" t="s">
        <v>197</v>
      </c>
      <c r="R70" t="s">
        <v>197</v>
      </c>
      <c r="S70" t="s">
        <v>197</v>
      </c>
      <c r="T70" t="s">
        <v>93</v>
      </c>
      <c r="U70" t="s">
        <v>197</v>
      </c>
      <c r="V70" t="s">
        <v>197</v>
      </c>
    </row>
    <row r="71">
      <c r="A71">
        <v>870</v>
      </c>
      <c r="B71" t="s">
        <v>194</v>
      </c>
      <c r="C71" t="s">
        <v>112</v>
      </c>
      <c r="D71" t="s">
        <v>294</v>
      </c>
      <c r="E71" t="s">
        <v>119</v>
      </c>
      <c r="F71" t="s">
        <v>94</v>
      </c>
      <c r="G71" t="s">
        <v>195</v>
      </c>
      <c r="H71" t="s">
        <v>195</v>
      </c>
      <c r="I71" t="s">
        <v>197</v>
      </c>
      <c r="K71" t="s">
        <v>195</v>
      </c>
      <c r="L71" t="s">
        <v>197</v>
      </c>
      <c r="M71" t="s">
        <v>121</v>
      </c>
      <c r="N71" t="s">
        <v>13</v>
      </c>
      <c r="O71">
        <v>4.3</v>
      </c>
      <c r="P71" t="s">
        <v>197</v>
      </c>
      <c r="Q71" t="s">
        <v>197</v>
      </c>
      <c r="R71" t="s">
        <v>197</v>
      </c>
      <c r="S71" t="s">
        <v>197</v>
      </c>
      <c r="T71" t="s">
        <v>94</v>
      </c>
      <c r="U71" t="s">
        <v>197</v>
      </c>
      <c r="V71" t="s">
        <v>197</v>
      </c>
    </row>
    <row r="72">
      <c r="A72">
        <v>882</v>
      </c>
      <c r="B72" t="s">
        <v>20</v>
      </c>
      <c r="C72" t="s">
        <v>112</v>
      </c>
      <c r="D72" t="s">
        <v>295</v>
      </c>
      <c r="E72" t="s">
        <v>119</v>
      </c>
      <c r="F72" t="s">
        <v>93</v>
      </c>
      <c r="G72" t="s">
        <v>195</v>
      </c>
      <c r="H72" t="s">
        <v>195</v>
      </c>
      <c r="I72" t="s">
        <v>195</v>
      </c>
      <c r="J72">
        <v>17.3</v>
      </c>
      <c r="K72" t="s">
        <v>195</v>
      </c>
      <c r="L72" t="s">
        <v>197</v>
      </c>
      <c r="M72" t="s">
        <v>121</v>
      </c>
      <c r="N72" t="s">
        <v>13</v>
      </c>
      <c r="O72">
        <v>4.3</v>
      </c>
      <c r="P72" t="s">
        <v>197</v>
      </c>
      <c r="Q72" t="s">
        <v>197</v>
      </c>
      <c r="R72" t="s">
        <v>197</v>
      </c>
      <c r="S72" t="s">
        <v>195</v>
      </c>
      <c r="T72" t="s">
        <v>93</v>
      </c>
      <c r="U72" t="s">
        <v>195</v>
      </c>
      <c r="V72" t="s">
        <v>195</v>
      </c>
    </row>
    <row r="73">
      <c r="A73">
        <v>880</v>
      </c>
      <c r="B73" t="s">
        <v>20</v>
      </c>
      <c r="C73" t="s">
        <v>112</v>
      </c>
      <c r="D73" t="s">
        <v>296</v>
      </c>
      <c r="E73" t="s">
        <v>119</v>
      </c>
      <c r="F73" t="s">
        <v>93</v>
      </c>
      <c r="G73" t="s">
        <v>195</v>
      </c>
      <c r="H73" t="s">
        <v>195</v>
      </c>
      <c r="I73" t="s">
        <v>195</v>
      </c>
      <c r="J73">
        <v>57.2</v>
      </c>
      <c r="K73" t="s">
        <v>195</v>
      </c>
      <c r="L73" t="s">
        <v>197</v>
      </c>
      <c r="M73" t="s">
        <v>207</v>
      </c>
      <c r="N73" t="s">
        <v>93</v>
      </c>
      <c r="O73">
        <v>1</v>
      </c>
      <c r="P73" t="s">
        <v>195</v>
      </c>
      <c r="Q73" t="s">
        <v>195</v>
      </c>
      <c r="R73" t="s">
        <v>197</v>
      </c>
      <c r="S73" t="s">
        <v>197</v>
      </c>
      <c r="T73" t="s">
        <v>93</v>
      </c>
      <c r="U73" t="s">
        <v>197</v>
      </c>
      <c r="V73" t="s">
        <v>197</v>
      </c>
    </row>
    <row r="74">
      <c r="A74">
        <v>906</v>
      </c>
      <c r="B74" t="s">
        <v>20</v>
      </c>
      <c r="C74" t="s">
        <v>112</v>
      </c>
      <c r="D74" t="s">
        <v>297</v>
      </c>
      <c r="E74" t="s">
        <v>119</v>
      </c>
      <c r="F74" t="s">
        <v>94</v>
      </c>
      <c r="G74" t="s">
        <v>195</v>
      </c>
      <c r="H74" t="s">
        <v>195</v>
      </c>
      <c r="I74" t="s">
        <v>197</v>
      </c>
      <c r="K74" t="s">
        <v>195</v>
      </c>
      <c r="L74" t="s">
        <v>197</v>
      </c>
      <c r="M74" t="s">
        <v>121</v>
      </c>
      <c r="N74" t="s">
        <v>13</v>
      </c>
      <c r="O74">
        <v>4.3</v>
      </c>
      <c r="P74" t="s">
        <v>197</v>
      </c>
      <c r="Q74" t="s">
        <v>197</v>
      </c>
      <c r="R74" t="s">
        <v>197</v>
      </c>
      <c r="S74" t="s">
        <v>197</v>
      </c>
      <c r="T74" t="s">
        <v>94</v>
      </c>
      <c r="U74" t="s">
        <v>197</v>
      </c>
      <c r="V74" t="s">
        <v>197</v>
      </c>
    </row>
    <row r="75">
      <c r="A75">
        <v>910</v>
      </c>
      <c r="B75" t="s">
        <v>20</v>
      </c>
      <c r="C75" t="s">
        <v>112</v>
      </c>
      <c r="D75" t="s">
        <v>298</v>
      </c>
      <c r="E75" t="s">
        <v>119</v>
      </c>
      <c r="F75" t="s">
        <v>94</v>
      </c>
      <c r="G75" t="s">
        <v>195</v>
      </c>
      <c r="H75" t="s">
        <v>195</v>
      </c>
      <c r="I75" t="s">
        <v>195</v>
      </c>
      <c r="J75">
        <v>5.8</v>
      </c>
      <c r="K75" t="s">
        <v>195</v>
      </c>
      <c r="L75" t="s">
        <v>197</v>
      </c>
      <c r="M75" t="s">
        <v>198</v>
      </c>
      <c r="N75" t="s">
        <v>94</v>
      </c>
      <c r="O75">
        <v>48.3</v>
      </c>
      <c r="P75" t="s">
        <v>197</v>
      </c>
      <c r="Q75" t="s">
        <v>197</v>
      </c>
      <c r="R75" t="s">
        <v>197</v>
      </c>
      <c r="S75" t="s">
        <v>197</v>
      </c>
      <c r="T75" t="s">
        <v>94</v>
      </c>
      <c r="U75" t="s">
        <v>195</v>
      </c>
      <c r="V75" t="s">
        <v>197</v>
      </c>
    </row>
    <row r="76">
      <c r="A76">
        <v>915</v>
      </c>
      <c r="B76" t="s">
        <v>20</v>
      </c>
      <c r="C76" t="s">
        <v>112</v>
      </c>
      <c r="D76" t="s">
        <v>299</v>
      </c>
      <c r="E76" t="s">
        <v>119</v>
      </c>
      <c r="F76" t="s">
        <v>94</v>
      </c>
      <c r="G76" t="s">
        <v>197</v>
      </c>
      <c r="H76" t="s">
        <v>197</v>
      </c>
      <c r="I76" t="s">
        <v>195</v>
      </c>
      <c r="J76">
        <v>2.2</v>
      </c>
      <c r="K76" t="s">
        <v>195</v>
      </c>
      <c r="L76" t="s">
        <v>197</v>
      </c>
      <c r="M76" t="s">
        <v>207</v>
      </c>
      <c r="N76" t="s">
        <v>94</v>
      </c>
      <c r="O76">
        <v>0.1</v>
      </c>
      <c r="P76" t="s">
        <v>195</v>
      </c>
      <c r="Q76" t="s">
        <v>197</v>
      </c>
      <c r="R76" t="s">
        <v>197</v>
      </c>
      <c r="S76" t="s">
        <v>197</v>
      </c>
      <c r="T76" t="s">
        <v>94</v>
      </c>
    </row>
    <row r="77">
      <c r="A77">
        <v>920</v>
      </c>
      <c r="B77" t="s">
        <v>194</v>
      </c>
      <c r="C77" t="s">
        <v>112</v>
      </c>
      <c r="D77" t="s">
        <v>300</v>
      </c>
      <c r="E77" t="s">
        <v>119</v>
      </c>
      <c r="F77" t="s">
        <v>94</v>
      </c>
      <c r="G77" t="s">
        <v>195</v>
      </c>
      <c r="H77" t="s">
        <v>195</v>
      </c>
      <c r="I77" t="s">
        <v>195</v>
      </c>
      <c r="J77">
        <v>47.4</v>
      </c>
      <c r="K77" t="s">
        <v>195</v>
      </c>
      <c r="L77" t="s">
        <v>197</v>
      </c>
      <c r="M77" t="s">
        <v>121</v>
      </c>
      <c r="N77" t="s">
        <v>13</v>
      </c>
      <c r="O77">
        <v>4.3</v>
      </c>
      <c r="P77" t="s">
        <v>197</v>
      </c>
      <c r="Q77" t="s">
        <v>197</v>
      </c>
      <c r="R77" t="s">
        <v>197</v>
      </c>
      <c r="S77" t="s">
        <v>195</v>
      </c>
      <c r="T77" t="s">
        <v>94</v>
      </c>
      <c r="U77" t="s">
        <v>197</v>
      </c>
      <c r="V77" t="s">
        <v>197</v>
      </c>
    </row>
    <row r="78">
      <c r="A78">
        <v>924</v>
      </c>
      <c r="B78" t="s">
        <v>194</v>
      </c>
      <c r="C78" t="s">
        <v>112</v>
      </c>
      <c r="D78" t="s">
        <v>301</v>
      </c>
      <c r="E78" t="s">
        <v>119</v>
      </c>
      <c r="F78" t="s">
        <v>94</v>
      </c>
      <c r="G78" t="s">
        <v>195</v>
      </c>
      <c r="H78" t="s">
        <v>195</v>
      </c>
      <c r="I78" t="s">
        <v>197</v>
      </c>
      <c r="K78" t="s">
        <v>195</v>
      </c>
      <c r="L78" t="s">
        <v>197</v>
      </c>
      <c r="M78" t="s">
        <v>121</v>
      </c>
      <c r="N78" t="s">
        <v>13</v>
      </c>
      <c r="O78">
        <v>4.3</v>
      </c>
      <c r="P78" t="s">
        <v>197</v>
      </c>
      <c r="Q78" t="s">
        <v>197</v>
      </c>
      <c r="R78" t="s">
        <v>197</v>
      </c>
      <c r="S78" t="s">
        <v>197</v>
      </c>
      <c r="T78" t="s">
        <v>94</v>
      </c>
      <c r="U78" t="s">
        <v>197</v>
      </c>
      <c r="V78" t="s">
        <v>197</v>
      </c>
    </row>
    <row r="79">
      <c r="A79">
        <v>961</v>
      </c>
      <c r="B79" t="s">
        <v>20</v>
      </c>
      <c r="C79" t="s">
        <v>112</v>
      </c>
      <c r="D79" t="s">
        <v>302</v>
      </c>
      <c r="E79" t="s">
        <v>121</v>
      </c>
      <c r="F79" t="s">
        <v>93</v>
      </c>
      <c r="G79" t="s">
        <v>195</v>
      </c>
      <c r="H79" t="s">
        <v>195</v>
      </c>
      <c r="I79" t="s">
        <v>197</v>
      </c>
      <c r="K79" t="s">
        <v>197</v>
      </c>
      <c r="L79" t="s">
        <v>197</v>
      </c>
      <c r="M79" t="s">
        <v>121</v>
      </c>
      <c r="N79" t="s">
        <v>13</v>
      </c>
      <c r="O79">
        <v>4.3</v>
      </c>
      <c r="P79" t="s">
        <v>197</v>
      </c>
      <c r="Q79" t="s">
        <v>197</v>
      </c>
      <c r="R79" t="s">
        <v>197</v>
      </c>
      <c r="S79" t="s">
        <v>197</v>
      </c>
      <c r="T79" t="s">
        <v>93</v>
      </c>
      <c r="U79" t="s">
        <v>197</v>
      </c>
      <c r="V79" t="s">
        <v>197</v>
      </c>
    </row>
    <row r="80">
      <c r="A80">
        <v>993</v>
      </c>
      <c r="B80" t="s">
        <v>194</v>
      </c>
      <c r="C80" t="s">
        <v>112</v>
      </c>
      <c r="D80" t="s">
        <v>303</v>
      </c>
      <c r="E80" t="s">
        <v>119</v>
      </c>
      <c r="F80" t="s">
        <v>93</v>
      </c>
      <c r="G80" t="s">
        <v>195</v>
      </c>
      <c r="H80" t="s">
        <v>195</v>
      </c>
      <c r="I80" t="s">
        <v>195</v>
      </c>
      <c r="J80">
        <v>15.6</v>
      </c>
      <c r="K80" t="s">
        <v>195</v>
      </c>
      <c r="L80" t="s">
        <v>197</v>
      </c>
      <c r="M80" t="s">
        <v>121</v>
      </c>
      <c r="N80" t="s">
        <v>13</v>
      </c>
      <c r="O80">
        <v>4.3</v>
      </c>
      <c r="P80" t="s">
        <v>197</v>
      </c>
      <c r="Q80" t="s">
        <v>197</v>
      </c>
      <c r="R80" t="s">
        <v>197</v>
      </c>
      <c r="S80" t="s">
        <v>195</v>
      </c>
      <c r="T80" t="s">
        <v>93</v>
      </c>
      <c r="U80" t="s">
        <v>195</v>
      </c>
      <c r="V80" t="s">
        <v>195</v>
      </c>
    </row>
    <row r="81">
      <c r="A81">
        <v>1018</v>
      </c>
      <c r="B81" t="s">
        <v>199</v>
      </c>
      <c r="C81" t="s">
        <v>112</v>
      </c>
      <c r="D81" t="s">
        <v>304</v>
      </c>
      <c r="E81" t="s">
        <v>119</v>
      </c>
      <c r="F81" t="s">
        <v>93</v>
      </c>
      <c r="G81" t="s">
        <v>195</v>
      </c>
      <c r="H81" t="s">
        <v>195</v>
      </c>
      <c r="I81" t="s">
        <v>195</v>
      </c>
      <c r="J81">
        <v>3</v>
      </c>
      <c r="K81" t="s">
        <v>195</v>
      </c>
      <c r="L81" t="s">
        <v>197</v>
      </c>
      <c r="M81" t="s">
        <v>121</v>
      </c>
      <c r="N81" t="s">
        <v>13</v>
      </c>
      <c r="O81">
        <v>4.3</v>
      </c>
      <c r="P81" t="s">
        <v>197</v>
      </c>
      <c r="Q81" t="s">
        <v>197</v>
      </c>
      <c r="R81" t="s">
        <v>197</v>
      </c>
      <c r="S81" t="s">
        <v>195</v>
      </c>
      <c r="T81" t="s">
        <v>93</v>
      </c>
      <c r="U81" t="s">
        <v>197</v>
      </c>
      <c r="V81" t="s">
        <v>197</v>
      </c>
    </row>
    <row r="82">
      <c r="A82">
        <v>1040</v>
      </c>
      <c r="B82" t="s">
        <v>194</v>
      </c>
      <c r="C82" t="s">
        <v>112</v>
      </c>
      <c r="D82" t="s">
        <v>305</v>
      </c>
      <c r="E82" t="s">
        <v>119</v>
      </c>
      <c r="F82" t="s">
        <v>95</v>
      </c>
      <c r="G82" t="s">
        <v>195</v>
      </c>
      <c r="H82" t="s">
        <v>197</v>
      </c>
      <c r="I82" t="s">
        <v>195</v>
      </c>
      <c r="J82">
        <v>5.4</v>
      </c>
      <c r="K82" t="s">
        <v>195</v>
      </c>
      <c r="L82" t="s">
        <v>197</v>
      </c>
      <c r="M82" t="s">
        <v>198</v>
      </c>
      <c r="N82" t="s">
        <v>96</v>
      </c>
      <c r="O82">
        <v>167.6</v>
      </c>
      <c r="P82" t="s">
        <v>197</v>
      </c>
      <c r="Q82" t="s">
        <v>197</v>
      </c>
      <c r="R82" t="s">
        <v>197</v>
      </c>
      <c r="S82" t="s">
        <v>197</v>
      </c>
      <c r="T82" t="s">
        <v>95</v>
      </c>
      <c r="U82" t="s">
        <v>195</v>
      </c>
    </row>
    <row r="83">
      <c r="A83">
        <v>1043</v>
      </c>
      <c r="B83" t="s">
        <v>20</v>
      </c>
      <c r="C83" t="s">
        <v>112</v>
      </c>
      <c r="D83" t="s">
        <v>306</v>
      </c>
      <c r="E83" t="s">
        <v>119</v>
      </c>
      <c r="F83" t="s">
        <v>95</v>
      </c>
      <c r="G83" t="s">
        <v>195</v>
      </c>
      <c r="H83" t="s">
        <v>195</v>
      </c>
      <c r="I83" t="s">
        <v>195</v>
      </c>
      <c r="J83">
        <v>5.5</v>
      </c>
      <c r="K83" t="s">
        <v>195</v>
      </c>
      <c r="L83" t="s">
        <v>197</v>
      </c>
      <c r="M83" t="s">
        <v>121</v>
      </c>
      <c r="N83" t="s">
        <v>13</v>
      </c>
      <c r="O83">
        <v>4.3</v>
      </c>
      <c r="P83" t="s">
        <v>197</v>
      </c>
      <c r="Q83" t="s">
        <v>197</v>
      </c>
      <c r="R83" t="s">
        <v>197</v>
      </c>
      <c r="S83" t="s">
        <v>195</v>
      </c>
      <c r="T83" t="s">
        <v>95</v>
      </c>
      <c r="U83" t="s">
        <v>195</v>
      </c>
      <c r="V83" t="s">
        <v>197</v>
      </c>
    </row>
    <row r="84">
      <c r="A84">
        <v>1061</v>
      </c>
      <c r="B84" t="s">
        <v>194</v>
      </c>
      <c r="C84" t="s">
        <v>112</v>
      </c>
      <c r="D84" t="s">
        <v>307</v>
      </c>
      <c r="E84" t="s">
        <v>119</v>
      </c>
      <c r="F84" t="s">
        <v>93</v>
      </c>
      <c r="G84" t="s">
        <v>195</v>
      </c>
      <c r="H84" t="s">
        <v>195</v>
      </c>
      <c r="I84" t="s">
        <v>195</v>
      </c>
      <c r="J84">
        <v>7.1</v>
      </c>
      <c r="K84" t="s">
        <v>195</v>
      </c>
      <c r="L84" t="s">
        <v>197</v>
      </c>
      <c r="M84" t="s">
        <v>121</v>
      </c>
      <c r="N84" t="s">
        <v>13</v>
      </c>
      <c r="O84">
        <v>4.3</v>
      </c>
      <c r="P84" t="s">
        <v>197</v>
      </c>
      <c r="Q84" t="s">
        <v>197</v>
      </c>
      <c r="R84" t="s">
        <v>197</v>
      </c>
      <c r="S84" t="s">
        <v>195</v>
      </c>
      <c r="T84" t="s">
        <v>93</v>
      </c>
      <c r="U84" t="s">
        <v>195</v>
      </c>
      <c r="V84" t="s">
        <v>197</v>
      </c>
    </row>
    <row r="85">
      <c r="A85">
        <v>1063</v>
      </c>
      <c r="B85" t="s">
        <v>194</v>
      </c>
      <c r="C85" t="s">
        <v>112</v>
      </c>
      <c r="D85" t="s">
        <v>308</v>
      </c>
      <c r="E85" t="s">
        <v>119</v>
      </c>
      <c r="F85" t="s">
        <v>93</v>
      </c>
      <c r="G85" t="s">
        <v>195</v>
      </c>
      <c r="H85" t="s">
        <v>195</v>
      </c>
      <c r="I85" t="s">
        <v>195</v>
      </c>
      <c r="J85">
        <v>7.8</v>
      </c>
      <c r="K85" t="s">
        <v>195</v>
      </c>
      <c r="L85" t="s">
        <v>197</v>
      </c>
      <c r="M85" t="s">
        <v>207</v>
      </c>
      <c r="N85" t="s">
        <v>95</v>
      </c>
      <c r="O85">
        <v>0.4</v>
      </c>
      <c r="P85" t="s">
        <v>195</v>
      </c>
      <c r="Q85" t="s">
        <v>195</v>
      </c>
      <c r="R85" t="s">
        <v>197</v>
      </c>
      <c r="S85" t="s">
        <v>197</v>
      </c>
      <c r="T85" t="s">
        <v>93</v>
      </c>
      <c r="U85" t="s">
        <v>195</v>
      </c>
      <c r="V85" t="s">
        <v>195</v>
      </c>
    </row>
    <row r="86">
      <c r="A86">
        <v>1066</v>
      </c>
      <c r="B86" t="s">
        <v>194</v>
      </c>
      <c r="C86" t="s">
        <v>112</v>
      </c>
      <c r="D86" t="s">
        <v>309</v>
      </c>
      <c r="E86" t="s">
        <v>119</v>
      </c>
      <c r="F86" t="s">
        <v>95</v>
      </c>
      <c r="G86" t="s">
        <v>195</v>
      </c>
      <c r="H86" t="s">
        <v>195</v>
      </c>
      <c r="I86" t="s">
        <v>195</v>
      </c>
      <c r="J86">
        <v>30.5</v>
      </c>
      <c r="K86" t="s">
        <v>197</v>
      </c>
      <c r="L86" t="s">
        <v>197</v>
      </c>
      <c r="M86" t="s">
        <v>207</v>
      </c>
      <c r="N86" t="s">
        <v>95</v>
      </c>
      <c r="O86">
        <v>0.5</v>
      </c>
      <c r="P86" t="s">
        <v>195</v>
      </c>
      <c r="Q86" t="s">
        <v>195</v>
      </c>
      <c r="R86" t="s">
        <v>197</v>
      </c>
      <c r="S86" t="s">
        <v>197</v>
      </c>
      <c r="T86" t="s">
        <v>95</v>
      </c>
      <c r="U86" t="s">
        <v>195</v>
      </c>
      <c r="V86" t="s">
        <v>195</v>
      </c>
    </row>
    <row r="87">
      <c r="A87">
        <v>1072</v>
      </c>
      <c r="B87" t="s">
        <v>20</v>
      </c>
      <c r="C87" t="s">
        <v>112</v>
      </c>
      <c r="D87" t="s">
        <v>310</v>
      </c>
      <c r="E87" t="s">
        <v>119</v>
      </c>
      <c r="F87" t="s">
        <v>95</v>
      </c>
      <c r="G87" t="s">
        <v>197</v>
      </c>
      <c r="H87" t="s">
        <v>197</v>
      </c>
      <c r="I87" t="s">
        <v>195</v>
      </c>
      <c r="J87">
        <v>2.3</v>
      </c>
      <c r="K87" t="s">
        <v>195</v>
      </c>
      <c r="L87" t="s">
        <v>197</v>
      </c>
      <c r="M87" t="s">
        <v>207</v>
      </c>
      <c r="N87" t="s">
        <v>95</v>
      </c>
      <c r="O87">
        <v>0.1</v>
      </c>
      <c r="P87" t="s">
        <v>195</v>
      </c>
      <c r="Q87" t="s">
        <v>197</v>
      </c>
      <c r="R87" t="s">
        <v>197</v>
      </c>
      <c r="S87" t="s">
        <v>197</v>
      </c>
      <c r="T87" t="s">
        <v>95</v>
      </c>
    </row>
    <row r="88">
      <c r="A88">
        <v>1075</v>
      </c>
      <c r="B88" t="s">
        <v>199</v>
      </c>
      <c r="C88" t="s">
        <v>112</v>
      </c>
      <c r="D88" t="s">
        <v>311</v>
      </c>
      <c r="E88" t="s">
        <v>119</v>
      </c>
      <c r="F88" t="s">
        <v>94</v>
      </c>
      <c r="G88" t="s">
        <v>195</v>
      </c>
      <c r="H88" t="s">
        <v>195</v>
      </c>
      <c r="I88" t="s">
        <v>197</v>
      </c>
      <c r="K88" t="s">
        <v>195</v>
      </c>
      <c r="L88" t="s">
        <v>197</v>
      </c>
      <c r="M88" t="s">
        <v>121</v>
      </c>
      <c r="N88" t="s">
        <v>13</v>
      </c>
      <c r="O88">
        <v>4.3</v>
      </c>
      <c r="P88" t="s">
        <v>197</v>
      </c>
      <c r="Q88" t="s">
        <v>197</v>
      </c>
      <c r="R88" t="s">
        <v>197</v>
      </c>
      <c r="S88" t="s">
        <v>197</v>
      </c>
      <c r="T88" t="s">
        <v>94</v>
      </c>
      <c r="U88" t="s">
        <v>197</v>
      </c>
      <c r="V88" t="s">
        <v>197</v>
      </c>
    </row>
    <row r="89">
      <c r="A89">
        <v>1082</v>
      </c>
      <c r="B89" t="s">
        <v>20</v>
      </c>
      <c r="C89" t="s">
        <v>112</v>
      </c>
      <c r="D89" t="s">
        <v>312</v>
      </c>
      <c r="E89" t="s">
        <v>119</v>
      </c>
      <c r="F89" t="s">
        <v>95</v>
      </c>
      <c r="G89" t="s">
        <v>195</v>
      </c>
      <c r="H89" t="s">
        <v>195</v>
      </c>
      <c r="I89" t="s">
        <v>197</v>
      </c>
      <c r="K89" t="s">
        <v>197</v>
      </c>
      <c r="L89" t="s">
        <v>197</v>
      </c>
      <c r="M89" t="s">
        <v>121</v>
      </c>
      <c r="N89" t="s">
        <v>13</v>
      </c>
      <c r="O89">
        <v>4.3</v>
      </c>
      <c r="P89" t="s">
        <v>197</v>
      </c>
      <c r="Q89" t="s">
        <v>197</v>
      </c>
      <c r="R89" t="s">
        <v>197</v>
      </c>
      <c r="S89" t="s">
        <v>197</v>
      </c>
      <c r="T89" t="s">
        <v>95</v>
      </c>
      <c r="U89" t="s">
        <v>197</v>
      </c>
      <c r="V89" t="s">
        <v>197</v>
      </c>
    </row>
    <row r="90">
      <c r="A90">
        <v>1106</v>
      </c>
      <c r="B90" t="s">
        <v>20</v>
      </c>
      <c r="C90" t="s">
        <v>112</v>
      </c>
      <c r="D90" t="s">
        <v>313</v>
      </c>
      <c r="E90" t="s">
        <v>119</v>
      </c>
      <c r="F90" t="s">
        <v>95</v>
      </c>
      <c r="G90" t="s">
        <v>195</v>
      </c>
      <c r="H90" t="s">
        <v>195</v>
      </c>
      <c r="I90" t="s">
        <v>197</v>
      </c>
      <c r="K90" t="s">
        <v>197</v>
      </c>
      <c r="L90" t="s">
        <v>197</v>
      </c>
      <c r="M90" t="s">
        <v>121</v>
      </c>
      <c r="N90" t="s">
        <v>13</v>
      </c>
      <c r="O90">
        <v>4.3</v>
      </c>
      <c r="P90" t="s">
        <v>197</v>
      </c>
      <c r="Q90" t="s">
        <v>197</v>
      </c>
      <c r="R90" t="s">
        <v>197</v>
      </c>
      <c r="S90" t="s">
        <v>197</v>
      </c>
      <c r="T90" t="s">
        <v>95</v>
      </c>
      <c r="U90" t="s">
        <v>197</v>
      </c>
      <c r="V90" t="s">
        <v>197</v>
      </c>
    </row>
    <row r="91">
      <c r="A91">
        <v>1113</v>
      </c>
      <c r="B91" t="s">
        <v>199</v>
      </c>
      <c r="C91" t="s">
        <v>112</v>
      </c>
      <c r="D91" t="s">
        <v>314</v>
      </c>
      <c r="E91" t="s">
        <v>119</v>
      </c>
      <c r="F91" t="s">
        <v>94</v>
      </c>
      <c r="G91" t="s">
        <v>197</v>
      </c>
      <c r="H91" t="s">
        <v>197</v>
      </c>
      <c r="I91" t="s">
        <v>195</v>
      </c>
      <c r="J91">
        <v>2.8</v>
      </c>
      <c r="K91" t="s">
        <v>195</v>
      </c>
      <c r="L91" t="s">
        <v>197</v>
      </c>
      <c r="M91" t="s">
        <v>207</v>
      </c>
      <c r="N91" t="s">
        <v>94</v>
      </c>
      <c r="O91">
        <v>0.1</v>
      </c>
      <c r="P91" t="s">
        <v>195</v>
      </c>
      <c r="Q91" t="s">
        <v>195</v>
      </c>
      <c r="R91" t="s">
        <v>195</v>
      </c>
      <c r="S91" t="s">
        <v>197</v>
      </c>
      <c r="T91" t="s">
        <v>94</v>
      </c>
    </row>
    <row r="92">
      <c r="A92">
        <v>1183</v>
      </c>
      <c r="B92" t="s">
        <v>194</v>
      </c>
      <c r="C92" t="s">
        <v>112</v>
      </c>
      <c r="D92" t="s">
        <v>315</v>
      </c>
      <c r="E92" t="s">
        <v>119</v>
      </c>
      <c r="F92" t="s">
        <v>95</v>
      </c>
      <c r="G92" t="s">
        <v>195</v>
      </c>
      <c r="H92" t="s">
        <v>195</v>
      </c>
      <c r="I92" t="s">
        <v>195</v>
      </c>
      <c r="J92">
        <v>10.1</v>
      </c>
      <c r="K92" t="s">
        <v>195</v>
      </c>
      <c r="L92" t="s">
        <v>197</v>
      </c>
      <c r="M92" t="s">
        <v>207</v>
      </c>
      <c r="N92" t="s">
        <v>95</v>
      </c>
      <c r="O92">
        <v>0.3</v>
      </c>
      <c r="P92" t="s">
        <v>195</v>
      </c>
      <c r="Q92" t="s">
        <v>195</v>
      </c>
      <c r="R92" t="s">
        <v>197</v>
      </c>
      <c r="S92" t="s">
        <v>197</v>
      </c>
      <c r="T92" t="s">
        <v>95</v>
      </c>
      <c r="U92" t="s">
        <v>195</v>
      </c>
      <c r="V92" t="s">
        <v>195</v>
      </c>
    </row>
    <row r="93">
      <c r="A93">
        <v>1185</v>
      </c>
      <c r="B93" t="s">
        <v>20</v>
      </c>
      <c r="C93" t="s">
        <v>112</v>
      </c>
      <c r="D93" t="s">
        <v>316</v>
      </c>
      <c r="E93" t="s">
        <v>119</v>
      </c>
      <c r="F93" t="s">
        <v>95</v>
      </c>
      <c r="G93" t="s">
        <v>195</v>
      </c>
      <c r="H93" t="s">
        <v>195</v>
      </c>
      <c r="I93" t="s">
        <v>195</v>
      </c>
      <c r="J93">
        <v>2.9</v>
      </c>
      <c r="K93" t="s">
        <v>195</v>
      </c>
      <c r="L93" t="s">
        <v>197</v>
      </c>
      <c r="M93" t="s">
        <v>121</v>
      </c>
      <c r="N93" t="s">
        <v>13</v>
      </c>
      <c r="O93">
        <v>4.3</v>
      </c>
      <c r="P93" t="s">
        <v>197</v>
      </c>
      <c r="Q93" t="s">
        <v>197</v>
      </c>
      <c r="R93" t="s">
        <v>197</v>
      </c>
      <c r="S93" t="s">
        <v>195</v>
      </c>
      <c r="T93" t="s">
        <v>95</v>
      </c>
      <c r="U93" t="s">
        <v>197</v>
      </c>
      <c r="V93" t="s">
        <v>197</v>
      </c>
    </row>
    <row r="94">
      <c r="A94">
        <v>1192</v>
      </c>
      <c r="B94" t="s">
        <v>20</v>
      </c>
      <c r="C94" t="s">
        <v>112</v>
      </c>
      <c r="D94" t="s">
        <v>317</v>
      </c>
      <c r="E94" t="s">
        <v>119</v>
      </c>
      <c r="F94" t="s">
        <v>94</v>
      </c>
      <c r="G94" t="s">
        <v>195</v>
      </c>
      <c r="H94" t="s">
        <v>195</v>
      </c>
      <c r="I94" t="s">
        <v>197</v>
      </c>
      <c r="K94" t="s">
        <v>195</v>
      </c>
      <c r="L94" t="s">
        <v>197</v>
      </c>
      <c r="M94" t="s">
        <v>121</v>
      </c>
      <c r="N94" t="s">
        <v>13</v>
      </c>
      <c r="O94">
        <v>4.3</v>
      </c>
      <c r="P94" t="s">
        <v>197</v>
      </c>
      <c r="Q94" t="s">
        <v>197</v>
      </c>
      <c r="R94" t="s">
        <v>197</v>
      </c>
      <c r="S94" t="s">
        <v>197</v>
      </c>
      <c r="T94" t="s">
        <v>94</v>
      </c>
      <c r="U94" t="s">
        <v>197</v>
      </c>
      <c r="V94" t="s">
        <v>197</v>
      </c>
    </row>
    <row r="95">
      <c r="A95">
        <v>1194</v>
      </c>
      <c r="B95" t="s">
        <v>20</v>
      </c>
      <c r="C95" t="s">
        <v>112</v>
      </c>
      <c r="D95" t="s">
        <v>318</v>
      </c>
      <c r="E95" t="s">
        <v>119</v>
      </c>
      <c r="F95" t="s">
        <v>94</v>
      </c>
      <c r="G95" t="s">
        <v>195</v>
      </c>
      <c r="H95" t="s">
        <v>195</v>
      </c>
      <c r="I95" t="s">
        <v>195</v>
      </c>
      <c r="J95">
        <v>3.9</v>
      </c>
      <c r="K95" t="s">
        <v>195</v>
      </c>
      <c r="L95" t="s">
        <v>197</v>
      </c>
      <c r="M95" t="s">
        <v>207</v>
      </c>
      <c r="N95" t="s">
        <v>94</v>
      </c>
      <c r="O95">
        <v>0.3</v>
      </c>
      <c r="P95" t="s">
        <v>195</v>
      </c>
      <c r="Q95" t="s">
        <v>195</v>
      </c>
      <c r="R95" t="s">
        <v>195</v>
      </c>
      <c r="S95" t="s">
        <v>197</v>
      </c>
      <c r="T95" t="s">
        <v>94</v>
      </c>
      <c r="U95" t="s">
        <v>195</v>
      </c>
      <c r="V95" t="s">
        <v>195</v>
      </c>
    </row>
    <row r="96">
      <c r="A96">
        <v>1191</v>
      </c>
      <c r="B96" t="s">
        <v>20</v>
      </c>
      <c r="C96" t="s">
        <v>112</v>
      </c>
      <c r="D96" t="s">
        <v>319</v>
      </c>
      <c r="E96" t="s">
        <v>119</v>
      </c>
      <c r="F96" t="s">
        <v>94</v>
      </c>
      <c r="G96" t="s">
        <v>195</v>
      </c>
      <c r="H96" t="s">
        <v>195</v>
      </c>
      <c r="I96" t="s">
        <v>197</v>
      </c>
      <c r="K96" t="s">
        <v>195</v>
      </c>
      <c r="L96" t="s">
        <v>197</v>
      </c>
      <c r="M96" t="s">
        <v>121</v>
      </c>
      <c r="N96" t="s">
        <v>13</v>
      </c>
      <c r="O96">
        <v>4.3</v>
      </c>
      <c r="P96" t="s">
        <v>197</v>
      </c>
      <c r="Q96" t="s">
        <v>197</v>
      </c>
      <c r="R96" t="s">
        <v>197</v>
      </c>
      <c r="S96" t="s">
        <v>197</v>
      </c>
      <c r="T96" t="s">
        <v>94</v>
      </c>
      <c r="U96" t="s">
        <v>197</v>
      </c>
      <c r="V96" t="s">
        <v>197</v>
      </c>
    </row>
    <row r="97">
      <c r="A97">
        <v>1213</v>
      </c>
      <c r="B97" t="s">
        <v>20</v>
      </c>
      <c r="C97" t="s">
        <v>112</v>
      </c>
      <c r="D97" t="s">
        <v>320</v>
      </c>
      <c r="E97" t="s">
        <v>119</v>
      </c>
      <c r="F97" t="s">
        <v>94</v>
      </c>
      <c r="G97" t="s">
        <v>195</v>
      </c>
      <c r="H97" t="s">
        <v>195</v>
      </c>
      <c r="I97" t="s">
        <v>195</v>
      </c>
      <c r="J97">
        <v>11</v>
      </c>
      <c r="K97" t="s">
        <v>195</v>
      </c>
      <c r="L97" t="s">
        <v>197</v>
      </c>
      <c r="M97" t="s">
        <v>207</v>
      </c>
      <c r="N97" t="s">
        <v>94</v>
      </c>
      <c r="O97">
        <v>0.6</v>
      </c>
      <c r="P97" t="s">
        <v>195</v>
      </c>
      <c r="Q97" t="s">
        <v>197</v>
      </c>
      <c r="R97" t="s">
        <v>197</v>
      </c>
      <c r="S97" t="s">
        <v>197</v>
      </c>
      <c r="T97" t="s">
        <v>94</v>
      </c>
      <c r="U97" t="s">
        <v>195</v>
      </c>
      <c r="V97" t="s">
        <v>195</v>
      </c>
    </row>
    <row r="98">
      <c r="A98">
        <v>1216</v>
      </c>
      <c r="B98" t="s">
        <v>194</v>
      </c>
      <c r="C98" t="s">
        <v>112</v>
      </c>
      <c r="D98" t="s">
        <v>321</v>
      </c>
      <c r="E98" t="s">
        <v>119</v>
      </c>
      <c r="F98" t="s">
        <v>94</v>
      </c>
      <c r="G98" t="s">
        <v>195</v>
      </c>
      <c r="H98" t="s">
        <v>197</v>
      </c>
      <c r="I98" t="s">
        <v>195</v>
      </c>
      <c r="J98">
        <v>1.9</v>
      </c>
      <c r="K98" t="s">
        <v>195</v>
      </c>
      <c r="L98" t="s">
        <v>197</v>
      </c>
      <c r="M98" t="s">
        <v>135</v>
      </c>
      <c r="P98" t="s">
        <v>197</v>
      </c>
      <c r="Q98" t="s">
        <v>197</v>
      </c>
      <c r="R98" t="s">
        <v>197</v>
      </c>
      <c r="S98" t="s">
        <v>197</v>
      </c>
      <c r="T98" t="s">
        <v>94</v>
      </c>
      <c r="U98" t="s">
        <v>195</v>
      </c>
    </row>
    <row r="99">
      <c r="A99">
        <v>1151</v>
      </c>
      <c r="B99" t="s">
        <v>20</v>
      </c>
      <c r="C99" t="s">
        <v>112</v>
      </c>
      <c r="D99" t="s">
        <v>322</v>
      </c>
      <c r="E99" t="s">
        <v>119</v>
      </c>
      <c r="F99" t="s">
        <v>94</v>
      </c>
      <c r="G99" t="s">
        <v>195</v>
      </c>
      <c r="H99" t="s">
        <v>195</v>
      </c>
      <c r="I99" t="s">
        <v>197</v>
      </c>
      <c r="K99" t="s">
        <v>195</v>
      </c>
      <c r="L99" t="s">
        <v>197</v>
      </c>
      <c r="M99" t="s">
        <v>121</v>
      </c>
      <c r="N99" t="s">
        <v>13</v>
      </c>
      <c r="O99">
        <v>4.3</v>
      </c>
      <c r="P99" t="s">
        <v>197</v>
      </c>
      <c r="Q99" t="s">
        <v>197</v>
      </c>
      <c r="R99" t="s">
        <v>197</v>
      </c>
      <c r="S99" t="s">
        <v>197</v>
      </c>
      <c r="T99" t="s">
        <v>94</v>
      </c>
      <c r="U99" t="s">
        <v>197</v>
      </c>
      <c r="V99" t="s">
        <v>197</v>
      </c>
    </row>
    <row r="100">
      <c r="A100">
        <v>1234</v>
      </c>
      <c r="B100" t="s">
        <v>20</v>
      </c>
      <c r="C100" t="s">
        <v>112</v>
      </c>
      <c r="D100" t="s">
        <v>323</v>
      </c>
      <c r="E100" t="s">
        <v>119</v>
      </c>
      <c r="F100" t="s">
        <v>94</v>
      </c>
      <c r="G100" t="s">
        <v>195</v>
      </c>
      <c r="H100" t="s">
        <v>197</v>
      </c>
      <c r="I100" t="s">
        <v>195</v>
      </c>
      <c r="J100">
        <v>11.8</v>
      </c>
      <c r="K100" t="s">
        <v>195</v>
      </c>
      <c r="L100" t="s">
        <v>197</v>
      </c>
      <c r="M100" t="s">
        <v>198</v>
      </c>
      <c r="N100" t="s">
        <v>96</v>
      </c>
      <c r="O100">
        <v>131.9</v>
      </c>
      <c r="P100" t="s">
        <v>197</v>
      </c>
      <c r="Q100" t="s">
        <v>197</v>
      </c>
      <c r="R100" t="s">
        <v>197</v>
      </c>
      <c r="S100" t="s">
        <v>197</v>
      </c>
      <c r="T100" t="s">
        <v>94</v>
      </c>
      <c r="U100" t="s">
        <v>195</v>
      </c>
    </row>
    <row r="101">
      <c r="A101">
        <v>1233</v>
      </c>
      <c r="B101" t="s">
        <v>20</v>
      </c>
      <c r="C101" t="s">
        <v>112</v>
      </c>
      <c r="D101" t="s">
        <v>324</v>
      </c>
      <c r="E101" t="s">
        <v>119</v>
      </c>
      <c r="F101" t="s">
        <v>94</v>
      </c>
      <c r="G101" t="s">
        <v>195</v>
      </c>
      <c r="H101" t="s">
        <v>197</v>
      </c>
      <c r="I101" t="s">
        <v>195</v>
      </c>
      <c r="J101">
        <v>8.1</v>
      </c>
      <c r="K101" t="s">
        <v>195</v>
      </c>
      <c r="L101" t="s">
        <v>197</v>
      </c>
      <c r="M101" t="s">
        <v>198</v>
      </c>
      <c r="N101" t="s">
        <v>94</v>
      </c>
      <c r="O101">
        <v>66.09999999999999</v>
      </c>
      <c r="P101" t="s">
        <v>197</v>
      </c>
      <c r="Q101" t="s">
        <v>197</v>
      </c>
      <c r="R101" t="s">
        <v>197</v>
      </c>
      <c r="S101" t="s">
        <v>197</v>
      </c>
      <c r="T101" t="s">
        <v>94</v>
      </c>
      <c r="U101" t="s">
        <v>195</v>
      </c>
    </row>
    <row r="102">
      <c r="A102">
        <v>1131</v>
      </c>
      <c r="B102" t="s">
        <v>20</v>
      </c>
      <c r="C102" t="s">
        <v>112</v>
      </c>
      <c r="D102" t="s">
        <v>325</v>
      </c>
      <c r="E102" t="s">
        <v>119</v>
      </c>
      <c r="F102" t="s">
        <v>94</v>
      </c>
      <c r="G102" t="s">
        <v>195</v>
      </c>
      <c r="H102" t="s">
        <v>195</v>
      </c>
      <c r="I102" t="s">
        <v>197</v>
      </c>
      <c r="K102" t="s">
        <v>197</v>
      </c>
      <c r="L102" t="s">
        <v>197</v>
      </c>
      <c r="M102" t="s">
        <v>121</v>
      </c>
      <c r="N102" t="s">
        <v>13</v>
      </c>
      <c r="O102">
        <v>4.3</v>
      </c>
      <c r="P102" t="s">
        <v>197</v>
      </c>
      <c r="Q102" t="s">
        <v>197</v>
      </c>
      <c r="R102" t="s">
        <v>197</v>
      </c>
      <c r="S102" t="s">
        <v>197</v>
      </c>
      <c r="T102" t="s">
        <v>94</v>
      </c>
      <c r="U102" t="s">
        <v>197</v>
      </c>
      <c r="V102" t="s">
        <v>197</v>
      </c>
    </row>
    <row r="103">
      <c r="A103">
        <v>1171</v>
      </c>
      <c r="B103" t="s">
        <v>194</v>
      </c>
      <c r="C103" t="s">
        <v>112</v>
      </c>
      <c r="D103" t="s">
        <v>326</v>
      </c>
      <c r="E103" t="s">
        <v>119</v>
      </c>
      <c r="F103" t="s">
        <v>94</v>
      </c>
      <c r="G103" t="s">
        <v>195</v>
      </c>
      <c r="H103" t="s">
        <v>195</v>
      </c>
      <c r="I103" t="s">
        <v>197</v>
      </c>
      <c r="K103" t="s">
        <v>197</v>
      </c>
      <c r="L103" t="s">
        <v>197</v>
      </c>
      <c r="M103" t="s">
        <v>121</v>
      </c>
      <c r="N103" t="s">
        <v>13</v>
      </c>
      <c r="O103">
        <v>4.3</v>
      </c>
      <c r="P103" t="s">
        <v>197</v>
      </c>
      <c r="Q103" t="s">
        <v>197</v>
      </c>
      <c r="R103" t="s">
        <v>197</v>
      </c>
      <c r="S103" t="s">
        <v>197</v>
      </c>
      <c r="T103" t="s">
        <v>94</v>
      </c>
      <c r="U103" t="s">
        <v>197</v>
      </c>
      <c r="V103" t="s">
        <v>197</v>
      </c>
    </row>
    <row r="104">
      <c r="A104">
        <v>1282</v>
      </c>
      <c r="B104" t="s">
        <v>20</v>
      </c>
      <c r="C104" t="s">
        <v>112</v>
      </c>
      <c r="D104" t="s">
        <v>327</v>
      </c>
      <c r="E104" t="s">
        <v>119</v>
      </c>
      <c r="F104" t="s">
        <v>93</v>
      </c>
      <c r="G104" t="s">
        <v>195</v>
      </c>
      <c r="H104" t="s">
        <v>195</v>
      </c>
      <c r="I104" t="s">
        <v>195</v>
      </c>
      <c r="J104">
        <v>24.3</v>
      </c>
      <c r="K104" t="s">
        <v>195</v>
      </c>
      <c r="L104" t="s">
        <v>197</v>
      </c>
      <c r="M104" t="s">
        <v>121</v>
      </c>
      <c r="N104" t="s">
        <v>13</v>
      </c>
      <c r="O104">
        <v>4.3</v>
      </c>
      <c r="P104" t="s">
        <v>197</v>
      </c>
      <c r="Q104" t="s">
        <v>197</v>
      </c>
      <c r="R104" t="s">
        <v>197</v>
      </c>
      <c r="S104" t="s">
        <v>195</v>
      </c>
      <c r="T104" t="s">
        <v>93</v>
      </c>
      <c r="U104" t="s">
        <v>195</v>
      </c>
      <c r="V104" t="s">
        <v>195</v>
      </c>
    </row>
    <row r="105">
      <c r="A105">
        <v>1288</v>
      </c>
      <c r="B105" t="s">
        <v>20</v>
      </c>
      <c r="C105" t="s">
        <v>112</v>
      </c>
      <c r="D105" t="s">
        <v>328</v>
      </c>
      <c r="E105" t="s">
        <v>119</v>
      </c>
      <c r="F105" t="s">
        <v>93</v>
      </c>
      <c r="G105" t="s">
        <v>195</v>
      </c>
      <c r="H105" t="s">
        <v>195</v>
      </c>
      <c r="I105" t="s">
        <v>195</v>
      </c>
      <c r="J105">
        <v>11</v>
      </c>
      <c r="K105" t="s">
        <v>195</v>
      </c>
      <c r="L105" t="s">
        <v>197</v>
      </c>
      <c r="M105" t="s">
        <v>121</v>
      </c>
      <c r="N105" t="s">
        <v>13</v>
      </c>
      <c r="O105">
        <v>4.3</v>
      </c>
      <c r="P105" t="s">
        <v>197</v>
      </c>
      <c r="Q105" t="s">
        <v>197</v>
      </c>
      <c r="R105" t="s">
        <v>197</v>
      </c>
      <c r="S105" t="s">
        <v>195</v>
      </c>
      <c r="T105" t="s">
        <v>93</v>
      </c>
      <c r="U105" t="s">
        <v>195</v>
      </c>
      <c r="V105" t="s">
        <v>195</v>
      </c>
    </row>
    <row r="106">
      <c r="A106">
        <v>1298</v>
      </c>
      <c r="B106" t="s">
        <v>20</v>
      </c>
      <c r="C106" t="s">
        <v>112</v>
      </c>
      <c r="D106" t="s">
        <v>329</v>
      </c>
      <c r="E106" t="s">
        <v>119</v>
      </c>
      <c r="F106" t="s">
        <v>93</v>
      </c>
      <c r="G106" t="s">
        <v>195</v>
      </c>
      <c r="H106" t="s">
        <v>195</v>
      </c>
      <c r="I106" t="s">
        <v>195</v>
      </c>
      <c r="J106">
        <v>10.3</v>
      </c>
      <c r="K106" t="s">
        <v>195</v>
      </c>
      <c r="L106" t="s">
        <v>197</v>
      </c>
      <c r="M106" t="s">
        <v>207</v>
      </c>
      <c r="N106" t="s">
        <v>95</v>
      </c>
      <c r="O106">
        <v>1.2</v>
      </c>
      <c r="P106" t="s">
        <v>195</v>
      </c>
      <c r="Q106" t="s">
        <v>197</v>
      </c>
      <c r="R106" t="s">
        <v>197</v>
      </c>
      <c r="S106" t="s">
        <v>197</v>
      </c>
      <c r="T106" t="s">
        <v>93</v>
      </c>
      <c r="U106" t="s">
        <v>195</v>
      </c>
      <c r="V106" t="s">
        <v>197</v>
      </c>
    </row>
    <row r="107">
      <c r="A107">
        <v>1301</v>
      </c>
      <c r="B107" t="s">
        <v>20</v>
      </c>
      <c r="C107" t="s">
        <v>112</v>
      </c>
      <c r="D107" t="s">
        <v>330</v>
      </c>
      <c r="E107" t="s">
        <v>121</v>
      </c>
      <c r="F107" t="s">
        <v>93</v>
      </c>
      <c r="G107" t="s">
        <v>195</v>
      </c>
      <c r="H107" t="s">
        <v>195</v>
      </c>
      <c r="I107" t="s">
        <v>197</v>
      </c>
      <c r="K107" t="s">
        <v>197</v>
      </c>
      <c r="L107" t="s">
        <v>197</v>
      </c>
      <c r="M107" t="s">
        <v>121</v>
      </c>
      <c r="N107" t="s">
        <v>13</v>
      </c>
      <c r="O107">
        <v>4.3</v>
      </c>
      <c r="P107" t="s">
        <v>197</v>
      </c>
      <c r="Q107" t="s">
        <v>197</v>
      </c>
      <c r="R107" t="s">
        <v>197</v>
      </c>
      <c r="S107" t="s">
        <v>197</v>
      </c>
      <c r="T107" t="s">
        <v>93</v>
      </c>
      <c r="U107" t="s">
        <v>197</v>
      </c>
      <c r="V107" t="s">
        <v>197</v>
      </c>
    </row>
    <row r="108">
      <c r="A108">
        <v>1313</v>
      </c>
      <c r="B108" t="s">
        <v>199</v>
      </c>
      <c r="C108" t="s">
        <v>112</v>
      </c>
      <c r="D108" t="s">
        <v>331</v>
      </c>
      <c r="E108" t="s">
        <v>119</v>
      </c>
      <c r="F108" t="s">
        <v>93</v>
      </c>
      <c r="G108" t="s">
        <v>195</v>
      </c>
      <c r="H108" t="s">
        <v>195</v>
      </c>
      <c r="I108" t="s">
        <v>197</v>
      </c>
      <c r="K108" t="s">
        <v>197</v>
      </c>
      <c r="L108" t="s">
        <v>197</v>
      </c>
      <c r="M108" t="s">
        <v>121</v>
      </c>
      <c r="N108" t="s">
        <v>13</v>
      </c>
      <c r="O108">
        <v>4.3</v>
      </c>
      <c r="P108" t="s">
        <v>197</v>
      </c>
      <c r="Q108" t="s">
        <v>197</v>
      </c>
      <c r="R108" t="s">
        <v>197</v>
      </c>
      <c r="S108" t="s">
        <v>197</v>
      </c>
      <c r="T108" t="s">
        <v>93</v>
      </c>
      <c r="U108" t="s">
        <v>197</v>
      </c>
      <c r="V108" t="s">
        <v>197</v>
      </c>
    </row>
    <row r="109">
      <c r="A109">
        <v>1299</v>
      </c>
      <c r="B109" t="s">
        <v>20</v>
      </c>
      <c r="C109" t="s">
        <v>112</v>
      </c>
      <c r="D109" t="s">
        <v>332</v>
      </c>
      <c r="E109" t="s">
        <v>121</v>
      </c>
      <c r="F109" t="s">
        <v>93</v>
      </c>
      <c r="G109" t="s">
        <v>195</v>
      </c>
      <c r="H109" t="s">
        <v>195</v>
      </c>
      <c r="I109" t="s">
        <v>197</v>
      </c>
      <c r="K109" t="s">
        <v>197</v>
      </c>
      <c r="L109" t="s">
        <v>197</v>
      </c>
      <c r="M109" t="s">
        <v>121</v>
      </c>
      <c r="N109" t="s">
        <v>13</v>
      </c>
      <c r="O109">
        <v>4.3</v>
      </c>
      <c r="P109" t="s">
        <v>197</v>
      </c>
      <c r="Q109" t="s">
        <v>197</v>
      </c>
      <c r="R109" t="s">
        <v>197</v>
      </c>
      <c r="S109" t="s">
        <v>197</v>
      </c>
      <c r="T109" t="s">
        <v>93</v>
      </c>
      <c r="U109" t="s">
        <v>197</v>
      </c>
      <c r="V109" t="s">
        <v>197</v>
      </c>
    </row>
    <row r="110">
      <c r="A110">
        <v>1318</v>
      </c>
      <c r="B110" t="s">
        <v>199</v>
      </c>
      <c r="C110" t="s">
        <v>112</v>
      </c>
      <c r="D110" t="s">
        <v>333</v>
      </c>
      <c r="E110" t="s">
        <v>119</v>
      </c>
      <c r="F110" t="s">
        <v>93</v>
      </c>
      <c r="G110" t="s">
        <v>195</v>
      </c>
      <c r="H110" t="s">
        <v>195</v>
      </c>
      <c r="I110" t="s">
        <v>195</v>
      </c>
      <c r="J110">
        <v>207.5</v>
      </c>
      <c r="K110" t="s">
        <v>195</v>
      </c>
      <c r="L110" t="s">
        <v>197</v>
      </c>
      <c r="M110" t="s">
        <v>121</v>
      </c>
      <c r="N110" t="s">
        <v>13</v>
      </c>
      <c r="O110">
        <v>4.3</v>
      </c>
      <c r="P110" t="s">
        <v>197</v>
      </c>
      <c r="Q110" t="s">
        <v>197</v>
      </c>
      <c r="R110" t="s">
        <v>197</v>
      </c>
      <c r="S110" t="s">
        <v>195</v>
      </c>
      <c r="T110" t="s">
        <v>93</v>
      </c>
      <c r="U110" t="s">
        <v>197</v>
      </c>
      <c r="V110" t="s">
        <v>197</v>
      </c>
    </row>
    <row r="111">
      <c r="A111">
        <v>1326</v>
      </c>
      <c r="B111" t="s">
        <v>199</v>
      </c>
      <c r="C111" t="s">
        <v>112</v>
      </c>
      <c r="D111" t="s">
        <v>334</v>
      </c>
      <c r="E111" t="s">
        <v>119</v>
      </c>
      <c r="F111" t="s">
        <v>95</v>
      </c>
      <c r="G111" t="s">
        <v>195</v>
      </c>
      <c r="H111" t="s">
        <v>195</v>
      </c>
      <c r="I111" t="s">
        <v>197</v>
      </c>
      <c r="K111" t="s">
        <v>197</v>
      </c>
      <c r="L111" t="s">
        <v>197</v>
      </c>
      <c r="M111" t="s">
        <v>121</v>
      </c>
      <c r="N111" t="s">
        <v>13</v>
      </c>
      <c r="O111">
        <v>4.3</v>
      </c>
      <c r="P111" t="s">
        <v>195</v>
      </c>
      <c r="Q111" t="s">
        <v>195</v>
      </c>
      <c r="R111" t="s">
        <v>195</v>
      </c>
      <c r="S111" t="s">
        <v>197</v>
      </c>
      <c r="T111" t="s">
        <v>95</v>
      </c>
      <c r="U111" t="s">
        <v>197</v>
      </c>
      <c r="V111" t="s">
        <v>197</v>
      </c>
    </row>
    <row r="112">
      <c r="A112">
        <v>1328</v>
      </c>
      <c r="B112" t="s">
        <v>199</v>
      </c>
      <c r="C112" t="s">
        <v>112</v>
      </c>
      <c r="D112" t="s">
        <v>335</v>
      </c>
      <c r="E112" t="s">
        <v>119</v>
      </c>
      <c r="F112" t="s">
        <v>95</v>
      </c>
      <c r="G112" t="s">
        <v>197</v>
      </c>
      <c r="H112" t="s">
        <v>197</v>
      </c>
      <c r="I112" t="s">
        <v>195</v>
      </c>
      <c r="J112">
        <v>0.5</v>
      </c>
      <c r="K112" t="s">
        <v>195</v>
      </c>
      <c r="L112" t="s">
        <v>197</v>
      </c>
      <c r="M112" t="s">
        <v>207</v>
      </c>
      <c r="N112" t="s">
        <v>95</v>
      </c>
      <c r="O112">
        <v>0</v>
      </c>
      <c r="P112" t="s">
        <v>195</v>
      </c>
      <c r="Q112" t="s">
        <v>195</v>
      </c>
      <c r="R112" t="s">
        <v>197</v>
      </c>
      <c r="S112" t="s">
        <v>197</v>
      </c>
      <c r="T112" t="s">
        <v>95</v>
      </c>
    </row>
    <row r="113">
      <c r="A113">
        <v>1334</v>
      </c>
      <c r="B113" t="s">
        <v>20</v>
      </c>
      <c r="C113" t="s">
        <v>112</v>
      </c>
      <c r="D113" t="s">
        <v>336</v>
      </c>
      <c r="E113" t="s">
        <v>119</v>
      </c>
      <c r="F113" t="s">
        <v>95</v>
      </c>
      <c r="G113" t="s">
        <v>195</v>
      </c>
      <c r="H113" t="s">
        <v>195</v>
      </c>
      <c r="I113" t="s">
        <v>197</v>
      </c>
      <c r="K113" t="s">
        <v>197</v>
      </c>
      <c r="L113" t="s">
        <v>197</v>
      </c>
      <c r="M113" t="s">
        <v>121</v>
      </c>
      <c r="N113" t="s">
        <v>13</v>
      </c>
      <c r="O113">
        <v>4.3</v>
      </c>
      <c r="P113" t="s">
        <v>197</v>
      </c>
      <c r="Q113" t="s">
        <v>197</v>
      </c>
      <c r="R113" t="s">
        <v>197</v>
      </c>
      <c r="S113" t="s">
        <v>197</v>
      </c>
      <c r="T113" t="s">
        <v>95</v>
      </c>
      <c r="U113" t="s">
        <v>197</v>
      </c>
      <c r="V113" t="s">
        <v>197</v>
      </c>
    </row>
    <row r="114">
      <c r="A114">
        <v>1335</v>
      </c>
      <c r="B114" t="s">
        <v>199</v>
      </c>
      <c r="C114" t="s">
        <v>112</v>
      </c>
      <c r="D114" t="s">
        <v>337</v>
      </c>
      <c r="E114" t="s">
        <v>119</v>
      </c>
      <c r="F114" t="s">
        <v>95</v>
      </c>
      <c r="G114" t="s">
        <v>195</v>
      </c>
      <c r="H114" t="s">
        <v>195</v>
      </c>
      <c r="I114" t="s">
        <v>195</v>
      </c>
      <c r="J114">
        <v>9.699999999999999</v>
      </c>
      <c r="K114" t="s">
        <v>195</v>
      </c>
      <c r="L114" t="s">
        <v>197</v>
      </c>
      <c r="M114" t="s">
        <v>207</v>
      </c>
      <c r="N114" t="s">
        <v>95</v>
      </c>
      <c r="O114">
        <v>0.3</v>
      </c>
      <c r="P114" t="s">
        <v>195</v>
      </c>
      <c r="Q114" t="s">
        <v>195</v>
      </c>
      <c r="R114" t="s">
        <v>195</v>
      </c>
      <c r="S114" t="s">
        <v>197</v>
      </c>
      <c r="T114" t="s">
        <v>95</v>
      </c>
      <c r="U114" t="s">
        <v>195</v>
      </c>
      <c r="V114" t="s">
        <v>195</v>
      </c>
    </row>
    <row r="115">
      <c r="A115">
        <v>1343</v>
      </c>
      <c r="B115" t="s">
        <v>20</v>
      </c>
      <c r="C115" t="s">
        <v>112</v>
      </c>
      <c r="D115" t="s">
        <v>338</v>
      </c>
      <c r="E115" t="s">
        <v>119</v>
      </c>
      <c r="F115" t="s">
        <v>95</v>
      </c>
      <c r="G115" t="s">
        <v>195</v>
      </c>
      <c r="H115" t="s">
        <v>195</v>
      </c>
      <c r="I115" t="s">
        <v>197</v>
      </c>
      <c r="K115" t="s">
        <v>197</v>
      </c>
      <c r="L115" t="s">
        <v>197</v>
      </c>
      <c r="M115" t="s">
        <v>121</v>
      </c>
      <c r="N115" t="s">
        <v>13</v>
      </c>
      <c r="O115">
        <v>4.3</v>
      </c>
      <c r="P115" t="s">
        <v>197</v>
      </c>
      <c r="Q115" t="s">
        <v>197</v>
      </c>
      <c r="R115" t="s">
        <v>197</v>
      </c>
      <c r="S115" t="s">
        <v>197</v>
      </c>
      <c r="T115" t="s">
        <v>95</v>
      </c>
      <c r="U115" t="s">
        <v>197</v>
      </c>
      <c r="V115" t="s">
        <v>197</v>
      </c>
    </row>
    <row r="116">
      <c r="A116">
        <v>1368</v>
      </c>
      <c r="B116" t="s">
        <v>20</v>
      </c>
      <c r="C116" t="s">
        <v>112</v>
      </c>
      <c r="D116" t="s">
        <v>339</v>
      </c>
      <c r="E116" t="s">
        <v>119</v>
      </c>
      <c r="F116" t="s">
        <v>95</v>
      </c>
      <c r="G116" t="s">
        <v>195</v>
      </c>
      <c r="H116" t="s">
        <v>195</v>
      </c>
      <c r="I116" t="s">
        <v>197</v>
      </c>
      <c r="K116" t="s">
        <v>197</v>
      </c>
      <c r="L116" t="s">
        <v>197</v>
      </c>
      <c r="M116" t="s">
        <v>121</v>
      </c>
      <c r="N116" t="s">
        <v>13</v>
      </c>
      <c r="O116">
        <v>4.3</v>
      </c>
      <c r="P116" t="s">
        <v>197</v>
      </c>
      <c r="Q116" t="s">
        <v>197</v>
      </c>
      <c r="R116" t="s">
        <v>197</v>
      </c>
      <c r="S116" t="s">
        <v>197</v>
      </c>
      <c r="T116" t="s">
        <v>95</v>
      </c>
      <c r="U116" t="s">
        <v>197</v>
      </c>
      <c r="V116" t="s">
        <v>197</v>
      </c>
    </row>
    <row r="117">
      <c r="A117">
        <v>1373</v>
      </c>
      <c r="B117" t="s">
        <v>194</v>
      </c>
      <c r="C117" t="s">
        <v>112</v>
      </c>
      <c r="D117" t="s">
        <v>340</v>
      </c>
      <c r="E117" t="s">
        <v>119</v>
      </c>
      <c r="F117" t="s">
        <v>95</v>
      </c>
      <c r="G117" t="s">
        <v>195</v>
      </c>
      <c r="H117" t="s">
        <v>195</v>
      </c>
      <c r="I117" t="s">
        <v>195</v>
      </c>
      <c r="J117">
        <v>5.8</v>
      </c>
      <c r="K117" t="s">
        <v>197</v>
      </c>
      <c r="L117" t="s">
        <v>197</v>
      </c>
      <c r="M117" t="s">
        <v>121</v>
      </c>
      <c r="N117" t="s">
        <v>13</v>
      </c>
      <c r="O117">
        <v>4.3</v>
      </c>
      <c r="P117" t="s">
        <v>197</v>
      </c>
      <c r="Q117" t="s">
        <v>197</v>
      </c>
      <c r="R117" t="s">
        <v>197</v>
      </c>
      <c r="S117" t="s">
        <v>195</v>
      </c>
      <c r="T117" t="s">
        <v>95</v>
      </c>
      <c r="U117" t="s">
        <v>195</v>
      </c>
      <c r="V117" t="s">
        <v>197</v>
      </c>
    </row>
    <row r="118">
      <c r="A118">
        <v>1403</v>
      </c>
      <c r="B118" t="s">
        <v>20</v>
      </c>
      <c r="C118" t="s">
        <v>113</v>
      </c>
      <c r="D118" t="s">
        <v>341</v>
      </c>
      <c r="E118" t="s">
        <v>119</v>
      </c>
      <c r="F118" t="s">
        <v>93</v>
      </c>
      <c r="G118" t="s">
        <v>195</v>
      </c>
      <c r="H118" t="s">
        <v>195</v>
      </c>
      <c r="I118" t="s">
        <v>195</v>
      </c>
      <c r="J118">
        <v>4</v>
      </c>
      <c r="K118" t="s">
        <v>195</v>
      </c>
      <c r="L118" t="s">
        <v>197</v>
      </c>
      <c r="M118" t="s">
        <v>121</v>
      </c>
      <c r="N118" t="s">
        <v>13</v>
      </c>
      <c r="O118">
        <v>4.3</v>
      </c>
      <c r="P118" t="s">
        <v>197</v>
      </c>
      <c r="Q118" t="s">
        <v>197</v>
      </c>
      <c r="R118" t="s">
        <v>197</v>
      </c>
      <c r="S118" t="s">
        <v>195</v>
      </c>
      <c r="T118" t="s">
        <v>93</v>
      </c>
      <c r="U118" t="s">
        <v>195</v>
      </c>
      <c r="V118" t="s">
        <v>197</v>
      </c>
    </row>
    <row r="119">
      <c r="A119">
        <v>1406</v>
      </c>
      <c r="B119" t="s">
        <v>194</v>
      </c>
      <c r="C119" t="s">
        <v>113</v>
      </c>
      <c r="D119" t="s">
        <v>342</v>
      </c>
      <c r="E119" t="s">
        <v>119</v>
      </c>
      <c r="F119" t="s">
        <v>93</v>
      </c>
      <c r="G119" t="s">
        <v>195</v>
      </c>
      <c r="H119" t="s">
        <v>195</v>
      </c>
      <c r="I119" t="s">
        <v>195</v>
      </c>
      <c r="J119">
        <v>41.4</v>
      </c>
      <c r="K119" t="s">
        <v>195</v>
      </c>
      <c r="L119" t="s">
        <v>197</v>
      </c>
      <c r="M119" t="s">
        <v>121</v>
      </c>
      <c r="N119" t="s">
        <v>13</v>
      </c>
      <c r="O119">
        <v>4.3</v>
      </c>
      <c r="P119" t="s">
        <v>197</v>
      </c>
      <c r="Q119" t="s">
        <v>197</v>
      </c>
      <c r="R119" t="s">
        <v>197</v>
      </c>
      <c r="S119" t="s">
        <v>195</v>
      </c>
      <c r="T119" t="s">
        <v>93</v>
      </c>
      <c r="U119" t="s">
        <v>197</v>
      </c>
      <c r="V119" t="s">
        <v>195</v>
      </c>
    </row>
    <row r="120">
      <c r="A120">
        <v>1412</v>
      </c>
      <c r="B120" t="s">
        <v>20</v>
      </c>
      <c r="C120" t="s">
        <v>113</v>
      </c>
      <c r="D120" t="s">
        <v>343</v>
      </c>
      <c r="E120" t="s">
        <v>119</v>
      </c>
      <c r="F120" t="s">
        <v>93</v>
      </c>
      <c r="G120" t="s">
        <v>195</v>
      </c>
      <c r="H120" t="s">
        <v>197</v>
      </c>
      <c r="I120" t="s">
        <v>195</v>
      </c>
      <c r="J120">
        <v>0.5</v>
      </c>
      <c r="K120" t="s">
        <v>195</v>
      </c>
      <c r="L120" t="s">
        <v>197</v>
      </c>
      <c r="M120" t="s">
        <v>198</v>
      </c>
      <c r="N120" t="s">
        <v>93</v>
      </c>
      <c r="O120">
        <v>51.7</v>
      </c>
      <c r="P120" t="s">
        <v>197</v>
      </c>
      <c r="Q120" t="s">
        <v>197</v>
      </c>
      <c r="R120" t="s">
        <v>197</v>
      </c>
      <c r="S120" t="s">
        <v>197</v>
      </c>
      <c r="T120" t="s">
        <v>93</v>
      </c>
      <c r="U120" t="s">
        <v>195</v>
      </c>
    </row>
    <row r="121">
      <c r="A121">
        <v>1423</v>
      </c>
      <c r="B121" t="s">
        <v>20</v>
      </c>
      <c r="C121" t="s">
        <v>113</v>
      </c>
      <c r="D121" t="s">
        <v>344</v>
      </c>
      <c r="E121" t="s">
        <v>119</v>
      </c>
      <c r="F121" t="s">
        <v>93</v>
      </c>
      <c r="G121" t="s">
        <v>195</v>
      </c>
      <c r="H121" t="s">
        <v>195</v>
      </c>
      <c r="I121" t="s">
        <v>195</v>
      </c>
      <c r="J121">
        <v>105.8</v>
      </c>
      <c r="K121" t="s">
        <v>195</v>
      </c>
      <c r="L121" t="s">
        <v>197</v>
      </c>
      <c r="M121" t="s">
        <v>121</v>
      </c>
      <c r="N121" t="s">
        <v>13</v>
      </c>
      <c r="O121">
        <v>4.3</v>
      </c>
      <c r="P121" t="s">
        <v>197</v>
      </c>
      <c r="Q121" t="s">
        <v>197</v>
      </c>
      <c r="R121" t="s">
        <v>197</v>
      </c>
      <c r="S121" t="s">
        <v>195</v>
      </c>
      <c r="T121" t="s">
        <v>93</v>
      </c>
      <c r="U121" t="s">
        <v>197</v>
      </c>
      <c r="V121" t="s">
        <v>197</v>
      </c>
    </row>
    <row r="122">
      <c r="A122">
        <v>1456</v>
      </c>
      <c r="B122" t="s">
        <v>20</v>
      </c>
      <c r="C122" t="s">
        <v>113</v>
      </c>
      <c r="D122" t="s">
        <v>345</v>
      </c>
      <c r="E122" t="s">
        <v>119</v>
      </c>
      <c r="F122" t="s">
        <v>93</v>
      </c>
      <c r="G122" t="s">
        <v>195</v>
      </c>
      <c r="H122" t="s">
        <v>195</v>
      </c>
      <c r="I122" t="s">
        <v>195</v>
      </c>
      <c r="J122">
        <v>11.1</v>
      </c>
      <c r="K122" t="s">
        <v>195</v>
      </c>
      <c r="L122" t="s">
        <v>197</v>
      </c>
      <c r="M122" t="s">
        <v>121</v>
      </c>
      <c r="N122" t="s">
        <v>13</v>
      </c>
      <c r="O122">
        <v>4.3</v>
      </c>
      <c r="P122" t="s">
        <v>195</v>
      </c>
      <c r="Q122" t="s">
        <v>195</v>
      </c>
      <c r="R122" t="s">
        <v>195</v>
      </c>
      <c r="S122" t="s">
        <v>195</v>
      </c>
      <c r="T122" t="s">
        <v>93</v>
      </c>
      <c r="U122" t="s">
        <v>195</v>
      </c>
      <c r="V122" t="s">
        <v>195</v>
      </c>
    </row>
    <row r="123">
      <c r="A123">
        <v>1463</v>
      </c>
      <c r="B123" t="s">
        <v>194</v>
      </c>
      <c r="C123" t="s">
        <v>113</v>
      </c>
      <c r="D123" t="s">
        <v>346</v>
      </c>
      <c r="E123" t="s">
        <v>119</v>
      </c>
      <c r="F123" t="s">
        <v>93</v>
      </c>
      <c r="G123" t="s">
        <v>195</v>
      </c>
      <c r="H123" t="s">
        <v>195</v>
      </c>
      <c r="I123" t="s">
        <v>197</v>
      </c>
      <c r="K123" t="s">
        <v>197</v>
      </c>
      <c r="L123" t="s">
        <v>197</v>
      </c>
      <c r="M123" t="s">
        <v>121</v>
      </c>
      <c r="N123" t="s">
        <v>13</v>
      </c>
      <c r="O123">
        <v>4.3</v>
      </c>
      <c r="P123" t="s">
        <v>197</v>
      </c>
      <c r="Q123" t="s">
        <v>197</v>
      </c>
      <c r="R123" t="s">
        <v>197</v>
      </c>
      <c r="S123" t="s">
        <v>197</v>
      </c>
      <c r="T123" t="s">
        <v>93</v>
      </c>
      <c r="U123" t="s">
        <v>197</v>
      </c>
      <c r="V123" t="s">
        <v>197</v>
      </c>
    </row>
    <row r="124">
      <c r="A124">
        <v>1461</v>
      </c>
      <c r="B124" t="s">
        <v>194</v>
      </c>
      <c r="C124" t="s">
        <v>113</v>
      </c>
      <c r="D124" t="s">
        <v>347</v>
      </c>
      <c r="E124" t="s">
        <v>119</v>
      </c>
      <c r="F124" t="s">
        <v>93</v>
      </c>
      <c r="G124" t="s">
        <v>195</v>
      </c>
      <c r="H124" t="s">
        <v>195</v>
      </c>
      <c r="I124" t="s">
        <v>195</v>
      </c>
      <c r="J124">
        <v>6.1</v>
      </c>
      <c r="K124" t="s">
        <v>195</v>
      </c>
      <c r="L124" t="s">
        <v>197</v>
      </c>
      <c r="M124" t="s">
        <v>198</v>
      </c>
      <c r="N124" t="s">
        <v>93</v>
      </c>
      <c r="O124">
        <v>70.5</v>
      </c>
      <c r="P124" t="s">
        <v>197</v>
      </c>
      <c r="Q124" t="s">
        <v>197</v>
      </c>
      <c r="R124" t="s">
        <v>197</v>
      </c>
      <c r="S124" t="s">
        <v>197</v>
      </c>
      <c r="T124" t="s">
        <v>93</v>
      </c>
      <c r="U124" t="s">
        <v>195</v>
      </c>
      <c r="V124" t="s">
        <v>195</v>
      </c>
    </row>
    <row r="125">
      <c r="A125">
        <v>1471</v>
      </c>
      <c r="B125" t="s">
        <v>20</v>
      </c>
      <c r="C125" t="s">
        <v>113</v>
      </c>
      <c r="D125" t="s">
        <v>348</v>
      </c>
      <c r="E125" t="s">
        <v>119</v>
      </c>
      <c r="F125" t="s">
        <v>93</v>
      </c>
      <c r="G125" t="s">
        <v>197</v>
      </c>
      <c r="H125" t="s">
        <v>197</v>
      </c>
      <c r="I125" t="s">
        <v>195</v>
      </c>
      <c r="J125">
        <v>1.2</v>
      </c>
      <c r="K125" t="s">
        <v>195</v>
      </c>
      <c r="L125" t="s">
        <v>197</v>
      </c>
      <c r="M125" t="s">
        <v>198</v>
      </c>
      <c r="N125" t="s">
        <v>96</v>
      </c>
      <c r="O125">
        <v>67.3</v>
      </c>
      <c r="P125" t="s">
        <v>197</v>
      </c>
      <c r="Q125" t="s">
        <v>197</v>
      </c>
      <c r="R125" t="s">
        <v>197</v>
      </c>
      <c r="S125" t="s">
        <v>197</v>
      </c>
      <c r="T125" t="s">
        <v>93</v>
      </c>
    </row>
    <row r="126">
      <c r="A126">
        <v>1485</v>
      </c>
      <c r="B126" t="s">
        <v>20</v>
      </c>
      <c r="C126" t="s">
        <v>113</v>
      </c>
      <c r="D126" t="s">
        <v>349</v>
      </c>
      <c r="E126" t="s">
        <v>119</v>
      </c>
      <c r="F126" t="s">
        <v>93</v>
      </c>
      <c r="G126" t="s">
        <v>195</v>
      </c>
      <c r="H126" t="s">
        <v>195</v>
      </c>
      <c r="I126" t="s">
        <v>195</v>
      </c>
      <c r="J126">
        <v>5.3</v>
      </c>
      <c r="K126" t="s">
        <v>195</v>
      </c>
      <c r="L126" t="s">
        <v>197</v>
      </c>
      <c r="M126" t="s">
        <v>121</v>
      </c>
      <c r="N126" t="s">
        <v>13</v>
      </c>
      <c r="O126">
        <v>4.3</v>
      </c>
      <c r="P126" t="s">
        <v>197</v>
      </c>
      <c r="Q126" t="s">
        <v>197</v>
      </c>
      <c r="R126" t="s">
        <v>197</v>
      </c>
      <c r="S126" t="s">
        <v>195</v>
      </c>
      <c r="T126" t="s">
        <v>93</v>
      </c>
      <c r="U126" t="s">
        <v>195</v>
      </c>
      <c r="V126" t="s">
        <v>197</v>
      </c>
    </row>
    <row r="127">
      <c r="A127">
        <v>1493</v>
      </c>
      <c r="B127" t="s">
        <v>20</v>
      </c>
      <c r="C127" t="s">
        <v>113</v>
      </c>
      <c r="D127" t="s">
        <v>350</v>
      </c>
      <c r="E127" t="s">
        <v>119</v>
      </c>
      <c r="F127" t="s">
        <v>94</v>
      </c>
      <c r="G127" t="s">
        <v>195</v>
      </c>
      <c r="H127" t="s">
        <v>195</v>
      </c>
      <c r="I127" t="s">
        <v>197</v>
      </c>
      <c r="K127" t="s">
        <v>195</v>
      </c>
      <c r="L127" t="s">
        <v>197</v>
      </c>
      <c r="M127" t="s">
        <v>121</v>
      </c>
      <c r="N127" t="s">
        <v>13</v>
      </c>
      <c r="O127">
        <v>4.3</v>
      </c>
      <c r="P127" t="s">
        <v>197</v>
      </c>
      <c r="Q127" t="s">
        <v>197</v>
      </c>
      <c r="R127" t="s">
        <v>197</v>
      </c>
      <c r="S127" t="s">
        <v>197</v>
      </c>
      <c r="T127" t="s">
        <v>94</v>
      </c>
      <c r="U127" t="s">
        <v>197</v>
      </c>
      <c r="V127" t="s">
        <v>197</v>
      </c>
    </row>
    <row r="128">
      <c r="A128">
        <v>1498</v>
      </c>
      <c r="B128" t="s">
        <v>20</v>
      </c>
      <c r="C128" t="s">
        <v>113</v>
      </c>
      <c r="D128" t="s">
        <v>351</v>
      </c>
      <c r="E128" t="s">
        <v>119</v>
      </c>
      <c r="F128" t="s">
        <v>94</v>
      </c>
      <c r="G128" t="s">
        <v>195</v>
      </c>
      <c r="H128" t="s">
        <v>197</v>
      </c>
      <c r="I128" t="s">
        <v>195</v>
      </c>
      <c r="J128">
        <v>3.3</v>
      </c>
      <c r="K128" t="s">
        <v>195</v>
      </c>
      <c r="L128" t="s">
        <v>197</v>
      </c>
      <c r="M128" t="s">
        <v>135</v>
      </c>
      <c r="P128" t="s">
        <v>197</v>
      </c>
      <c r="Q128" t="s">
        <v>197</v>
      </c>
      <c r="R128" t="s">
        <v>197</v>
      </c>
      <c r="S128" t="s">
        <v>197</v>
      </c>
      <c r="T128" t="s">
        <v>94</v>
      </c>
      <c r="U128" t="s">
        <v>195</v>
      </c>
    </row>
    <row r="129">
      <c r="A129">
        <v>1497</v>
      </c>
      <c r="B129" t="s">
        <v>199</v>
      </c>
      <c r="C129" t="s">
        <v>113</v>
      </c>
      <c r="D129" t="s">
        <v>352</v>
      </c>
      <c r="E129" t="s">
        <v>119</v>
      </c>
      <c r="F129" t="s">
        <v>94</v>
      </c>
      <c r="G129" t="s">
        <v>197</v>
      </c>
      <c r="H129" t="s">
        <v>197</v>
      </c>
      <c r="I129" t="s">
        <v>195</v>
      </c>
      <c r="J129">
        <v>0.7</v>
      </c>
      <c r="K129" t="s">
        <v>195</v>
      </c>
      <c r="L129" t="s">
        <v>197</v>
      </c>
      <c r="M129" t="s">
        <v>198</v>
      </c>
      <c r="N129" t="s">
        <v>96</v>
      </c>
      <c r="O129">
        <v>167.6</v>
      </c>
      <c r="P129" t="s">
        <v>197</v>
      </c>
      <c r="Q129" t="s">
        <v>197</v>
      </c>
      <c r="R129" t="s">
        <v>197</v>
      </c>
      <c r="S129" t="s">
        <v>197</v>
      </c>
      <c r="T129" t="s">
        <v>94</v>
      </c>
    </row>
    <row r="130">
      <c r="A130">
        <v>1501</v>
      </c>
      <c r="B130" t="s">
        <v>20</v>
      </c>
      <c r="C130" t="s">
        <v>113</v>
      </c>
      <c r="D130" t="s">
        <v>353</v>
      </c>
      <c r="E130" t="s">
        <v>119</v>
      </c>
      <c r="F130" t="s">
        <v>93</v>
      </c>
      <c r="G130" t="s">
        <v>195</v>
      </c>
      <c r="H130" t="s">
        <v>195</v>
      </c>
      <c r="I130" t="s">
        <v>195</v>
      </c>
      <c r="J130">
        <v>5.1</v>
      </c>
      <c r="K130" t="s">
        <v>195</v>
      </c>
      <c r="L130" t="s">
        <v>197</v>
      </c>
      <c r="M130" t="s">
        <v>121</v>
      </c>
      <c r="N130" t="s">
        <v>13</v>
      </c>
      <c r="O130">
        <v>4.3</v>
      </c>
      <c r="P130" t="s">
        <v>197</v>
      </c>
      <c r="Q130" t="s">
        <v>197</v>
      </c>
      <c r="R130" t="s">
        <v>197</v>
      </c>
      <c r="S130" t="s">
        <v>195</v>
      </c>
      <c r="T130" t="s">
        <v>93</v>
      </c>
      <c r="U130" t="s">
        <v>195</v>
      </c>
      <c r="V130" t="s">
        <v>197</v>
      </c>
    </row>
    <row r="131">
      <c r="A131">
        <v>1500</v>
      </c>
      <c r="B131" t="s">
        <v>194</v>
      </c>
      <c r="C131" t="s">
        <v>113</v>
      </c>
      <c r="D131" t="s">
        <v>354</v>
      </c>
      <c r="E131" t="s">
        <v>119</v>
      </c>
      <c r="F131" t="s">
        <v>93</v>
      </c>
      <c r="G131" t="s">
        <v>195</v>
      </c>
      <c r="H131" t="s">
        <v>195</v>
      </c>
      <c r="I131" t="s">
        <v>197</v>
      </c>
      <c r="K131" t="s">
        <v>197</v>
      </c>
      <c r="L131" t="s">
        <v>197</v>
      </c>
      <c r="M131" t="s">
        <v>121</v>
      </c>
      <c r="N131" t="s">
        <v>13</v>
      </c>
      <c r="O131">
        <v>4.3</v>
      </c>
      <c r="P131" t="s">
        <v>197</v>
      </c>
      <c r="Q131" t="s">
        <v>197</v>
      </c>
      <c r="R131" t="s">
        <v>197</v>
      </c>
      <c r="S131" t="s">
        <v>197</v>
      </c>
      <c r="T131" t="s">
        <v>93</v>
      </c>
      <c r="U131" t="s">
        <v>197</v>
      </c>
      <c r="V131" t="s">
        <v>197</v>
      </c>
    </row>
    <row r="132">
      <c r="A132">
        <v>1550</v>
      </c>
      <c r="B132" t="s">
        <v>20</v>
      </c>
      <c r="C132" t="s">
        <v>113</v>
      </c>
      <c r="D132" t="s">
        <v>355</v>
      </c>
      <c r="E132" t="s">
        <v>119</v>
      </c>
      <c r="F132" t="s">
        <v>94</v>
      </c>
      <c r="G132" t="s">
        <v>195</v>
      </c>
      <c r="H132" t="s">
        <v>195</v>
      </c>
      <c r="I132" t="s">
        <v>195</v>
      </c>
      <c r="J132">
        <v>8.800000000000001</v>
      </c>
      <c r="K132" t="s">
        <v>195</v>
      </c>
      <c r="L132" t="s">
        <v>197</v>
      </c>
      <c r="M132" t="s">
        <v>121</v>
      </c>
      <c r="N132" t="s">
        <v>13</v>
      </c>
      <c r="O132">
        <v>4.3</v>
      </c>
      <c r="P132" t="s">
        <v>195</v>
      </c>
      <c r="Q132" t="s">
        <v>195</v>
      </c>
      <c r="R132" t="s">
        <v>197</v>
      </c>
      <c r="S132" t="s">
        <v>195</v>
      </c>
      <c r="T132" t="s">
        <v>94</v>
      </c>
      <c r="U132" t="s">
        <v>195</v>
      </c>
      <c r="V132" t="s">
        <v>197</v>
      </c>
    </row>
    <row r="133">
      <c r="A133">
        <v>1554</v>
      </c>
      <c r="B133" t="s">
        <v>199</v>
      </c>
      <c r="C133" t="s">
        <v>113</v>
      </c>
      <c r="D133" t="s">
        <v>356</v>
      </c>
      <c r="E133" t="s">
        <v>119</v>
      </c>
      <c r="F133" t="s">
        <v>94</v>
      </c>
      <c r="G133" t="s">
        <v>195</v>
      </c>
      <c r="H133" t="s">
        <v>195</v>
      </c>
      <c r="I133" t="s">
        <v>197</v>
      </c>
      <c r="K133" t="s">
        <v>195</v>
      </c>
      <c r="L133" t="s">
        <v>197</v>
      </c>
      <c r="M133" t="s">
        <v>121</v>
      </c>
      <c r="N133" t="s">
        <v>13</v>
      </c>
      <c r="O133">
        <v>4.3</v>
      </c>
      <c r="P133" t="s">
        <v>197</v>
      </c>
      <c r="Q133" t="s">
        <v>197</v>
      </c>
      <c r="R133" t="s">
        <v>197</v>
      </c>
      <c r="S133" t="s">
        <v>197</v>
      </c>
      <c r="T133" t="s">
        <v>94</v>
      </c>
      <c r="U133" t="s">
        <v>197</v>
      </c>
      <c r="V133" t="s">
        <v>197</v>
      </c>
    </row>
    <row r="134">
      <c r="A134">
        <v>1546</v>
      </c>
      <c r="B134" t="s">
        <v>20</v>
      </c>
      <c r="C134" t="s">
        <v>113</v>
      </c>
      <c r="D134" t="s">
        <v>357</v>
      </c>
      <c r="E134" t="s">
        <v>119</v>
      </c>
      <c r="F134" t="s">
        <v>95</v>
      </c>
      <c r="G134" t="s">
        <v>195</v>
      </c>
      <c r="H134" t="s">
        <v>195</v>
      </c>
      <c r="I134" t="s">
        <v>197</v>
      </c>
      <c r="K134" t="s">
        <v>197</v>
      </c>
      <c r="L134" t="s">
        <v>197</v>
      </c>
      <c r="M134" t="s">
        <v>121</v>
      </c>
      <c r="N134" t="s">
        <v>13</v>
      </c>
      <c r="O134">
        <v>4.3</v>
      </c>
      <c r="P134" t="s">
        <v>197</v>
      </c>
      <c r="Q134" t="s">
        <v>197</v>
      </c>
      <c r="R134" t="s">
        <v>197</v>
      </c>
      <c r="S134" t="s">
        <v>197</v>
      </c>
      <c r="T134" t="s">
        <v>95</v>
      </c>
      <c r="U134" t="s">
        <v>197</v>
      </c>
      <c r="V134" t="s">
        <v>197</v>
      </c>
    </row>
    <row r="135">
      <c r="A135">
        <v>1567</v>
      </c>
      <c r="B135" t="s">
        <v>20</v>
      </c>
      <c r="C135" t="s">
        <v>113</v>
      </c>
      <c r="D135" t="s">
        <v>358</v>
      </c>
      <c r="E135" t="s">
        <v>119</v>
      </c>
      <c r="F135" t="s">
        <v>94</v>
      </c>
      <c r="G135" t="s">
        <v>195</v>
      </c>
      <c r="H135" t="s">
        <v>195</v>
      </c>
      <c r="I135" t="s">
        <v>197</v>
      </c>
      <c r="K135" t="s">
        <v>195</v>
      </c>
      <c r="L135" t="s">
        <v>197</v>
      </c>
      <c r="M135" t="s">
        <v>121</v>
      </c>
      <c r="N135" t="s">
        <v>13</v>
      </c>
      <c r="O135">
        <v>4.3</v>
      </c>
      <c r="P135" t="s">
        <v>197</v>
      </c>
      <c r="Q135" t="s">
        <v>197</v>
      </c>
      <c r="R135" t="s">
        <v>197</v>
      </c>
      <c r="S135" t="s">
        <v>197</v>
      </c>
      <c r="T135" t="s">
        <v>94</v>
      </c>
      <c r="U135" t="s">
        <v>197</v>
      </c>
      <c r="V135" t="s">
        <v>197</v>
      </c>
    </row>
    <row r="136">
      <c r="A136">
        <v>1576</v>
      </c>
      <c r="B136" t="s">
        <v>199</v>
      </c>
      <c r="C136" t="s">
        <v>113</v>
      </c>
      <c r="D136" t="s">
        <v>359</v>
      </c>
      <c r="E136" t="s">
        <v>119</v>
      </c>
      <c r="F136" t="s">
        <v>94</v>
      </c>
      <c r="G136" t="s">
        <v>195</v>
      </c>
      <c r="H136" t="s">
        <v>195</v>
      </c>
      <c r="I136" t="s">
        <v>195</v>
      </c>
      <c r="J136">
        <v>11.1</v>
      </c>
      <c r="K136" t="s">
        <v>195</v>
      </c>
      <c r="L136" t="s">
        <v>197</v>
      </c>
      <c r="M136" t="s">
        <v>207</v>
      </c>
      <c r="N136" t="s">
        <v>95</v>
      </c>
      <c r="O136">
        <v>0.9</v>
      </c>
      <c r="P136" t="s">
        <v>195</v>
      </c>
      <c r="Q136" t="s">
        <v>197</v>
      </c>
      <c r="R136" t="s">
        <v>197</v>
      </c>
      <c r="S136" t="s">
        <v>197</v>
      </c>
      <c r="T136" t="s">
        <v>94</v>
      </c>
      <c r="U136" t="s">
        <v>195</v>
      </c>
      <c r="V136" t="s">
        <v>195</v>
      </c>
    </row>
    <row r="137">
      <c r="A137">
        <v>1583</v>
      </c>
      <c r="B137" t="s">
        <v>194</v>
      </c>
      <c r="C137" t="s">
        <v>113</v>
      </c>
      <c r="D137" t="s">
        <v>360</v>
      </c>
      <c r="E137" t="s">
        <v>121</v>
      </c>
      <c r="F137" t="s">
        <v>93</v>
      </c>
      <c r="G137" t="s">
        <v>195</v>
      </c>
      <c r="H137" t="s">
        <v>195</v>
      </c>
      <c r="I137" t="s">
        <v>195</v>
      </c>
      <c r="J137">
        <v>164.2</v>
      </c>
      <c r="K137" t="s">
        <v>195</v>
      </c>
      <c r="L137" t="s">
        <v>197</v>
      </c>
      <c r="M137" t="s">
        <v>198</v>
      </c>
      <c r="N137" t="s">
        <v>93</v>
      </c>
      <c r="O137">
        <v>121.3</v>
      </c>
      <c r="P137" t="s">
        <v>197</v>
      </c>
      <c r="Q137" t="s">
        <v>197</v>
      </c>
      <c r="R137" t="s">
        <v>197</v>
      </c>
      <c r="S137" t="s">
        <v>197</v>
      </c>
      <c r="T137" t="s">
        <v>93</v>
      </c>
      <c r="U137" t="s">
        <v>197</v>
      </c>
      <c r="V137" t="s">
        <v>197</v>
      </c>
    </row>
    <row r="138">
      <c r="A138">
        <v>1586</v>
      </c>
      <c r="B138" t="s">
        <v>20</v>
      </c>
      <c r="C138" t="s">
        <v>113</v>
      </c>
      <c r="D138" t="s">
        <v>361</v>
      </c>
      <c r="E138" t="s">
        <v>121</v>
      </c>
      <c r="F138" t="s">
        <v>93</v>
      </c>
      <c r="G138" t="s">
        <v>195</v>
      </c>
      <c r="H138" t="s">
        <v>195</v>
      </c>
      <c r="I138" t="s">
        <v>197</v>
      </c>
      <c r="K138" t="s">
        <v>197</v>
      </c>
      <c r="L138" t="s">
        <v>197</v>
      </c>
      <c r="M138" t="s">
        <v>121</v>
      </c>
      <c r="N138" t="s">
        <v>13</v>
      </c>
      <c r="O138">
        <v>4.3</v>
      </c>
      <c r="P138" t="s">
        <v>197</v>
      </c>
      <c r="Q138" t="s">
        <v>197</v>
      </c>
      <c r="R138" t="s">
        <v>197</v>
      </c>
      <c r="S138" t="s">
        <v>197</v>
      </c>
      <c r="T138" t="s">
        <v>93</v>
      </c>
      <c r="U138" t="s">
        <v>197</v>
      </c>
      <c r="V138" t="s">
        <v>197</v>
      </c>
    </row>
    <row r="139">
      <c r="A139">
        <v>1592</v>
      </c>
      <c r="B139" t="s">
        <v>199</v>
      </c>
      <c r="C139" t="s">
        <v>113</v>
      </c>
      <c r="D139" t="s">
        <v>362</v>
      </c>
      <c r="E139" t="s">
        <v>121</v>
      </c>
      <c r="F139" t="s">
        <v>93</v>
      </c>
      <c r="G139" t="s">
        <v>195</v>
      </c>
      <c r="H139" t="s">
        <v>195</v>
      </c>
      <c r="I139" t="s">
        <v>197</v>
      </c>
      <c r="K139" t="s">
        <v>197</v>
      </c>
      <c r="L139" t="s">
        <v>197</v>
      </c>
      <c r="M139" t="s">
        <v>121</v>
      </c>
      <c r="N139" t="s">
        <v>13</v>
      </c>
      <c r="O139">
        <v>4.3</v>
      </c>
      <c r="P139" t="s">
        <v>197</v>
      </c>
      <c r="Q139" t="s">
        <v>197</v>
      </c>
      <c r="R139" t="s">
        <v>197</v>
      </c>
      <c r="S139" t="s">
        <v>197</v>
      </c>
      <c r="T139" t="s">
        <v>93</v>
      </c>
      <c r="U139" t="s">
        <v>197</v>
      </c>
      <c r="V139" t="s">
        <v>197</v>
      </c>
    </row>
    <row r="140">
      <c r="A140">
        <v>1613</v>
      </c>
      <c r="B140" t="s">
        <v>194</v>
      </c>
      <c r="C140" t="s">
        <v>113</v>
      </c>
      <c r="D140" t="s">
        <v>363</v>
      </c>
      <c r="E140" t="s">
        <v>119</v>
      </c>
      <c r="F140" t="s">
        <v>93</v>
      </c>
      <c r="G140" t="s">
        <v>195</v>
      </c>
      <c r="H140" t="s">
        <v>195</v>
      </c>
      <c r="I140" t="s">
        <v>197</v>
      </c>
      <c r="K140" t="s">
        <v>197</v>
      </c>
      <c r="L140" t="s">
        <v>197</v>
      </c>
      <c r="M140" t="s">
        <v>121</v>
      </c>
      <c r="N140" t="s">
        <v>13</v>
      </c>
      <c r="O140">
        <v>4.3</v>
      </c>
      <c r="P140" t="s">
        <v>195</v>
      </c>
      <c r="Q140" t="s">
        <v>197</v>
      </c>
      <c r="R140" t="s">
        <v>197</v>
      </c>
      <c r="S140" t="s">
        <v>197</v>
      </c>
      <c r="T140" t="s">
        <v>93</v>
      </c>
      <c r="U140" t="s">
        <v>197</v>
      </c>
      <c r="V140" t="s">
        <v>197</v>
      </c>
    </row>
    <row r="141">
      <c r="A141">
        <v>1391</v>
      </c>
      <c r="B141" t="s">
        <v>194</v>
      </c>
      <c r="C141" t="s">
        <v>113</v>
      </c>
      <c r="D141" t="s">
        <v>364</v>
      </c>
      <c r="E141" t="s">
        <v>121</v>
      </c>
      <c r="F141" t="s">
        <v>93</v>
      </c>
      <c r="G141" t="s">
        <v>195</v>
      </c>
      <c r="H141" t="s">
        <v>195</v>
      </c>
      <c r="I141" t="s">
        <v>197</v>
      </c>
      <c r="K141" t="s">
        <v>197</v>
      </c>
      <c r="L141" t="s">
        <v>197</v>
      </c>
      <c r="M141" t="s">
        <v>121</v>
      </c>
      <c r="N141" t="s">
        <v>13</v>
      </c>
      <c r="O141">
        <v>4.3</v>
      </c>
      <c r="P141" t="s">
        <v>197</v>
      </c>
      <c r="Q141" t="s">
        <v>197</v>
      </c>
      <c r="R141" t="s">
        <v>197</v>
      </c>
      <c r="S141" t="s">
        <v>197</v>
      </c>
      <c r="T141" t="s">
        <v>93</v>
      </c>
      <c r="U141" t="s">
        <v>197</v>
      </c>
      <c r="V141" t="s">
        <v>197</v>
      </c>
    </row>
    <row r="142">
      <c r="A142">
        <v>1651</v>
      </c>
      <c r="B142" t="s">
        <v>20</v>
      </c>
      <c r="C142" t="s">
        <v>113</v>
      </c>
      <c r="D142" t="s">
        <v>365</v>
      </c>
      <c r="E142" t="s">
        <v>119</v>
      </c>
      <c r="F142" t="s">
        <v>93</v>
      </c>
      <c r="G142" t="s">
        <v>195</v>
      </c>
      <c r="H142" t="s">
        <v>195</v>
      </c>
      <c r="I142" t="s">
        <v>195</v>
      </c>
      <c r="J142">
        <v>17.6</v>
      </c>
      <c r="K142" t="s">
        <v>195</v>
      </c>
      <c r="L142" t="s">
        <v>197</v>
      </c>
      <c r="M142" t="s">
        <v>121</v>
      </c>
      <c r="N142" t="s">
        <v>13</v>
      </c>
      <c r="O142">
        <v>4.3</v>
      </c>
      <c r="P142" t="s">
        <v>197</v>
      </c>
      <c r="Q142" t="s">
        <v>197</v>
      </c>
      <c r="R142" t="s">
        <v>197</v>
      </c>
      <c r="S142" t="s">
        <v>195</v>
      </c>
      <c r="T142" t="s">
        <v>93</v>
      </c>
      <c r="U142" t="s">
        <v>195</v>
      </c>
      <c r="V142" t="s">
        <v>195</v>
      </c>
    </row>
    <row r="143">
      <c r="A143">
        <v>1655</v>
      </c>
      <c r="B143" t="s">
        <v>199</v>
      </c>
      <c r="C143" t="s">
        <v>113</v>
      </c>
      <c r="D143" t="s">
        <v>366</v>
      </c>
      <c r="E143" t="s">
        <v>119</v>
      </c>
      <c r="F143" t="s">
        <v>93</v>
      </c>
      <c r="G143" t="s">
        <v>195</v>
      </c>
      <c r="H143" t="s">
        <v>195</v>
      </c>
      <c r="I143" t="s">
        <v>197</v>
      </c>
      <c r="K143" t="s">
        <v>197</v>
      </c>
      <c r="L143" t="s">
        <v>197</v>
      </c>
      <c r="M143" t="s">
        <v>121</v>
      </c>
      <c r="N143" t="s">
        <v>13</v>
      </c>
      <c r="O143">
        <v>4.3</v>
      </c>
      <c r="P143" t="s">
        <v>197</v>
      </c>
      <c r="Q143" t="s">
        <v>197</v>
      </c>
      <c r="R143" t="s">
        <v>197</v>
      </c>
      <c r="S143" t="s">
        <v>197</v>
      </c>
      <c r="T143" t="s">
        <v>93</v>
      </c>
      <c r="U143" t="s">
        <v>197</v>
      </c>
      <c r="V143" t="s">
        <v>197</v>
      </c>
    </row>
    <row r="144">
      <c r="A144">
        <v>1656</v>
      </c>
      <c r="B144" t="s">
        <v>199</v>
      </c>
      <c r="C144" t="s">
        <v>113</v>
      </c>
      <c r="D144" t="s">
        <v>367</v>
      </c>
      <c r="E144" t="s">
        <v>119</v>
      </c>
      <c r="F144" t="s">
        <v>93</v>
      </c>
      <c r="G144" t="s">
        <v>195</v>
      </c>
      <c r="H144" t="s">
        <v>195</v>
      </c>
      <c r="I144" t="s">
        <v>197</v>
      </c>
      <c r="K144" t="s">
        <v>197</v>
      </c>
      <c r="L144" t="s">
        <v>197</v>
      </c>
      <c r="M144" t="s">
        <v>121</v>
      </c>
      <c r="N144" t="s">
        <v>13</v>
      </c>
      <c r="O144">
        <v>4.3</v>
      </c>
      <c r="P144" t="s">
        <v>197</v>
      </c>
      <c r="Q144" t="s">
        <v>197</v>
      </c>
      <c r="R144" t="s">
        <v>197</v>
      </c>
      <c r="S144" t="s">
        <v>197</v>
      </c>
      <c r="T144" t="s">
        <v>93</v>
      </c>
      <c r="U144" t="s">
        <v>197</v>
      </c>
      <c r="V144" t="s">
        <v>197</v>
      </c>
    </row>
    <row r="145">
      <c r="A145">
        <v>1661</v>
      </c>
      <c r="B145" t="s">
        <v>20</v>
      </c>
      <c r="C145" t="s">
        <v>113</v>
      </c>
      <c r="D145" t="s">
        <v>368</v>
      </c>
      <c r="E145" t="s">
        <v>119</v>
      </c>
      <c r="F145" t="s">
        <v>95</v>
      </c>
      <c r="G145" t="s">
        <v>195</v>
      </c>
      <c r="H145" t="s">
        <v>195</v>
      </c>
      <c r="I145" t="s">
        <v>197</v>
      </c>
      <c r="K145" t="s">
        <v>197</v>
      </c>
      <c r="L145" t="s">
        <v>197</v>
      </c>
      <c r="M145" t="s">
        <v>121</v>
      </c>
      <c r="N145" t="s">
        <v>13</v>
      </c>
      <c r="O145">
        <v>4.3</v>
      </c>
      <c r="P145" t="s">
        <v>195</v>
      </c>
      <c r="Q145" t="s">
        <v>195</v>
      </c>
      <c r="R145" t="s">
        <v>195</v>
      </c>
      <c r="S145" t="s">
        <v>197</v>
      </c>
      <c r="T145" t="s">
        <v>95</v>
      </c>
      <c r="U145" t="s">
        <v>197</v>
      </c>
      <c r="V145" t="s">
        <v>197</v>
      </c>
    </row>
    <row r="146">
      <c r="A146">
        <v>1551</v>
      </c>
      <c r="B146" t="s">
        <v>20</v>
      </c>
      <c r="C146" t="s">
        <v>113</v>
      </c>
      <c r="D146" t="s">
        <v>369</v>
      </c>
      <c r="E146" t="s">
        <v>121</v>
      </c>
      <c r="F146" t="s">
        <v>94</v>
      </c>
      <c r="G146" t="s">
        <v>195</v>
      </c>
      <c r="H146" t="s">
        <v>195</v>
      </c>
      <c r="I146" t="s">
        <v>197</v>
      </c>
      <c r="K146" t="s">
        <v>197</v>
      </c>
      <c r="L146" t="s">
        <v>197</v>
      </c>
      <c r="M146" t="s">
        <v>121</v>
      </c>
      <c r="N146" t="s">
        <v>13</v>
      </c>
      <c r="O146">
        <v>4.3</v>
      </c>
      <c r="P146" t="s">
        <v>197</v>
      </c>
      <c r="Q146" t="s">
        <v>197</v>
      </c>
      <c r="R146" t="s">
        <v>197</v>
      </c>
      <c r="S146" t="s">
        <v>197</v>
      </c>
      <c r="T146" t="s">
        <v>94</v>
      </c>
      <c r="U146" t="s">
        <v>197</v>
      </c>
      <c r="V146" t="s">
        <v>197</v>
      </c>
    </row>
    <row r="147">
      <c r="A147">
        <v>1677</v>
      </c>
      <c r="B147" t="s">
        <v>20</v>
      </c>
      <c r="C147" t="s">
        <v>113</v>
      </c>
      <c r="D147" t="s">
        <v>370</v>
      </c>
      <c r="E147" t="s">
        <v>119</v>
      </c>
      <c r="F147" t="s">
        <v>93</v>
      </c>
      <c r="G147" t="s">
        <v>195</v>
      </c>
      <c r="H147" t="s">
        <v>195</v>
      </c>
      <c r="I147" t="s">
        <v>197</v>
      </c>
      <c r="K147" t="s">
        <v>197</v>
      </c>
      <c r="L147" t="s">
        <v>197</v>
      </c>
      <c r="M147" t="s">
        <v>121</v>
      </c>
      <c r="N147" t="s">
        <v>13</v>
      </c>
      <c r="O147">
        <v>4.3</v>
      </c>
      <c r="P147" t="s">
        <v>197</v>
      </c>
      <c r="Q147" t="s">
        <v>197</v>
      </c>
      <c r="R147" t="s">
        <v>197</v>
      </c>
      <c r="S147" t="s">
        <v>197</v>
      </c>
      <c r="T147" t="s">
        <v>93</v>
      </c>
      <c r="U147" t="s">
        <v>197</v>
      </c>
      <c r="V147" t="s">
        <v>197</v>
      </c>
    </row>
    <row r="148">
      <c r="A148">
        <v>1682</v>
      </c>
      <c r="B148" t="s">
        <v>20</v>
      </c>
      <c r="C148" t="s">
        <v>113</v>
      </c>
      <c r="D148" t="s">
        <v>371</v>
      </c>
      <c r="E148" t="s">
        <v>119</v>
      </c>
      <c r="F148" t="s">
        <v>93</v>
      </c>
      <c r="G148" t="s">
        <v>195</v>
      </c>
      <c r="H148" t="s">
        <v>195</v>
      </c>
      <c r="I148" t="s">
        <v>195</v>
      </c>
      <c r="J148">
        <v>17.6</v>
      </c>
      <c r="K148" t="s">
        <v>195</v>
      </c>
      <c r="L148" t="s">
        <v>197</v>
      </c>
      <c r="M148" t="s">
        <v>121</v>
      </c>
      <c r="N148" t="s">
        <v>13</v>
      </c>
      <c r="O148">
        <v>4.3</v>
      </c>
      <c r="P148" t="s">
        <v>197</v>
      </c>
      <c r="Q148" t="s">
        <v>197</v>
      </c>
      <c r="R148" t="s">
        <v>197</v>
      </c>
      <c r="S148" t="s">
        <v>195</v>
      </c>
      <c r="T148" t="s">
        <v>93</v>
      </c>
      <c r="U148" t="s">
        <v>195</v>
      </c>
      <c r="V148" t="s">
        <v>195</v>
      </c>
    </row>
    <row r="149">
      <c r="A149">
        <v>1688</v>
      </c>
      <c r="B149" t="s">
        <v>199</v>
      </c>
      <c r="C149" t="s">
        <v>113</v>
      </c>
      <c r="D149" t="s">
        <v>372</v>
      </c>
      <c r="E149" t="s">
        <v>119</v>
      </c>
      <c r="F149" t="s">
        <v>95</v>
      </c>
      <c r="G149" t="s">
        <v>195</v>
      </c>
      <c r="H149" t="s">
        <v>197</v>
      </c>
      <c r="I149" t="s">
        <v>195</v>
      </c>
      <c r="J149">
        <v>5.7</v>
      </c>
      <c r="K149" t="s">
        <v>197</v>
      </c>
      <c r="L149" t="s">
        <v>197</v>
      </c>
      <c r="M149" t="s">
        <v>207</v>
      </c>
      <c r="N149" t="s">
        <v>95</v>
      </c>
      <c r="O149">
        <v>0.1</v>
      </c>
      <c r="P149" t="s">
        <v>195</v>
      </c>
      <c r="Q149" t="s">
        <v>197</v>
      </c>
      <c r="R149" t="s">
        <v>197</v>
      </c>
      <c r="S149" t="s">
        <v>197</v>
      </c>
      <c r="T149" t="s">
        <v>95</v>
      </c>
      <c r="U149" t="s">
        <v>195</v>
      </c>
    </row>
    <row r="150">
      <c r="A150">
        <v>1699</v>
      </c>
      <c r="B150" t="s">
        <v>194</v>
      </c>
      <c r="C150" t="s">
        <v>113</v>
      </c>
      <c r="D150" t="s">
        <v>373</v>
      </c>
      <c r="E150" t="s">
        <v>119</v>
      </c>
      <c r="F150" t="s">
        <v>94</v>
      </c>
      <c r="G150" t="s">
        <v>195</v>
      </c>
      <c r="H150" t="s">
        <v>195</v>
      </c>
      <c r="I150" t="s">
        <v>195</v>
      </c>
      <c r="J150">
        <v>6.5</v>
      </c>
      <c r="K150" t="s">
        <v>195</v>
      </c>
      <c r="L150" t="s">
        <v>197</v>
      </c>
      <c r="M150" t="s">
        <v>121</v>
      </c>
      <c r="N150" t="s">
        <v>13</v>
      </c>
      <c r="O150">
        <v>4.4</v>
      </c>
      <c r="P150" t="s">
        <v>197</v>
      </c>
      <c r="Q150" t="s">
        <v>197</v>
      </c>
      <c r="R150" t="s">
        <v>197</v>
      </c>
      <c r="S150" t="s">
        <v>195</v>
      </c>
      <c r="T150" t="s">
        <v>94</v>
      </c>
      <c r="U150" t="s">
        <v>195</v>
      </c>
      <c r="V150" t="s">
        <v>197</v>
      </c>
    </row>
    <row r="151">
      <c r="A151">
        <v>1691</v>
      </c>
      <c r="B151" t="s">
        <v>20</v>
      </c>
      <c r="C151" t="s">
        <v>113</v>
      </c>
      <c r="D151" t="s">
        <v>374</v>
      </c>
      <c r="E151" t="s">
        <v>119</v>
      </c>
      <c r="F151" t="s">
        <v>94</v>
      </c>
      <c r="G151" t="s">
        <v>195</v>
      </c>
      <c r="H151" t="s">
        <v>195</v>
      </c>
      <c r="I151" t="s">
        <v>197</v>
      </c>
      <c r="K151" t="s">
        <v>195</v>
      </c>
      <c r="L151" t="s">
        <v>197</v>
      </c>
      <c r="M151" t="s">
        <v>121</v>
      </c>
      <c r="N151" t="s">
        <v>13</v>
      </c>
      <c r="O151">
        <v>4.3</v>
      </c>
      <c r="P151" t="s">
        <v>197</v>
      </c>
      <c r="Q151" t="s">
        <v>197</v>
      </c>
      <c r="R151" t="s">
        <v>197</v>
      </c>
      <c r="S151" t="s">
        <v>197</v>
      </c>
      <c r="T151" t="s">
        <v>94</v>
      </c>
      <c r="U151" t="s">
        <v>197</v>
      </c>
      <c r="V151" t="s">
        <v>197</v>
      </c>
    </row>
    <row r="152">
      <c r="A152">
        <v>1706</v>
      </c>
      <c r="B152" t="s">
        <v>194</v>
      </c>
      <c r="C152" t="s">
        <v>113</v>
      </c>
      <c r="D152" t="s">
        <v>375</v>
      </c>
      <c r="E152" t="s">
        <v>119</v>
      </c>
      <c r="F152" t="s">
        <v>95</v>
      </c>
      <c r="G152" t="s">
        <v>195</v>
      </c>
      <c r="H152" t="s">
        <v>195</v>
      </c>
      <c r="I152" t="s">
        <v>197</v>
      </c>
      <c r="K152" t="s">
        <v>197</v>
      </c>
      <c r="L152" t="s">
        <v>197</v>
      </c>
      <c r="M152" t="s">
        <v>121</v>
      </c>
      <c r="N152" t="s">
        <v>13</v>
      </c>
      <c r="O152">
        <v>4.3</v>
      </c>
      <c r="P152" t="s">
        <v>197</v>
      </c>
      <c r="Q152" t="s">
        <v>197</v>
      </c>
      <c r="R152" t="s">
        <v>197</v>
      </c>
      <c r="S152" t="s">
        <v>197</v>
      </c>
      <c r="T152" t="s">
        <v>95</v>
      </c>
      <c r="U152" t="s">
        <v>197</v>
      </c>
      <c r="V152" t="s">
        <v>197</v>
      </c>
    </row>
    <row r="153">
      <c r="A153">
        <v>1709</v>
      </c>
      <c r="B153" t="s">
        <v>20</v>
      </c>
      <c r="C153" t="s">
        <v>113</v>
      </c>
      <c r="D153" t="s">
        <v>376</v>
      </c>
      <c r="E153" t="s">
        <v>119</v>
      </c>
      <c r="F153" t="s">
        <v>94</v>
      </c>
      <c r="G153" t="s">
        <v>195</v>
      </c>
      <c r="H153" t="s">
        <v>195</v>
      </c>
      <c r="I153" t="s">
        <v>197</v>
      </c>
      <c r="K153" t="s">
        <v>195</v>
      </c>
      <c r="L153" t="s">
        <v>197</v>
      </c>
      <c r="M153" t="s">
        <v>121</v>
      </c>
      <c r="N153" t="s">
        <v>13</v>
      </c>
      <c r="O153">
        <v>4.3</v>
      </c>
      <c r="P153" t="s">
        <v>197</v>
      </c>
      <c r="Q153" t="s">
        <v>197</v>
      </c>
      <c r="R153" t="s">
        <v>197</v>
      </c>
      <c r="S153" t="s">
        <v>197</v>
      </c>
      <c r="T153" t="s">
        <v>94</v>
      </c>
      <c r="U153" t="s">
        <v>197</v>
      </c>
      <c r="V153" t="s">
        <v>197</v>
      </c>
    </row>
    <row r="154">
      <c r="A154">
        <v>1668</v>
      </c>
      <c r="B154" t="s">
        <v>20</v>
      </c>
      <c r="C154" t="s">
        <v>113</v>
      </c>
      <c r="D154" t="s">
        <v>377</v>
      </c>
      <c r="E154" t="s">
        <v>121</v>
      </c>
      <c r="F154" t="s">
        <v>95</v>
      </c>
      <c r="G154" t="s">
        <v>195</v>
      </c>
      <c r="H154" t="s">
        <v>195</v>
      </c>
      <c r="I154" t="s">
        <v>195</v>
      </c>
      <c r="J154">
        <v>8.1</v>
      </c>
      <c r="K154" t="s">
        <v>195</v>
      </c>
      <c r="L154" t="s">
        <v>197</v>
      </c>
      <c r="M154" t="s">
        <v>121</v>
      </c>
      <c r="N154" t="s">
        <v>13</v>
      </c>
      <c r="O154">
        <v>4.3</v>
      </c>
      <c r="P154" t="s">
        <v>197</v>
      </c>
      <c r="Q154" t="s">
        <v>197</v>
      </c>
      <c r="R154" t="s">
        <v>197</v>
      </c>
      <c r="S154" t="s">
        <v>195</v>
      </c>
      <c r="T154" t="s">
        <v>95</v>
      </c>
      <c r="U154" t="s">
        <v>195</v>
      </c>
      <c r="V154" t="s">
        <v>197</v>
      </c>
    </row>
    <row r="155">
      <c r="A155">
        <v>1714</v>
      </c>
      <c r="B155" t="s">
        <v>20</v>
      </c>
      <c r="C155" t="s">
        <v>113</v>
      </c>
      <c r="D155" t="s">
        <v>378</v>
      </c>
      <c r="E155" t="s">
        <v>119</v>
      </c>
      <c r="F155" t="s">
        <v>94</v>
      </c>
      <c r="G155" t="s">
        <v>195</v>
      </c>
      <c r="H155" t="s">
        <v>195</v>
      </c>
      <c r="I155" t="s">
        <v>195</v>
      </c>
      <c r="J155">
        <v>16.7</v>
      </c>
      <c r="K155" t="s">
        <v>195</v>
      </c>
      <c r="L155" t="s">
        <v>197</v>
      </c>
      <c r="M155" t="s">
        <v>268</v>
      </c>
      <c r="N155" t="s">
        <v>94</v>
      </c>
      <c r="O155">
        <v>0.4</v>
      </c>
      <c r="P155" t="s">
        <v>195</v>
      </c>
      <c r="Q155" t="s">
        <v>195</v>
      </c>
      <c r="R155" t="s">
        <v>197</v>
      </c>
      <c r="S155" t="s">
        <v>197</v>
      </c>
      <c r="T155" t="s">
        <v>94</v>
      </c>
      <c r="U155" t="s">
        <v>195</v>
      </c>
      <c r="V155" t="s">
        <v>195</v>
      </c>
    </row>
    <row r="156">
      <c r="A156">
        <v>1732</v>
      </c>
      <c r="B156" t="s">
        <v>20</v>
      </c>
      <c r="C156" t="s">
        <v>113</v>
      </c>
      <c r="D156" t="s">
        <v>379</v>
      </c>
      <c r="E156" t="s">
        <v>119</v>
      </c>
      <c r="F156" t="s">
        <v>95</v>
      </c>
      <c r="G156" t="s">
        <v>195</v>
      </c>
      <c r="H156" t="s">
        <v>195</v>
      </c>
      <c r="I156" t="s">
        <v>197</v>
      </c>
      <c r="K156" t="s">
        <v>197</v>
      </c>
      <c r="L156" t="s">
        <v>197</v>
      </c>
      <c r="M156" t="s">
        <v>121</v>
      </c>
      <c r="N156" t="s">
        <v>13</v>
      </c>
      <c r="O156">
        <v>4.3</v>
      </c>
      <c r="P156" t="s">
        <v>197</v>
      </c>
      <c r="Q156" t="s">
        <v>197</v>
      </c>
      <c r="R156" t="s">
        <v>197</v>
      </c>
      <c r="S156" t="s">
        <v>197</v>
      </c>
      <c r="T156" t="s">
        <v>95</v>
      </c>
      <c r="U156" t="s">
        <v>197</v>
      </c>
      <c r="V156" t="s">
        <v>197</v>
      </c>
    </row>
    <row r="157">
      <c r="A157">
        <v>1739</v>
      </c>
      <c r="B157" t="s">
        <v>20</v>
      </c>
      <c r="C157" t="s">
        <v>113</v>
      </c>
      <c r="D157" t="s">
        <v>380</v>
      </c>
      <c r="E157" t="s">
        <v>119</v>
      </c>
      <c r="F157" t="s">
        <v>95</v>
      </c>
      <c r="G157" t="s">
        <v>195</v>
      </c>
      <c r="H157" t="s">
        <v>195</v>
      </c>
      <c r="I157" t="s">
        <v>195</v>
      </c>
      <c r="J157">
        <v>6.4</v>
      </c>
      <c r="K157" t="s">
        <v>195</v>
      </c>
      <c r="L157" t="s">
        <v>197</v>
      </c>
      <c r="M157" t="s">
        <v>207</v>
      </c>
      <c r="N157" t="s">
        <v>95</v>
      </c>
      <c r="O157">
        <v>0.3</v>
      </c>
      <c r="P157" t="s">
        <v>195</v>
      </c>
      <c r="Q157" t="s">
        <v>197</v>
      </c>
      <c r="R157" t="s">
        <v>197</v>
      </c>
      <c r="S157" t="s">
        <v>197</v>
      </c>
      <c r="T157" t="s">
        <v>95</v>
      </c>
      <c r="U157" t="s">
        <v>195</v>
      </c>
      <c r="V157" t="s">
        <v>195</v>
      </c>
    </row>
    <row r="158">
      <c r="A158">
        <v>1740</v>
      </c>
      <c r="B158" t="s">
        <v>20</v>
      </c>
      <c r="C158" t="s">
        <v>113</v>
      </c>
      <c r="D158" t="s">
        <v>381</v>
      </c>
      <c r="E158" t="s">
        <v>119</v>
      </c>
      <c r="F158" t="s">
        <v>95</v>
      </c>
      <c r="G158" t="s">
        <v>195</v>
      </c>
      <c r="H158" t="s">
        <v>195</v>
      </c>
      <c r="I158" t="s">
        <v>195</v>
      </c>
      <c r="J158">
        <v>29.7</v>
      </c>
      <c r="K158" t="s">
        <v>197</v>
      </c>
      <c r="L158" t="s">
        <v>197</v>
      </c>
      <c r="M158" t="s">
        <v>207</v>
      </c>
      <c r="N158" t="s">
        <v>95</v>
      </c>
      <c r="O158">
        <v>0.5</v>
      </c>
      <c r="P158" t="s">
        <v>195</v>
      </c>
      <c r="Q158" t="s">
        <v>197</v>
      </c>
      <c r="R158" t="s">
        <v>197</v>
      </c>
      <c r="S158" t="s">
        <v>197</v>
      </c>
      <c r="T158" t="s">
        <v>95</v>
      </c>
      <c r="U158" t="s">
        <v>195</v>
      </c>
      <c r="V158" t="s">
        <v>195</v>
      </c>
    </row>
    <row r="159">
      <c r="A159">
        <v>1735</v>
      </c>
      <c r="B159" t="s">
        <v>20</v>
      </c>
      <c r="C159" t="s">
        <v>113</v>
      </c>
      <c r="D159" t="s">
        <v>382</v>
      </c>
      <c r="E159" t="s">
        <v>119</v>
      </c>
      <c r="F159" t="s">
        <v>95</v>
      </c>
      <c r="G159" t="s">
        <v>195</v>
      </c>
      <c r="H159" t="s">
        <v>195</v>
      </c>
      <c r="I159" t="s">
        <v>197</v>
      </c>
      <c r="K159" t="s">
        <v>197</v>
      </c>
      <c r="L159" t="s">
        <v>197</v>
      </c>
      <c r="M159" t="s">
        <v>121</v>
      </c>
      <c r="N159" t="s">
        <v>13</v>
      </c>
      <c r="O159">
        <v>4.3</v>
      </c>
      <c r="P159" t="s">
        <v>197</v>
      </c>
      <c r="Q159" t="s">
        <v>197</v>
      </c>
      <c r="R159" t="s">
        <v>197</v>
      </c>
      <c r="S159" t="s">
        <v>197</v>
      </c>
      <c r="T159" t="s">
        <v>95</v>
      </c>
      <c r="U159" t="s">
        <v>197</v>
      </c>
      <c r="V159" t="s">
        <v>197</v>
      </c>
    </row>
    <row r="160">
      <c r="A160">
        <v>1744</v>
      </c>
      <c r="B160" t="s">
        <v>199</v>
      </c>
      <c r="C160" t="s">
        <v>113</v>
      </c>
      <c r="D160" t="s">
        <v>383</v>
      </c>
      <c r="E160" t="s">
        <v>119</v>
      </c>
      <c r="F160" t="s">
        <v>94</v>
      </c>
      <c r="G160" t="s">
        <v>195</v>
      </c>
      <c r="H160" t="s">
        <v>197</v>
      </c>
      <c r="I160" t="s">
        <v>195</v>
      </c>
      <c r="J160">
        <v>5.6</v>
      </c>
      <c r="K160" t="s">
        <v>195</v>
      </c>
      <c r="L160" t="s">
        <v>197</v>
      </c>
      <c r="M160" t="s">
        <v>198</v>
      </c>
      <c r="N160" t="s">
        <v>94</v>
      </c>
      <c r="O160">
        <v>88.40000000000001</v>
      </c>
      <c r="P160" t="s">
        <v>197</v>
      </c>
      <c r="Q160" t="s">
        <v>197</v>
      </c>
      <c r="R160" t="s">
        <v>197</v>
      </c>
      <c r="S160" t="s">
        <v>197</v>
      </c>
      <c r="T160" t="s">
        <v>94</v>
      </c>
      <c r="U160" t="s">
        <v>195</v>
      </c>
    </row>
    <row r="161">
      <c r="A161">
        <v>1750</v>
      </c>
      <c r="B161" t="s">
        <v>20</v>
      </c>
      <c r="C161" t="s">
        <v>113</v>
      </c>
      <c r="D161" t="s">
        <v>384</v>
      </c>
      <c r="E161" t="s">
        <v>119</v>
      </c>
      <c r="F161" t="s">
        <v>95</v>
      </c>
      <c r="G161" t="s">
        <v>195</v>
      </c>
      <c r="H161" t="s">
        <v>195</v>
      </c>
      <c r="I161" t="s">
        <v>195</v>
      </c>
      <c r="J161">
        <v>15.9</v>
      </c>
      <c r="K161" t="s">
        <v>195</v>
      </c>
      <c r="L161" t="s">
        <v>197</v>
      </c>
      <c r="M161" t="s">
        <v>121</v>
      </c>
      <c r="N161" t="s">
        <v>13</v>
      </c>
      <c r="O161">
        <v>4.3</v>
      </c>
      <c r="P161" t="s">
        <v>197</v>
      </c>
      <c r="Q161" t="s">
        <v>197</v>
      </c>
      <c r="R161" t="s">
        <v>197</v>
      </c>
      <c r="S161" t="s">
        <v>195</v>
      </c>
      <c r="T161" t="s">
        <v>95</v>
      </c>
      <c r="U161" t="s">
        <v>195</v>
      </c>
      <c r="V161" t="s">
        <v>195</v>
      </c>
    </row>
    <row r="162">
      <c r="A162">
        <v>1752</v>
      </c>
      <c r="B162" t="s">
        <v>194</v>
      </c>
      <c r="C162" t="s">
        <v>113</v>
      </c>
      <c r="D162" t="s">
        <v>385</v>
      </c>
      <c r="E162" t="s">
        <v>119</v>
      </c>
      <c r="F162" t="s">
        <v>94</v>
      </c>
      <c r="G162" t="s">
        <v>195</v>
      </c>
      <c r="H162" t="s">
        <v>195</v>
      </c>
      <c r="I162" t="s">
        <v>195</v>
      </c>
      <c r="J162">
        <v>16.4</v>
      </c>
      <c r="K162" t="s">
        <v>195</v>
      </c>
      <c r="L162" t="s">
        <v>197</v>
      </c>
      <c r="M162" t="s">
        <v>121</v>
      </c>
      <c r="N162" t="s">
        <v>13</v>
      </c>
      <c r="O162">
        <v>4.3</v>
      </c>
      <c r="P162" t="s">
        <v>197</v>
      </c>
      <c r="Q162" t="s">
        <v>197</v>
      </c>
      <c r="R162" t="s">
        <v>197</v>
      </c>
      <c r="S162" t="s">
        <v>195</v>
      </c>
      <c r="T162" t="s">
        <v>94</v>
      </c>
      <c r="U162" t="s">
        <v>195</v>
      </c>
      <c r="V162" t="s">
        <v>195</v>
      </c>
    </row>
    <row r="163">
      <c r="A163">
        <v>1786</v>
      </c>
      <c r="B163" t="s">
        <v>20</v>
      </c>
      <c r="C163" t="s">
        <v>113</v>
      </c>
      <c r="D163" t="s">
        <v>386</v>
      </c>
      <c r="E163" t="s">
        <v>119</v>
      </c>
      <c r="F163" t="s">
        <v>93</v>
      </c>
      <c r="G163" t="s">
        <v>195</v>
      </c>
      <c r="H163" t="s">
        <v>195</v>
      </c>
      <c r="I163" t="s">
        <v>197</v>
      </c>
      <c r="K163" t="s">
        <v>197</v>
      </c>
      <c r="L163" t="s">
        <v>197</v>
      </c>
      <c r="M163" t="s">
        <v>121</v>
      </c>
      <c r="N163" t="s">
        <v>13</v>
      </c>
      <c r="O163">
        <v>4.3</v>
      </c>
      <c r="P163" t="s">
        <v>195</v>
      </c>
      <c r="Q163" t="s">
        <v>195</v>
      </c>
      <c r="R163" t="s">
        <v>197</v>
      </c>
      <c r="S163" t="s">
        <v>197</v>
      </c>
      <c r="T163" t="s">
        <v>93</v>
      </c>
      <c r="U163" t="s">
        <v>197</v>
      </c>
      <c r="V163" t="s">
        <v>197</v>
      </c>
    </row>
    <row r="164">
      <c r="A164">
        <v>1777</v>
      </c>
      <c r="B164" t="s">
        <v>20</v>
      </c>
      <c r="C164" t="s">
        <v>113</v>
      </c>
      <c r="D164" t="s">
        <v>387</v>
      </c>
      <c r="E164" t="s">
        <v>119</v>
      </c>
      <c r="F164" t="s">
        <v>93</v>
      </c>
      <c r="G164" t="s">
        <v>195</v>
      </c>
      <c r="H164" t="s">
        <v>195</v>
      </c>
      <c r="I164" t="s">
        <v>195</v>
      </c>
      <c r="J164">
        <v>45.3</v>
      </c>
      <c r="K164" t="s">
        <v>195</v>
      </c>
      <c r="L164" t="s">
        <v>197</v>
      </c>
      <c r="M164" t="s">
        <v>121</v>
      </c>
      <c r="N164" t="s">
        <v>13</v>
      </c>
      <c r="O164">
        <v>4.3</v>
      </c>
      <c r="P164" t="s">
        <v>197</v>
      </c>
      <c r="Q164" t="s">
        <v>197</v>
      </c>
      <c r="R164" t="s">
        <v>197</v>
      </c>
      <c r="S164" t="s">
        <v>195</v>
      </c>
      <c r="T164" t="s">
        <v>93</v>
      </c>
      <c r="U164" t="s">
        <v>197</v>
      </c>
      <c r="V164" t="s">
        <v>197</v>
      </c>
    </row>
    <row r="165">
      <c r="A165">
        <v>1789</v>
      </c>
      <c r="B165" t="s">
        <v>20</v>
      </c>
      <c r="C165" t="s">
        <v>113</v>
      </c>
      <c r="D165" t="s">
        <v>388</v>
      </c>
      <c r="E165" t="s">
        <v>119</v>
      </c>
      <c r="F165" t="s">
        <v>93</v>
      </c>
      <c r="G165" t="s">
        <v>195</v>
      </c>
      <c r="H165" t="s">
        <v>195</v>
      </c>
      <c r="I165" t="s">
        <v>197</v>
      </c>
      <c r="K165" t="s">
        <v>197</v>
      </c>
      <c r="L165" t="s">
        <v>197</v>
      </c>
      <c r="M165" t="s">
        <v>121</v>
      </c>
      <c r="N165" t="s">
        <v>13</v>
      </c>
      <c r="O165">
        <v>4.3</v>
      </c>
      <c r="P165" t="s">
        <v>197</v>
      </c>
      <c r="Q165" t="s">
        <v>197</v>
      </c>
      <c r="R165" t="s">
        <v>197</v>
      </c>
      <c r="S165" t="s">
        <v>197</v>
      </c>
      <c r="T165" t="s">
        <v>93</v>
      </c>
      <c r="U165" t="s">
        <v>197</v>
      </c>
      <c r="V165" t="s">
        <v>197</v>
      </c>
    </row>
    <row r="166">
      <c r="A166">
        <v>1778</v>
      </c>
      <c r="B166" t="s">
        <v>20</v>
      </c>
      <c r="C166" t="s">
        <v>113</v>
      </c>
      <c r="D166" t="s">
        <v>389</v>
      </c>
      <c r="E166" t="s">
        <v>119</v>
      </c>
      <c r="F166" t="s">
        <v>93</v>
      </c>
      <c r="G166" t="s">
        <v>195</v>
      </c>
      <c r="H166" t="s">
        <v>197</v>
      </c>
      <c r="I166" t="s">
        <v>195</v>
      </c>
      <c r="J166">
        <v>2.7</v>
      </c>
      <c r="K166" t="s">
        <v>195</v>
      </c>
      <c r="L166" t="s">
        <v>197</v>
      </c>
      <c r="M166" t="s">
        <v>198</v>
      </c>
      <c r="N166" t="s">
        <v>93</v>
      </c>
      <c r="O166">
        <v>54.5</v>
      </c>
      <c r="P166" t="s">
        <v>197</v>
      </c>
      <c r="Q166" t="s">
        <v>197</v>
      </c>
      <c r="R166" t="s">
        <v>197</v>
      </c>
      <c r="S166" t="s">
        <v>197</v>
      </c>
      <c r="T166" t="s">
        <v>93</v>
      </c>
      <c r="U166" t="s">
        <v>195</v>
      </c>
    </row>
    <row r="167">
      <c r="A167">
        <v>1810</v>
      </c>
      <c r="B167" t="s">
        <v>20</v>
      </c>
      <c r="C167" t="s">
        <v>113</v>
      </c>
      <c r="D167" t="s">
        <v>390</v>
      </c>
      <c r="E167" t="s">
        <v>119</v>
      </c>
      <c r="F167" t="s">
        <v>93</v>
      </c>
      <c r="G167" t="s">
        <v>195</v>
      </c>
      <c r="H167" t="s">
        <v>195</v>
      </c>
      <c r="I167" t="s">
        <v>197</v>
      </c>
      <c r="K167" t="s">
        <v>197</v>
      </c>
      <c r="L167" t="s">
        <v>197</v>
      </c>
      <c r="M167" t="s">
        <v>121</v>
      </c>
      <c r="N167" t="s">
        <v>13</v>
      </c>
      <c r="O167">
        <v>4.3</v>
      </c>
      <c r="P167" t="s">
        <v>197</v>
      </c>
      <c r="Q167" t="s">
        <v>197</v>
      </c>
      <c r="R167" t="s">
        <v>197</v>
      </c>
      <c r="S167" t="s">
        <v>197</v>
      </c>
      <c r="T167" t="s">
        <v>93</v>
      </c>
      <c r="U167" t="s">
        <v>197</v>
      </c>
      <c r="V167" t="s">
        <v>197</v>
      </c>
    </row>
    <row r="168">
      <c r="A168">
        <v>1845</v>
      </c>
      <c r="B168" t="s">
        <v>194</v>
      </c>
      <c r="C168" t="s">
        <v>113</v>
      </c>
      <c r="D168" t="s">
        <v>391</v>
      </c>
      <c r="E168" t="s">
        <v>119</v>
      </c>
      <c r="F168" t="s">
        <v>93</v>
      </c>
      <c r="G168" t="s">
        <v>195</v>
      </c>
      <c r="H168" t="s">
        <v>195</v>
      </c>
      <c r="I168" t="s">
        <v>195</v>
      </c>
      <c r="J168">
        <v>41.5</v>
      </c>
      <c r="K168" t="s">
        <v>195</v>
      </c>
      <c r="L168" t="s">
        <v>197</v>
      </c>
      <c r="M168" t="s">
        <v>198</v>
      </c>
      <c r="N168" t="s">
        <v>93</v>
      </c>
      <c r="O168">
        <v>118.2</v>
      </c>
      <c r="P168" t="s">
        <v>197</v>
      </c>
      <c r="Q168" t="s">
        <v>197</v>
      </c>
      <c r="R168" t="s">
        <v>197</v>
      </c>
      <c r="S168" t="s">
        <v>197</v>
      </c>
      <c r="T168" t="s">
        <v>93</v>
      </c>
      <c r="U168" t="s">
        <v>197</v>
      </c>
      <c r="V168" t="s">
        <v>195</v>
      </c>
    </row>
    <row r="169">
      <c r="A169">
        <v>1858</v>
      </c>
      <c r="B169" t="s">
        <v>20</v>
      </c>
      <c r="C169" t="s">
        <v>113</v>
      </c>
      <c r="D169" t="s">
        <v>392</v>
      </c>
      <c r="E169" t="s">
        <v>119</v>
      </c>
      <c r="F169" t="s">
        <v>95</v>
      </c>
      <c r="G169" t="s">
        <v>195</v>
      </c>
      <c r="H169" t="s">
        <v>195</v>
      </c>
      <c r="I169" t="s">
        <v>195</v>
      </c>
      <c r="J169">
        <v>14.2</v>
      </c>
      <c r="K169" t="s">
        <v>195</v>
      </c>
      <c r="L169" t="s">
        <v>195</v>
      </c>
      <c r="M169" t="s">
        <v>207</v>
      </c>
      <c r="N169" t="s">
        <v>95</v>
      </c>
      <c r="O169">
        <v>0.3</v>
      </c>
      <c r="P169" t="s">
        <v>195</v>
      </c>
      <c r="Q169" t="s">
        <v>195</v>
      </c>
      <c r="R169" t="s">
        <v>197</v>
      </c>
      <c r="S169" t="s">
        <v>197</v>
      </c>
      <c r="T169" t="s">
        <v>95</v>
      </c>
      <c r="U169" t="s">
        <v>195</v>
      </c>
      <c r="V169" t="s">
        <v>195</v>
      </c>
    </row>
    <row r="170">
      <c r="A170">
        <v>1871</v>
      </c>
      <c r="B170" t="s">
        <v>20</v>
      </c>
      <c r="C170" t="s">
        <v>113</v>
      </c>
      <c r="D170" t="s">
        <v>393</v>
      </c>
      <c r="E170" t="s">
        <v>119</v>
      </c>
      <c r="F170" t="s">
        <v>93</v>
      </c>
      <c r="G170" t="s">
        <v>195</v>
      </c>
      <c r="H170" t="s">
        <v>195</v>
      </c>
      <c r="I170" t="s">
        <v>197</v>
      </c>
      <c r="K170" t="s">
        <v>197</v>
      </c>
      <c r="L170" t="s">
        <v>197</v>
      </c>
      <c r="M170" t="s">
        <v>121</v>
      </c>
      <c r="N170" t="s">
        <v>13</v>
      </c>
      <c r="O170">
        <v>4.3</v>
      </c>
      <c r="P170" t="s">
        <v>197</v>
      </c>
      <c r="Q170" t="s">
        <v>197</v>
      </c>
      <c r="R170" t="s">
        <v>197</v>
      </c>
      <c r="S170" t="s">
        <v>197</v>
      </c>
      <c r="T170" t="s">
        <v>93</v>
      </c>
      <c r="U170" t="s">
        <v>197</v>
      </c>
      <c r="V170" t="s">
        <v>197</v>
      </c>
    </row>
    <row r="171">
      <c r="A171">
        <v>1883</v>
      </c>
      <c r="B171" t="s">
        <v>20</v>
      </c>
      <c r="C171" t="s">
        <v>113</v>
      </c>
      <c r="D171" t="s">
        <v>394</v>
      </c>
      <c r="E171" t="s">
        <v>119</v>
      </c>
      <c r="F171" t="s">
        <v>93</v>
      </c>
      <c r="G171" t="s">
        <v>195</v>
      </c>
      <c r="H171" t="s">
        <v>195</v>
      </c>
      <c r="I171" t="s">
        <v>195</v>
      </c>
      <c r="J171">
        <v>5.7</v>
      </c>
      <c r="K171" t="s">
        <v>195</v>
      </c>
      <c r="L171" t="s">
        <v>197</v>
      </c>
      <c r="M171" t="s">
        <v>121</v>
      </c>
      <c r="N171" t="s">
        <v>13</v>
      </c>
      <c r="O171">
        <v>4.3</v>
      </c>
      <c r="P171" t="s">
        <v>197</v>
      </c>
      <c r="Q171" t="s">
        <v>197</v>
      </c>
      <c r="R171" t="s">
        <v>197</v>
      </c>
      <c r="S171" t="s">
        <v>195</v>
      </c>
      <c r="T171" t="s">
        <v>93</v>
      </c>
      <c r="U171" t="s">
        <v>195</v>
      </c>
      <c r="V171" t="s">
        <v>197</v>
      </c>
    </row>
    <row r="172">
      <c r="A172">
        <v>1897</v>
      </c>
      <c r="B172" t="s">
        <v>20</v>
      </c>
      <c r="C172" t="s">
        <v>113</v>
      </c>
      <c r="D172" t="s">
        <v>395</v>
      </c>
      <c r="E172" t="s">
        <v>119</v>
      </c>
      <c r="F172" t="s">
        <v>94</v>
      </c>
      <c r="G172" t="s">
        <v>195</v>
      </c>
      <c r="H172" t="s">
        <v>197</v>
      </c>
      <c r="I172" t="s">
        <v>195</v>
      </c>
      <c r="J172">
        <v>6.4</v>
      </c>
      <c r="K172" t="s">
        <v>195</v>
      </c>
      <c r="L172" t="s">
        <v>197</v>
      </c>
      <c r="M172" t="s">
        <v>198</v>
      </c>
      <c r="N172" t="s">
        <v>94</v>
      </c>
      <c r="O172">
        <v>68.5</v>
      </c>
      <c r="P172" t="s">
        <v>197</v>
      </c>
      <c r="Q172" t="s">
        <v>197</v>
      </c>
      <c r="R172" t="s">
        <v>197</v>
      </c>
      <c r="S172" t="s">
        <v>197</v>
      </c>
      <c r="T172" t="s">
        <v>94</v>
      </c>
      <c r="U172" t="s">
        <v>195</v>
      </c>
    </row>
    <row r="173">
      <c r="A173">
        <v>1900</v>
      </c>
      <c r="B173" t="s">
        <v>20</v>
      </c>
      <c r="C173" t="s">
        <v>113</v>
      </c>
      <c r="D173" t="s">
        <v>396</v>
      </c>
      <c r="E173" t="s">
        <v>119</v>
      </c>
      <c r="F173" t="s">
        <v>94</v>
      </c>
      <c r="G173" t="s">
        <v>195</v>
      </c>
      <c r="H173" t="s">
        <v>195</v>
      </c>
      <c r="I173" t="s">
        <v>197</v>
      </c>
      <c r="K173" t="s">
        <v>195</v>
      </c>
      <c r="L173" t="s">
        <v>197</v>
      </c>
      <c r="M173" t="s">
        <v>121</v>
      </c>
      <c r="N173" t="s">
        <v>13</v>
      </c>
      <c r="O173">
        <v>4.3</v>
      </c>
      <c r="P173" t="s">
        <v>197</v>
      </c>
      <c r="Q173" t="s">
        <v>197</v>
      </c>
      <c r="R173" t="s">
        <v>197</v>
      </c>
      <c r="S173" t="s">
        <v>197</v>
      </c>
      <c r="T173" t="s">
        <v>94</v>
      </c>
      <c r="U173" t="s">
        <v>197</v>
      </c>
      <c r="V173" t="s">
        <v>197</v>
      </c>
    </row>
    <row r="174">
      <c r="A174">
        <v>1912</v>
      </c>
      <c r="B174" t="s">
        <v>199</v>
      </c>
      <c r="C174" t="s">
        <v>113</v>
      </c>
      <c r="D174" t="s">
        <v>397</v>
      </c>
      <c r="E174" t="s">
        <v>119</v>
      </c>
      <c r="F174" t="s">
        <v>94</v>
      </c>
      <c r="G174" t="s">
        <v>195</v>
      </c>
      <c r="H174" t="s">
        <v>195</v>
      </c>
      <c r="I174" t="s">
        <v>197</v>
      </c>
      <c r="K174" t="s">
        <v>195</v>
      </c>
      <c r="L174" t="s">
        <v>197</v>
      </c>
      <c r="M174" t="s">
        <v>121</v>
      </c>
      <c r="N174" t="s">
        <v>13</v>
      </c>
      <c r="O174">
        <v>4.3</v>
      </c>
      <c r="P174" t="s">
        <v>197</v>
      </c>
      <c r="Q174" t="s">
        <v>197</v>
      </c>
      <c r="R174" t="s">
        <v>197</v>
      </c>
      <c r="S174" t="s">
        <v>197</v>
      </c>
      <c r="T174" t="s">
        <v>94</v>
      </c>
      <c r="U174" t="s">
        <v>197</v>
      </c>
      <c r="V174" t="s">
        <v>197</v>
      </c>
    </row>
    <row r="175">
      <c r="A175">
        <v>1926</v>
      </c>
      <c r="B175" t="s">
        <v>194</v>
      </c>
      <c r="C175" t="s">
        <v>113</v>
      </c>
      <c r="D175" t="s">
        <v>398</v>
      </c>
      <c r="E175" t="s">
        <v>119</v>
      </c>
      <c r="F175" t="s">
        <v>94</v>
      </c>
      <c r="G175" t="s">
        <v>195</v>
      </c>
      <c r="H175" t="s">
        <v>195</v>
      </c>
      <c r="I175" t="s">
        <v>195</v>
      </c>
      <c r="J175">
        <v>3.3</v>
      </c>
      <c r="K175" t="s">
        <v>195</v>
      </c>
      <c r="L175" t="s">
        <v>197</v>
      </c>
      <c r="M175" t="s">
        <v>121</v>
      </c>
      <c r="N175" t="s">
        <v>13</v>
      </c>
      <c r="O175">
        <v>4.3</v>
      </c>
      <c r="P175" t="s">
        <v>197</v>
      </c>
      <c r="Q175" t="s">
        <v>197</v>
      </c>
      <c r="R175" t="s">
        <v>197</v>
      </c>
      <c r="S175" t="s">
        <v>195</v>
      </c>
      <c r="T175" t="s">
        <v>94</v>
      </c>
      <c r="U175" t="s">
        <v>197</v>
      </c>
      <c r="V175" t="s">
        <v>197</v>
      </c>
    </row>
    <row r="176">
      <c r="A176">
        <v>1927</v>
      </c>
      <c r="B176" t="s">
        <v>199</v>
      </c>
      <c r="C176" t="s">
        <v>113</v>
      </c>
      <c r="D176" t="s">
        <v>399</v>
      </c>
      <c r="E176" t="s">
        <v>121</v>
      </c>
      <c r="F176" t="s">
        <v>93</v>
      </c>
      <c r="G176" t="s">
        <v>195</v>
      </c>
      <c r="H176" t="s">
        <v>195</v>
      </c>
      <c r="I176" t="s">
        <v>197</v>
      </c>
      <c r="K176" t="s">
        <v>197</v>
      </c>
      <c r="L176" t="s">
        <v>197</v>
      </c>
      <c r="M176" t="s">
        <v>121</v>
      </c>
      <c r="N176" t="s">
        <v>13</v>
      </c>
      <c r="O176">
        <v>4.3</v>
      </c>
      <c r="P176" t="s">
        <v>197</v>
      </c>
      <c r="Q176" t="s">
        <v>197</v>
      </c>
      <c r="R176" t="s">
        <v>197</v>
      </c>
      <c r="S176" t="s">
        <v>197</v>
      </c>
      <c r="T176" t="s">
        <v>93</v>
      </c>
      <c r="U176" t="s">
        <v>197</v>
      </c>
      <c r="V176" t="s">
        <v>197</v>
      </c>
    </row>
    <row r="177">
      <c r="A177">
        <v>1947</v>
      </c>
      <c r="B177" t="s">
        <v>199</v>
      </c>
      <c r="C177" t="s">
        <v>113</v>
      </c>
      <c r="D177" t="s">
        <v>400</v>
      </c>
      <c r="E177" t="s">
        <v>119</v>
      </c>
      <c r="F177" t="s">
        <v>93</v>
      </c>
      <c r="G177" t="s">
        <v>195</v>
      </c>
      <c r="H177" t="s">
        <v>195</v>
      </c>
      <c r="I177" t="s">
        <v>195</v>
      </c>
      <c r="J177">
        <v>28</v>
      </c>
      <c r="K177" t="s">
        <v>195</v>
      </c>
      <c r="L177" t="s">
        <v>197</v>
      </c>
      <c r="M177" t="s">
        <v>198</v>
      </c>
      <c r="N177" t="s">
        <v>93</v>
      </c>
      <c r="O177">
        <v>99.40000000000001</v>
      </c>
      <c r="P177" t="s">
        <v>197</v>
      </c>
      <c r="Q177" t="s">
        <v>197</v>
      </c>
      <c r="R177" t="s">
        <v>197</v>
      </c>
      <c r="S177" t="s">
        <v>197</v>
      </c>
      <c r="T177" t="s">
        <v>93</v>
      </c>
      <c r="U177" t="s">
        <v>195</v>
      </c>
      <c r="V177" t="s">
        <v>195</v>
      </c>
    </row>
    <row r="178">
      <c r="A178">
        <v>1934</v>
      </c>
      <c r="B178" t="s">
        <v>20</v>
      </c>
      <c r="C178" t="s">
        <v>113</v>
      </c>
      <c r="D178" t="s">
        <v>401</v>
      </c>
      <c r="E178" t="s">
        <v>119</v>
      </c>
      <c r="F178" t="s">
        <v>93</v>
      </c>
      <c r="G178" t="s">
        <v>197</v>
      </c>
      <c r="H178" t="s">
        <v>197</v>
      </c>
      <c r="I178" t="s">
        <v>195</v>
      </c>
      <c r="J178">
        <v>3.1</v>
      </c>
      <c r="K178" t="s">
        <v>195</v>
      </c>
      <c r="L178" t="s">
        <v>197</v>
      </c>
      <c r="M178" t="s">
        <v>268</v>
      </c>
      <c r="N178" t="s">
        <v>93</v>
      </c>
      <c r="O178">
        <v>0.1</v>
      </c>
      <c r="P178" t="s">
        <v>195</v>
      </c>
      <c r="Q178" t="s">
        <v>195</v>
      </c>
      <c r="R178" t="s">
        <v>197</v>
      </c>
      <c r="S178" t="s">
        <v>197</v>
      </c>
      <c r="T178" t="s">
        <v>93</v>
      </c>
    </row>
    <row r="179">
      <c r="A179">
        <v>1944</v>
      </c>
      <c r="B179" t="s">
        <v>20</v>
      </c>
      <c r="C179" t="s">
        <v>113</v>
      </c>
      <c r="D179" t="s">
        <v>402</v>
      </c>
      <c r="E179" t="s">
        <v>119</v>
      </c>
      <c r="F179" t="s">
        <v>93</v>
      </c>
      <c r="G179" t="s">
        <v>195</v>
      </c>
      <c r="H179" t="s">
        <v>195</v>
      </c>
      <c r="I179" t="s">
        <v>197</v>
      </c>
      <c r="K179" t="s">
        <v>197</v>
      </c>
      <c r="L179" t="s">
        <v>197</v>
      </c>
      <c r="M179" t="s">
        <v>121</v>
      </c>
      <c r="N179" t="s">
        <v>13</v>
      </c>
      <c r="O179">
        <v>4.3</v>
      </c>
      <c r="P179" t="s">
        <v>197</v>
      </c>
      <c r="Q179" t="s">
        <v>197</v>
      </c>
      <c r="R179" t="s">
        <v>197</v>
      </c>
      <c r="S179" t="s">
        <v>197</v>
      </c>
      <c r="T179" t="s">
        <v>93</v>
      </c>
      <c r="U179" t="s">
        <v>197</v>
      </c>
      <c r="V179" t="s">
        <v>197</v>
      </c>
    </row>
    <row r="180">
      <c r="A180">
        <v>1956</v>
      </c>
      <c r="B180" t="s">
        <v>20</v>
      </c>
      <c r="C180" t="s">
        <v>113</v>
      </c>
      <c r="D180" t="s">
        <v>403</v>
      </c>
      <c r="E180" t="s">
        <v>119</v>
      </c>
      <c r="F180" t="s">
        <v>93</v>
      </c>
      <c r="G180" t="s">
        <v>195</v>
      </c>
      <c r="H180" t="s">
        <v>195</v>
      </c>
      <c r="I180" t="s">
        <v>195</v>
      </c>
      <c r="J180">
        <v>31.8</v>
      </c>
      <c r="K180" t="s">
        <v>195</v>
      </c>
      <c r="L180" t="s">
        <v>197</v>
      </c>
      <c r="M180" t="s">
        <v>121</v>
      </c>
      <c r="N180" t="s">
        <v>13</v>
      </c>
      <c r="O180">
        <v>4.3</v>
      </c>
      <c r="P180" t="s">
        <v>197</v>
      </c>
      <c r="Q180" t="s">
        <v>197</v>
      </c>
      <c r="R180" t="s">
        <v>197</v>
      </c>
      <c r="S180" t="s">
        <v>195</v>
      </c>
      <c r="T180" t="s">
        <v>93</v>
      </c>
      <c r="U180" t="s">
        <v>195</v>
      </c>
      <c r="V180" t="s">
        <v>195</v>
      </c>
    </row>
    <row r="181">
      <c r="A181">
        <v>1979</v>
      </c>
      <c r="B181" t="s">
        <v>20</v>
      </c>
      <c r="C181" t="s">
        <v>113</v>
      </c>
      <c r="D181" t="s">
        <v>404</v>
      </c>
      <c r="E181" t="s">
        <v>119</v>
      </c>
      <c r="F181" t="s">
        <v>93</v>
      </c>
      <c r="G181" t="s">
        <v>195</v>
      </c>
      <c r="H181" t="s">
        <v>195</v>
      </c>
      <c r="I181" t="s">
        <v>197</v>
      </c>
      <c r="K181" t="s">
        <v>197</v>
      </c>
      <c r="L181" t="s">
        <v>197</v>
      </c>
      <c r="M181" t="s">
        <v>121</v>
      </c>
      <c r="N181" t="s">
        <v>13</v>
      </c>
      <c r="O181">
        <v>4.3</v>
      </c>
      <c r="P181" t="s">
        <v>197</v>
      </c>
      <c r="Q181" t="s">
        <v>197</v>
      </c>
      <c r="R181" t="s">
        <v>197</v>
      </c>
      <c r="S181" t="s">
        <v>197</v>
      </c>
      <c r="T181" t="s">
        <v>93</v>
      </c>
      <c r="U181" t="s">
        <v>197</v>
      </c>
      <c r="V181" t="s">
        <v>197</v>
      </c>
    </row>
    <row r="182">
      <c r="A182">
        <v>1997</v>
      </c>
      <c r="B182" t="s">
        <v>20</v>
      </c>
      <c r="C182" t="s">
        <v>113</v>
      </c>
      <c r="D182" t="s">
        <v>405</v>
      </c>
      <c r="E182" t="s">
        <v>119</v>
      </c>
      <c r="F182" t="s">
        <v>93</v>
      </c>
      <c r="G182" t="s">
        <v>195</v>
      </c>
      <c r="H182" t="s">
        <v>195</v>
      </c>
      <c r="I182" t="s">
        <v>195</v>
      </c>
      <c r="J182">
        <v>3.3</v>
      </c>
      <c r="K182" t="s">
        <v>195</v>
      </c>
      <c r="L182" t="s">
        <v>197</v>
      </c>
      <c r="M182" t="s">
        <v>207</v>
      </c>
      <c r="N182" t="s">
        <v>94</v>
      </c>
      <c r="O182">
        <v>1.1</v>
      </c>
      <c r="P182" t="s">
        <v>195</v>
      </c>
      <c r="Q182" t="s">
        <v>195</v>
      </c>
      <c r="R182" t="s">
        <v>197</v>
      </c>
      <c r="S182" t="s">
        <v>197</v>
      </c>
      <c r="T182" t="s">
        <v>93</v>
      </c>
      <c r="U182" t="s">
        <v>195</v>
      </c>
      <c r="V182" t="s">
        <v>197</v>
      </c>
    </row>
    <row r="183">
      <c r="A183">
        <v>2021</v>
      </c>
      <c r="B183" t="s">
        <v>20</v>
      </c>
      <c r="C183" t="s">
        <v>113</v>
      </c>
      <c r="D183" t="s">
        <v>406</v>
      </c>
      <c r="E183" t="s">
        <v>119</v>
      </c>
      <c r="F183" t="s">
        <v>93</v>
      </c>
      <c r="G183" t="s">
        <v>195</v>
      </c>
      <c r="H183" t="s">
        <v>195</v>
      </c>
      <c r="I183" t="s">
        <v>195</v>
      </c>
      <c r="J183">
        <v>0.6</v>
      </c>
      <c r="K183" t="s">
        <v>195</v>
      </c>
      <c r="L183" t="s">
        <v>197</v>
      </c>
      <c r="M183" t="s">
        <v>121</v>
      </c>
      <c r="N183" t="s">
        <v>13</v>
      </c>
      <c r="O183">
        <v>4.3</v>
      </c>
      <c r="P183" t="s">
        <v>197</v>
      </c>
      <c r="Q183" t="s">
        <v>197</v>
      </c>
      <c r="R183" t="s">
        <v>197</v>
      </c>
      <c r="S183" t="s">
        <v>195</v>
      </c>
      <c r="T183" t="s">
        <v>93</v>
      </c>
      <c r="U183" t="s">
        <v>195</v>
      </c>
      <c r="V183" t="s">
        <v>195</v>
      </c>
    </row>
    <row r="184">
      <c r="A184">
        <v>2030</v>
      </c>
      <c r="B184" t="s">
        <v>194</v>
      </c>
      <c r="C184" t="s">
        <v>113</v>
      </c>
      <c r="D184" t="s">
        <v>407</v>
      </c>
      <c r="E184" t="s">
        <v>119</v>
      </c>
      <c r="F184" t="s">
        <v>94</v>
      </c>
      <c r="G184" t="s">
        <v>195</v>
      </c>
      <c r="H184" t="s">
        <v>195</v>
      </c>
      <c r="I184" t="s">
        <v>197</v>
      </c>
      <c r="K184" t="s">
        <v>195</v>
      </c>
      <c r="L184" t="s">
        <v>197</v>
      </c>
      <c r="M184" t="s">
        <v>121</v>
      </c>
      <c r="N184" t="s">
        <v>13</v>
      </c>
      <c r="O184">
        <v>4.3</v>
      </c>
      <c r="P184" t="s">
        <v>197</v>
      </c>
      <c r="Q184" t="s">
        <v>197</v>
      </c>
      <c r="R184" t="s">
        <v>197</v>
      </c>
      <c r="S184" t="s">
        <v>197</v>
      </c>
      <c r="T184" t="s">
        <v>94</v>
      </c>
      <c r="U184" t="s">
        <v>197</v>
      </c>
      <c r="V184" t="s">
        <v>197</v>
      </c>
    </row>
    <row r="185">
      <c r="A185">
        <v>2035</v>
      </c>
      <c r="B185" t="s">
        <v>20</v>
      </c>
      <c r="C185" t="s">
        <v>113</v>
      </c>
      <c r="D185" t="s">
        <v>408</v>
      </c>
      <c r="E185" t="s">
        <v>119</v>
      </c>
      <c r="F185" t="s">
        <v>94</v>
      </c>
      <c r="G185" t="s">
        <v>195</v>
      </c>
      <c r="H185" t="s">
        <v>195</v>
      </c>
      <c r="I185" t="s">
        <v>195</v>
      </c>
      <c r="J185">
        <v>32.1</v>
      </c>
      <c r="K185" t="s">
        <v>195</v>
      </c>
      <c r="L185" t="s">
        <v>197</v>
      </c>
      <c r="M185" t="s">
        <v>207</v>
      </c>
      <c r="N185" t="s">
        <v>94</v>
      </c>
      <c r="O185">
        <v>0.5</v>
      </c>
      <c r="P185" t="s">
        <v>195</v>
      </c>
      <c r="Q185" t="s">
        <v>197</v>
      </c>
      <c r="R185" t="s">
        <v>197</v>
      </c>
      <c r="S185" t="s">
        <v>197</v>
      </c>
      <c r="T185" t="s">
        <v>94</v>
      </c>
      <c r="U185" t="s">
        <v>195</v>
      </c>
      <c r="V185" t="s">
        <v>195</v>
      </c>
    </row>
    <row r="186">
      <c r="A186">
        <v>2047</v>
      </c>
      <c r="B186" t="s">
        <v>20</v>
      </c>
      <c r="C186" t="s">
        <v>113</v>
      </c>
      <c r="D186" t="s">
        <v>409</v>
      </c>
      <c r="E186" t="s">
        <v>119</v>
      </c>
      <c r="F186" t="s">
        <v>94</v>
      </c>
      <c r="G186" t="s">
        <v>195</v>
      </c>
      <c r="H186" t="s">
        <v>195</v>
      </c>
      <c r="I186" t="s">
        <v>197</v>
      </c>
      <c r="K186" t="s">
        <v>195</v>
      </c>
      <c r="L186" t="s">
        <v>197</v>
      </c>
      <c r="M186" t="s">
        <v>121</v>
      </c>
      <c r="N186" t="s">
        <v>13</v>
      </c>
      <c r="O186">
        <v>4.3</v>
      </c>
      <c r="P186" t="s">
        <v>197</v>
      </c>
      <c r="Q186" t="s">
        <v>197</v>
      </c>
      <c r="R186" t="s">
        <v>197</v>
      </c>
      <c r="S186" t="s">
        <v>197</v>
      </c>
      <c r="T186" t="s">
        <v>94</v>
      </c>
      <c r="U186" t="s">
        <v>197</v>
      </c>
      <c r="V186" t="s">
        <v>197</v>
      </c>
    </row>
    <row r="187">
      <c r="A187">
        <v>2049</v>
      </c>
      <c r="B187" t="s">
        <v>20</v>
      </c>
      <c r="C187" t="s">
        <v>113</v>
      </c>
      <c r="D187" t="s">
        <v>410</v>
      </c>
      <c r="E187" t="s">
        <v>119</v>
      </c>
      <c r="F187" t="s">
        <v>94</v>
      </c>
      <c r="G187" t="s">
        <v>195</v>
      </c>
      <c r="H187" t="s">
        <v>195</v>
      </c>
      <c r="I187" t="s">
        <v>195</v>
      </c>
      <c r="J187">
        <v>15.4</v>
      </c>
      <c r="K187" t="s">
        <v>195</v>
      </c>
      <c r="L187" t="s">
        <v>197</v>
      </c>
      <c r="M187" t="s">
        <v>207</v>
      </c>
      <c r="N187" t="s">
        <v>94</v>
      </c>
      <c r="O187">
        <v>0.3</v>
      </c>
      <c r="P187" t="s">
        <v>195</v>
      </c>
      <c r="Q187" t="s">
        <v>195</v>
      </c>
      <c r="R187" t="s">
        <v>197</v>
      </c>
      <c r="S187" t="s">
        <v>197</v>
      </c>
      <c r="T187" t="s">
        <v>94</v>
      </c>
      <c r="U187" t="s">
        <v>195</v>
      </c>
      <c r="V187" t="s">
        <v>195</v>
      </c>
    </row>
    <row r="188">
      <c r="A188">
        <v>2052</v>
      </c>
      <c r="B188" t="s">
        <v>20</v>
      </c>
      <c r="C188" t="s">
        <v>113</v>
      </c>
      <c r="D188" t="s">
        <v>411</v>
      </c>
      <c r="E188" t="s">
        <v>119</v>
      </c>
      <c r="F188" t="s">
        <v>93</v>
      </c>
      <c r="G188" t="s">
        <v>195</v>
      </c>
      <c r="H188" t="s">
        <v>195</v>
      </c>
      <c r="I188" t="s">
        <v>197</v>
      </c>
      <c r="K188" t="s">
        <v>197</v>
      </c>
      <c r="L188" t="s">
        <v>197</v>
      </c>
      <c r="M188" t="s">
        <v>121</v>
      </c>
      <c r="N188" t="s">
        <v>13</v>
      </c>
      <c r="O188">
        <v>4.3</v>
      </c>
      <c r="P188" t="s">
        <v>197</v>
      </c>
      <c r="Q188" t="s">
        <v>197</v>
      </c>
      <c r="R188" t="s">
        <v>197</v>
      </c>
      <c r="S188" t="s">
        <v>197</v>
      </c>
      <c r="T188" t="s">
        <v>93</v>
      </c>
      <c r="U188" t="s">
        <v>197</v>
      </c>
      <c r="V188" t="s">
        <v>197</v>
      </c>
    </row>
    <row r="189">
      <c r="A189">
        <v>2059</v>
      </c>
      <c r="B189" t="s">
        <v>194</v>
      </c>
      <c r="C189" t="s">
        <v>113</v>
      </c>
      <c r="D189" t="s">
        <v>412</v>
      </c>
      <c r="E189" t="s">
        <v>119</v>
      </c>
      <c r="F189" t="s">
        <v>93</v>
      </c>
      <c r="G189" t="s">
        <v>195</v>
      </c>
      <c r="H189" t="s">
        <v>195</v>
      </c>
      <c r="I189" t="s">
        <v>197</v>
      </c>
      <c r="K189" t="s">
        <v>197</v>
      </c>
      <c r="L189" t="s">
        <v>197</v>
      </c>
      <c r="M189" t="s">
        <v>121</v>
      </c>
      <c r="N189" t="s">
        <v>13</v>
      </c>
      <c r="O189">
        <v>4.3</v>
      </c>
      <c r="P189" t="s">
        <v>197</v>
      </c>
      <c r="Q189" t="s">
        <v>197</v>
      </c>
      <c r="R189" t="s">
        <v>197</v>
      </c>
      <c r="S189" t="s">
        <v>197</v>
      </c>
      <c r="T189" t="s">
        <v>93</v>
      </c>
      <c r="U189" t="s">
        <v>197</v>
      </c>
      <c r="V189" t="s">
        <v>197</v>
      </c>
    </row>
    <row r="190">
      <c r="A190">
        <v>2071</v>
      </c>
      <c r="B190" t="s">
        <v>194</v>
      </c>
      <c r="C190" t="s">
        <v>113</v>
      </c>
      <c r="D190" t="s">
        <v>413</v>
      </c>
      <c r="E190" t="s">
        <v>119</v>
      </c>
      <c r="F190" t="s">
        <v>94</v>
      </c>
      <c r="G190" t="s">
        <v>195</v>
      </c>
      <c r="H190" t="s">
        <v>195</v>
      </c>
      <c r="I190" t="s">
        <v>195</v>
      </c>
      <c r="J190">
        <v>5.5</v>
      </c>
      <c r="K190" t="s">
        <v>195</v>
      </c>
      <c r="L190" t="s">
        <v>197</v>
      </c>
      <c r="M190" t="s">
        <v>121</v>
      </c>
      <c r="N190" t="s">
        <v>13</v>
      </c>
      <c r="O190">
        <v>4.3</v>
      </c>
      <c r="P190" t="s">
        <v>197</v>
      </c>
      <c r="Q190" t="s">
        <v>197</v>
      </c>
      <c r="R190" t="s">
        <v>197</v>
      </c>
      <c r="S190" t="s">
        <v>195</v>
      </c>
      <c r="T190" t="s">
        <v>94</v>
      </c>
      <c r="U190" t="s">
        <v>195</v>
      </c>
      <c r="V190" t="s">
        <v>195</v>
      </c>
    </row>
    <row r="191">
      <c r="A191">
        <v>2076</v>
      </c>
      <c r="B191" t="s">
        <v>199</v>
      </c>
      <c r="C191" t="s">
        <v>113</v>
      </c>
      <c r="D191" t="s">
        <v>414</v>
      </c>
      <c r="E191" t="s">
        <v>121</v>
      </c>
      <c r="F191" t="s">
        <v>93</v>
      </c>
      <c r="G191" t="s">
        <v>195</v>
      </c>
      <c r="H191" t="s">
        <v>195</v>
      </c>
      <c r="I191" t="s">
        <v>197</v>
      </c>
      <c r="K191" t="s">
        <v>197</v>
      </c>
      <c r="L191" t="s">
        <v>197</v>
      </c>
      <c r="M191" t="s">
        <v>121</v>
      </c>
      <c r="N191" t="s">
        <v>13</v>
      </c>
      <c r="O191">
        <v>4.3</v>
      </c>
      <c r="P191" t="s">
        <v>197</v>
      </c>
      <c r="Q191" t="s">
        <v>197</v>
      </c>
      <c r="R191" t="s">
        <v>197</v>
      </c>
      <c r="S191" t="s">
        <v>197</v>
      </c>
      <c r="T191" t="s">
        <v>93</v>
      </c>
      <c r="U191" t="s">
        <v>197</v>
      </c>
      <c r="V191" t="s">
        <v>197</v>
      </c>
    </row>
    <row r="192">
      <c r="A192">
        <v>2100</v>
      </c>
      <c r="B192" t="s">
        <v>20</v>
      </c>
      <c r="C192" t="s">
        <v>113</v>
      </c>
      <c r="D192" t="s">
        <v>415</v>
      </c>
      <c r="E192" t="s">
        <v>119</v>
      </c>
      <c r="F192" t="s">
        <v>93</v>
      </c>
      <c r="G192" t="s">
        <v>195</v>
      </c>
      <c r="H192" t="s">
        <v>195</v>
      </c>
      <c r="I192" t="s">
        <v>195</v>
      </c>
      <c r="J192">
        <v>1.8</v>
      </c>
      <c r="K192" t="s">
        <v>195</v>
      </c>
      <c r="L192" t="s">
        <v>197</v>
      </c>
      <c r="M192" t="s">
        <v>121</v>
      </c>
      <c r="N192" t="s">
        <v>13</v>
      </c>
      <c r="O192">
        <v>4.3</v>
      </c>
      <c r="P192" t="s">
        <v>197</v>
      </c>
      <c r="Q192" t="s">
        <v>197</v>
      </c>
      <c r="R192" t="s">
        <v>197</v>
      </c>
      <c r="S192" t="s">
        <v>195</v>
      </c>
      <c r="T192" t="s">
        <v>93</v>
      </c>
      <c r="U192" t="s">
        <v>197</v>
      </c>
      <c r="V192" t="s">
        <v>197</v>
      </c>
    </row>
    <row r="193">
      <c r="A193">
        <v>2108</v>
      </c>
      <c r="B193" t="s">
        <v>194</v>
      </c>
      <c r="C193" t="s">
        <v>113</v>
      </c>
      <c r="D193" t="s">
        <v>416</v>
      </c>
      <c r="E193" t="s">
        <v>119</v>
      </c>
      <c r="F193" t="s">
        <v>93</v>
      </c>
      <c r="G193" t="s">
        <v>195</v>
      </c>
      <c r="H193" t="s">
        <v>195</v>
      </c>
      <c r="I193" t="s">
        <v>195</v>
      </c>
      <c r="J193">
        <v>41.5</v>
      </c>
      <c r="K193" t="s">
        <v>195</v>
      </c>
      <c r="L193" t="s">
        <v>197</v>
      </c>
      <c r="M193" t="s">
        <v>121</v>
      </c>
      <c r="N193" t="s">
        <v>13</v>
      </c>
      <c r="O193">
        <v>4.3</v>
      </c>
      <c r="P193" t="s">
        <v>197</v>
      </c>
      <c r="Q193" t="s">
        <v>197</v>
      </c>
      <c r="R193" t="s">
        <v>197</v>
      </c>
      <c r="S193" t="s">
        <v>195</v>
      </c>
      <c r="T193" t="s">
        <v>93</v>
      </c>
      <c r="U193" t="s">
        <v>197</v>
      </c>
      <c r="V193" t="s">
        <v>195</v>
      </c>
    </row>
    <row r="194">
      <c r="A194">
        <v>2113</v>
      </c>
      <c r="B194" t="s">
        <v>199</v>
      </c>
      <c r="C194" t="s">
        <v>113</v>
      </c>
      <c r="D194" t="s">
        <v>417</v>
      </c>
      <c r="E194" t="s">
        <v>119</v>
      </c>
      <c r="F194" t="s">
        <v>93</v>
      </c>
      <c r="G194" t="s">
        <v>195</v>
      </c>
      <c r="H194" t="s">
        <v>195</v>
      </c>
      <c r="I194" t="s">
        <v>197</v>
      </c>
      <c r="K194" t="s">
        <v>197</v>
      </c>
      <c r="L194" t="s">
        <v>197</v>
      </c>
      <c r="M194" t="s">
        <v>121</v>
      </c>
      <c r="N194" t="s">
        <v>13</v>
      </c>
      <c r="O194">
        <v>4.3</v>
      </c>
      <c r="P194" t="s">
        <v>197</v>
      </c>
      <c r="Q194" t="s">
        <v>197</v>
      </c>
      <c r="R194" t="s">
        <v>197</v>
      </c>
      <c r="S194" t="s">
        <v>197</v>
      </c>
      <c r="T194" t="s">
        <v>93</v>
      </c>
      <c r="U194" t="s">
        <v>197</v>
      </c>
      <c r="V194" t="s">
        <v>197</v>
      </c>
    </row>
    <row r="195">
      <c r="A195">
        <v>2139</v>
      </c>
      <c r="B195" t="s">
        <v>20</v>
      </c>
      <c r="C195" t="s">
        <v>113</v>
      </c>
      <c r="D195" t="s">
        <v>418</v>
      </c>
      <c r="E195" t="s">
        <v>119</v>
      </c>
      <c r="F195" t="s">
        <v>93</v>
      </c>
      <c r="G195" t="s">
        <v>195</v>
      </c>
      <c r="H195" t="s">
        <v>195</v>
      </c>
      <c r="I195" t="s">
        <v>197</v>
      </c>
      <c r="K195" t="s">
        <v>197</v>
      </c>
      <c r="L195" t="s">
        <v>197</v>
      </c>
      <c r="M195" t="s">
        <v>121</v>
      </c>
      <c r="N195" t="s">
        <v>13</v>
      </c>
      <c r="O195">
        <v>4.3</v>
      </c>
      <c r="P195" t="s">
        <v>197</v>
      </c>
      <c r="Q195" t="s">
        <v>197</v>
      </c>
      <c r="R195" t="s">
        <v>197</v>
      </c>
      <c r="S195" t="s">
        <v>197</v>
      </c>
      <c r="T195" t="s">
        <v>93</v>
      </c>
      <c r="U195" t="s">
        <v>197</v>
      </c>
      <c r="V195" t="s">
        <v>197</v>
      </c>
    </row>
    <row r="196">
      <c r="A196">
        <v>2143</v>
      </c>
      <c r="B196" t="s">
        <v>20</v>
      </c>
      <c r="C196" t="s">
        <v>113</v>
      </c>
      <c r="D196" t="s">
        <v>419</v>
      </c>
      <c r="E196" t="s">
        <v>119</v>
      </c>
      <c r="F196" t="s">
        <v>93</v>
      </c>
      <c r="G196" t="s">
        <v>195</v>
      </c>
      <c r="H196" t="s">
        <v>195</v>
      </c>
      <c r="I196" t="s">
        <v>197</v>
      </c>
      <c r="K196" t="s">
        <v>195</v>
      </c>
      <c r="L196" t="s">
        <v>197</v>
      </c>
      <c r="M196" t="s">
        <v>121</v>
      </c>
      <c r="N196" t="s">
        <v>13</v>
      </c>
      <c r="O196">
        <v>4.3</v>
      </c>
      <c r="P196" t="s">
        <v>197</v>
      </c>
      <c r="Q196" t="s">
        <v>197</v>
      </c>
      <c r="R196" t="s">
        <v>197</v>
      </c>
      <c r="S196" t="s">
        <v>197</v>
      </c>
      <c r="T196" t="s">
        <v>93</v>
      </c>
      <c r="U196" t="s">
        <v>197</v>
      </c>
      <c r="V196" t="s">
        <v>197</v>
      </c>
    </row>
    <row r="197">
      <c r="A197">
        <v>2152</v>
      </c>
      <c r="B197" t="s">
        <v>20</v>
      </c>
      <c r="C197" t="s">
        <v>113</v>
      </c>
      <c r="D197" t="s">
        <v>420</v>
      </c>
      <c r="E197" t="s">
        <v>119</v>
      </c>
      <c r="F197" t="s">
        <v>93</v>
      </c>
      <c r="G197" t="s">
        <v>195</v>
      </c>
      <c r="H197" t="s">
        <v>195</v>
      </c>
      <c r="I197" t="s">
        <v>197</v>
      </c>
      <c r="K197" t="s">
        <v>195</v>
      </c>
      <c r="L197" t="s">
        <v>197</v>
      </c>
      <c r="M197" t="s">
        <v>121</v>
      </c>
      <c r="N197" t="s">
        <v>13</v>
      </c>
      <c r="O197">
        <v>4.3</v>
      </c>
      <c r="P197" t="s">
        <v>197</v>
      </c>
      <c r="Q197" t="s">
        <v>197</v>
      </c>
      <c r="R197" t="s">
        <v>197</v>
      </c>
      <c r="S197" t="s">
        <v>197</v>
      </c>
      <c r="T197" t="s">
        <v>93</v>
      </c>
      <c r="U197" t="s">
        <v>197</v>
      </c>
      <c r="V197" t="s">
        <v>197</v>
      </c>
    </row>
    <row r="198">
      <c r="A198">
        <v>2165</v>
      </c>
      <c r="B198" t="s">
        <v>194</v>
      </c>
      <c r="C198" t="s">
        <v>113</v>
      </c>
      <c r="D198" t="s">
        <v>421</v>
      </c>
      <c r="E198" t="s">
        <v>119</v>
      </c>
      <c r="F198" t="s">
        <v>93</v>
      </c>
      <c r="G198" t="s">
        <v>195</v>
      </c>
      <c r="H198" t="s">
        <v>195</v>
      </c>
      <c r="I198" t="s">
        <v>197</v>
      </c>
      <c r="K198" t="s">
        <v>197</v>
      </c>
      <c r="L198" t="s">
        <v>197</v>
      </c>
      <c r="M198" t="s">
        <v>121</v>
      </c>
      <c r="N198" t="s">
        <v>13</v>
      </c>
      <c r="O198">
        <v>4.3</v>
      </c>
      <c r="P198" t="s">
        <v>197</v>
      </c>
      <c r="Q198" t="s">
        <v>197</v>
      </c>
      <c r="R198" t="s">
        <v>197</v>
      </c>
      <c r="S198" t="s">
        <v>197</v>
      </c>
      <c r="T198" t="s">
        <v>93</v>
      </c>
      <c r="U198" t="s">
        <v>197</v>
      </c>
      <c r="V198" t="s">
        <v>197</v>
      </c>
    </row>
    <row r="199">
      <c r="A199">
        <v>2159</v>
      </c>
      <c r="B199" t="s">
        <v>20</v>
      </c>
      <c r="C199" t="s">
        <v>113</v>
      </c>
      <c r="D199" t="s">
        <v>422</v>
      </c>
      <c r="E199" t="s">
        <v>119</v>
      </c>
      <c r="F199" t="s">
        <v>94</v>
      </c>
      <c r="G199" t="s">
        <v>195</v>
      </c>
      <c r="H199" t="s">
        <v>195</v>
      </c>
      <c r="I199" t="s">
        <v>195</v>
      </c>
      <c r="J199">
        <v>14.8</v>
      </c>
      <c r="K199" t="s">
        <v>195</v>
      </c>
      <c r="L199" t="s">
        <v>197</v>
      </c>
      <c r="M199" t="s">
        <v>121</v>
      </c>
      <c r="N199" t="s">
        <v>13</v>
      </c>
      <c r="O199">
        <v>4.3</v>
      </c>
      <c r="P199" t="s">
        <v>197</v>
      </c>
      <c r="Q199" t="s">
        <v>197</v>
      </c>
      <c r="R199" t="s">
        <v>197</v>
      </c>
      <c r="S199" t="s">
        <v>195</v>
      </c>
      <c r="T199" t="s">
        <v>94</v>
      </c>
      <c r="U199" t="s">
        <v>195</v>
      </c>
      <c r="V199" t="s">
        <v>195</v>
      </c>
    </row>
    <row r="200">
      <c r="A200">
        <v>2091</v>
      </c>
      <c r="B200" t="s">
        <v>199</v>
      </c>
      <c r="C200" t="s">
        <v>113</v>
      </c>
      <c r="D200" t="s">
        <v>423</v>
      </c>
      <c r="E200" t="s">
        <v>121</v>
      </c>
      <c r="F200" t="s">
        <v>93</v>
      </c>
      <c r="G200" t="s">
        <v>195</v>
      </c>
      <c r="H200" t="s">
        <v>195</v>
      </c>
      <c r="I200" t="s">
        <v>195</v>
      </c>
      <c r="J200">
        <v>11.3</v>
      </c>
      <c r="K200" t="s">
        <v>195</v>
      </c>
      <c r="L200" t="s">
        <v>197</v>
      </c>
      <c r="M200" t="s">
        <v>121</v>
      </c>
      <c r="N200" t="s">
        <v>13</v>
      </c>
      <c r="O200">
        <v>4.3</v>
      </c>
      <c r="P200" t="s">
        <v>197</v>
      </c>
      <c r="Q200" t="s">
        <v>197</v>
      </c>
      <c r="R200" t="s">
        <v>197</v>
      </c>
      <c r="S200" t="s">
        <v>195</v>
      </c>
      <c r="T200" t="s">
        <v>93</v>
      </c>
      <c r="U200" t="s">
        <v>195</v>
      </c>
      <c r="V200" t="s">
        <v>195</v>
      </c>
    </row>
    <row r="201">
      <c r="A201">
        <v>2181</v>
      </c>
      <c r="B201" t="s">
        <v>20</v>
      </c>
      <c r="C201" t="s">
        <v>113</v>
      </c>
      <c r="D201" t="s">
        <v>424</v>
      </c>
      <c r="E201" t="s">
        <v>119</v>
      </c>
      <c r="F201" t="s">
        <v>95</v>
      </c>
      <c r="G201" t="s">
        <v>195</v>
      </c>
      <c r="H201" t="s">
        <v>195</v>
      </c>
      <c r="I201" t="s">
        <v>197</v>
      </c>
      <c r="K201" t="s">
        <v>197</v>
      </c>
      <c r="L201" t="s">
        <v>197</v>
      </c>
      <c r="M201" t="s">
        <v>121</v>
      </c>
      <c r="N201" t="s">
        <v>13</v>
      </c>
      <c r="O201">
        <v>4.3</v>
      </c>
      <c r="P201" t="s">
        <v>197</v>
      </c>
      <c r="Q201" t="s">
        <v>197</v>
      </c>
      <c r="R201" t="s">
        <v>197</v>
      </c>
      <c r="S201" t="s">
        <v>197</v>
      </c>
      <c r="T201" t="s">
        <v>95</v>
      </c>
      <c r="U201" t="s">
        <v>197</v>
      </c>
      <c r="V201" t="s">
        <v>197</v>
      </c>
    </row>
    <row r="202">
      <c r="A202">
        <v>2190</v>
      </c>
      <c r="B202" t="s">
        <v>20</v>
      </c>
      <c r="C202" t="s">
        <v>113</v>
      </c>
      <c r="D202" t="s">
        <v>425</v>
      </c>
      <c r="E202" t="s">
        <v>119</v>
      </c>
      <c r="F202" t="s">
        <v>93</v>
      </c>
      <c r="G202" t="s">
        <v>195</v>
      </c>
      <c r="H202" t="s">
        <v>195</v>
      </c>
      <c r="I202" t="s">
        <v>197</v>
      </c>
      <c r="K202" t="s">
        <v>195</v>
      </c>
      <c r="L202" t="s">
        <v>197</v>
      </c>
      <c r="M202" t="s">
        <v>121</v>
      </c>
      <c r="N202" t="s">
        <v>13</v>
      </c>
      <c r="O202">
        <v>4.3</v>
      </c>
      <c r="P202" t="s">
        <v>195</v>
      </c>
      <c r="Q202" t="s">
        <v>195</v>
      </c>
      <c r="R202" t="s">
        <v>197</v>
      </c>
      <c r="S202" t="s">
        <v>197</v>
      </c>
      <c r="T202" t="s">
        <v>93</v>
      </c>
      <c r="U202" t="s">
        <v>197</v>
      </c>
      <c r="V202" t="s">
        <v>197</v>
      </c>
    </row>
    <row r="203">
      <c r="A203">
        <v>2179</v>
      </c>
      <c r="B203" t="s">
        <v>199</v>
      </c>
      <c r="C203" t="s">
        <v>113</v>
      </c>
      <c r="D203" t="s">
        <v>426</v>
      </c>
      <c r="E203" t="s">
        <v>119</v>
      </c>
      <c r="F203" t="s">
        <v>95</v>
      </c>
      <c r="G203" t="s">
        <v>195</v>
      </c>
      <c r="H203" t="s">
        <v>195</v>
      </c>
      <c r="I203" t="s">
        <v>195</v>
      </c>
      <c r="J203">
        <v>29.5</v>
      </c>
      <c r="K203" t="s">
        <v>195</v>
      </c>
      <c r="L203" t="s">
        <v>197</v>
      </c>
      <c r="M203" t="s">
        <v>121</v>
      </c>
      <c r="N203" t="s">
        <v>13</v>
      </c>
      <c r="O203">
        <v>4.3</v>
      </c>
      <c r="P203" t="s">
        <v>195</v>
      </c>
      <c r="Q203" t="s">
        <v>195</v>
      </c>
      <c r="R203" t="s">
        <v>195</v>
      </c>
      <c r="S203" t="s">
        <v>195</v>
      </c>
      <c r="T203" t="s">
        <v>95</v>
      </c>
      <c r="U203" t="s">
        <v>195</v>
      </c>
      <c r="V203" t="s">
        <v>195</v>
      </c>
    </row>
    <row r="204">
      <c r="A204">
        <v>2197</v>
      </c>
      <c r="B204" t="s">
        <v>199</v>
      </c>
      <c r="C204" t="s">
        <v>113</v>
      </c>
      <c r="D204" t="s">
        <v>427</v>
      </c>
      <c r="E204" t="s">
        <v>119</v>
      </c>
      <c r="F204" t="s">
        <v>94</v>
      </c>
      <c r="G204" t="s">
        <v>195</v>
      </c>
      <c r="H204" t="s">
        <v>195</v>
      </c>
      <c r="I204" t="s">
        <v>195</v>
      </c>
      <c r="J204">
        <v>17</v>
      </c>
      <c r="K204" t="s">
        <v>195</v>
      </c>
      <c r="L204" t="s">
        <v>197</v>
      </c>
      <c r="M204" t="s">
        <v>121</v>
      </c>
      <c r="N204" t="s">
        <v>13</v>
      </c>
      <c r="O204">
        <v>4.3</v>
      </c>
      <c r="P204" t="s">
        <v>197</v>
      </c>
      <c r="Q204" t="s">
        <v>197</v>
      </c>
      <c r="R204" t="s">
        <v>197</v>
      </c>
      <c r="S204" t="s">
        <v>195</v>
      </c>
      <c r="T204" t="s">
        <v>94</v>
      </c>
      <c r="U204" t="s">
        <v>195</v>
      </c>
      <c r="V204" t="s">
        <v>195</v>
      </c>
    </row>
    <row r="205">
      <c r="A205">
        <v>2210</v>
      </c>
      <c r="B205" t="s">
        <v>20</v>
      </c>
      <c r="C205" t="s">
        <v>113</v>
      </c>
      <c r="D205" t="s">
        <v>428</v>
      </c>
      <c r="E205" t="s">
        <v>119</v>
      </c>
      <c r="F205" t="s">
        <v>94</v>
      </c>
      <c r="G205" t="s">
        <v>195</v>
      </c>
      <c r="H205" t="s">
        <v>197</v>
      </c>
      <c r="I205" t="s">
        <v>195</v>
      </c>
      <c r="J205">
        <v>5.8</v>
      </c>
      <c r="K205" t="s">
        <v>195</v>
      </c>
      <c r="L205" t="s">
        <v>197</v>
      </c>
      <c r="M205" t="s">
        <v>198</v>
      </c>
      <c r="N205" t="s">
        <v>94</v>
      </c>
      <c r="O205">
        <v>91.7</v>
      </c>
      <c r="P205" t="s">
        <v>197</v>
      </c>
      <c r="Q205" t="s">
        <v>197</v>
      </c>
      <c r="R205" t="s">
        <v>197</v>
      </c>
      <c r="S205" t="s">
        <v>197</v>
      </c>
      <c r="T205" t="s">
        <v>94</v>
      </c>
      <c r="U205" t="s">
        <v>195</v>
      </c>
    </row>
    <row r="206">
      <c r="A206">
        <v>2212</v>
      </c>
      <c r="B206" t="s">
        <v>199</v>
      </c>
      <c r="C206" t="s">
        <v>113</v>
      </c>
      <c r="D206" t="s">
        <v>429</v>
      </c>
      <c r="E206" t="s">
        <v>119</v>
      </c>
      <c r="F206" t="s">
        <v>94</v>
      </c>
      <c r="G206" t="s">
        <v>195</v>
      </c>
      <c r="H206" t="s">
        <v>195</v>
      </c>
      <c r="I206" t="s">
        <v>195</v>
      </c>
      <c r="J206">
        <v>3</v>
      </c>
      <c r="K206" t="s">
        <v>195</v>
      </c>
      <c r="L206" t="s">
        <v>197</v>
      </c>
      <c r="M206" t="s">
        <v>121</v>
      </c>
      <c r="N206" t="s">
        <v>13</v>
      </c>
      <c r="O206">
        <v>4.3</v>
      </c>
      <c r="P206" t="s">
        <v>197</v>
      </c>
      <c r="Q206" t="s">
        <v>197</v>
      </c>
      <c r="R206" t="s">
        <v>197</v>
      </c>
      <c r="S206" t="s">
        <v>195</v>
      </c>
      <c r="T206" t="s">
        <v>94</v>
      </c>
      <c r="U206" t="s">
        <v>197</v>
      </c>
      <c r="V206" t="s">
        <v>197</v>
      </c>
    </row>
    <row r="207">
      <c r="A207">
        <v>2231</v>
      </c>
      <c r="B207" t="s">
        <v>20</v>
      </c>
      <c r="C207" t="s">
        <v>113</v>
      </c>
      <c r="D207" t="s">
        <v>430</v>
      </c>
      <c r="E207" t="s">
        <v>119</v>
      </c>
      <c r="F207" t="s">
        <v>95</v>
      </c>
      <c r="G207" t="s">
        <v>195</v>
      </c>
      <c r="H207" t="s">
        <v>195</v>
      </c>
      <c r="I207" t="s">
        <v>197</v>
      </c>
      <c r="K207" t="s">
        <v>197</v>
      </c>
      <c r="L207" t="s">
        <v>197</v>
      </c>
      <c r="M207" t="s">
        <v>121</v>
      </c>
      <c r="N207" t="s">
        <v>13</v>
      </c>
      <c r="O207">
        <v>4.3</v>
      </c>
      <c r="P207" t="s">
        <v>197</v>
      </c>
      <c r="Q207" t="s">
        <v>197</v>
      </c>
      <c r="R207" t="s">
        <v>197</v>
      </c>
      <c r="S207" t="s">
        <v>197</v>
      </c>
      <c r="T207" t="s">
        <v>95</v>
      </c>
      <c r="U207" t="s">
        <v>197</v>
      </c>
      <c r="V207" t="s">
        <v>197</v>
      </c>
    </row>
    <row r="208">
      <c r="A208">
        <v>2240</v>
      </c>
      <c r="B208" t="s">
        <v>194</v>
      </c>
      <c r="C208" t="s">
        <v>113</v>
      </c>
      <c r="D208" t="s">
        <v>431</v>
      </c>
      <c r="E208" t="s">
        <v>121</v>
      </c>
      <c r="F208" t="s">
        <v>93</v>
      </c>
      <c r="G208" t="s">
        <v>195</v>
      </c>
      <c r="H208" t="s">
        <v>195</v>
      </c>
      <c r="I208" t="s">
        <v>197</v>
      </c>
      <c r="K208" t="s">
        <v>197</v>
      </c>
      <c r="L208" t="s">
        <v>197</v>
      </c>
      <c r="M208" t="s">
        <v>121</v>
      </c>
      <c r="N208" t="s">
        <v>13</v>
      </c>
      <c r="O208">
        <v>4.3</v>
      </c>
      <c r="P208" t="s">
        <v>197</v>
      </c>
      <c r="Q208" t="s">
        <v>197</v>
      </c>
      <c r="R208" t="s">
        <v>197</v>
      </c>
      <c r="S208" t="s">
        <v>197</v>
      </c>
      <c r="T208" t="s">
        <v>93</v>
      </c>
      <c r="U208" t="s">
        <v>197</v>
      </c>
      <c r="V208" t="s">
        <v>197</v>
      </c>
    </row>
    <row r="209">
      <c r="A209">
        <v>2267</v>
      </c>
      <c r="B209" t="s">
        <v>20</v>
      </c>
      <c r="C209" t="s">
        <v>113</v>
      </c>
      <c r="D209" t="s">
        <v>432</v>
      </c>
      <c r="E209" t="s">
        <v>119</v>
      </c>
      <c r="F209" t="s">
        <v>93</v>
      </c>
      <c r="G209" t="s">
        <v>195</v>
      </c>
      <c r="H209" t="s">
        <v>195</v>
      </c>
      <c r="I209" t="s">
        <v>195</v>
      </c>
      <c r="J209">
        <v>692.5</v>
      </c>
      <c r="K209" t="s">
        <v>195</v>
      </c>
      <c r="L209" t="s">
        <v>197</v>
      </c>
      <c r="M209" t="s">
        <v>268</v>
      </c>
      <c r="N209" t="s">
        <v>94</v>
      </c>
      <c r="O209">
        <v>11.6</v>
      </c>
      <c r="P209" t="s">
        <v>195</v>
      </c>
      <c r="Q209" t="s">
        <v>195</v>
      </c>
      <c r="R209" t="s">
        <v>195</v>
      </c>
      <c r="S209" t="s">
        <v>197</v>
      </c>
      <c r="T209" t="s">
        <v>93</v>
      </c>
      <c r="U209" t="s">
        <v>197</v>
      </c>
      <c r="V209" t="s">
        <v>197</v>
      </c>
    </row>
    <row r="210">
      <c r="A210">
        <v>2262</v>
      </c>
      <c r="B210" t="s">
        <v>20</v>
      </c>
      <c r="C210" t="s">
        <v>113</v>
      </c>
      <c r="D210" t="s">
        <v>433</v>
      </c>
      <c r="E210" t="s">
        <v>119</v>
      </c>
      <c r="F210" t="s">
        <v>93</v>
      </c>
      <c r="G210" t="s">
        <v>195</v>
      </c>
      <c r="H210" t="s">
        <v>195</v>
      </c>
      <c r="I210" t="s">
        <v>197</v>
      </c>
      <c r="K210" t="s">
        <v>195</v>
      </c>
      <c r="L210" t="s">
        <v>197</v>
      </c>
      <c r="M210" t="s">
        <v>121</v>
      </c>
      <c r="N210" t="s">
        <v>13</v>
      </c>
      <c r="O210">
        <v>4.3</v>
      </c>
      <c r="P210" t="s">
        <v>197</v>
      </c>
      <c r="Q210" t="s">
        <v>197</v>
      </c>
      <c r="R210" t="s">
        <v>197</v>
      </c>
      <c r="S210" t="s">
        <v>197</v>
      </c>
      <c r="T210" t="s">
        <v>93</v>
      </c>
      <c r="U210" t="s">
        <v>197</v>
      </c>
      <c r="V210" t="s">
        <v>197</v>
      </c>
    </row>
    <row r="211">
      <c r="A211">
        <v>2319</v>
      </c>
      <c r="B211" t="s">
        <v>20</v>
      </c>
      <c r="C211" t="s">
        <v>113</v>
      </c>
      <c r="D211" t="s">
        <v>434</v>
      </c>
      <c r="E211" t="s">
        <v>119</v>
      </c>
      <c r="F211" t="s">
        <v>95</v>
      </c>
      <c r="G211" t="s">
        <v>195</v>
      </c>
      <c r="H211" t="s">
        <v>195</v>
      </c>
      <c r="I211" t="s">
        <v>197</v>
      </c>
      <c r="K211" t="s">
        <v>195</v>
      </c>
      <c r="L211" t="s">
        <v>197</v>
      </c>
      <c r="M211" t="s">
        <v>121</v>
      </c>
      <c r="N211" t="s">
        <v>13</v>
      </c>
      <c r="O211">
        <v>4.3</v>
      </c>
      <c r="P211" t="s">
        <v>197</v>
      </c>
      <c r="Q211" t="s">
        <v>197</v>
      </c>
      <c r="R211" t="s">
        <v>197</v>
      </c>
      <c r="S211" t="s">
        <v>197</v>
      </c>
      <c r="T211" t="s">
        <v>95</v>
      </c>
      <c r="U211" t="s">
        <v>197</v>
      </c>
      <c r="V211" t="s">
        <v>197</v>
      </c>
    </row>
    <row r="212">
      <c r="A212">
        <v>2321</v>
      </c>
      <c r="B212" t="s">
        <v>20</v>
      </c>
      <c r="C212" t="s">
        <v>113</v>
      </c>
      <c r="D212" t="s">
        <v>435</v>
      </c>
      <c r="E212" t="s">
        <v>119</v>
      </c>
      <c r="F212" t="s">
        <v>94</v>
      </c>
      <c r="G212" t="s">
        <v>195</v>
      </c>
      <c r="H212" t="s">
        <v>195</v>
      </c>
      <c r="I212" t="s">
        <v>197</v>
      </c>
      <c r="K212" t="s">
        <v>195</v>
      </c>
      <c r="L212" t="s">
        <v>197</v>
      </c>
      <c r="M212" t="s">
        <v>121</v>
      </c>
      <c r="N212" t="s">
        <v>13</v>
      </c>
      <c r="O212">
        <v>4.3</v>
      </c>
      <c r="P212" t="s">
        <v>197</v>
      </c>
      <c r="Q212" t="s">
        <v>197</v>
      </c>
      <c r="R212" t="s">
        <v>197</v>
      </c>
      <c r="S212" t="s">
        <v>197</v>
      </c>
      <c r="T212" t="s">
        <v>94</v>
      </c>
      <c r="U212" t="s">
        <v>197</v>
      </c>
      <c r="V212" t="s">
        <v>197</v>
      </c>
    </row>
    <row r="213">
      <c r="A213">
        <v>2314</v>
      </c>
      <c r="B213" t="s">
        <v>20</v>
      </c>
      <c r="C213" t="s">
        <v>113</v>
      </c>
      <c r="D213" t="s">
        <v>436</v>
      </c>
      <c r="E213" t="s">
        <v>119</v>
      </c>
      <c r="F213" t="s">
        <v>94</v>
      </c>
      <c r="G213" t="s">
        <v>195</v>
      </c>
      <c r="H213" t="s">
        <v>195</v>
      </c>
      <c r="I213" t="s">
        <v>197</v>
      </c>
      <c r="K213" t="s">
        <v>197</v>
      </c>
      <c r="L213" t="s">
        <v>197</v>
      </c>
      <c r="M213" t="s">
        <v>121</v>
      </c>
      <c r="N213" t="s">
        <v>13</v>
      </c>
      <c r="O213">
        <v>4.3</v>
      </c>
      <c r="P213" t="s">
        <v>197</v>
      </c>
      <c r="Q213" t="s">
        <v>197</v>
      </c>
      <c r="R213" t="s">
        <v>197</v>
      </c>
      <c r="S213" t="s">
        <v>197</v>
      </c>
      <c r="T213" t="s">
        <v>94</v>
      </c>
      <c r="U213" t="s">
        <v>197</v>
      </c>
      <c r="V213" t="s">
        <v>197</v>
      </c>
    </row>
    <row r="214">
      <c r="A214">
        <v>2326</v>
      </c>
      <c r="B214" t="s">
        <v>199</v>
      </c>
      <c r="C214" t="s">
        <v>113</v>
      </c>
      <c r="D214" t="s">
        <v>437</v>
      </c>
      <c r="E214" t="s">
        <v>119</v>
      </c>
      <c r="F214" t="s">
        <v>95</v>
      </c>
      <c r="G214" t="s">
        <v>195</v>
      </c>
      <c r="H214" t="s">
        <v>195</v>
      </c>
      <c r="I214" t="s">
        <v>197</v>
      </c>
      <c r="K214" t="s">
        <v>197</v>
      </c>
      <c r="L214" t="s">
        <v>197</v>
      </c>
      <c r="M214" t="s">
        <v>121</v>
      </c>
      <c r="N214" t="s">
        <v>13</v>
      </c>
      <c r="O214">
        <v>4.3</v>
      </c>
      <c r="P214" t="s">
        <v>197</v>
      </c>
      <c r="Q214" t="s">
        <v>197</v>
      </c>
      <c r="R214" t="s">
        <v>197</v>
      </c>
      <c r="S214" t="s">
        <v>197</v>
      </c>
      <c r="T214" t="s">
        <v>95</v>
      </c>
      <c r="U214" t="s">
        <v>197</v>
      </c>
      <c r="V214" t="s">
        <v>197</v>
      </c>
    </row>
    <row r="215">
      <c r="A215">
        <v>2337</v>
      </c>
      <c r="B215" t="s">
        <v>199</v>
      </c>
      <c r="C215" t="s">
        <v>113</v>
      </c>
      <c r="D215" t="s">
        <v>438</v>
      </c>
      <c r="E215" t="s">
        <v>119</v>
      </c>
      <c r="F215" t="s">
        <v>93</v>
      </c>
      <c r="G215" t="s">
        <v>195</v>
      </c>
      <c r="H215" t="s">
        <v>195</v>
      </c>
      <c r="I215" t="s">
        <v>197</v>
      </c>
      <c r="K215" t="s">
        <v>197</v>
      </c>
      <c r="L215" t="s">
        <v>197</v>
      </c>
      <c r="M215" t="s">
        <v>121</v>
      </c>
      <c r="N215" t="s">
        <v>13</v>
      </c>
      <c r="O215">
        <v>4.3</v>
      </c>
      <c r="P215" t="s">
        <v>197</v>
      </c>
      <c r="Q215" t="s">
        <v>197</v>
      </c>
      <c r="R215" t="s">
        <v>197</v>
      </c>
      <c r="S215" t="s">
        <v>197</v>
      </c>
      <c r="T215" t="s">
        <v>93</v>
      </c>
      <c r="U215" t="s">
        <v>197</v>
      </c>
      <c r="V215" t="s">
        <v>197</v>
      </c>
    </row>
    <row r="216">
      <c r="A216">
        <v>2347</v>
      </c>
      <c r="B216" t="s">
        <v>20</v>
      </c>
      <c r="C216" t="s">
        <v>113</v>
      </c>
      <c r="D216" t="s">
        <v>439</v>
      </c>
      <c r="E216" t="s">
        <v>119</v>
      </c>
      <c r="F216" t="s">
        <v>94</v>
      </c>
      <c r="G216" t="s">
        <v>195</v>
      </c>
      <c r="H216" t="s">
        <v>195</v>
      </c>
      <c r="I216" t="s">
        <v>197</v>
      </c>
      <c r="K216" t="s">
        <v>197</v>
      </c>
      <c r="L216" t="s">
        <v>197</v>
      </c>
      <c r="M216" t="s">
        <v>121</v>
      </c>
      <c r="N216" t="s">
        <v>13</v>
      </c>
      <c r="O216">
        <v>4.3</v>
      </c>
      <c r="P216" t="s">
        <v>197</v>
      </c>
      <c r="Q216" t="s">
        <v>197</v>
      </c>
      <c r="R216" t="s">
        <v>197</v>
      </c>
      <c r="S216" t="s">
        <v>197</v>
      </c>
      <c r="T216" t="s">
        <v>94</v>
      </c>
      <c r="U216" t="s">
        <v>197</v>
      </c>
      <c r="V216" t="s">
        <v>197</v>
      </c>
    </row>
    <row r="217">
      <c r="A217">
        <v>2331</v>
      </c>
      <c r="B217" t="s">
        <v>20</v>
      </c>
      <c r="C217" t="s">
        <v>113</v>
      </c>
      <c r="D217" t="s">
        <v>440</v>
      </c>
      <c r="E217" t="s">
        <v>119</v>
      </c>
      <c r="F217" t="s">
        <v>95</v>
      </c>
      <c r="G217" t="s">
        <v>195</v>
      </c>
      <c r="H217" t="s">
        <v>195</v>
      </c>
      <c r="I217" t="s">
        <v>197</v>
      </c>
      <c r="K217" t="s">
        <v>197</v>
      </c>
      <c r="L217" t="s">
        <v>197</v>
      </c>
      <c r="M217" t="s">
        <v>121</v>
      </c>
      <c r="N217" t="s">
        <v>13</v>
      </c>
      <c r="O217">
        <v>4.3</v>
      </c>
      <c r="P217" t="s">
        <v>197</v>
      </c>
      <c r="Q217" t="s">
        <v>197</v>
      </c>
      <c r="R217" t="s">
        <v>197</v>
      </c>
      <c r="S217" t="s">
        <v>197</v>
      </c>
      <c r="T217" t="s">
        <v>95</v>
      </c>
      <c r="U217" t="s">
        <v>197</v>
      </c>
      <c r="V217" t="s">
        <v>197</v>
      </c>
    </row>
    <row r="218">
      <c r="A218">
        <v>2374</v>
      </c>
      <c r="B218" t="s">
        <v>194</v>
      </c>
      <c r="C218" t="s">
        <v>113</v>
      </c>
      <c r="D218" t="s">
        <v>441</v>
      </c>
      <c r="E218" t="s">
        <v>119</v>
      </c>
      <c r="F218" t="s">
        <v>94</v>
      </c>
      <c r="G218" t="s">
        <v>195</v>
      </c>
      <c r="H218" t="s">
        <v>195</v>
      </c>
      <c r="I218" t="s">
        <v>197</v>
      </c>
      <c r="K218" t="s">
        <v>195</v>
      </c>
      <c r="L218" t="s">
        <v>197</v>
      </c>
      <c r="M218" t="s">
        <v>121</v>
      </c>
      <c r="N218" t="s">
        <v>13</v>
      </c>
      <c r="O218">
        <v>4.3</v>
      </c>
      <c r="P218" t="s">
        <v>197</v>
      </c>
      <c r="Q218" t="s">
        <v>197</v>
      </c>
      <c r="R218" t="s">
        <v>197</v>
      </c>
      <c r="S218" t="s">
        <v>197</v>
      </c>
      <c r="T218" t="s">
        <v>94</v>
      </c>
      <c r="U218" t="s">
        <v>197</v>
      </c>
      <c r="V218" t="s">
        <v>197</v>
      </c>
    </row>
    <row r="219">
      <c r="A219">
        <v>2371</v>
      </c>
      <c r="B219" t="s">
        <v>20</v>
      </c>
      <c r="C219" t="s">
        <v>113</v>
      </c>
      <c r="D219" t="s">
        <v>442</v>
      </c>
      <c r="E219" t="s">
        <v>119</v>
      </c>
      <c r="F219" t="s">
        <v>94</v>
      </c>
      <c r="G219" t="s">
        <v>195</v>
      </c>
      <c r="H219" t="s">
        <v>195</v>
      </c>
      <c r="I219" t="s">
        <v>197</v>
      </c>
      <c r="K219" t="s">
        <v>195</v>
      </c>
      <c r="L219" t="s">
        <v>197</v>
      </c>
      <c r="M219" t="s">
        <v>121</v>
      </c>
      <c r="N219" t="s">
        <v>13</v>
      </c>
      <c r="O219">
        <v>4.3</v>
      </c>
      <c r="P219" t="s">
        <v>197</v>
      </c>
      <c r="Q219" t="s">
        <v>197</v>
      </c>
      <c r="R219" t="s">
        <v>197</v>
      </c>
      <c r="S219" t="s">
        <v>197</v>
      </c>
      <c r="T219" t="s">
        <v>94</v>
      </c>
      <c r="U219" t="s">
        <v>197</v>
      </c>
      <c r="V219" t="s">
        <v>197</v>
      </c>
    </row>
    <row r="220">
      <c r="A220">
        <v>2373</v>
      </c>
      <c r="B220" t="s">
        <v>20</v>
      </c>
      <c r="C220" t="s">
        <v>113</v>
      </c>
      <c r="D220" t="s">
        <v>443</v>
      </c>
      <c r="E220" t="s">
        <v>119</v>
      </c>
      <c r="F220" t="s">
        <v>94</v>
      </c>
      <c r="G220" t="s">
        <v>195</v>
      </c>
      <c r="H220" t="s">
        <v>195</v>
      </c>
      <c r="I220" t="s">
        <v>197</v>
      </c>
      <c r="K220" t="s">
        <v>195</v>
      </c>
      <c r="L220" t="s">
        <v>197</v>
      </c>
      <c r="M220" t="s">
        <v>121</v>
      </c>
      <c r="N220" t="s">
        <v>13</v>
      </c>
      <c r="O220">
        <v>4.3</v>
      </c>
      <c r="P220" t="s">
        <v>197</v>
      </c>
      <c r="Q220" t="s">
        <v>197</v>
      </c>
      <c r="R220" t="s">
        <v>197</v>
      </c>
      <c r="S220" t="s">
        <v>197</v>
      </c>
      <c r="T220" t="s">
        <v>94</v>
      </c>
      <c r="U220" t="s">
        <v>197</v>
      </c>
      <c r="V220" t="s">
        <v>197</v>
      </c>
    </row>
    <row r="221">
      <c r="A221">
        <v>2383</v>
      </c>
      <c r="B221" t="s">
        <v>20</v>
      </c>
      <c r="C221" t="s">
        <v>113</v>
      </c>
      <c r="D221" t="s">
        <v>444</v>
      </c>
      <c r="E221" t="s">
        <v>119</v>
      </c>
      <c r="F221" t="s">
        <v>94</v>
      </c>
      <c r="G221" t="s">
        <v>195</v>
      </c>
      <c r="H221" t="s">
        <v>195</v>
      </c>
      <c r="I221" t="s">
        <v>195</v>
      </c>
      <c r="J221">
        <v>104.9</v>
      </c>
      <c r="K221" t="s">
        <v>195</v>
      </c>
      <c r="L221" t="s">
        <v>197</v>
      </c>
      <c r="M221" t="s">
        <v>135</v>
      </c>
      <c r="P221" t="s">
        <v>197</v>
      </c>
      <c r="Q221" t="s">
        <v>197</v>
      </c>
      <c r="R221" t="s">
        <v>197</v>
      </c>
      <c r="S221" t="s">
        <v>197</v>
      </c>
      <c r="T221" t="s">
        <v>94</v>
      </c>
      <c r="U221" t="s">
        <v>197</v>
      </c>
      <c r="V221" t="s">
        <v>197</v>
      </c>
    </row>
    <row r="222">
      <c r="A222">
        <v>2394</v>
      </c>
      <c r="B222" t="s">
        <v>20</v>
      </c>
      <c r="C222" t="s">
        <v>113</v>
      </c>
      <c r="D222" t="s">
        <v>445</v>
      </c>
      <c r="E222" t="s">
        <v>119</v>
      </c>
      <c r="F222" t="s">
        <v>95</v>
      </c>
      <c r="G222" t="s">
        <v>195</v>
      </c>
      <c r="H222" t="s">
        <v>195</v>
      </c>
      <c r="I222" t="s">
        <v>197</v>
      </c>
      <c r="K222" t="s">
        <v>197</v>
      </c>
      <c r="L222" t="s">
        <v>197</v>
      </c>
      <c r="M222" t="s">
        <v>121</v>
      </c>
      <c r="N222" t="s">
        <v>13</v>
      </c>
      <c r="O222">
        <v>4.3</v>
      </c>
      <c r="P222" t="s">
        <v>197</v>
      </c>
      <c r="Q222" t="s">
        <v>197</v>
      </c>
      <c r="R222" t="s">
        <v>197</v>
      </c>
      <c r="S222" t="s">
        <v>197</v>
      </c>
      <c r="T222" t="s">
        <v>95</v>
      </c>
      <c r="U222" t="s">
        <v>197</v>
      </c>
      <c r="V222" t="s">
        <v>197</v>
      </c>
    </row>
    <row r="223">
      <c r="A223">
        <v>2421</v>
      </c>
      <c r="B223" t="s">
        <v>20</v>
      </c>
      <c r="C223" t="s">
        <v>113</v>
      </c>
      <c r="D223" t="s">
        <v>446</v>
      </c>
      <c r="E223" t="s">
        <v>119</v>
      </c>
      <c r="F223" t="s">
        <v>93</v>
      </c>
      <c r="G223" t="s">
        <v>195</v>
      </c>
      <c r="H223" t="s">
        <v>197</v>
      </c>
      <c r="I223" t="s">
        <v>195</v>
      </c>
      <c r="J223">
        <v>2.4</v>
      </c>
      <c r="K223" t="s">
        <v>195</v>
      </c>
      <c r="L223" t="s">
        <v>197</v>
      </c>
      <c r="M223" t="s">
        <v>198</v>
      </c>
      <c r="N223" t="s">
        <v>93</v>
      </c>
      <c r="O223">
        <v>168.2</v>
      </c>
      <c r="P223" t="s">
        <v>197</v>
      </c>
      <c r="Q223" t="s">
        <v>197</v>
      </c>
      <c r="R223" t="s">
        <v>197</v>
      </c>
      <c r="S223" t="s">
        <v>197</v>
      </c>
      <c r="T223" t="s">
        <v>93</v>
      </c>
      <c r="U223" t="s">
        <v>195</v>
      </c>
    </row>
    <row r="224">
      <c r="A224">
        <v>2399</v>
      </c>
      <c r="B224" t="s">
        <v>20</v>
      </c>
      <c r="C224" t="s">
        <v>113</v>
      </c>
      <c r="D224" t="s">
        <v>447</v>
      </c>
      <c r="E224" t="s">
        <v>119</v>
      </c>
      <c r="F224" t="s">
        <v>93</v>
      </c>
      <c r="G224" t="s">
        <v>195</v>
      </c>
      <c r="H224" t="s">
        <v>195</v>
      </c>
      <c r="I224" t="s">
        <v>195</v>
      </c>
      <c r="J224">
        <v>158.1</v>
      </c>
      <c r="K224" t="s">
        <v>195</v>
      </c>
      <c r="L224" t="s">
        <v>197</v>
      </c>
      <c r="M224" t="s">
        <v>121</v>
      </c>
      <c r="N224" t="s">
        <v>13</v>
      </c>
      <c r="O224">
        <v>4.3</v>
      </c>
      <c r="P224" t="s">
        <v>197</v>
      </c>
      <c r="Q224" t="s">
        <v>197</v>
      </c>
      <c r="R224" t="s">
        <v>197</v>
      </c>
      <c r="S224" t="s">
        <v>195</v>
      </c>
      <c r="T224" t="s">
        <v>93</v>
      </c>
      <c r="U224" t="s">
        <v>197</v>
      </c>
      <c r="V224" t="s">
        <v>197</v>
      </c>
    </row>
    <row r="225">
      <c r="A225">
        <v>2365</v>
      </c>
      <c r="B225" t="s">
        <v>20</v>
      </c>
      <c r="C225" t="s">
        <v>113</v>
      </c>
      <c r="D225" t="s">
        <v>448</v>
      </c>
      <c r="E225" t="s">
        <v>121</v>
      </c>
      <c r="F225" t="s">
        <v>93</v>
      </c>
      <c r="G225" t="s">
        <v>195</v>
      </c>
      <c r="H225" t="s">
        <v>195</v>
      </c>
      <c r="I225" t="s">
        <v>197</v>
      </c>
      <c r="K225" t="s">
        <v>197</v>
      </c>
      <c r="L225" t="s">
        <v>197</v>
      </c>
      <c r="M225" t="s">
        <v>121</v>
      </c>
      <c r="N225" t="s">
        <v>13</v>
      </c>
      <c r="O225">
        <v>4.3</v>
      </c>
      <c r="P225" t="s">
        <v>197</v>
      </c>
      <c r="Q225" t="s">
        <v>197</v>
      </c>
      <c r="R225" t="s">
        <v>197</v>
      </c>
      <c r="S225" t="s">
        <v>197</v>
      </c>
      <c r="T225" t="s">
        <v>93</v>
      </c>
      <c r="U225" t="s">
        <v>197</v>
      </c>
      <c r="V225" t="s">
        <v>197</v>
      </c>
    </row>
    <row r="226">
      <c r="A226">
        <v>2435</v>
      </c>
      <c r="B226" t="s">
        <v>20</v>
      </c>
      <c r="C226" t="s">
        <v>113</v>
      </c>
      <c r="D226" t="s">
        <v>449</v>
      </c>
      <c r="E226" t="s">
        <v>119</v>
      </c>
      <c r="F226" t="s">
        <v>93</v>
      </c>
      <c r="G226" t="s">
        <v>195</v>
      </c>
      <c r="H226" t="s">
        <v>195</v>
      </c>
      <c r="I226" t="s">
        <v>197</v>
      </c>
      <c r="K226" t="s">
        <v>197</v>
      </c>
      <c r="L226" t="s">
        <v>197</v>
      </c>
      <c r="M226" t="s">
        <v>121</v>
      </c>
      <c r="N226" t="s">
        <v>13</v>
      </c>
      <c r="O226">
        <v>4.3</v>
      </c>
      <c r="P226" t="s">
        <v>197</v>
      </c>
      <c r="Q226" t="s">
        <v>197</v>
      </c>
      <c r="R226" t="s">
        <v>197</v>
      </c>
      <c r="S226" t="s">
        <v>197</v>
      </c>
      <c r="T226" t="s">
        <v>93</v>
      </c>
      <c r="U226" t="s">
        <v>197</v>
      </c>
      <c r="V226" t="s">
        <v>197</v>
      </c>
    </row>
    <row r="227">
      <c r="A227">
        <v>2438</v>
      </c>
      <c r="B227" t="s">
        <v>194</v>
      </c>
      <c r="C227" t="s">
        <v>113</v>
      </c>
      <c r="D227" t="s">
        <v>450</v>
      </c>
      <c r="E227" t="s">
        <v>119</v>
      </c>
      <c r="F227" t="s">
        <v>93</v>
      </c>
      <c r="G227" t="s">
        <v>195</v>
      </c>
      <c r="H227" t="s">
        <v>195</v>
      </c>
      <c r="I227" t="s">
        <v>195</v>
      </c>
      <c r="J227">
        <v>133.3</v>
      </c>
      <c r="K227" t="s">
        <v>195</v>
      </c>
      <c r="L227" t="s">
        <v>197</v>
      </c>
      <c r="M227" t="s">
        <v>121</v>
      </c>
      <c r="N227" t="s">
        <v>13</v>
      </c>
      <c r="O227">
        <v>4.3</v>
      </c>
      <c r="P227" t="s">
        <v>195</v>
      </c>
      <c r="Q227" t="s">
        <v>195</v>
      </c>
      <c r="R227" t="s">
        <v>195</v>
      </c>
      <c r="S227" t="s">
        <v>195</v>
      </c>
      <c r="T227" t="s">
        <v>93</v>
      </c>
      <c r="U227" t="s">
        <v>197</v>
      </c>
      <c r="V227" t="s">
        <v>197</v>
      </c>
    </row>
    <row r="228">
      <c r="A228">
        <v>2442</v>
      </c>
      <c r="B228" t="s">
        <v>20</v>
      </c>
      <c r="C228" t="s">
        <v>113</v>
      </c>
      <c r="D228" t="s">
        <v>451</v>
      </c>
      <c r="E228" t="s">
        <v>119</v>
      </c>
      <c r="F228" t="s">
        <v>93</v>
      </c>
      <c r="G228" t="s">
        <v>195</v>
      </c>
      <c r="H228" t="s">
        <v>195</v>
      </c>
      <c r="I228" t="s">
        <v>195</v>
      </c>
      <c r="J228">
        <v>119.9</v>
      </c>
      <c r="K228" t="s">
        <v>195</v>
      </c>
      <c r="L228" t="s">
        <v>197</v>
      </c>
      <c r="M228" t="s">
        <v>121</v>
      </c>
      <c r="N228" t="s">
        <v>13</v>
      </c>
      <c r="O228">
        <v>4.3</v>
      </c>
      <c r="P228" t="s">
        <v>197</v>
      </c>
      <c r="Q228" t="s">
        <v>197</v>
      </c>
      <c r="R228" t="s">
        <v>197</v>
      </c>
      <c r="S228" t="s">
        <v>195</v>
      </c>
      <c r="T228" t="s">
        <v>93</v>
      </c>
      <c r="U228" t="s">
        <v>197</v>
      </c>
      <c r="V228" t="s">
        <v>197</v>
      </c>
    </row>
    <row r="229">
      <c r="A229">
        <v>2451</v>
      </c>
      <c r="B229" t="s">
        <v>199</v>
      </c>
      <c r="C229" t="s">
        <v>113</v>
      </c>
      <c r="D229" t="s">
        <v>452</v>
      </c>
      <c r="E229" t="s">
        <v>119</v>
      </c>
      <c r="F229" t="s">
        <v>93</v>
      </c>
      <c r="G229" t="s">
        <v>195</v>
      </c>
      <c r="H229" t="s">
        <v>195</v>
      </c>
      <c r="I229" t="s">
        <v>195</v>
      </c>
      <c r="J229">
        <v>5.9</v>
      </c>
      <c r="K229" t="s">
        <v>195</v>
      </c>
      <c r="L229" t="s">
        <v>197</v>
      </c>
      <c r="M229" t="s">
        <v>198</v>
      </c>
      <c r="N229" t="s">
        <v>93</v>
      </c>
      <c r="O229">
        <v>189.1</v>
      </c>
      <c r="P229" t="s">
        <v>197</v>
      </c>
      <c r="Q229" t="s">
        <v>197</v>
      </c>
      <c r="R229" t="s">
        <v>197</v>
      </c>
      <c r="S229" t="s">
        <v>197</v>
      </c>
      <c r="T229" t="s">
        <v>93</v>
      </c>
      <c r="U229" t="s">
        <v>195</v>
      </c>
      <c r="V229" t="s">
        <v>195</v>
      </c>
    </row>
    <row r="230">
      <c r="A230">
        <v>2452</v>
      </c>
      <c r="B230" t="s">
        <v>20</v>
      </c>
      <c r="C230" t="s">
        <v>113</v>
      </c>
      <c r="D230" t="s">
        <v>453</v>
      </c>
      <c r="E230" t="s">
        <v>119</v>
      </c>
      <c r="F230" t="s">
        <v>93</v>
      </c>
      <c r="G230" t="s">
        <v>195</v>
      </c>
      <c r="H230" t="s">
        <v>195</v>
      </c>
      <c r="I230" t="s">
        <v>197</v>
      </c>
      <c r="K230" t="s">
        <v>197</v>
      </c>
      <c r="L230" t="s">
        <v>197</v>
      </c>
      <c r="M230" t="s">
        <v>121</v>
      </c>
      <c r="N230" t="s">
        <v>13</v>
      </c>
      <c r="O230">
        <v>4.3</v>
      </c>
      <c r="P230" t="s">
        <v>197</v>
      </c>
      <c r="Q230" t="s">
        <v>197</v>
      </c>
      <c r="R230" t="s">
        <v>197</v>
      </c>
      <c r="S230" t="s">
        <v>197</v>
      </c>
      <c r="T230" t="s">
        <v>93</v>
      </c>
      <c r="U230" t="s">
        <v>197</v>
      </c>
      <c r="V230" t="s">
        <v>197</v>
      </c>
    </row>
    <row r="231">
      <c r="A231">
        <v>2453</v>
      </c>
      <c r="B231" t="s">
        <v>199</v>
      </c>
      <c r="C231" t="s">
        <v>113</v>
      </c>
      <c r="D231" t="s">
        <v>454</v>
      </c>
      <c r="E231" t="s">
        <v>119</v>
      </c>
      <c r="F231" t="s">
        <v>93</v>
      </c>
      <c r="G231" t="s">
        <v>195</v>
      </c>
      <c r="H231" t="s">
        <v>195</v>
      </c>
      <c r="I231" t="s">
        <v>195</v>
      </c>
      <c r="J231">
        <v>58.5</v>
      </c>
      <c r="K231" t="s">
        <v>195</v>
      </c>
      <c r="L231" t="s">
        <v>197</v>
      </c>
      <c r="M231" t="s">
        <v>121</v>
      </c>
      <c r="N231" t="s">
        <v>13</v>
      </c>
      <c r="O231">
        <v>4.3</v>
      </c>
      <c r="P231" t="s">
        <v>197</v>
      </c>
      <c r="Q231" t="s">
        <v>197</v>
      </c>
      <c r="R231" t="s">
        <v>197</v>
      </c>
      <c r="S231" t="s">
        <v>195</v>
      </c>
      <c r="T231" t="s">
        <v>93</v>
      </c>
      <c r="U231" t="s">
        <v>197</v>
      </c>
      <c r="V231" t="s">
        <v>197</v>
      </c>
    </row>
    <row r="232">
      <c r="A232">
        <v>2457</v>
      </c>
      <c r="B232" t="s">
        <v>20</v>
      </c>
      <c r="C232" t="s">
        <v>113</v>
      </c>
      <c r="D232" t="s">
        <v>455</v>
      </c>
      <c r="E232" t="s">
        <v>119</v>
      </c>
      <c r="F232" t="s">
        <v>95</v>
      </c>
      <c r="G232" t="s">
        <v>195</v>
      </c>
      <c r="H232" t="s">
        <v>195</v>
      </c>
      <c r="I232" t="s">
        <v>197</v>
      </c>
      <c r="K232" t="s">
        <v>197</v>
      </c>
      <c r="L232" t="s">
        <v>197</v>
      </c>
      <c r="M232" t="s">
        <v>121</v>
      </c>
      <c r="N232" t="s">
        <v>13</v>
      </c>
      <c r="O232">
        <v>4.3</v>
      </c>
      <c r="P232" t="s">
        <v>197</v>
      </c>
      <c r="Q232" t="s">
        <v>197</v>
      </c>
      <c r="R232" t="s">
        <v>197</v>
      </c>
      <c r="S232" t="s">
        <v>197</v>
      </c>
      <c r="T232" t="s">
        <v>95</v>
      </c>
      <c r="U232" t="s">
        <v>197</v>
      </c>
      <c r="V232" t="s">
        <v>197</v>
      </c>
    </row>
    <row r="233">
      <c r="A233">
        <v>2463</v>
      </c>
      <c r="B233" t="s">
        <v>20</v>
      </c>
      <c r="C233" t="s">
        <v>113</v>
      </c>
      <c r="D233" t="s">
        <v>456</v>
      </c>
      <c r="E233" t="s">
        <v>119</v>
      </c>
      <c r="F233" t="s">
        <v>93</v>
      </c>
      <c r="G233" t="s">
        <v>195</v>
      </c>
      <c r="H233" t="s">
        <v>195</v>
      </c>
      <c r="I233" t="s">
        <v>197</v>
      </c>
      <c r="K233" t="s">
        <v>197</v>
      </c>
      <c r="L233" t="s">
        <v>197</v>
      </c>
      <c r="M233" t="s">
        <v>121</v>
      </c>
      <c r="N233" t="s">
        <v>13</v>
      </c>
      <c r="O233">
        <v>4.3</v>
      </c>
      <c r="P233" t="s">
        <v>197</v>
      </c>
      <c r="Q233" t="s">
        <v>197</v>
      </c>
      <c r="R233" t="s">
        <v>197</v>
      </c>
      <c r="S233" t="s">
        <v>197</v>
      </c>
      <c r="T233" t="s">
        <v>93</v>
      </c>
      <c r="U233" t="s">
        <v>197</v>
      </c>
      <c r="V233" t="s">
        <v>197</v>
      </c>
    </row>
    <row r="234">
      <c r="A234">
        <v>2465</v>
      </c>
      <c r="B234" t="s">
        <v>20</v>
      </c>
      <c r="C234" t="s">
        <v>113</v>
      </c>
      <c r="D234" t="s">
        <v>457</v>
      </c>
      <c r="E234" t="s">
        <v>119</v>
      </c>
      <c r="F234" t="s">
        <v>93</v>
      </c>
      <c r="G234" t="s">
        <v>195</v>
      </c>
      <c r="H234" t="s">
        <v>195</v>
      </c>
      <c r="I234" t="s">
        <v>197</v>
      </c>
      <c r="K234" t="s">
        <v>195</v>
      </c>
      <c r="L234" t="s">
        <v>197</v>
      </c>
      <c r="M234" t="s">
        <v>121</v>
      </c>
      <c r="N234" t="s">
        <v>13</v>
      </c>
      <c r="O234">
        <v>4.3</v>
      </c>
      <c r="P234" t="s">
        <v>197</v>
      </c>
      <c r="Q234" t="s">
        <v>197</v>
      </c>
      <c r="R234" t="s">
        <v>197</v>
      </c>
      <c r="S234" t="s">
        <v>197</v>
      </c>
      <c r="T234" t="s">
        <v>93</v>
      </c>
      <c r="U234" t="s">
        <v>197</v>
      </c>
      <c r="V234" t="s">
        <v>197</v>
      </c>
    </row>
    <row r="235">
      <c r="A235">
        <v>2467</v>
      </c>
      <c r="B235" t="s">
        <v>20</v>
      </c>
      <c r="C235" t="s">
        <v>113</v>
      </c>
      <c r="D235" t="s">
        <v>458</v>
      </c>
      <c r="E235" t="s">
        <v>119</v>
      </c>
      <c r="F235" t="s">
        <v>93</v>
      </c>
      <c r="G235" t="s">
        <v>195</v>
      </c>
      <c r="H235" t="s">
        <v>195</v>
      </c>
      <c r="I235" t="s">
        <v>195</v>
      </c>
      <c r="J235">
        <v>1.7</v>
      </c>
      <c r="K235" t="s">
        <v>195</v>
      </c>
      <c r="L235" t="s">
        <v>197</v>
      </c>
      <c r="M235" t="s">
        <v>121</v>
      </c>
      <c r="N235" t="s">
        <v>13</v>
      </c>
      <c r="O235">
        <v>4.3</v>
      </c>
      <c r="P235" t="s">
        <v>197</v>
      </c>
      <c r="Q235" t="s">
        <v>197</v>
      </c>
      <c r="R235" t="s">
        <v>197</v>
      </c>
      <c r="S235" t="s">
        <v>195</v>
      </c>
      <c r="T235" t="s">
        <v>93</v>
      </c>
      <c r="U235" t="s">
        <v>195</v>
      </c>
      <c r="V235" t="s">
        <v>197</v>
      </c>
    </row>
    <row r="236">
      <c r="A236">
        <v>2475</v>
      </c>
      <c r="B236" t="s">
        <v>20</v>
      </c>
      <c r="C236" t="s">
        <v>113</v>
      </c>
      <c r="D236" t="s">
        <v>459</v>
      </c>
      <c r="E236" t="s">
        <v>119</v>
      </c>
      <c r="F236" t="s">
        <v>93</v>
      </c>
      <c r="G236" t="s">
        <v>195</v>
      </c>
      <c r="H236" t="s">
        <v>197</v>
      </c>
      <c r="I236" t="s">
        <v>195</v>
      </c>
      <c r="J236">
        <v>2.2</v>
      </c>
      <c r="K236" t="s">
        <v>195</v>
      </c>
      <c r="L236" t="s">
        <v>197</v>
      </c>
      <c r="M236" t="s">
        <v>268</v>
      </c>
      <c r="N236" t="s">
        <v>93</v>
      </c>
      <c r="O236">
        <v>50</v>
      </c>
      <c r="P236" t="s">
        <v>195</v>
      </c>
      <c r="Q236" t="s">
        <v>195</v>
      </c>
      <c r="R236" t="s">
        <v>195</v>
      </c>
      <c r="S236" t="s">
        <v>197</v>
      </c>
      <c r="T236" t="s">
        <v>93</v>
      </c>
      <c r="U236" t="s">
        <v>195</v>
      </c>
    </row>
    <row r="237">
      <c r="A237">
        <v>2483</v>
      </c>
      <c r="B237" t="s">
        <v>20</v>
      </c>
      <c r="C237" t="s">
        <v>113</v>
      </c>
      <c r="D237" t="s">
        <v>460</v>
      </c>
      <c r="E237" t="s">
        <v>119</v>
      </c>
      <c r="F237" t="s">
        <v>93</v>
      </c>
      <c r="G237" t="s">
        <v>195</v>
      </c>
      <c r="H237" t="s">
        <v>195</v>
      </c>
      <c r="I237" t="s">
        <v>195</v>
      </c>
      <c r="J237">
        <v>15.4</v>
      </c>
      <c r="K237" t="s">
        <v>195</v>
      </c>
      <c r="L237" t="s">
        <v>197</v>
      </c>
      <c r="M237" t="s">
        <v>135</v>
      </c>
      <c r="P237" t="s">
        <v>197</v>
      </c>
      <c r="Q237" t="s">
        <v>197</v>
      </c>
      <c r="R237" t="s">
        <v>197</v>
      </c>
      <c r="S237" t="s">
        <v>197</v>
      </c>
      <c r="T237" t="s">
        <v>93</v>
      </c>
      <c r="U237" t="s">
        <v>195</v>
      </c>
      <c r="V237" t="s">
        <v>195</v>
      </c>
    </row>
    <row r="238">
      <c r="A238">
        <v>2484</v>
      </c>
      <c r="B238" t="s">
        <v>20</v>
      </c>
      <c r="C238" t="s">
        <v>113</v>
      </c>
      <c r="D238" t="s">
        <v>461</v>
      </c>
      <c r="E238" t="s">
        <v>119</v>
      </c>
      <c r="F238" t="s">
        <v>95</v>
      </c>
      <c r="G238" t="s">
        <v>195</v>
      </c>
      <c r="H238" t="s">
        <v>195</v>
      </c>
      <c r="I238" t="s">
        <v>197</v>
      </c>
      <c r="K238" t="s">
        <v>197</v>
      </c>
      <c r="L238" t="s">
        <v>197</v>
      </c>
      <c r="M238" t="s">
        <v>121</v>
      </c>
      <c r="N238" t="s">
        <v>13</v>
      </c>
      <c r="O238">
        <v>4.3</v>
      </c>
      <c r="P238" t="s">
        <v>197</v>
      </c>
      <c r="Q238" t="s">
        <v>197</v>
      </c>
      <c r="R238" t="s">
        <v>197</v>
      </c>
      <c r="S238" t="s">
        <v>197</v>
      </c>
      <c r="T238" t="s">
        <v>93</v>
      </c>
      <c r="U238" t="s">
        <v>197</v>
      </c>
      <c r="V238" t="s">
        <v>197</v>
      </c>
    </row>
    <row r="239">
      <c r="A239">
        <v>2510</v>
      </c>
      <c r="B239" t="s">
        <v>194</v>
      </c>
      <c r="C239" t="s">
        <v>113</v>
      </c>
      <c r="D239" t="s">
        <v>462</v>
      </c>
      <c r="E239" t="s">
        <v>119</v>
      </c>
      <c r="F239" t="s">
        <v>95</v>
      </c>
      <c r="G239" t="s">
        <v>195</v>
      </c>
      <c r="H239" t="s">
        <v>195</v>
      </c>
      <c r="I239" t="s">
        <v>195</v>
      </c>
      <c r="J239">
        <v>78.3</v>
      </c>
      <c r="K239" t="s">
        <v>195</v>
      </c>
      <c r="L239" t="s">
        <v>197</v>
      </c>
      <c r="M239" t="s">
        <v>198</v>
      </c>
      <c r="N239" t="s">
        <v>95</v>
      </c>
      <c r="O239">
        <v>90.2</v>
      </c>
      <c r="P239" t="s">
        <v>197</v>
      </c>
      <c r="Q239" t="s">
        <v>197</v>
      </c>
      <c r="R239" t="s">
        <v>197</v>
      </c>
      <c r="S239" t="s">
        <v>197</v>
      </c>
      <c r="T239" t="s">
        <v>95</v>
      </c>
      <c r="U239" t="s">
        <v>197</v>
      </c>
      <c r="V239" t="s">
        <v>197</v>
      </c>
    </row>
    <row r="240">
      <c r="A240">
        <v>2532</v>
      </c>
      <c r="B240" t="s">
        <v>20</v>
      </c>
      <c r="C240" t="s">
        <v>113</v>
      </c>
      <c r="D240" t="s">
        <v>463</v>
      </c>
      <c r="E240" t="s">
        <v>119</v>
      </c>
      <c r="F240" t="s">
        <v>95</v>
      </c>
      <c r="G240" t="s">
        <v>195</v>
      </c>
      <c r="H240" t="s">
        <v>195</v>
      </c>
      <c r="I240" t="s">
        <v>195</v>
      </c>
      <c r="J240">
        <v>4.4</v>
      </c>
      <c r="K240" t="s">
        <v>195</v>
      </c>
      <c r="L240" t="s">
        <v>197</v>
      </c>
      <c r="M240" t="s">
        <v>121</v>
      </c>
      <c r="N240" t="s">
        <v>13</v>
      </c>
      <c r="O240">
        <v>4.3</v>
      </c>
      <c r="P240" t="s">
        <v>197</v>
      </c>
      <c r="Q240" t="s">
        <v>197</v>
      </c>
      <c r="R240" t="s">
        <v>197</v>
      </c>
      <c r="S240" t="s">
        <v>195</v>
      </c>
      <c r="T240" t="s">
        <v>95</v>
      </c>
      <c r="U240" t="s">
        <v>195</v>
      </c>
      <c r="V240" t="s">
        <v>195</v>
      </c>
    </row>
    <row r="241">
      <c r="A241">
        <v>2521</v>
      </c>
      <c r="B241" t="s">
        <v>20</v>
      </c>
      <c r="C241" t="s">
        <v>113</v>
      </c>
      <c r="D241" t="s">
        <v>464</v>
      </c>
      <c r="E241" t="s">
        <v>119</v>
      </c>
      <c r="F241" t="s">
        <v>95</v>
      </c>
      <c r="G241" t="s">
        <v>195</v>
      </c>
      <c r="H241" t="s">
        <v>195</v>
      </c>
      <c r="I241" t="s">
        <v>195</v>
      </c>
      <c r="J241">
        <v>16</v>
      </c>
      <c r="K241" t="s">
        <v>195</v>
      </c>
      <c r="L241" t="s">
        <v>197</v>
      </c>
      <c r="M241" t="s">
        <v>198</v>
      </c>
      <c r="N241" t="s">
        <v>95</v>
      </c>
      <c r="O241">
        <v>88.7</v>
      </c>
      <c r="P241" t="s">
        <v>197</v>
      </c>
      <c r="Q241" t="s">
        <v>197</v>
      </c>
      <c r="R241" t="s">
        <v>197</v>
      </c>
      <c r="S241" t="s">
        <v>197</v>
      </c>
      <c r="T241" t="s">
        <v>95</v>
      </c>
      <c r="U241" t="s">
        <v>195</v>
      </c>
      <c r="V241" t="s">
        <v>195</v>
      </c>
    </row>
    <row r="242">
      <c r="A242">
        <v>2527</v>
      </c>
      <c r="B242" t="s">
        <v>199</v>
      </c>
      <c r="C242" t="s">
        <v>113</v>
      </c>
      <c r="D242" t="s">
        <v>465</v>
      </c>
      <c r="E242" t="s">
        <v>119</v>
      </c>
      <c r="F242" t="s">
        <v>95</v>
      </c>
      <c r="G242" t="s">
        <v>195</v>
      </c>
      <c r="H242" t="s">
        <v>195</v>
      </c>
      <c r="I242" t="s">
        <v>195</v>
      </c>
      <c r="J242">
        <v>5.8</v>
      </c>
      <c r="K242" t="s">
        <v>195</v>
      </c>
      <c r="L242" t="s">
        <v>197</v>
      </c>
      <c r="M242" t="s">
        <v>207</v>
      </c>
      <c r="N242" t="s">
        <v>95</v>
      </c>
      <c r="O242">
        <v>0.3</v>
      </c>
      <c r="P242" t="s">
        <v>195</v>
      </c>
      <c r="Q242" t="s">
        <v>197</v>
      </c>
      <c r="R242" t="s">
        <v>197</v>
      </c>
      <c r="S242" t="s">
        <v>197</v>
      </c>
      <c r="T242" t="s">
        <v>95</v>
      </c>
      <c r="U242" t="s">
        <v>195</v>
      </c>
      <c r="V242" t="s">
        <v>195</v>
      </c>
    </row>
    <row r="243">
      <c r="A243">
        <v>2537</v>
      </c>
      <c r="B243" t="s">
        <v>20</v>
      </c>
      <c r="C243" t="s">
        <v>113</v>
      </c>
      <c r="D243" t="s">
        <v>466</v>
      </c>
      <c r="E243" t="s">
        <v>119</v>
      </c>
      <c r="F243" t="s">
        <v>95</v>
      </c>
      <c r="G243" t="s">
        <v>195</v>
      </c>
      <c r="H243" t="s">
        <v>195</v>
      </c>
      <c r="I243" t="s">
        <v>197</v>
      </c>
      <c r="K243" t="s">
        <v>197</v>
      </c>
      <c r="L243" t="s">
        <v>197</v>
      </c>
      <c r="M243" t="s">
        <v>121</v>
      </c>
      <c r="N243" t="s">
        <v>13</v>
      </c>
      <c r="O243">
        <v>4.3</v>
      </c>
      <c r="P243" t="s">
        <v>197</v>
      </c>
      <c r="Q243" t="s">
        <v>197</v>
      </c>
      <c r="R243" t="s">
        <v>197</v>
      </c>
      <c r="S243" t="s">
        <v>197</v>
      </c>
      <c r="T243" t="s">
        <v>95</v>
      </c>
      <c r="U243" t="s">
        <v>197</v>
      </c>
      <c r="V243" t="s">
        <v>197</v>
      </c>
    </row>
    <row r="244">
      <c r="A244">
        <v>2593</v>
      </c>
      <c r="B244" t="s">
        <v>20</v>
      </c>
      <c r="C244" t="s">
        <v>114</v>
      </c>
      <c r="D244" t="s">
        <v>467</v>
      </c>
      <c r="E244" t="s">
        <v>119</v>
      </c>
      <c r="F244" t="s">
        <v>93</v>
      </c>
      <c r="G244" t="s">
        <v>195</v>
      </c>
      <c r="H244" t="s">
        <v>195</v>
      </c>
      <c r="I244" t="s">
        <v>195</v>
      </c>
      <c r="J244">
        <v>5.4</v>
      </c>
      <c r="K244" t="s">
        <v>195</v>
      </c>
      <c r="L244" t="s">
        <v>197</v>
      </c>
      <c r="M244" t="s">
        <v>121</v>
      </c>
      <c r="N244" t="s">
        <v>13</v>
      </c>
      <c r="O244">
        <v>4.3</v>
      </c>
      <c r="P244" t="s">
        <v>197</v>
      </c>
      <c r="Q244" t="s">
        <v>197</v>
      </c>
      <c r="R244" t="s">
        <v>197</v>
      </c>
      <c r="S244" t="s">
        <v>195</v>
      </c>
      <c r="T244" t="s">
        <v>93</v>
      </c>
      <c r="U244" t="s">
        <v>195</v>
      </c>
      <c r="V244" t="s">
        <v>197</v>
      </c>
    </row>
    <row r="245">
      <c r="A245">
        <v>2607</v>
      </c>
      <c r="B245" t="s">
        <v>20</v>
      </c>
      <c r="C245" t="s">
        <v>114</v>
      </c>
      <c r="D245" t="s">
        <v>468</v>
      </c>
      <c r="E245" t="s">
        <v>119</v>
      </c>
      <c r="F245" t="s">
        <v>93</v>
      </c>
      <c r="G245" t="s">
        <v>195</v>
      </c>
      <c r="H245" t="s">
        <v>197</v>
      </c>
      <c r="I245" t="s">
        <v>195</v>
      </c>
      <c r="J245">
        <v>5.4</v>
      </c>
      <c r="K245" t="s">
        <v>195</v>
      </c>
      <c r="L245" t="s">
        <v>197</v>
      </c>
      <c r="M245" t="s">
        <v>135</v>
      </c>
      <c r="P245" t="s">
        <v>197</v>
      </c>
      <c r="Q245" t="s">
        <v>197</v>
      </c>
      <c r="R245" t="s">
        <v>197</v>
      </c>
      <c r="S245" t="s">
        <v>197</v>
      </c>
      <c r="T245" t="s">
        <v>93</v>
      </c>
      <c r="U245" t="s">
        <v>195</v>
      </c>
    </row>
    <row r="246">
      <c r="A246">
        <v>2606</v>
      </c>
      <c r="B246" t="s">
        <v>20</v>
      </c>
      <c r="C246" t="s">
        <v>114</v>
      </c>
      <c r="D246" t="s">
        <v>469</v>
      </c>
      <c r="E246" t="s">
        <v>119</v>
      </c>
      <c r="F246" t="s">
        <v>93</v>
      </c>
      <c r="G246" t="s">
        <v>195</v>
      </c>
      <c r="H246" t="s">
        <v>195</v>
      </c>
      <c r="I246" t="s">
        <v>195</v>
      </c>
      <c r="J246">
        <v>3.3</v>
      </c>
      <c r="K246" t="s">
        <v>195</v>
      </c>
      <c r="L246" t="s">
        <v>197</v>
      </c>
      <c r="M246" t="s">
        <v>104</v>
      </c>
      <c r="N246" t="s">
        <v>94</v>
      </c>
      <c r="O246">
        <v>129.2</v>
      </c>
      <c r="P246" t="s">
        <v>195</v>
      </c>
      <c r="Q246" t="s">
        <v>195</v>
      </c>
      <c r="R246" t="s">
        <v>195</v>
      </c>
      <c r="S246" t="s">
        <v>197</v>
      </c>
      <c r="T246" t="s">
        <v>93</v>
      </c>
      <c r="U246" t="s">
        <v>195</v>
      </c>
      <c r="V246" t="s">
        <v>195</v>
      </c>
    </row>
    <row r="247">
      <c r="A247">
        <v>2617</v>
      </c>
      <c r="B247" t="s">
        <v>20</v>
      </c>
      <c r="C247" t="s">
        <v>114</v>
      </c>
      <c r="D247" t="s">
        <v>470</v>
      </c>
      <c r="E247" t="s">
        <v>119</v>
      </c>
      <c r="F247" t="s">
        <v>93</v>
      </c>
      <c r="G247" t="s">
        <v>195</v>
      </c>
      <c r="H247" t="s">
        <v>195</v>
      </c>
      <c r="I247" t="s">
        <v>197</v>
      </c>
      <c r="K247" t="s">
        <v>197</v>
      </c>
      <c r="L247" t="s">
        <v>197</v>
      </c>
      <c r="M247" t="s">
        <v>121</v>
      </c>
      <c r="N247" t="s">
        <v>13</v>
      </c>
      <c r="O247">
        <v>4.3</v>
      </c>
      <c r="P247" t="s">
        <v>197</v>
      </c>
      <c r="Q247" t="s">
        <v>197</v>
      </c>
      <c r="R247" t="s">
        <v>197</v>
      </c>
      <c r="S247" t="s">
        <v>197</v>
      </c>
      <c r="T247" t="s">
        <v>93</v>
      </c>
      <c r="U247" t="s">
        <v>197</v>
      </c>
      <c r="V247" t="s">
        <v>197</v>
      </c>
    </row>
    <row r="248">
      <c r="A248">
        <v>2621</v>
      </c>
      <c r="B248" t="s">
        <v>199</v>
      </c>
      <c r="C248" t="s">
        <v>114</v>
      </c>
      <c r="D248" t="s">
        <v>471</v>
      </c>
      <c r="E248" t="s">
        <v>119</v>
      </c>
      <c r="F248" t="s">
        <v>93</v>
      </c>
      <c r="G248" t="s">
        <v>197</v>
      </c>
      <c r="H248" t="s">
        <v>197</v>
      </c>
      <c r="I248" t="s">
        <v>195</v>
      </c>
      <c r="J248">
        <v>3.4</v>
      </c>
      <c r="K248" t="s">
        <v>195</v>
      </c>
      <c r="L248" t="s">
        <v>195</v>
      </c>
      <c r="M248" t="s">
        <v>198</v>
      </c>
      <c r="N248" t="s">
        <v>93</v>
      </c>
      <c r="O248">
        <v>168.3</v>
      </c>
      <c r="P248" t="s">
        <v>197</v>
      </c>
      <c r="Q248" t="s">
        <v>197</v>
      </c>
      <c r="R248" t="s">
        <v>197</v>
      </c>
      <c r="S248" t="s">
        <v>197</v>
      </c>
      <c r="T248" t="s">
        <v>93</v>
      </c>
    </row>
    <row r="249">
      <c r="A249">
        <v>2590</v>
      </c>
      <c r="B249" t="s">
        <v>20</v>
      </c>
      <c r="C249" t="s">
        <v>114</v>
      </c>
      <c r="D249" t="s">
        <v>472</v>
      </c>
      <c r="E249" t="s">
        <v>121</v>
      </c>
      <c r="F249" t="s">
        <v>93</v>
      </c>
      <c r="G249" t="s">
        <v>195</v>
      </c>
      <c r="H249" t="s">
        <v>195</v>
      </c>
      <c r="I249" t="s">
        <v>195</v>
      </c>
      <c r="J249">
        <v>7.3</v>
      </c>
      <c r="K249" t="s">
        <v>195</v>
      </c>
      <c r="L249" t="s">
        <v>197</v>
      </c>
      <c r="M249" t="s">
        <v>121</v>
      </c>
      <c r="N249" t="s">
        <v>13</v>
      </c>
      <c r="O249">
        <v>4.3</v>
      </c>
      <c r="P249" t="s">
        <v>197</v>
      </c>
      <c r="Q249" t="s">
        <v>197</v>
      </c>
      <c r="R249" t="s">
        <v>197</v>
      </c>
      <c r="S249" t="s">
        <v>195</v>
      </c>
      <c r="T249" t="s">
        <v>93</v>
      </c>
      <c r="U249" t="s">
        <v>195</v>
      </c>
      <c r="V249" t="s">
        <v>197</v>
      </c>
    </row>
    <row r="250">
      <c r="A250">
        <v>2619</v>
      </c>
      <c r="B250" t="s">
        <v>20</v>
      </c>
      <c r="C250" t="s">
        <v>114</v>
      </c>
      <c r="D250" t="s">
        <v>473</v>
      </c>
      <c r="E250" t="s">
        <v>119</v>
      </c>
      <c r="F250" t="s">
        <v>93</v>
      </c>
      <c r="G250" t="s">
        <v>195</v>
      </c>
      <c r="H250" t="s">
        <v>195</v>
      </c>
      <c r="I250" t="s">
        <v>197</v>
      </c>
      <c r="K250" t="s">
        <v>197</v>
      </c>
      <c r="L250" t="s">
        <v>197</v>
      </c>
      <c r="M250" t="s">
        <v>121</v>
      </c>
      <c r="N250" t="s">
        <v>13</v>
      </c>
      <c r="O250">
        <v>4.3</v>
      </c>
      <c r="P250" t="s">
        <v>197</v>
      </c>
      <c r="Q250" t="s">
        <v>197</v>
      </c>
      <c r="R250" t="s">
        <v>197</v>
      </c>
      <c r="S250" t="s">
        <v>197</v>
      </c>
      <c r="T250" t="s">
        <v>93</v>
      </c>
      <c r="U250" t="s">
        <v>197</v>
      </c>
      <c r="V250" t="s">
        <v>197</v>
      </c>
    </row>
    <row r="251">
      <c r="A251">
        <v>2625</v>
      </c>
      <c r="B251" t="s">
        <v>20</v>
      </c>
      <c r="C251" t="s">
        <v>114</v>
      </c>
      <c r="D251" t="s">
        <v>474</v>
      </c>
      <c r="E251" t="s">
        <v>119</v>
      </c>
      <c r="F251" t="s">
        <v>93</v>
      </c>
      <c r="G251" t="s">
        <v>195</v>
      </c>
      <c r="H251" t="s">
        <v>195</v>
      </c>
      <c r="I251" t="s">
        <v>197</v>
      </c>
      <c r="K251" t="s">
        <v>197</v>
      </c>
      <c r="L251" t="s">
        <v>197</v>
      </c>
      <c r="M251" t="s">
        <v>121</v>
      </c>
      <c r="N251" t="s">
        <v>13</v>
      </c>
      <c r="O251">
        <v>4.3</v>
      </c>
      <c r="P251" t="s">
        <v>195</v>
      </c>
      <c r="Q251" t="s">
        <v>195</v>
      </c>
      <c r="R251" t="s">
        <v>195</v>
      </c>
      <c r="S251" t="s">
        <v>197</v>
      </c>
      <c r="T251" t="s">
        <v>93</v>
      </c>
      <c r="U251" t="s">
        <v>197</v>
      </c>
      <c r="V251" t="s">
        <v>197</v>
      </c>
    </row>
    <row r="252">
      <c r="A252">
        <v>2634</v>
      </c>
      <c r="B252" t="s">
        <v>20</v>
      </c>
      <c r="C252" t="s">
        <v>114</v>
      </c>
      <c r="D252" t="s">
        <v>475</v>
      </c>
      <c r="E252" t="s">
        <v>119</v>
      </c>
      <c r="F252" t="s">
        <v>93</v>
      </c>
      <c r="G252" t="s">
        <v>195</v>
      </c>
      <c r="H252" t="s">
        <v>195</v>
      </c>
      <c r="I252" t="s">
        <v>197</v>
      </c>
      <c r="K252" t="s">
        <v>197</v>
      </c>
      <c r="L252" t="s">
        <v>197</v>
      </c>
      <c r="M252" t="s">
        <v>121</v>
      </c>
      <c r="N252" t="s">
        <v>13</v>
      </c>
      <c r="O252">
        <v>4.3</v>
      </c>
      <c r="P252" t="s">
        <v>197</v>
      </c>
      <c r="Q252" t="s">
        <v>197</v>
      </c>
      <c r="R252" t="s">
        <v>197</v>
      </c>
      <c r="S252" t="s">
        <v>197</v>
      </c>
      <c r="T252" t="s">
        <v>93</v>
      </c>
      <c r="U252" t="s">
        <v>197</v>
      </c>
      <c r="V252" t="s">
        <v>197</v>
      </c>
    </row>
    <row r="253">
      <c r="A253">
        <v>2647</v>
      </c>
      <c r="B253" t="s">
        <v>194</v>
      </c>
      <c r="C253" t="s">
        <v>114</v>
      </c>
      <c r="D253" t="s">
        <v>476</v>
      </c>
      <c r="E253" t="s">
        <v>119</v>
      </c>
      <c r="F253" t="s">
        <v>93</v>
      </c>
      <c r="G253" t="s">
        <v>195</v>
      </c>
      <c r="H253" t="s">
        <v>195</v>
      </c>
      <c r="I253" t="s">
        <v>197</v>
      </c>
      <c r="K253" t="s">
        <v>197</v>
      </c>
      <c r="L253" t="s">
        <v>197</v>
      </c>
      <c r="M253" t="s">
        <v>121</v>
      </c>
      <c r="N253" t="s">
        <v>13</v>
      </c>
      <c r="O253">
        <v>4.3</v>
      </c>
      <c r="P253" t="s">
        <v>197</v>
      </c>
      <c r="Q253" t="s">
        <v>197</v>
      </c>
      <c r="R253" t="s">
        <v>197</v>
      </c>
      <c r="S253" t="s">
        <v>197</v>
      </c>
      <c r="T253" t="s">
        <v>93</v>
      </c>
      <c r="U253" t="s">
        <v>197</v>
      </c>
      <c r="V253" t="s">
        <v>197</v>
      </c>
    </row>
    <row r="254">
      <c r="A254">
        <v>2588</v>
      </c>
      <c r="B254" t="s">
        <v>20</v>
      </c>
      <c r="C254" t="s">
        <v>114</v>
      </c>
      <c r="D254" t="s">
        <v>477</v>
      </c>
      <c r="E254" t="s">
        <v>121</v>
      </c>
      <c r="F254" t="s">
        <v>93</v>
      </c>
      <c r="G254" t="s">
        <v>195</v>
      </c>
      <c r="H254" t="s">
        <v>195</v>
      </c>
      <c r="I254" t="s">
        <v>195</v>
      </c>
      <c r="J254">
        <v>17.8</v>
      </c>
      <c r="K254" t="s">
        <v>195</v>
      </c>
      <c r="L254" t="s">
        <v>197</v>
      </c>
      <c r="M254" t="s">
        <v>121</v>
      </c>
      <c r="N254" t="s">
        <v>13</v>
      </c>
      <c r="O254">
        <v>4.3</v>
      </c>
      <c r="P254" t="s">
        <v>197</v>
      </c>
      <c r="Q254" t="s">
        <v>197</v>
      </c>
      <c r="R254" t="s">
        <v>197</v>
      </c>
      <c r="S254" t="s">
        <v>195</v>
      </c>
      <c r="T254" t="s">
        <v>93</v>
      </c>
      <c r="U254" t="s">
        <v>195</v>
      </c>
      <c r="V254" t="s">
        <v>195</v>
      </c>
    </row>
    <row r="255">
      <c r="A255">
        <v>2654</v>
      </c>
      <c r="B255" t="s">
        <v>194</v>
      </c>
      <c r="C255" t="s">
        <v>114</v>
      </c>
      <c r="D255" t="s">
        <v>478</v>
      </c>
      <c r="E255" t="s">
        <v>119</v>
      </c>
      <c r="F255" t="s">
        <v>94</v>
      </c>
      <c r="G255" t="s">
        <v>195</v>
      </c>
      <c r="H255" t="s">
        <v>195</v>
      </c>
      <c r="I255" t="s">
        <v>197</v>
      </c>
      <c r="K255" t="s">
        <v>195</v>
      </c>
      <c r="L255" t="s">
        <v>197</v>
      </c>
      <c r="M255" t="s">
        <v>121</v>
      </c>
      <c r="N255" t="s">
        <v>13</v>
      </c>
      <c r="O255">
        <v>4.3</v>
      </c>
      <c r="P255" t="s">
        <v>197</v>
      </c>
      <c r="Q255" t="s">
        <v>197</v>
      </c>
      <c r="R255" t="s">
        <v>197</v>
      </c>
      <c r="S255" t="s">
        <v>197</v>
      </c>
      <c r="T255" t="s">
        <v>94</v>
      </c>
      <c r="U255" t="s">
        <v>197</v>
      </c>
      <c r="V255" t="s">
        <v>197</v>
      </c>
    </row>
    <row r="256">
      <c r="A256">
        <v>2658</v>
      </c>
      <c r="B256" t="s">
        <v>199</v>
      </c>
      <c r="C256" t="s">
        <v>114</v>
      </c>
      <c r="D256" t="s">
        <v>479</v>
      </c>
      <c r="E256" t="s">
        <v>119</v>
      </c>
      <c r="F256" t="s">
        <v>94</v>
      </c>
      <c r="G256" t="s">
        <v>195</v>
      </c>
      <c r="H256" t="s">
        <v>195</v>
      </c>
      <c r="I256" t="s">
        <v>197</v>
      </c>
      <c r="K256" t="s">
        <v>195</v>
      </c>
      <c r="L256" t="s">
        <v>197</v>
      </c>
      <c r="M256" t="s">
        <v>121</v>
      </c>
      <c r="N256" t="s">
        <v>13</v>
      </c>
      <c r="O256">
        <v>4.3</v>
      </c>
      <c r="P256" t="s">
        <v>195</v>
      </c>
      <c r="Q256" t="s">
        <v>197</v>
      </c>
      <c r="R256" t="s">
        <v>197</v>
      </c>
      <c r="S256" t="s">
        <v>197</v>
      </c>
      <c r="T256" t="s">
        <v>94</v>
      </c>
      <c r="U256" t="s">
        <v>197</v>
      </c>
      <c r="V256" t="s">
        <v>197</v>
      </c>
    </row>
    <row r="257">
      <c r="A257">
        <v>2660</v>
      </c>
      <c r="B257" t="s">
        <v>199</v>
      </c>
      <c r="C257" t="s">
        <v>114</v>
      </c>
      <c r="D257" t="s">
        <v>480</v>
      </c>
      <c r="E257" t="s">
        <v>119</v>
      </c>
      <c r="F257" t="s">
        <v>94</v>
      </c>
      <c r="G257" t="s">
        <v>195</v>
      </c>
      <c r="H257" t="s">
        <v>195</v>
      </c>
      <c r="I257" t="s">
        <v>197</v>
      </c>
      <c r="K257" t="s">
        <v>195</v>
      </c>
      <c r="L257" t="s">
        <v>197</v>
      </c>
      <c r="M257" t="s">
        <v>121</v>
      </c>
      <c r="N257" t="s">
        <v>13</v>
      </c>
      <c r="O257">
        <v>4.3</v>
      </c>
      <c r="P257" t="s">
        <v>197</v>
      </c>
      <c r="Q257" t="s">
        <v>197</v>
      </c>
      <c r="R257" t="s">
        <v>197</v>
      </c>
      <c r="S257" t="s">
        <v>197</v>
      </c>
      <c r="T257" t="s">
        <v>94</v>
      </c>
      <c r="U257" t="s">
        <v>197</v>
      </c>
      <c r="V257" t="s">
        <v>197</v>
      </c>
    </row>
    <row r="258">
      <c r="A258">
        <v>2678</v>
      </c>
      <c r="B258" t="s">
        <v>199</v>
      </c>
      <c r="C258" t="s">
        <v>114</v>
      </c>
      <c r="D258" t="s">
        <v>481</v>
      </c>
      <c r="E258" t="s">
        <v>119</v>
      </c>
      <c r="F258" t="s">
        <v>94</v>
      </c>
      <c r="G258" t="s">
        <v>195</v>
      </c>
      <c r="H258" t="s">
        <v>195</v>
      </c>
      <c r="I258" t="s">
        <v>197</v>
      </c>
      <c r="K258" t="s">
        <v>197</v>
      </c>
      <c r="L258" t="s">
        <v>197</v>
      </c>
      <c r="M258" t="s">
        <v>121</v>
      </c>
      <c r="N258" t="s">
        <v>13</v>
      </c>
      <c r="O258">
        <v>4.3</v>
      </c>
      <c r="P258" t="s">
        <v>197</v>
      </c>
      <c r="Q258" t="s">
        <v>197</v>
      </c>
      <c r="R258" t="s">
        <v>197</v>
      </c>
      <c r="S258" t="s">
        <v>197</v>
      </c>
      <c r="T258" t="s">
        <v>94</v>
      </c>
      <c r="U258" t="s">
        <v>197</v>
      </c>
      <c r="V258" t="s">
        <v>197</v>
      </c>
    </row>
    <row r="259">
      <c r="A259">
        <v>2679</v>
      </c>
      <c r="B259" t="s">
        <v>20</v>
      </c>
      <c r="C259" t="s">
        <v>114</v>
      </c>
      <c r="D259" t="s">
        <v>482</v>
      </c>
      <c r="E259" t="s">
        <v>119</v>
      </c>
      <c r="F259" t="s">
        <v>94</v>
      </c>
      <c r="G259" t="s">
        <v>195</v>
      </c>
      <c r="H259" t="s">
        <v>195</v>
      </c>
      <c r="I259" t="s">
        <v>195</v>
      </c>
      <c r="J259">
        <v>60.5</v>
      </c>
      <c r="K259" t="s">
        <v>195</v>
      </c>
      <c r="L259" t="s">
        <v>197</v>
      </c>
      <c r="M259" t="s">
        <v>198</v>
      </c>
      <c r="N259" t="s">
        <v>94</v>
      </c>
      <c r="O259">
        <v>72.59999999999999</v>
      </c>
      <c r="P259" t="s">
        <v>197</v>
      </c>
      <c r="Q259" t="s">
        <v>197</v>
      </c>
      <c r="R259" t="s">
        <v>197</v>
      </c>
      <c r="S259" t="s">
        <v>197</v>
      </c>
      <c r="T259" t="s">
        <v>94</v>
      </c>
      <c r="U259" t="s">
        <v>197</v>
      </c>
      <c r="V259" t="s">
        <v>197</v>
      </c>
    </row>
    <row r="260">
      <c r="A260">
        <v>2685</v>
      </c>
      <c r="B260" t="s">
        <v>199</v>
      </c>
      <c r="C260" t="s">
        <v>114</v>
      </c>
      <c r="D260" t="s">
        <v>483</v>
      </c>
      <c r="E260" t="s">
        <v>119</v>
      </c>
      <c r="F260" t="s">
        <v>94</v>
      </c>
      <c r="G260" t="s">
        <v>195</v>
      </c>
      <c r="H260" t="s">
        <v>195</v>
      </c>
      <c r="I260" t="s">
        <v>197</v>
      </c>
      <c r="K260" t="s">
        <v>195</v>
      </c>
      <c r="L260" t="s">
        <v>197</v>
      </c>
      <c r="M260" t="s">
        <v>121</v>
      </c>
      <c r="N260" t="s">
        <v>13</v>
      </c>
      <c r="O260">
        <v>4.3</v>
      </c>
      <c r="P260" t="s">
        <v>197</v>
      </c>
      <c r="Q260" t="s">
        <v>197</v>
      </c>
      <c r="R260" t="s">
        <v>197</v>
      </c>
      <c r="S260" t="s">
        <v>197</v>
      </c>
      <c r="T260" t="s">
        <v>94</v>
      </c>
      <c r="U260" t="s">
        <v>197</v>
      </c>
      <c r="V260" t="s">
        <v>197</v>
      </c>
    </row>
    <row r="261">
      <c r="A261">
        <v>2691</v>
      </c>
      <c r="B261" t="s">
        <v>20</v>
      </c>
      <c r="C261" t="s">
        <v>114</v>
      </c>
      <c r="D261" t="s">
        <v>484</v>
      </c>
      <c r="E261" t="s">
        <v>119</v>
      </c>
      <c r="F261" t="s">
        <v>95</v>
      </c>
      <c r="G261" t="s">
        <v>195</v>
      </c>
      <c r="H261" t="s">
        <v>195</v>
      </c>
      <c r="I261" t="s">
        <v>197</v>
      </c>
      <c r="K261" t="s">
        <v>197</v>
      </c>
      <c r="L261" t="s">
        <v>197</v>
      </c>
      <c r="M261" t="s">
        <v>121</v>
      </c>
      <c r="N261" t="s">
        <v>13</v>
      </c>
      <c r="O261">
        <v>4.3</v>
      </c>
      <c r="P261" t="s">
        <v>197</v>
      </c>
      <c r="Q261" t="s">
        <v>197</v>
      </c>
      <c r="R261" t="s">
        <v>197</v>
      </c>
      <c r="S261" t="s">
        <v>197</v>
      </c>
      <c r="T261" t="s">
        <v>95</v>
      </c>
      <c r="U261" t="s">
        <v>197</v>
      </c>
      <c r="V261" t="s">
        <v>197</v>
      </c>
    </row>
    <row r="262">
      <c r="A262">
        <v>2696</v>
      </c>
      <c r="B262" t="s">
        <v>20</v>
      </c>
      <c r="C262" t="s">
        <v>114</v>
      </c>
      <c r="D262" t="s">
        <v>485</v>
      </c>
      <c r="E262" t="s">
        <v>119</v>
      </c>
      <c r="F262" t="s">
        <v>95</v>
      </c>
      <c r="G262" t="s">
        <v>195</v>
      </c>
      <c r="H262" t="s">
        <v>197</v>
      </c>
      <c r="I262" t="s">
        <v>195</v>
      </c>
      <c r="J262">
        <v>2.9</v>
      </c>
      <c r="K262" t="s">
        <v>195</v>
      </c>
      <c r="L262" t="s">
        <v>197</v>
      </c>
      <c r="M262" t="s">
        <v>135</v>
      </c>
      <c r="P262" t="s">
        <v>197</v>
      </c>
      <c r="Q262" t="s">
        <v>197</v>
      </c>
      <c r="R262" t="s">
        <v>197</v>
      </c>
      <c r="S262" t="s">
        <v>197</v>
      </c>
      <c r="T262" t="s">
        <v>95</v>
      </c>
      <c r="U262" t="s">
        <v>195</v>
      </c>
    </row>
    <row r="263">
      <c r="A263">
        <v>2714</v>
      </c>
      <c r="B263" t="s">
        <v>194</v>
      </c>
      <c r="C263" t="s">
        <v>114</v>
      </c>
      <c r="D263" t="s">
        <v>486</v>
      </c>
      <c r="E263" t="s">
        <v>119</v>
      </c>
      <c r="F263" t="s">
        <v>95</v>
      </c>
      <c r="G263" t="s">
        <v>195</v>
      </c>
      <c r="H263" t="s">
        <v>197</v>
      </c>
      <c r="I263" t="s">
        <v>195</v>
      </c>
      <c r="J263">
        <v>13.4</v>
      </c>
      <c r="K263" t="s">
        <v>195</v>
      </c>
      <c r="L263" t="s">
        <v>197</v>
      </c>
      <c r="M263" t="s">
        <v>198</v>
      </c>
      <c r="N263" t="s">
        <v>95</v>
      </c>
      <c r="O263">
        <v>88.40000000000001</v>
      </c>
      <c r="P263" t="s">
        <v>197</v>
      </c>
      <c r="Q263" t="s">
        <v>197</v>
      </c>
      <c r="R263" t="s">
        <v>197</v>
      </c>
      <c r="S263" t="s">
        <v>197</v>
      </c>
      <c r="T263" t="s">
        <v>95</v>
      </c>
      <c r="U263" t="s">
        <v>195</v>
      </c>
    </row>
    <row r="264">
      <c r="A264">
        <v>2710</v>
      </c>
      <c r="B264" t="s">
        <v>20</v>
      </c>
      <c r="C264" t="s">
        <v>114</v>
      </c>
      <c r="D264" t="s">
        <v>487</v>
      </c>
      <c r="E264" t="s">
        <v>119</v>
      </c>
      <c r="F264" t="s">
        <v>93</v>
      </c>
      <c r="G264" t="s">
        <v>195</v>
      </c>
      <c r="H264" t="s">
        <v>195</v>
      </c>
      <c r="I264" t="s">
        <v>197</v>
      </c>
      <c r="K264" t="s">
        <v>197</v>
      </c>
      <c r="L264" t="s">
        <v>197</v>
      </c>
      <c r="M264" t="s">
        <v>121</v>
      </c>
      <c r="N264" t="s">
        <v>13</v>
      </c>
      <c r="O264">
        <v>4.3</v>
      </c>
      <c r="P264" t="s">
        <v>197</v>
      </c>
      <c r="Q264" t="s">
        <v>197</v>
      </c>
      <c r="R264" t="s">
        <v>197</v>
      </c>
      <c r="S264" t="s">
        <v>197</v>
      </c>
      <c r="T264" t="s">
        <v>95</v>
      </c>
      <c r="U264" t="s">
        <v>197</v>
      </c>
      <c r="V264" t="s">
        <v>197</v>
      </c>
    </row>
    <row r="265">
      <c r="A265">
        <v>2716</v>
      </c>
      <c r="B265" t="s">
        <v>194</v>
      </c>
      <c r="C265" t="s">
        <v>114</v>
      </c>
      <c r="D265" t="s">
        <v>488</v>
      </c>
      <c r="E265" t="s">
        <v>119</v>
      </c>
      <c r="F265" t="s">
        <v>94</v>
      </c>
      <c r="G265" t="s">
        <v>195</v>
      </c>
      <c r="H265" t="s">
        <v>197</v>
      </c>
      <c r="I265" t="s">
        <v>195</v>
      </c>
      <c r="J265">
        <v>6.3</v>
      </c>
      <c r="K265" t="s">
        <v>195</v>
      </c>
      <c r="L265" t="s">
        <v>197</v>
      </c>
      <c r="M265" t="s">
        <v>198</v>
      </c>
      <c r="N265" t="s">
        <v>94</v>
      </c>
      <c r="O265">
        <v>92.8</v>
      </c>
      <c r="P265" t="s">
        <v>197</v>
      </c>
      <c r="Q265" t="s">
        <v>197</v>
      </c>
      <c r="R265" t="s">
        <v>197</v>
      </c>
      <c r="S265" t="s">
        <v>197</v>
      </c>
      <c r="T265" t="s">
        <v>94</v>
      </c>
      <c r="U265" t="s">
        <v>195</v>
      </c>
    </row>
    <row r="266">
      <c r="A266">
        <v>2725</v>
      </c>
      <c r="B266" t="s">
        <v>20</v>
      </c>
      <c r="C266" t="s">
        <v>114</v>
      </c>
      <c r="D266" t="s">
        <v>489</v>
      </c>
      <c r="E266" t="s">
        <v>121</v>
      </c>
      <c r="F266" t="s">
        <v>93</v>
      </c>
      <c r="G266" t="s">
        <v>195</v>
      </c>
      <c r="H266" t="s">
        <v>195</v>
      </c>
      <c r="I266" t="s">
        <v>197</v>
      </c>
      <c r="K266" t="s">
        <v>197</v>
      </c>
      <c r="L266" t="s">
        <v>197</v>
      </c>
      <c r="M266" t="s">
        <v>121</v>
      </c>
      <c r="N266" t="s">
        <v>13</v>
      </c>
      <c r="O266">
        <v>4.3</v>
      </c>
      <c r="P266" t="s">
        <v>197</v>
      </c>
      <c r="Q266" t="s">
        <v>197</v>
      </c>
      <c r="R266" t="s">
        <v>197</v>
      </c>
      <c r="S266" t="s">
        <v>197</v>
      </c>
      <c r="T266" t="s">
        <v>93</v>
      </c>
      <c r="U266" t="s">
        <v>197</v>
      </c>
      <c r="V266" t="s">
        <v>197</v>
      </c>
    </row>
    <row r="267">
      <c r="A267">
        <v>2738</v>
      </c>
      <c r="B267" t="s">
        <v>199</v>
      </c>
      <c r="C267" t="s">
        <v>114</v>
      </c>
      <c r="D267" t="s">
        <v>490</v>
      </c>
      <c r="E267" t="s">
        <v>119</v>
      </c>
      <c r="F267" t="s">
        <v>93</v>
      </c>
      <c r="G267" t="s">
        <v>195</v>
      </c>
      <c r="H267" t="s">
        <v>195</v>
      </c>
      <c r="I267" t="s">
        <v>197</v>
      </c>
      <c r="K267" t="s">
        <v>197</v>
      </c>
      <c r="L267" t="s">
        <v>197</v>
      </c>
      <c r="M267" t="s">
        <v>121</v>
      </c>
      <c r="N267" t="s">
        <v>13</v>
      </c>
      <c r="O267">
        <v>4.3</v>
      </c>
      <c r="P267" t="s">
        <v>197</v>
      </c>
      <c r="Q267" t="s">
        <v>197</v>
      </c>
      <c r="R267" t="s">
        <v>197</v>
      </c>
      <c r="S267" t="s">
        <v>197</v>
      </c>
      <c r="T267" t="s">
        <v>93</v>
      </c>
      <c r="U267" t="s">
        <v>197</v>
      </c>
      <c r="V267" t="s">
        <v>197</v>
      </c>
    </row>
    <row r="268">
      <c r="A268">
        <v>2744</v>
      </c>
      <c r="B268" t="s">
        <v>20</v>
      </c>
      <c r="C268" t="s">
        <v>114</v>
      </c>
      <c r="D268" t="s">
        <v>491</v>
      </c>
      <c r="E268" t="s">
        <v>119</v>
      </c>
      <c r="F268" t="s">
        <v>93</v>
      </c>
      <c r="G268" t="s">
        <v>195</v>
      </c>
      <c r="H268" t="s">
        <v>195</v>
      </c>
      <c r="I268" t="s">
        <v>195</v>
      </c>
      <c r="J268">
        <v>11.5</v>
      </c>
      <c r="K268" t="s">
        <v>195</v>
      </c>
      <c r="L268" t="s">
        <v>197</v>
      </c>
      <c r="M268" t="s">
        <v>198</v>
      </c>
      <c r="N268" t="s">
        <v>93</v>
      </c>
      <c r="O268">
        <v>121.8</v>
      </c>
      <c r="P268" t="s">
        <v>197</v>
      </c>
      <c r="Q268" t="s">
        <v>197</v>
      </c>
      <c r="R268" t="s">
        <v>197</v>
      </c>
      <c r="S268" t="s">
        <v>197</v>
      </c>
      <c r="T268" t="s">
        <v>93</v>
      </c>
      <c r="U268" t="s">
        <v>195</v>
      </c>
      <c r="V268" t="s">
        <v>195</v>
      </c>
    </row>
    <row r="269">
      <c r="A269">
        <v>2751</v>
      </c>
      <c r="B269" t="s">
        <v>194</v>
      </c>
      <c r="C269" t="s">
        <v>114</v>
      </c>
      <c r="D269" t="s">
        <v>492</v>
      </c>
      <c r="E269" t="s">
        <v>119</v>
      </c>
      <c r="F269" t="s">
        <v>93</v>
      </c>
      <c r="G269" t="s">
        <v>195</v>
      </c>
      <c r="H269" t="s">
        <v>195</v>
      </c>
      <c r="I269" t="s">
        <v>197</v>
      </c>
      <c r="K269" t="s">
        <v>197</v>
      </c>
      <c r="L269" t="s">
        <v>197</v>
      </c>
      <c r="M269" t="s">
        <v>121</v>
      </c>
      <c r="N269" t="s">
        <v>13</v>
      </c>
      <c r="O269">
        <v>4.3</v>
      </c>
      <c r="P269" t="s">
        <v>197</v>
      </c>
      <c r="Q269" t="s">
        <v>197</v>
      </c>
      <c r="R269" t="s">
        <v>197</v>
      </c>
      <c r="S269" t="s">
        <v>197</v>
      </c>
      <c r="T269" t="s">
        <v>93</v>
      </c>
      <c r="U269" t="s">
        <v>197</v>
      </c>
      <c r="V269" t="s">
        <v>197</v>
      </c>
    </row>
    <row r="270">
      <c r="A270">
        <v>2768</v>
      </c>
      <c r="B270" t="s">
        <v>20</v>
      </c>
      <c r="C270" t="s">
        <v>114</v>
      </c>
      <c r="D270" t="s">
        <v>493</v>
      </c>
      <c r="E270" t="s">
        <v>119</v>
      </c>
      <c r="F270" t="s">
        <v>93</v>
      </c>
      <c r="G270" t="s">
        <v>195</v>
      </c>
      <c r="H270" t="s">
        <v>195</v>
      </c>
      <c r="I270" t="s">
        <v>195</v>
      </c>
      <c r="J270">
        <v>10.4</v>
      </c>
      <c r="K270" t="s">
        <v>195</v>
      </c>
      <c r="L270" t="s">
        <v>197</v>
      </c>
      <c r="M270" t="s">
        <v>104</v>
      </c>
      <c r="N270" t="s">
        <v>93</v>
      </c>
      <c r="O270">
        <v>0.6</v>
      </c>
      <c r="P270" t="s">
        <v>195</v>
      </c>
      <c r="Q270" t="s">
        <v>195</v>
      </c>
      <c r="R270" t="s">
        <v>195</v>
      </c>
      <c r="S270" t="s">
        <v>197</v>
      </c>
      <c r="T270" t="s">
        <v>93</v>
      </c>
      <c r="U270" t="s">
        <v>195</v>
      </c>
      <c r="V270" t="s">
        <v>195</v>
      </c>
    </row>
    <row r="271">
      <c r="A271">
        <v>2801</v>
      </c>
      <c r="B271" t="s">
        <v>194</v>
      </c>
      <c r="C271" t="s">
        <v>114</v>
      </c>
      <c r="D271" t="s">
        <v>494</v>
      </c>
      <c r="E271" t="s">
        <v>119</v>
      </c>
      <c r="F271" t="s">
        <v>94</v>
      </c>
      <c r="G271" t="s">
        <v>195</v>
      </c>
      <c r="H271" t="s">
        <v>195</v>
      </c>
      <c r="I271" t="s">
        <v>195</v>
      </c>
      <c r="J271">
        <v>17.8</v>
      </c>
      <c r="K271" t="s">
        <v>195</v>
      </c>
      <c r="L271" t="s">
        <v>197</v>
      </c>
      <c r="M271" t="s">
        <v>198</v>
      </c>
      <c r="N271" t="s">
        <v>94</v>
      </c>
      <c r="O271">
        <v>53.9</v>
      </c>
      <c r="P271" t="s">
        <v>197</v>
      </c>
      <c r="Q271" t="s">
        <v>197</v>
      </c>
      <c r="R271" t="s">
        <v>197</v>
      </c>
      <c r="S271" t="s">
        <v>197</v>
      </c>
      <c r="T271" t="s">
        <v>94</v>
      </c>
      <c r="U271" t="s">
        <v>195</v>
      </c>
      <c r="V271" t="s">
        <v>195</v>
      </c>
    </row>
    <row r="272">
      <c r="A272">
        <v>2802</v>
      </c>
      <c r="B272" t="s">
        <v>194</v>
      </c>
      <c r="C272" t="s">
        <v>114</v>
      </c>
      <c r="D272" t="s">
        <v>495</v>
      </c>
      <c r="E272" t="s">
        <v>119</v>
      </c>
      <c r="F272" t="s">
        <v>94</v>
      </c>
      <c r="G272" t="s">
        <v>195</v>
      </c>
      <c r="H272" t="s">
        <v>195</v>
      </c>
      <c r="I272" t="s">
        <v>195</v>
      </c>
      <c r="J272">
        <v>2.2</v>
      </c>
      <c r="K272" t="s">
        <v>195</v>
      </c>
      <c r="L272" t="s">
        <v>197</v>
      </c>
      <c r="M272" t="s">
        <v>198</v>
      </c>
      <c r="N272" t="s">
        <v>94</v>
      </c>
      <c r="O272">
        <v>46</v>
      </c>
      <c r="P272" t="s">
        <v>197</v>
      </c>
      <c r="Q272" t="s">
        <v>197</v>
      </c>
      <c r="R272" t="s">
        <v>197</v>
      </c>
      <c r="S272" t="s">
        <v>197</v>
      </c>
      <c r="T272" t="s">
        <v>94</v>
      </c>
      <c r="U272" t="s">
        <v>197</v>
      </c>
      <c r="V272" t="s">
        <v>197</v>
      </c>
    </row>
    <row r="273">
      <c r="A273">
        <v>2808</v>
      </c>
      <c r="B273" t="s">
        <v>199</v>
      </c>
      <c r="C273" t="s">
        <v>114</v>
      </c>
      <c r="D273" t="s">
        <v>496</v>
      </c>
      <c r="E273" t="s">
        <v>119</v>
      </c>
      <c r="F273" t="s">
        <v>93</v>
      </c>
      <c r="G273" t="s">
        <v>195</v>
      </c>
      <c r="H273" t="s">
        <v>195</v>
      </c>
      <c r="I273" t="s">
        <v>197</v>
      </c>
      <c r="K273" t="s">
        <v>197</v>
      </c>
      <c r="L273" t="s">
        <v>197</v>
      </c>
      <c r="M273" t="s">
        <v>121</v>
      </c>
      <c r="N273" t="s">
        <v>13</v>
      </c>
      <c r="O273">
        <v>4.3</v>
      </c>
      <c r="P273" t="s">
        <v>197</v>
      </c>
      <c r="Q273" t="s">
        <v>197</v>
      </c>
      <c r="R273" t="s">
        <v>197</v>
      </c>
      <c r="S273" t="s">
        <v>197</v>
      </c>
      <c r="T273" t="s">
        <v>93</v>
      </c>
      <c r="U273" t="s">
        <v>197</v>
      </c>
      <c r="V273" t="s">
        <v>197</v>
      </c>
    </row>
    <row r="274">
      <c r="A274">
        <v>2818</v>
      </c>
      <c r="B274" t="s">
        <v>20</v>
      </c>
      <c r="C274" t="s">
        <v>114</v>
      </c>
      <c r="D274" t="s">
        <v>497</v>
      </c>
      <c r="E274" t="s">
        <v>119</v>
      </c>
      <c r="F274" t="s">
        <v>94</v>
      </c>
      <c r="G274" t="s">
        <v>195</v>
      </c>
      <c r="H274" t="s">
        <v>195</v>
      </c>
      <c r="I274" t="s">
        <v>195</v>
      </c>
      <c r="J274">
        <v>8.5</v>
      </c>
      <c r="K274" t="s">
        <v>195</v>
      </c>
      <c r="L274" t="s">
        <v>197</v>
      </c>
      <c r="M274" t="s">
        <v>121</v>
      </c>
      <c r="N274" t="s">
        <v>13</v>
      </c>
      <c r="O274">
        <v>4.3</v>
      </c>
      <c r="P274" t="s">
        <v>197</v>
      </c>
      <c r="Q274" t="s">
        <v>197</v>
      </c>
      <c r="R274" t="s">
        <v>197</v>
      </c>
      <c r="S274" t="s">
        <v>195</v>
      </c>
      <c r="T274" t="s">
        <v>94</v>
      </c>
      <c r="U274" t="s">
        <v>195</v>
      </c>
      <c r="V274" t="s">
        <v>195</v>
      </c>
    </row>
    <row r="275">
      <c r="A275">
        <v>2831</v>
      </c>
      <c r="B275" t="s">
        <v>20</v>
      </c>
      <c r="C275" t="s">
        <v>114</v>
      </c>
      <c r="D275" t="s">
        <v>498</v>
      </c>
      <c r="E275" t="s">
        <v>119</v>
      </c>
      <c r="F275" t="s">
        <v>95</v>
      </c>
      <c r="G275" t="s">
        <v>197</v>
      </c>
      <c r="H275" t="s">
        <v>197</v>
      </c>
      <c r="I275" t="s">
        <v>195</v>
      </c>
      <c r="J275">
        <v>0.1</v>
      </c>
      <c r="K275" t="s">
        <v>195</v>
      </c>
      <c r="L275" t="s">
        <v>197</v>
      </c>
      <c r="M275" t="s">
        <v>198</v>
      </c>
      <c r="N275" t="s">
        <v>95</v>
      </c>
      <c r="O275">
        <v>110.5</v>
      </c>
      <c r="P275" t="s">
        <v>197</v>
      </c>
      <c r="Q275" t="s">
        <v>197</v>
      </c>
      <c r="R275" t="s">
        <v>197</v>
      </c>
      <c r="S275" t="s">
        <v>197</v>
      </c>
      <c r="T275" t="s">
        <v>95</v>
      </c>
    </row>
    <row r="276">
      <c r="A276">
        <v>2731</v>
      </c>
      <c r="B276" t="s">
        <v>199</v>
      </c>
      <c r="C276" t="s">
        <v>114</v>
      </c>
      <c r="D276" t="s">
        <v>499</v>
      </c>
      <c r="E276" t="s">
        <v>121</v>
      </c>
      <c r="F276" t="s">
        <v>94</v>
      </c>
      <c r="G276" t="s">
        <v>195</v>
      </c>
      <c r="H276" t="s">
        <v>195</v>
      </c>
      <c r="I276" t="s">
        <v>197</v>
      </c>
      <c r="K276" t="s">
        <v>197</v>
      </c>
      <c r="L276" t="s">
        <v>197</v>
      </c>
      <c r="M276" t="s">
        <v>121</v>
      </c>
      <c r="N276" t="s">
        <v>13</v>
      </c>
      <c r="O276">
        <v>4.3</v>
      </c>
      <c r="P276" t="s">
        <v>197</v>
      </c>
      <c r="Q276" t="s">
        <v>197</v>
      </c>
      <c r="R276" t="s">
        <v>197</v>
      </c>
      <c r="S276" t="s">
        <v>197</v>
      </c>
      <c r="T276" t="s">
        <v>94</v>
      </c>
      <c r="U276" t="s">
        <v>197</v>
      </c>
      <c r="V276" t="s">
        <v>197</v>
      </c>
    </row>
    <row r="277">
      <c r="A277">
        <v>2843</v>
      </c>
      <c r="B277" t="s">
        <v>194</v>
      </c>
      <c r="C277" t="s">
        <v>114</v>
      </c>
      <c r="D277" t="s">
        <v>500</v>
      </c>
      <c r="E277" t="s">
        <v>121</v>
      </c>
      <c r="F277" t="s">
        <v>93</v>
      </c>
      <c r="G277" t="s">
        <v>195</v>
      </c>
      <c r="H277" t="s">
        <v>195</v>
      </c>
      <c r="I277" t="s">
        <v>197</v>
      </c>
      <c r="K277" t="s">
        <v>197</v>
      </c>
      <c r="L277" t="s">
        <v>197</v>
      </c>
      <c r="M277" t="s">
        <v>121</v>
      </c>
      <c r="N277" t="s">
        <v>13</v>
      </c>
      <c r="O277">
        <v>4.3</v>
      </c>
      <c r="P277" t="s">
        <v>197</v>
      </c>
      <c r="Q277" t="s">
        <v>197</v>
      </c>
      <c r="R277" t="s">
        <v>197</v>
      </c>
      <c r="S277" t="s">
        <v>197</v>
      </c>
      <c r="T277" t="s">
        <v>93</v>
      </c>
      <c r="U277" t="s">
        <v>197</v>
      </c>
      <c r="V277" t="s">
        <v>197</v>
      </c>
    </row>
    <row r="278">
      <c r="A278">
        <v>2868</v>
      </c>
      <c r="B278" t="s">
        <v>194</v>
      </c>
      <c r="C278" t="s">
        <v>114</v>
      </c>
      <c r="D278" t="s">
        <v>501</v>
      </c>
      <c r="E278" t="s">
        <v>119</v>
      </c>
      <c r="F278" t="s">
        <v>93</v>
      </c>
      <c r="G278" t="s">
        <v>195</v>
      </c>
      <c r="H278" t="s">
        <v>197</v>
      </c>
      <c r="I278" t="s">
        <v>195</v>
      </c>
      <c r="J278">
        <v>3.4</v>
      </c>
      <c r="K278" t="s">
        <v>195</v>
      </c>
      <c r="L278" t="s">
        <v>197</v>
      </c>
      <c r="M278" t="s">
        <v>198</v>
      </c>
      <c r="N278" t="s">
        <v>93</v>
      </c>
      <c r="O278">
        <v>98.59999999999999</v>
      </c>
      <c r="P278" t="s">
        <v>197</v>
      </c>
      <c r="Q278" t="s">
        <v>197</v>
      </c>
      <c r="R278" t="s">
        <v>197</v>
      </c>
      <c r="S278" t="s">
        <v>197</v>
      </c>
      <c r="T278" t="s">
        <v>93</v>
      </c>
      <c r="U278" t="s">
        <v>195</v>
      </c>
    </row>
    <row r="279">
      <c r="A279">
        <v>2876</v>
      </c>
      <c r="B279" t="s">
        <v>194</v>
      </c>
      <c r="C279" t="s">
        <v>114</v>
      </c>
      <c r="D279" t="s">
        <v>502</v>
      </c>
      <c r="E279" t="s">
        <v>119</v>
      </c>
      <c r="F279" t="s">
        <v>93</v>
      </c>
      <c r="G279" t="s">
        <v>195</v>
      </c>
      <c r="H279" t="s">
        <v>195</v>
      </c>
      <c r="I279" t="s">
        <v>197</v>
      </c>
      <c r="K279" t="s">
        <v>197</v>
      </c>
      <c r="L279" t="s">
        <v>197</v>
      </c>
      <c r="M279" t="s">
        <v>121</v>
      </c>
      <c r="N279" t="s">
        <v>13</v>
      </c>
      <c r="O279">
        <v>4.3</v>
      </c>
      <c r="P279" t="s">
        <v>197</v>
      </c>
      <c r="Q279" t="s">
        <v>197</v>
      </c>
      <c r="R279" t="s">
        <v>197</v>
      </c>
      <c r="S279" t="s">
        <v>197</v>
      </c>
      <c r="T279" t="s">
        <v>93</v>
      </c>
      <c r="U279" t="s">
        <v>197</v>
      </c>
      <c r="V279" t="s">
        <v>197</v>
      </c>
    </row>
    <row r="280">
      <c r="A280">
        <v>2852</v>
      </c>
      <c r="B280" t="s">
        <v>20</v>
      </c>
      <c r="C280" t="s">
        <v>114</v>
      </c>
      <c r="D280" t="s">
        <v>503</v>
      </c>
      <c r="E280" t="s">
        <v>121</v>
      </c>
      <c r="F280" t="s">
        <v>93</v>
      </c>
      <c r="G280" t="s">
        <v>195</v>
      </c>
      <c r="H280" t="s">
        <v>195</v>
      </c>
      <c r="I280" t="s">
        <v>197</v>
      </c>
      <c r="K280" t="s">
        <v>197</v>
      </c>
      <c r="L280" t="s">
        <v>197</v>
      </c>
      <c r="M280" t="s">
        <v>121</v>
      </c>
      <c r="N280" t="s">
        <v>13</v>
      </c>
      <c r="O280">
        <v>4.3</v>
      </c>
      <c r="P280" t="s">
        <v>197</v>
      </c>
      <c r="Q280" t="s">
        <v>197</v>
      </c>
      <c r="R280" t="s">
        <v>197</v>
      </c>
      <c r="S280" t="s">
        <v>197</v>
      </c>
      <c r="T280" t="s">
        <v>93</v>
      </c>
      <c r="U280" t="s">
        <v>197</v>
      </c>
      <c r="V280" t="s">
        <v>197</v>
      </c>
    </row>
    <row r="281">
      <c r="A281">
        <v>2851</v>
      </c>
      <c r="B281" t="s">
        <v>20</v>
      </c>
      <c r="C281" t="s">
        <v>114</v>
      </c>
      <c r="D281" t="s">
        <v>504</v>
      </c>
      <c r="E281" t="s">
        <v>121</v>
      </c>
      <c r="F281" t="s">
        <v>93</v>
      </c>
      <c r="G281" t="s">
        <v>195</v>
      </c>
      <c r="H281" t="s">
        <v>195</v>
      </c>
      <c r="I281" t="s">
        <v>195</v>
      </c>
      <c r="J281">
        <v>7.7</v>
      </c>
      <c r="K281" t="s">
        <v>195</v>
      </c>
      <c r="L281" t="s">
        <v>197</v>
      </c>
      <c r="M281" t="s">
        <v>121</v>
      </c>
      <c r="N281" t="s">
        <v>13</v>
      </c>
      <c r="O281">
        <v>4.3</v>
      </c>
      <c r="P281" t="s">
        <v>197</v>
      </c>
      <c r="Q281" t="s">
        <v>197</v>
      </c>
      <c r="R281" t="s">
        <v>197</v>
      </c>
      <c r="S281" t="s">
        <v>195</v>
      </c>
      <c r="T281" t="s">
        <v>93</v>
      </c>
      <c r="U281" t="s">
        <v>195</v>
      </c>
      <c r="V281" t="s">
        <v>197</v>
      </c>
    </row>
    <row r="282">
      <c r="A282">
        <v>2894</v>
      </c>
      <c r="B282" t="s">
        <v>20</v>
      </c>
      <c r="C282" t="s">
        <v>114</v>
      </c>
      <c r="D282" t="s">
        <v>505</v>
      </c>
      <c r="E282" t="s">
        <v>119</v>
      </c>
      <c r="F282" t="s">
        <v>93</v>
      </c>
      <c r="G282" t="s">
        <v>195</v>
      </c>
      <c r="H282" t="s">
        <v>195</v>
      </c>
      <c r="I282" t="s">
        <v>195</v>
      </c>
      <c r="J282">
        <v>31.9</v>
      </c>
      <c r="K282" t="s">
        <v>195</v>
      </c>
      <c r="L282" t="s">
        <v>197</v>
      </c>
      <c r="M282" t="s">
        <v>121</v>
      </c>
      <c r="N282" t="s">
        <v>13</v>
      </c>
      <c r="O282">
        <v>4.3</v>
      </c>
      <c r="P282" t="s">
        <v>197</v>
      </c>
      <c r="Q282" t="s">
        <v>197</v>
      </c>
      <c r="R282" t="s">
        <v>197</v>
      </c>
      <c r="S282" t="s">
        <v>195</v>
      </c>
      <c r="T282" t="s">
        <v>93</v>
      </c>
      <c r="U282" t="s">
        <v>195</v>
      </c>
      <c r="V282" t="s">
        <v>195</v>
      </c>
    </row>
    <row r="283">
      <c r="A283">
        <v>2901</v>
      </c>
      <c r="B283" t="s">
        <v>20</v>
      </c>
      <c r="C283" t="s">
        <v>114</v>
      </c>
      <c r="D283" t="s">
        <v>506</v>
      </c>
      <c r="E283" t="s">
        <v>119</v>
      </c>
      <c r="F283" t="s">
        <v>93</v>
      </c>
      <c r="G283" t="s">
        <v>195</v>
      </c>
      <c r="H283" t="s">
        <v>195</v>
      </c>
      <c r="I283" t="s">
        <v>197</v>
      </c>
      <c r="K283" t="s">
        <v>195</v>
      </c>
      <c r="L283" t="s">
        <v>197</v>
      </c>
      <c r="M283" t="s">
        <v>121</v>
      </c>
      <c r="N283" t="s">
        <v>13</v>
      </c>
      <c r="O283">
        <v>4.3</v>
      </c>
      <c r="P283" t="s">
        <v>197</v>
      </c>
      <c r="Q283" t="s">
        <v>197</v>
      </c>
      <c r="R283" t="s">
        <v>197</v>
      </c>
      <c r="S283" t="s">
        <v>197</v>
      </c>
      <c r="T283" t="s">
        <v>93</v>
      </c>
      <c r="U283" t="s">
        <v>197</v>
      </c>
      <c r="V283" t="s">
        <v>197</v>
      </c>
    </row>
    <row r="284">
      <c r="A284">
        <v>2900</v>
      </c>
      <c r="B284" t="s">
        <v>199</v>
      </c>
      <c r="C284" t="s">
        <v>114</v>
      </c>
      <c r="D284" t="s">
        <v>507</v>
      </c>
      <c r="E284" t="s">
        <v>119</v>
      </c>
      <c r="F284" t="s">
        <v>93</v>
      </c>
      <c r="G284" t="s">
        <v>195</v>
      </c>
      <c r="H284" t="s">
        <v>195</v>
      </c>
      <c r="I284" t="s">
        <v>195</v>
      </c>
      <c r="J284">
        <v>3.3</v>
      </c>
      <c r="K284" t="s">
        <v>195</v>
      </c>
      <c r="L284" t="s">
        <v>197</v>
      </c>
      <c r="M284" t="s">
        <v>121</v>
      </c>
      <c r="N284" t="s">
        <v>13</v>
      </c>
      <c r="O284">
        <v>4.3</v>
      </c>
      <c r="P284" t="s">
        <v>197</v>
      </c>
      <c r="Q284" t="s">
        <v>197</v>
      </c>
      <c r="R284" t="s">
        <v>197</v>
      </c>
      <c r="S284" t="s">
        <v>195</v>
      </c>
      <c r="T284" t="s">
        <v>93</v>
      </c>
      <c r="U284" t="s">
        <v>197</v>
      </c>
      <c r="V284" t="s">
        <v>197</v>
      </c>
    </row>
    <row r="285">
      <c r="A285">
        <v>2908</v>
      </c>
      <c r="B285" t="s">
        <v>194</v>
      </c>
      <c r="C285" t="s">
        <v>114</v>
      </c>
      <c r="D285" t="s">
        <v>508</v>
      </c>
      <c r="E285" t="s">
        <v>119</v>
      </c>
      <c r="F285" t="s">
        <v>94</v>
      </c>
      <c r="G285" t="s">
        <v>195</v>
      </c>
      <c r="H285" t="s">
        <v>195</v>
      </c>
      <c r="I285" t="s">
        <v>197</v>
      </c>
      <c r="K285" t="s">
        <v>195</v>
      </c>
      <c r="L285" t="s">
        <v>197</v>
      </c>
      <c r="M285" t="s">
        <v>121</v>
      </c>
      <c r="N285" t="s">
        <v>13</v>
      </c>
      <c r="O285">
        <v>4.3</v>
      </c>
      <c r="P285" t="s">
        <v>197</v>
      </c>
      <c r="Q285" t="s">
        <v>197</v>
      </c>
      <c r="R285" t="s">
        <v>197</v>
      </c>
      <c r="S285" t="s">
        <v>197</v>
      </c>
      <c r="T285" t="s">
        <v>94</v>
      </c>
      <c r="U285" t="s">
        <v>197</v>
      </c>
      <c r="V285" t="s">
        <v>197</v>
      </c>
    </row>
    <row r="286">
      <c r="A286">
        <v>2914</v>
      </c>
      <c r="B286" t="s">
        <v>20</v>
      </c>
      <c r="C286" t="s">
        <v>114</v>
      </c>
      <c r="D286" t="s">
        <v>509</v>
      </c>
      <c r="E286" t="s">
        <v>119</v>
      </c>
      <c r="F286" t="s">
        <v>94</v>
      </c>
      <c r="G286" t="s">
        <v>195</v>
      </c>
      <c r="H286" t="s">
        <v>195</v>
      </c>
      <c r="I286" t="s">
        <v>197</v>
      </c>
      <c r="K286" t="s">
        <v>195</v>
      </c>
      <c r="L286" t="s">
        <v>197</v>
      </c>
      <c r="M286" t="s">
        <v>121</v>
      </c>
      <c r="N286" t="s">
        <v>13</v>
      </c>
      <c r="O286">
        <v>4.3</v>
      </c>
      <c r="P286" t="s">
        <v>197</v>
      </c>
      <c r="Q286" t="s">
        <v>197</v>
      </c>
      <c r="R286" t="s">
        <v>197</v>
      </c>
      <c r="S286" t="s">
        <v>197</v>
      </c>
      <c r="T286" t="s">
        <v>94</v>
      </c>
      <c r="U286" t="s">
        <v>197</v>
      </c>
      <c r="V286" t="s">
        <v>197</v>
      </c>
    </row>
    <row r="287">
      <c r="A287">
        <v>2918</v>
      </c>
      <c r="B287" t="s">
        <v>199</v>
      </c>
      <c r="C287" t="s">
        <v>114</v>
      </c>
      <c r="D287" t="s">
        <v>510</v>
      </c>
      <c r="E287" t="s">
        <v>119</v>
      </c>
      <c r="F287" t="s">
        <v>94</v>
      </c>
      <c r="G287" t="s">
        <v>195</v>
      </c>
      <c r="H287" t="s">
        <v>195</v>
      </c>
      <c r="I287" t="s">
        <v>195</v>
      </c>
      <c r="J287">
        <v>10.9</v>
      </c>
      <c r="K287" t="s">
        <v>195</v>
      </c>
      <c r="L287" t="s">
        <v>197</v>
      </c>
      <c r="M287" t="s">
        <v>207</v>
      </c>
      <c r="N287" t="s">
        <v>95</v>
      </c>
      <c r="O287">
        <v>0.7</v>
      </c>
      <c r="P287" t="s">
        <v>195</v>
      </c>
      <c r="Q287" t="s">
        <v>195</v>
      </c>
      <c r="R287" t="s">
        <v>195</v>
      </c>
      <c r="S287" t="s">
        <v>197</v>
      </c>
      <c r="T287" t="s">
        <v>94</v>
      </c>
      <c r="U287" t="s">
        <v>195</v>
      </c>
      <c r="V287" t="s">
        <v>195</v>
      </c>
    </row>
    <row r="288">
      <c r="A288">
        <v>2916</v>
      </c>
      <c r="B288" t="s">
        <v>20</v>
      </c>
      <c r="C288" t="s">
        <v>114</v>
      </c>
      <c r="D288" t="s">
        <v>511</v>
      </c>
      <c r="E288" t="s">
        <v>119</v>
      </c>
      <c r="F288" t="s">
        <v>94</v>
      </c>
      <c r="G288" t="s">
        <v>195</v>
      </c>
      <c r="H288" t="s">
        <v>195</v>
      </c>
      <c r="I288" t="s">
        <v>197</v>
      </c>
      <c r="K288" t="s">
        <v>195</v>
      </c>
      <c r="L288" t="s">
        <v>197</v>
      </c>
      <c r="M288" t="s">
        <v>121</v>
      </c>
      <c r="N288" t="s">
        <v>13</v>
      </c>
      <c r="O288">
        <v>4.3</v>
      </c>
      <c r="P288" t="s">
        <v>197</v>
      </c>
      <c r="Q288" t="s">
        <v>197</v>
      </c>
      <c r="R288" t="s">
        <v>197</v>
      </c>
      <c r="S288" t="s">
        <v>197</v>
      </c>
      <c r="T288" t="s">
        <v>94</v>
      </c>
      <c r="U288" t="s">
        <v>197</v>
      </c>
      <c r="V288" t="s">
        <v>197</v>
      </c>
    </row>
    <row r="289">
      <c r="A289">
        <v>2921</v>
      </c>
      <c r="B289" t="s">
        <v>194</v>
      </c>
      <c r="C289" t="s">
        <v>114</v>
      </c>
      <c r="D289" t="s">
        <v>512</v>
      </c>
      <c r="E289" t="s">
        <v>119</v>
      </c>
      <c r="F289" t="s">
        <v>93</v>
      </c>
      <c r="G289" t="s">
        <v>195</v>
      </c>
      <c r="H289" t="s">
        <v>195</v>
      </c>
      <c r="I289" t="s">
        <v>195</v>
      </c>
      <c r="J289">
        <v>5.9</v>
      </c>
      <c r="K289" t="s">
        <v>195</v>
      </c>
      <c r="L289" t="s">
        <v>197</v>
      </c>
      <c r="M289" t="s">
        <v>207</v>
      </c>
      <c r="N289" t="s">
        <v>93</v>
      </c>
      <c r="O289">
        <v>0.3</v>
      </c>
      <c r="P289" t="s">
        <v>195</v>
      </c>
      <c r="Q289" t="s">
        <v>197</v>
      </c>
      <c r="R289" t="s">
        <v>197</v>
      </c>
      <c r="S289" t="s">
        <v>197</v>
      </c>
      <c r="T289" t="s">
        <v>93</v>
      </c>
      <c r="U289" t="s">
        <v>195</v>
      </c>
      <c r="V289" t="s">
        <v>195</v>
      </c>
    </row>
    <row r="290">
      <c r="A290">
        <v>2935</v>
      </c>
      <c r="B290" t="s">
        <v>20</v>
      </c>
      <c r="C290" t="s">
        <v>114</v>
      </c>
      <c r="D290" t="s">
        <v>513</v>
      </c>
      <c r="E290" t="s">
        <v>119</v>
      </c>
      <c r="F290" t="s">
        <v>94</v>
      </c>
      <c r="G290" t="s">
        <v>195</v>
      </c>
      <c r="H290" t="s">
        <v>195</v>
      </c>
      <c r="I290" t="s">
        <v>195</v>
      </c>
      <c r="J290">
        <v>2</v>
      </c>
      <c r="K290" t="s">
        <v>195</v>
      </c>
      <c r="L290" t="s">
        <v>197</v>
      </c>
      <c r="M290" t="s">
        <v>121</v>
      </c>
      <c r="N290" t="s">
        <v>13</v>
      </c>
      <c r="O290">
        <v>4.3</v>
      </c>
      <c r="P290" t="s">
        <v>197</v>
      </c>
      <c r="Q290" t="s">
        <v>197</v>
      </c>
      <c r="R290" t="s">
        <v>197</v>
      </c>
      <c r="S290" t="s">
        <v>195</v>
      </c>
      <c r="T290" t="s">
        <v>94</v>
      </c>
      <c r="U290" t="s">
        <v>197</v>
      </c>
      <c r="V290" t="s">
        <v>197</v>
      </c>
    </row>
    <row r="291">
      <c r="A291">
        <v>2958</v>
      </c>
      <c r="B291" t="s">
        <v>194</v>
      </c>
      <c r="C291" t="s">
        <v>114</v>
      </c>
      <c r="D291" t="s">
        <v>514</v>
      </c>
      <c r="E291" t="s">
        <v>119</v>
      </c>
      <c r="F291" t="s">
        <v>94</v>
      </c>
      <c r="G291" t="s">
        <v>195</v>
      </c>
      <c r="H291" t="s">
        <v>195</v>
      </c>
      <c r="I291" t="s">
        <v>195</v>
      </c>
      <c r="J291">
        <v>5.8</v>
      </c>
      <c r="K291" t="s">
        <v>195</v>
      </c>
      <c r="L291" t="s">
        <v>197</v>
      </c>
      <c r="M291" t="s">
        <v>121</v>
      </c>
      <c r="N291" t="s">
        <v>13</v>
      </c>
      <c r="O291">
        <v>4.3</v>
      </c>
      <c r="P291" t="s">
        <v>195</v>
      </c>
      <c r="Q291" t="s">
        <v>195</v>
      </c>
      <c r="R291" t="s">
        <v>195</v>
      </c>
      <c r="S291" t="s">
        <v>195</v>
      </c>
      <c r="T291" t="s">
        <v>94</v>
      </c>
      <c r="U291" t="s">
        <v>195</v>
      </c>
      <c r="V291" t="s">
        <v>195</v>
      </c>
    </row>
    <row r="292">
      <c r="A292">
        <v>2956</v>
      </c>
      <c r="B292" t="s">
        <v>194</v>
      </c>
      <c r="C292" t="s">
        <v>114</v>
      </c>
      <c r="D292" t="s">
        <v>515</v>
      </c>
      <c r="E292" t="s">
        <v>119</v>
      </c>
      <c r="F292" t="s">
        <v>94</v>
      </c>
      <c r="G292" t="s">
        <v>195</v>
      </c>
      <c r="H292" t="s">
        <v>195</v>
      </c>
      <c r="I292" t="s">
        <v>195</v>
      </c>
      <c r="J292">
        <v>6</v>
      </c>
      <c r="K292" t="s">
        <v>195</v>
      </c>
      <c r="L292" t="s">
        <v>197</v>
      </c>
      <c r="M292" t="s">
        <v>207</v>
      </c>
      <c r="N292" t="s">
        <v>95</v>
      </c>
      <c r="O292">
        <v>0.3</v>
      </c>
      <c r="P292" t="s">
        <v>195</v>
      </c>
      <c r="Q292" t="s">
        <v>197</v>
      </c>
      <c r="R292" t="s">
        <v>197</v>
      </c>
      <c r="S292" t="s">
        <v>197</v>
      </c>
      <c r="T292" t="s">
        <v>94</v>
      </c>
      <c r="U292" t="s">
        <v>195</v>
      </c>
      <c r="V292" t="s">
        <v>195</v>
      </c>
    </row>
    <row r="293">
      <c r="A293">
        <v>2965</v>
      </c>
      <c r="B293" t="s">
        <v>20</v>
      </c>
      <c r="C293" t="s">
        <v>114</v>
      </c>
      <c r="D293" t="s">
        <v>516</v>
      </c>
      <c r="E293" t="s">
        <v>119</v>
      </c>
      <c r="F293" t="s">
        <v>95</v>
      </c>
      <c r="G293" t="s">
        <v>195</v>
      </c>
      <c r="H293" t="s">
        <v>195</v>
      </c>
      <c r="I293" t="s">
        <v>195</v>
      </c>
      <c r="J293">
        <v>8</v>
      </c>
      <c r="K293" t="s">
        <v>195</v>
      </c>
      <c r="L293" t="s">
        <v>197</v>
      </c>
      <c r="M293" t="s">
        <v>121</v>
      </c>
      <c r="N293" t="s">
        <v>13</v>
      </c>
      <c r="O293">
        <v>4.3</v>
      </c>
      <c r="P293" t="s">
        <v>197</v>
      </c>
      <c r="Q293" t="s">
        <v>197</v>
      </c>
      <c r="R293" t="s">
        <v>197</v>
      </c>
      <c r="S293" t="s">
        <v>195</v>
      </c>
      <c r="T293" t="s">
        <v>95</v>
      </c>
      <c r="U293" t="s">
        <v>195</v>
      </c>
      <c r="V293" t="s">
        <v>197</v>
      </c>
    </row>
    <row r="294">
      <c r="A294">
        <v>2973</v>
      </c>
      <c r="B294" t="s">
        <v>199</v>
      </c>
      <c r="C294" t="s">
        <v>114</v>
      </c>
      <c r="D294" t="s">
        <v>517</v>
      </c>
      <c r="E294" t="s">
        <v>119</v>
      </c>
      <c r="F294" t="s">
        <v>94</v>
      </c>
      <c r="G294" t="s">
        <v>197</v>
      </c>
      <c r="H294" t="s">
        <v>197</v>
      </c>
      <c r="I294" t="s">
        <v>195</v>
      </c>
      <c r="J294">
        <v>2.5</v>
      </c>
      <c r="K294" t="s">
        <v>195</v>
      </c>
      <c r="L294" t="s">
        <v>197</v>
      </c>
      <c r="M294" t="s">
        <v>198</v>
      </c>
      <c r="N294" t="s">
        <v>94</v>
      </c>
      <c r="O294">
        <v>118</v>
      </c>
      <c r="P294" t="s">
        <v>197</v>
      </c>
      <c r="Q294" t="s">
        <v>197</v>
      </c>
      <c r="R294" t="s">
        <v>197</v>
      </c>
      <c r="S294" t="s">
        <v>197</v>
      </c>
      <c r="T294" t="s">
        <v>94</v>
      </c>
    </row>
    <row r="295">
      <c r="A295">
        <v>2983</v>
      </c>
      <c r="B295" t="s">
        <v>199</v>
      </c>
      <c r="C295" t="s">
        <v>114</v>
      </c>
      <c r="D295" t="s">
        <v>518</v>
      </c>
      <c r="E295" t="s">
        <v>119</v>
      </c>
      <c r="F295" t="s">
        <v>95</v>
      </c>
      <c r="G295" t="s">
        <v>195</v>
      </c>
      <c r="H295" t="s">
        <v>197</v>
      </c>
      <c r="I295" t="s">
        <v>195</v>
      </c>
      <c r="J295">
        <v>2.9</v>
      </c>
      <c r="K295" t="s">
        <v>195</v>
      </c>
      <c r="L295" t="s">
        <v>195</v>
      </c>
      <c r="M295" t="s">
        <v>198</v>
      </c>
      <c r="N295" t="s">
        <v>95</v>
      </c>
      <c r="O295">
        <v>110.8</v>
      </c>
      <c r="P295" t="s">
        <v>197</v>
      </c>
      <c r="Q295" t="s">
        <v>197</v>
      </c>
      <c r="R295" t="s">
        <v>197</v>
      </c>
      <c r="S295" t="s">
        <v>197</v>
      </c>
      <c r="T295" t="s">
        <v>95</v>
      </c>
      <c r="U295" t="s">
        <v>195</v>
      </c>
    </row>
    <row r="296">
      <c r="A296">
        <v>2975</v>
      </c>
      <c r="B296" t="s">
        <v>20</v>
      </c>
      <c r="C296" t="s">
        <v>114</v>
      </c>
      <c r="D296" t="s">
        <v>519</v>
      </c>
      <c r="E296" t="s">
        <v>121</v>
      </c>
      <c r="F296" t="s">
        <v>93</v>
      </c>
      <c r="G296" t="s">
        <v>195</v>
      </c>
      <c r="H296" t="s">
        <v>195</v>
      </c>
      <c r="I296" t="s">
        <v>195</v>
      </c>
      <c r="J296">
        <v>153.3</v>
      </c>
      <c r="K296" t="s">
        <v>195</v>
      </c>
      <c r="L296" t="s">
        <v>197</v>
      </c>
      <c r="M296" t="s">
        <v>104</v>
      </c>
      <c r="N296" t="s">
        <v>93</v>
      </c>
      <c r="O296">
        <v>103.1</v>
      </c>
      <c r="P296" t="s">
        <v>195</v>
      </c>
      <c r="Q296" t="s">
        <v>195</v>
      </c>
      <c r="R296" t="s">
        <v>195</v>
      </c>
      <c r="S296" t="s">
        <v>197</v>
      </c>
      <c r="T296" t="s">
        <v>93</v>
      </c>
      <c r="U296" t="s">
        <v>197</v>
      </c>
      <c r="V296" t="s">
        <v>197</v>
      </c>
    </row>
    <row r="297">
      <c r="A297">
        <v>2986</v>
      </c>
      <c r="B297" t="s">
        <v>20</v>
      </c>
      <c r="C297" t="s">
        <v>114</v>
      </c>
      <c r="D297" t="s">
        <v>520</v>
      </c>
      <c r="E297" t="s">
        <v>121</v>
      </c>
      <c r="F297" t="s">
        <v>93</v>
      </c>
      <c r="G297" t="s">
        <v>195</v>
      </c>
      <c r="H297" t="s">
        <v>195</v>
      </c>
      <c r="I297" t="s">
        <v>197</v>
      </c>
      <c r="K297" t="s">
        <v>197</v>
      </c>
      <c r="L297" t="s">
        <v>197</v>
      </c>
      <c r="M297" t="s">
        <v>121</v>
      </c>
      <c r="N297" t="s">
        <v>13</v>
      </c>
      <c r="O297">
        <v>4.3</v>
      </c>
      <c r="P297" t="s">
        <v>197</v>
      </c>
      <c r="Q297" t="s">
        <v>197</v>
      </c>
      <c r="R297" t="s">
        <v>197</v>
      </c>
      <c r="S297" t="s">
        <v>197</v>
      </c>
      <c r="T297" t="s">
        <v>93</v>
      </c>
      <c r="U297" t="s">
        <v>197</v>
      </c>
      <c r="V297" t="s">
        <v>197</v>
      </c>
    </row>
    <row r="298">
      <c r="A298">
        <v>3002</v>
      </c>
      <c r="B298" t="s">
        <v>20</v>
      </c>
      <c r="C298" t="s">
        <v>114</v>
      </c>
      <c r="D298" t="s">
        <v>521</v>
      </c>
      <c r="E298" t="s">
        <v>119</v>
      </c>
      <c r="F298" t="s">
        <v>93</v>
      </c>
      <c r="G298" t="s">
        <v>195</v>
      </c>
      <c r="H298" t="s">
        <v>195</v>
      </c>
      <c r="I298" t="s">
        <v>197</v>
      </c>
      <c r="K298" t="s">
        <v>197</v>
      </c>
      <c r="L298" t="s">
        <v>197</v>
      </c>
      <c r="M298" t="s">
        <v>121</v>
      </c>
      <c r="N298" t="s">
        <v>13</v>
      </c>
      <c r="O298">
        <v>4.3</v>
      </c>
      <c r="P298" t="s">
        <v>197</v>
      </c>
      <c r="Q298" t="s">
        <v>197</v>
      </c>
      <c r="R298" t="s">
        <v>197</v>
      </c>
      <c r="S298" t="s">
        <v>197</v>
      </c>
      <c r="T298" t="s">
        <v>93</v>
      </c>
      <c r="U298" t="s">
        <v>197</v>
      </c>
      <c r="V298" t="s">
        <v>197</v>
      </c>
    </row>
    <row r="299">
      <c r="A299">
        <v>2960</v>
      </c>
      <c r="B299" t="s">
        <v>20</v>
      </c>
      <c r="C299" t="s">
        <v>114</v>
      </c>
      <c r="D299" t="s">
        <v>522</v>
      </c>
      <c r="E299" t="s">
        <v>121</v>
      </c>
      <c r="F299" t="s">
        <v>93</v>
      </c>
      <c r="G299" t="s">
        <v>195</v>
      </c>
      <c r="H299" t="s">
        <v>195</v>
      </c>
      <c r="I299" t="s">
        <v>195</v>
      </c>
      <c r="J299">
        <v>28.7</v>
      </c>
      <c r="K299" t="s">
        <v>195</v>
      </c>
      <c r="L299" t="s">
        <v>197</v>
      </c>
      <c r="M299" t="s">
        <v>121</v>
      </c>
      <c r="N299" t="s">
        <v>13</v>
      </c>
      <c r="O299">
        <v>4.3</v>
      </c>
      <c r="P299" t="s">
        <v>197</v>
      </c>
      <c r="Q299" t="s">
        <v>197</v>
      </c>
      <c r="R299" t="s">
        <v>197</v>
      </c>
      <c r="S299" t="s">
        <v>195</v>
      </c>
      <c r="T299" t="s">
        <v>93</v>
      </c>
      <c r="U299" t="s">
        <v>195</v>
      </c>
      <c r="V299" t="s">
        <v>195</v>
      </c>
    </row>
    <row r="300">
      <c r="A300">
        <v>3004</v>
      </c>
      <c r="B300" t="s">
        <v>20</v>
      </c>
      <c r="C300" t="s">
        <v>114</v>
      </c>
      <c r="D300" t="s">
        <v>523</v>
      </c>
      <c r="E300" t="s">
        <v>119</v>
      </c>
      <c r="F300" t="s">
        <v>93</v>
      </c>
      <c r="G300" t="s">
        <v>195</v>
      </c>
      <c r="H300" t="s">
        <v>195</v>
      </c>
      <c r="I300" t="s">
        <v>195</v>
      </c>
      <c r="J300">
        <v>2.4</v>
      </c>
      <c r="K300" t="s">
        <v>195</v>
      </c>
      <c r="L300" t="s">
        <v>197</v>
      </c>
      <c r="M300" t="s">
        <v>135</v>
      </c>
      <c r="P300" t="s">
        <v>197</v>
      </c>
      <c r="Q300" t="s">
        <v>197</v>
      </c>
      <c r="R300" t="s">
        <v>197</v>
      </c>
      <c r="S300" t="s">
        <v>197</v>
      </c>
      <c r="T300" t="s">
        <v>93</v>
      </c>
      <c r="U300" t="s">
        <v>195</v>
      </c>
      <c r="V300" t="s">
        <v>195</v>
      </c>
    </row>
    <row r="301">
      <c r="A301">
        <v>3010</v>
      </c>
      <c r="B301" t="s">
        <v>20</v>
      </c>
      <c r="C301" t="s">
        <v>114</v>
      </c>
      <c r="D301" t="s">
        <v>524</v>
      </c>
      <c r="E301" t="s">
        <v>119</v>
      </c>
      <c r="F301" t="s">
        <v>93</v>
      </c>
      <c r="G301" t="s">
        <v>195</v>
      </c>
      <c r="H301" t="s">
        <v>195</v>
      </c>
      <c r="I301" t="s">
        <v>195</v>
      </c>
      <c r="J301">
        <v>17.9</v>
      </c>
      <c r="K301" t="s">
        <v>195</v>
      </c>
      <c r="L301" t="s">
        <v>197</v>
      </c>
      <c r="M301" t="s">
        <v>198</v>
      </c>
      <c r="N301" t="s">
        <v>96</v>
      </c>
      <c r="O301">
        <v>119.9</v>
      </c>
      <c r="P301" t="s">
        <v>197</v>
      </c>
      <c r="Q301" t="s">
        <v>197</v>
      </c>
      <c r="R301" t="s">
        <v>197</v>
      </c>
      <c r="S301" t="s">
        <v>197</v>
      </c>
      <c r="T301" t="s">
        <v>93</v>
      </c>
      <c r="U301" t="s">
        <v>195</v>
      </c>
      <c r="V301" t="s">
        <v>195</v>
      </c>
    </row>
    <row r="302">
      <c r="A302">
        <v>3057</v>
      </c>
      <c r="B302" t="s">
        <v>194</v>
      </c>
      <c r="C302" t="s">
        <v>114</v>
      </c>
      <c r="D302" t="s">
        <v>525</v>
      </c>
      <c r="E302" t="s">
        <v>119</v>
      </c>
      <c r="F302" t="s">
        <v>94</v>
      </c>
      <c r="G302" t="s">
        <v>195</v>
      </c>
      <c r="H302" t="s">
        <v>195</v>
      </c>
      <c r="I302" t="s">
        <v>195</v>
      </c>
      <c r="J302">
        <v>15.3</v>
      </c>
      <c r="K302" t="s">
        <v>195</v>
      </c>
      <c r="L302" t="s">
        <v>197</v>
      </c>
      <c r="M302" t="s">
        <v>198</v>
      </c>
      <c r="N302" t="s">
        <v>94</v>
      </c>
      <c r="O302">
        <v>116.8</v>
      </c>
      <c r="P302" t="s">
        <v>197</v>
      </c>
      <c r="Q302" t="s">
        <v>197</v>
      </c>
      <c r="R302" t="s">
        <v>197</v>
      </c>
      <c r="S302" t="s">
        <v>197</v>
      </c>
      <c r="T302" t="s">
        <v>94</v>
      </c>
      <c r="U302" t="s">
        <v>195</v>
      </c>
      <c r="V302" t="s">
        <v>195</v>
      </c>
    </row>
    <row r="303">
      <c r="A303">
        <v>1353</v>
      </c>
      <c r="B303" t="s">
        <v>199</v>
      </c>
      <c r="C303" t="s">
        <v>114</v>
      </c>
      <c r="D303" t="s">
        <v>526</v>
      </c>
      <c r="E303" t="s">
        <v>119</v>
      </c>
      <c r="F303" t="s">
        <v>94</v>
      </c>
      <c r="G303" t="s">
        <v>195</v>
      </c>
      <c r="H303" t="s">
        <v>195</v>
      </c>
      <c r="I303" t="s">
        <v>195</v>
      </c>
      <c r="J303">
        <v>131.9</v>
      </c>
      <c r="K303" t="s">
        <v>195</v>
      </c>
      <c r="L303" t="s">
        <v>197</v>
      </c>
      <c r="M303" t="s">
        <v>121</v>
      </c>
      <c r="N303" t="s">
        <v>13</v>
      </c>
      <c r="O303">
        <v>4.3</v>
      </c>
      <c r="P303" t="s">
        <v>197</v>
      </c>
      <c r="Q303" t="s">
        <v>197</v>
      </c>
      <c r="R303" t="s">
        <v>197</v>
      </c>
      <c r="S303" t="s">
        <v>195</v>
      </c>
      <c r="T303" t="s">
        <v>95</v>
      </c>
      <c r="U303" t="s">
        <v>197</v>
      </c>
      <c r="V303" t="s">
        <v>197</v>
      </c>
    </row>
    <row r="304">
      <c r="A304">
        <v>3089</v>
      </c>
      <c r="B304" t="s">
        <v>20</v>
      </c>
      <c r="C304" t="s">
        <v>114</v>
      </c>
      <c r="D304" t="s">
        <v>527</v>
      </c>
      <c r="E304" t="s">
        <v>119</v>
      </c>
      <c r="F304" t="s">
        <v>93</v>
      </c>
      <c r="G304" t="s">
        <v>195</v>
      </c>
      <c r="H304" t="s">
        <v>195</v>
      </c>
      <c r="I304" t="s">
        <v>197</v>
      </c>
      <c r="K304" t="s">
        <v>197</v>
      </c>
      <c r="L304" t="s">
        <v>197</v>
      </c>
      <c r="M304" t="s">
        <v>121</v>
      </c>
      <c r="N304" t="s">
        <v>13</v>
      </c>
      <c r="O304">
        <v>4.3</v>
      </c>
      <c r="P304" t="s">
        <v>197</v>
      </c>
      <c r="Q304" t="s">
        <v>197</v>
      </c>
      <c r="R304" t="s">
        <v>197</v>
      </c>
      <c r="S304" t="s">
        <v>197</v>
      </c>
      <c r="T304" t="s">
        <v>93</v>
      </c>
      <c r="U304" t="s">
        <v>197</v>
      </c>
      <c r="V304" t="s">
        <v>197</v>
      </c>
    </row>
    <row r="305">
      <c r="A305">
        <v>3106</v>
      </c>
      <c r="B305" t="s">
        <v>194</v>
      </c>
      <c r="C305" t="s">
        <v>114</v>
      </c>
      <c r="D305" t="s">
        <v>528</v>
      </c>
      <c r="E305" t="s">
        <v>119</v>
      </c>
      <c r="F305" t="s">
        <v>93</v>
      </c>
      <c r="G305" t="s">
        <v>195</v>
      </c>
      <c r="H305" t="s">
        <v>195</v>
      </c>
      <c r="I305" t="s">
        <v>197</v>
      </c>
      <c r="K305" t="s">
        <v>197</v>
      </c>
      <c r="L305" t="s">
        <v>197</v>
      </c>
      <c r="M305" t="s">
        <v>121</v>
      </c>
      <c r="N305" t="s">
        <v>13</v>
      </c>
      <c r="O305">
        <v>4.3</v>
      </c>
      <c r="P305" t="s">
        <v>197</v>
      </c>
      <c r="Q305" t="s">
        <v>197</v>
      </c>
      <c r="R305" t="s">
        <v>197</v>
      </c>
      <c r="S305" t="s">
        <v>197</v>
      </c>
      <c r="T305" t="s">
        <v>93</v>
      </c>
      <c r="U305" t="s">
        <v>197</v>
      </c>
      <c r="V305" t="s">
        <v>197</v>
      </c>
    </row>
    <row r="306">
      <c r="A306">
        <v>3123</v>
      </c>
      <c r="B306" t="s">
        <v>20</v>
      </c>
      <c r="C306" t="s">
        <v>114</v>
      </c>
      <c r="D306" t="s">
        <v>529</v>
      </c>
      <c r="E306" t="s">
        <v>119</v>
      </c>
      <c r="F306" t="s">
        <v>93</v>
      </c>
      <c r="G306" t="s">
        <v>195</v>
      </c>
      <c r="H306" t="s">
        <v>195</v>
      </c>
      <c r="I306" t="s">
        <v>195</v>
      </c>
      <c r="J306">
        <v>0.4</v>
      </c>
      <c r="K306" t="s">
        <v>195</v>
      </c>
      <c r="L306" t="s">
        <v>197</v>
      </c>
      <c r="M306" t="s">
        <v>121</v>
      </c>
      <c r="N306" t="s">
        <v>13</v>
      </c>
      <c r="O306">
        <v>4.3</v>
      </c>
      <c r="P306" t="s">
        <v>197</v>
      </c>
      <c r="Q306" t="s">
        <v>197</v>
      </c>
      <c r="R306" t="s">
        <v>197</v>
      </c>
      <c r="S306" t="s">
        <v>195</v>
      </c>
      <c r="T306" t="s">
        <v>93</v>
      </c>
      <c r="U306" t="s">
        <v>195</v>
      </c>
      <c r="V306" t="s">
        <v>197</v>
      </c>
    </row>
    <row r="307">
      <c r="A307">
        <v>3127</v>
      </c>
      <c r="B307" t="s">
        <v>20</v>
      </c>
      <c r="C307" t="s">
        <v>114</v>
      </c>
      <c r="D307" t="s">
        <v>530</v>
      </c>
      <c r="E307" t="s">
        <v>119</v>
      </c>
      <c r="F307" t="s">
        <v>93</v>
      </c>
      <c r="G307" t="s">
        <v>195</v>
      </c>
      <c r="H307" t="s">
        <v>195</v>
      </c>
      <c r="I307" t="s">
        <v>197</v>
      </c>
      <c r="K307" t="s">
        <v>197</v>
      </c>
      <c r="L307" t="s">
        <v>197</v>
      </c>
      <c r="M307" t="s">
        <v>121</v>
      </c>
      <c r="N307" t="s">
        <v>13</v>
      </c>
      <c r="O307">
        <v>4.3</v>
      </c>
      <c r="P307" t="s">
        <v>197</v>
      </c>
      <c r="Q307" t="s">
        <v>197</v>
      </c>
      <c r="R307" t="s">
        <v>197</v>
      </c>
      <c r="S307" t="s">
        <v>197</v>
      </c>
      <c r="T307" t="s">
        <v>93</v>
      </c>
      <c r="U307" t="s">
        <v>197</v>
      </c>
      <c r="V307" t="s">
        <v>197</v>
      </c>
    </row>
    <row r="308">
      <c r="A308">
        <v>3145</v>
      </c>
      <c r="B308" t="s">
        <v>199</v>
      </c>
      <c r="C308" t="s">
        <v>114</v>
      </c>
      <c r="D308" t="s">
        <v>531</v>
      </c>
      <c r="E308" t="s">
        <v>119</v>
      </c>
      <c r="F308" t="s">
        <v>95</v>
      </c>
      <c r="G308" t="s">
        <v>195</v>
      </c>
      <c r="H308" t="s">
        <v>195</v>
      </c>
      <c r="I308" t="s">
        <v>197</v>
      </c>
      <c r="K308" t="s">
        <v>197</v>
      </c>
      <c r="L308" t="s">
        <v>197</v>
      </c>
      <c r="M308" t="s">
        <v>121</v>
      </c>
      <c r="N308" t="s">
        <v>13</v>
      </c>
      <c r="O308">
        <v>4.3</v>
      </c>
      <c r="P308" t="s">
        <v>197</v>
      </c>
      <c r="Q308" t="s">
        <v>197</v>
      </c>
      <c r="R308" t="s">
        <v>197</v>
      </c>
      <c r="S308" t="s">
        <v>197</v>
      </c>
      <c r="T308" t="s">
        <v>95</v>
      </c>
      <c r="U308" t="s">
        <v>197</v>
      </c>
      <c r="V308" t="s">
        <v>197</v>
      </c>
    </row>
    <row r="309">
      <c r="A309">
        <v>3154</v>
      </c>
      <c r="B309" t="s">
        <v>20</v>
      </c>
      <c r="C309" t="s">
        <v>114</v>
      </c>
      <c r="D309" t="s">
        <v>532</v>
      </c>
      <c r="E309" t="s">
        <v>119</v>
      </c>
      <c r="F309" t="s">
        <v>94</v>
      </c>
      <c r="G309" t="s">
        <v>195</v>
      </c>
      <c r="H309" t="s">
        <v>197</v>
      </c>
      <c r="I309" t="s">
        <v>195</v>
      </c>
      <c r="J309">
        <v>6</v>
      </c>
      <c r="K309" t="s">
        <v>195</v>
      </c>
      <c r="L309" t="s">
        <v>197</v>
      </c>
      <c r="M309" t="s">
        <v>135</v>
      </c>
      <c r="P309" t="s">
        <v>197</v>
      </c>
      <c r="Q309" t="s">
        <v>197</v>
      </c>
      <c r="R309" t="s">
        <v>197</v>
      </c>
      <c r="S309" t="s">
        <v>197</v>
      </c>
      <c r="T309" t="s">
        <v>94</v>
      </c>
      <c r="U309" t="s">
        <v>195</v>
      </c>
    </row>
    <row r="310">
      <c r="A310">
        <v>3153</v>
      </c>
      <c r="B310" t="s">
        <v>199</v>
      </c>
      <c r="C310" t="s">
        <v>114</v>
      </c>
      <c r="D310" t="s">
        <v>533</v>
      </c>
      <c r="E310" t="s">
        <v>119</v>
      </c>
      <c r="F310" t="s">
        <v>94</v>
      </c>
      <c r="G310" t="s">
        <v>195</v>
      </c>
      <c r="H310" t="s">
        <v>195</v>
      </c>
      <c r="I310" t="s">
        <v>195</v>
      </c>
      <c r="J310">
        <v>72</v>
      </c>
      <c r="K310" t="s">
        <v>195</v>
      </c>
      <c r="L310" t="s">
        <v>197</v>
      </c>
      <c r="M310" t="s">
        <v>121</v>
      </c>
      <c r="N310" t="s">
        <v>13</v>
      </c>
      <c r="O310">
        <v>4.3</v>
      </c>
      <c r="P310" t="s">
        <v>197</v>
      </c>
      <c r="Q310" t="s">
        <v>197</v>
      </c>
      <c r="R310" t="s">
        <v>197</v>
      </c>
      <c r="S310" t="s">
        <v>195</v>
      </c>
      <c r="T310" t="s">
        <v>94</v>
      </c>
      <c r="U310" t="s">
        <v>197</v>
      </c>
      <c r="V310" t="s">
        <v>197</v>
      </c>
    </row>
    <row r="311">
      <c r="A311">
        <v>3161</v>
      </c>
      <c r="B311" t="s">
        <v>20</v>
      </c>
      <c r="C311" t="s">
        <v>114</v>
      </c>
      <c r="D311" t="s">
        <v>534</v>
      </c>
      <c r="E311" t="s">
        <v>119</v>
      </c>
      <c r="F311" t="s">
        <v>94</v>
      </c>
      <c r="G311" t="s">
        <v>195</v>
      </c>
      <c r="H311" t="s">
        <v>195</v>
      </c>
      <c r="I311" t="s">
        <v>197</v>
      </c>
      <c r="K311" t="s">
        <v>197</v>
      </c>
      <c r="L311" t="s">
        <v>197</v>
      </c>
      <c r="M311" t="s">
        <v>121</v>
      </c>
      <c r="N311" t="s">
        <v>13</v>
      </c>
      <c r="O311">
        <v>4.3</v>
      </c>
      <c r="P311" t="s">
        <v>197</v>
      </c>
      <c r="Q311" t="s">
        <v>197</v>
      </c>
      <c r="R311" t="s">
        <v>197</v>
      </c>
      <c r="S311" t="s">
        <v>197</v>
      </c>
      <c r="T311" t="s">
        <v>94</v>
      </c>
      <c r="U311" t="s">
        <v>197</v>
      </c>
      <c r="V311" t="s">
        <v>197</v>
      </c>
    </row>
    <row r="312">
      <c r="A312">
        <v>3148</v>
      </c>
      <c r="B312" t="s">
        <v>199</v>
      </c>
      <c r="C312" t="s">
        <v>114</v>
      </c>
      <c r="D312" t="s">
        <v>535</v>
      </c>
      <c r="E312" t="s">
        <v>121</v>
      </c>
      <c r="F312" t="s">
        <v>94</v>
      </c>
      <c r="G312" t="s">
        <v>195</v>
      </c>
      <c r="H312" t="s">
        <v>195</v>
      </c>
      <c r="I312" t="s">
        <v>195</v>
      </c>
      <c r="J312">
        <v>123.4</v>
      </c>
      <c r="K312" t="s">
        <v>195</v>
      </c>
      <c r="L312" t="s">
        <v>197</v>
      </c>
      <c r="M312" t="s">
        <v>207</v>
      </c>
      <c r="N312" t="s">
        <v>95</v>
      </c>
      <c r="O312">
        <v>2.1</v>
      </c>
      <c r="P312" t="s">
        <v>195</v>
      </c>
      <c r="Q312" t="s">
        <v>195</v>
      </c>
      <c r="R312" t="s">
        <v>197</v>
      </c>
      <c r="S312" t="s">
        <v>197</v>
      </c>
      <c r="T312" t="s">
        <v>94</v>
      </c>
      <c r="U312" t="s">
        <v>197</v>
      </c>
      <c r="V312" t="s">
        <v>197</v>
      </c>
    </row>
    <row r="313">
      <c r="A313">
        <v>3169</v>
      </c>
      <c r="B313" t="s">
        <v>20</v>
      </c>
      <c r="C313" t="s">
        <v>114</v>
      </c>
      <c r="D313" t="s">
        <v>536</v>
      </c>
      <c r="E313" t="s">
        <v>119</v>
      </c>
      <c r="F313" t="s">
        <v>93</v>
      </c>
      <c r="G313" t="s">
        <v>195</v>
      </c>
      <c r="H313" t="s">
        <v>195</v>
      </c>
      <c r="I313" t="s">
        <v>195</v>
      </c>
      <c r="J313">
        <v>5.7</v>
      </c>
      <c r="K313" t="s">
        <v>195</v>
      </c>
      <c r="L313" t="s">
        <v>197</v>
      </c>
      <c r="M313" t="s">
        <v>121</v>
      </c>
      <c r="N313" t="s">
        <v>13</v>
      </c>
      <c r="O313">
        <v>4.3</v>
      </c>
      <c r="P313" t="s">
        <v>197</v>
      </c>
      <c r="Q313" t="s">
        <v>197</v>
      </c>
      <c r="R313" t="s">
        <v>197</v>
      </c>
      <c r="S313" t="s">
        <v>195</v>
      </c>
      <c r="T313" t="s">
        <v>93</v>
      </c>
      <c r="U313" t="s">
        <v>195</v>
      </c>
      <c r="V313" t="s">
        <v>197</v>
      </c>
    </row>
    <row r="314">
      <c r="A314">
        <v>3174</v>
      </c>
      <c r="B314" t="s">
        <v>20</v>
      </c>
      <c r="C314" t="s">
        <v>114</v>
      </c>
      <c r="D314" t="s">
        <v>537</v>
      </c>
      <c r="E314" t="s">
        <v>119</v>
      </c>
      <c r="F314" t="s">
        <v>95</v>
      </c>
      <c r="G314" t="s">
        <v>195</v>
      </c>
      <c r="H314" t="s">
        <v>195</v>
      </c>
      <c r="I314" t="s">
        <v>195</v>
      </c>
      <c r="J314">
        <v>4.6</v>
      </c>
      <c r="K314" t="s">
        <v>195</v>
      </c>
      <c r="L314" t="s">
        <v>197</v>
      </c>
      <c r="M314" t="s">
        <v>121</v>
      </c>
      <c r="N314" t="s">
        <v>13</v>
      </c>
      <c r="O314">
        <v>4.3</v>
      </c>
      <c r="P314" t="s">
        <v>197</v>
      </c>
      <c r="Q314" t="s">
        <v>197</v>
      </c>
      <c r="R314" t="s">
        <v>197</v>
      </c>
      <c r="S314" t="s">
        <v>195</v>
      </c>
      <c r="T314" t="s">
        <v>95</v>
      </c>
      <c r="U314" t="s">
        <v>197</v>
      </c>
      <c r="V314" t="s">
        <v>197</v>
      </c>
    </row>
    <row r="315">
      <c r="A315">
        <v>3190</v>
      </c>
      <c r="B315" t="s">
        <v>194</v>
      </c>
      <c r="C315" t="s">
        <v>114</v>
      </c>
      <c r="D315" t="s">
        <v>538</v>
      </c>
      <c r="E315" t="s">
        <v>119</v>
      </c>
      <c r="F315" t="s">
        <v>93</v>
      </c>
      <c r="G315" t="s">
        <v>195</v>
      </c>
      <c r="H315" t="s">
        <v>195</v>
      </c>
      <c r="I315" t="s">
        <v>195</v>
      </c>
      <c r="J315">
        <v>7.8</v>
      </c>
      <c r="K315" t="s">
        <v>195</v>
      </c>
      <c r="L315" t="s">
        <v>197</v>
      </c>
      <c r="M315" t="s">
        <v>121</v>
      </c>
      <c r="N315" t="s">
        <v>13</v>
      </c>
      <c r="O315">
        <v>4.3</v>
      </c>
      <c r="P315" t="s">
        <v>197</v>
      </c>
      <c r="Q315" t="s">
        <v>197</v>
      </c>
      <c r="R315" t="s">
        <v>197</v>
      </c>
      <c r="S315" t="s">
        <v>195</v>
      </c>
      <c r="T315" t="s">
        <v>93</v>
      </c>
      <c r="U315" t="s">
        <v>195</v>
      </c>
      <c r="V315" t="s">
        <v>197</v>
      </c>
    </row>
    <row r="316">
      <c r="A316">
        <v>3187</v>
      </c>
      <c r="B316" t="s">
        <v>199</v>
      </c>
      <c r="C316" t="s">
        <v>114</v>
      </c>
      <c r="D316" t="s">
        <v>539</v>
      </c>
      <c r="E316" t="s">
        <v>119</v>
      </c>
      <c r="F316" t="s">
        <v>93</v>
      </c>
      <c r="G316" t="s">
        <v>195</v>
      </c>
      <c r="H316" t="s">
        <v>195</v>
      </c>
      <c r="I316" t="s">
        <v>197</v>
      </c>
      <c r="K316" t="s">
        <v>197</v>
      </c>
      <c r="L316" t="s">
        <v>197</v>
      </c>
      <c r="M316" t="s">
        <v>121</v>
      </c>
      <c r="N316" t="s">
        <v>13</v>
      </c>
      <c r="O316">
        <v>4.3</v>
      </c>
      <c r="P316" t="s">
        <v>197</v>
      </c>
      <c r="Q316" t="s">
        <v>197</v>
      </c>
      <c r="R316" t="s">
        <v>197</v>
      </c>
      <c r="S316" t="s">
        <v>197</v>
      </c>
      <c r="T316" t="s">
        <v>95</v>
      </c>
      <c r="U316" t="s">
        <v>197</v>
      </c>
      <c r="V316" t="s">
        <v>197</v>
      </c>
    </row>
    <row r="317">
      <c r="A317">
        <v>3252</v>
      </c>
      <c r="B317" t="s">
        <v>20</v>
      </c>
      <c r="C317" t="s">
        <v>114</v>
      </c>
      <c r="D317" t="s">
        <v>540</v>
      </c>
      <c r="E317" t="s">
        <v>121</v>
      </c>
      <c r="F317" t="s">
        <v>95</v>
      </c>
      <c r="G317" t="s">
        <v>195</v>
      </c>
      <c r="H317" t="s">
        <v>195</v>
      </c>
      <c r="I317" t="s">
        <v>195</v>
      </c>
      <c r="J317">
        <v>8.1</v>
      </c>
      <c r="K317" t="s">
        <v>195</v>
      </c>
      <c r="L317" t="s">
        <v>197</v>
      </c>
      <c r="M317" t="s">
        <v>121</v>
      </c>
      <c r="N317" t="s">
        <v>13</v>
      </c>
      <c r="O317">
        <v>4.3</v>
      </c>
      <c r="P317" t="s">
        <v>197</v>
      </c>
      <c r="Q317" t="s">
        <v>197</v>
      </c>
      <c r="R317" t="s">
        <v>197</v>
      </c>
      <c r="S317" t="s">
        <v>195</v>
      </c>
      <c r="T317" t="s">
        <v>95</v>
      </c>
      <c r="U317" t="s">
        <v>195</v>
      </c>
      <c r="V317" t="s">
        <v>195</v>
      </c>
    </row>
    <row r="318">
      <c r="A318">
        <v>3256</v>
      </c>
      <c r="B318" t="s">
        <v>199</v>
      </c>
      <c r="C318" t="s">
        <v>114</v>
      </c>
      <c r="D318" t="s">
        <v>541</v>
      </c>
      <c r="E318" t="s">
        <v>119</v>
      </c>
      <c r="F318" t="s">
        <v>94</v>
      </c>
      <c r="G318" t="s">
        <v>197</v>
      </c>
      <c r="H318" t="s">
        <v>197</v>
      </c>
      <c r="I318" t="s">
        <v>195</v>
      </c>
      <c r="J318">
        <v>1.4</v>
      </c>
      <c r="K318" t="s">
        <v>195</v>
      </c>
      <c r="L318" t="s">
        <v>197</v>
      </c>
      <c r="M318" t="s">
        <v>135</v>
      </c>
      <c r="P318" t="s">
        <v>197</v>
      </c>
      <c r="Q318" t="s">
        <v>197</v>
      </c>
      <c r="R318" t="s">
        <v>197</v>
      </c>
      <c r="S318" t="s">
        <v>197</v>
      </c>
      <c r="T318" t="s">
        <v>94</v>
      </c>
    </row>
    <row r="319">
      <c r="A319">
        <v>3254</v>
      </c>
      <c r="B319" t="s">
        <v>20</v>
      </c>
      <c r="C319" t="s">
        <v>114</v>
      </c>
      <c r="D319" t="s">
        <v>542</v>
      </c>
      <c r="E319" t="s">
        <v>119</v>
      </c>
      <c r="F319" t="s">
        <v>95</v>
      </c>
      <c r="G319" t="s">
        <v>195</v>
      </c>
      <c r="H319" t="s">
        <v>197</v>
      </c>
      <c r="I319" t="s">
        <v>195</v>
      </c>
      <c r="J319">
        <v>6.6</v>
      </c>
      <c r="K319" t="s">
        <v>195</v>
      </c>
      <c r="L319" t="s">
        <v>197</v>
      </c>
      <c r="M319" t="s">
        <v>268</v>
      </c>
      <c r="N319" t="s">
        <v>95</v>
      </c>
      <c r="O319">
        <v>0.2</v>
      </c>
      <c r="P319" t="s">
        <v>195</v>
      </c>
      <c r="Q319" t="s">
        <v>195</v>
      </c>
      <c r="R319" t="s">
        <v>197</v>
      </c>
      <c r="S319" t="s">
        <v>197</v>
      </c>
      <c r="T319" t="s">
        <v>95</v>
      </c>
      <c r="U319" t="s">
        <v>195</v>
      </c>
    </row>
    <row r="320">
      <c r="A320">
        <v>3258</v>
      </c>
      <c r="B320" t="s">
        <v>20</v>
      </c>
      <c r="C320" t="s">
        <v>114</v>
      </c>
      <c r="D320" t="s">
        <v>543</v>
      </c>
      <c r="E320" t="s">
        <v>119</v>
      </c>
      <c r="F320" t="s">
        <v>95</v>
      </c>
      <c r="G320" t="s">
        <v>195</v>
      </c>
      <c r="H320" t="s">
        <v>195</v>
      </c>
      <c r="I320" t="s">
        <v>197</v>
      </c>
      <c r="K320" t="s">
        <v>197</v>
      </c>
      <c r="L320" t="s">
        <v>197</v>
      </c>
      <c r="M320" t="s">
        <v>121</v>
      </c>
      <c r="N320" t="s">
        <v>13</v>
      </c>
      <c r="O320">
        <v>4.3</v>
      </c>
      <c r="P320" t="s">
        <v>197</v>
      </c>
      <c r="Q320" t="s">
        <v>197</v>
      </c>
      <c r="R320" t="s">
        <v>197</v>
      </c>
      <c r="S320" t="s">
        <v>197</v>
      </c>
      <c r="T320" t="s">
        <v>95</v>
      </c>
      <c r="U320" t="s">
        <v>197</v>
      </c>
      <c r="V320" t="s">
        <v>197</v>
      </c>
    </row>
    <row r="321">
      <c r="A321">
        <v>3260</v>
      </c>
      <c r="B321" t="s">
        <v>20</v>
      </c>
      <c r="C321" t="s">
        <v>114</v>
      </c>
      <c r="D321" t="s">
        <v>544</v>
      </c>
      <c r="E321" t="s">
        <v>119</v>
      </c>
      <c r="F321" t="s">
        <v>95</v>
      </c>
      <c r="G321" t="s">
        <v>195</v>
      </c>
      <c r="H321" t="s">
        <v>195</v>
      </c>
      <c r="I321" t="s">
        <v>197</v>
      </c>
      <c r="K321" t="s">
        <v>197</v>
      </c>
      <c r="L321" t="s">
        <v>197</v>
      </c>
      <c r="M321" t="s">
        <v>121</v>
      </c>
      <c r="N321" t="s">
        <v>13</v>
      </c>
      <c r="O321">
        <v>4.3</v>
      </c>
      <c r="P321" t="s">
        <v>195</v>
      </c>
      <c r="Q321" t="s">
        <v>197</v>
      </c>
      <c r="R321" t="s">
        <v>197</v>
      </c>
      <c r="S321" t="s">
        <v>197</v>
      </c>
      <c r="T321" t="s">
        <v>95</v>
      </c>
      <c r="U321" t="s">
        <v>197</v>
      </c>
      <c r="V321" t="s">
        <v>197</v>
      </c>
    </row>
    <row r="322">
      <c r="A322">
        <v>3248</v>
      </c>
      <c r="B322" t="s">
        <v>20</v>
      </c>
      <c r="C322" t="s">
        <v>114</v>
      </c>
      <c r="D322" t="s">
        <v>545</v>
      </c>
      <c r="E322" t="s">
        <v>119</v>
      </c>
      <c r="F322" t="s">
        <v>94</v>
      </c>
      <c r="G322" t="s">
        <v>195</v>
      </c>
      <c r="H322" t="s">
        <v>195</v>
      </c>
      <c r="I322" t="s">
        <v>195</v>
      </c>
      <c r="J322">
        <v>120.4</v>
      </c>
      <c r="K322" t="s">
        <v>195</v>
      </c>
      <c r="L322" t="s">
        <v>197</v>
      </c>
      <c r="M322" t="s">
        <v>207</v>
      </c>
      <c r="N322" t="s">
        <v>95</v>
      </c>
      <c r="O322">
        <v>2.2</v>
      </c>
      <c r="P322" t="s">
        <v>195</v>
      </c>
      <c r="Q322" t="s">
        <v>195</v>
      </c>
      <c r="R322" t="s">
        <v>195</v>
      </c>
      <c r="S322" t="s">
        <v>197</v>
      </c>
      <c r="T322" t="s">
        <v>94</v>
      </c>
      <c r="U322" t="s">
        <v>197</v>
      </c>
      <c r="V322" t="s">
        <v>197</v>
      </c>
    </row>
    <row r="323">
      <c r="A323">
        <v>3264</v>
      </c>
      <c r="B323" t="s">
        <v>20</v>
      </c>
      <c r="C323" t="s">
        <v>114</v>
      </c>
      <c r="D323" t="s">
        <v>546</v>
      </c>
      <c r="E323" t="s">
        <v>119</v>
      </c>
      <c r="F323" t="s">
        <v>94</v>
      </c>
      <c r="G323" t="s">
        <v>195</v>
      </c>
      <c r="H323" t="s">
        <v>197</v>
      </c>
      <c r="I323" t="s">
        <v>195</v>
      </c>
      <c r="J323">
        <v>5.7</v>
      </c>
      <c r="K323" t="s">
        <v>195</v>
      </c>
      <c r="L323" t="s">
        <v>197</v>
      </c>
      <c r="M323" t="s">
        <v>135</v>
      </c>
      <c r="P323" t="s">
        <v>197</v>
      </c>
      <c r="Q323" t="s">
        <v>197</v>
      </c>
      <c r="R323" t="s">
        <v>197</v>
      </c>
      <c r="S323" t="s">
        <v>197</v>
      </c>
      <c r="T323" t="s">
        <v>94</v>
      </c>
      <c r="U323" t="s">
        <v>195</v>
      </c>
    </row>
    <row r="324">
      <c r="A324">
        <v>3284</v>
      </c>
      <c r="B324" t="s">
        <v>194</v>
      </c>
      <c r="C324" t="s">
        <v>114</v>
      </c>
      <c r="D324" t="s">
        <v>547</v>
      </c>
      <c r="E324" t="s">
        <v>119</v>
      </c>
      <c r="F324" t="s">
        <v>95</v>
      </c>
      <c r="G324" t="s">
        <v>195</v>
      </c>
      <c r="H324" t="s">
        <v>195</v>
      </c>
      <c r="I324" t="s">
        <v>197</v>
      </c>
      <c r="K324" t="s">
        <v>197</v>
      </c>
      <c r="L324" t="s">
        <v>197</v>
      </c>
      <c r="M324" t="s">
        <v>121</v>
      </c>
      <c r="N324" t="s">
        <v>13</v>
      </c>
      <c r="O324">
        <v>4.3</v>
      </c>
      <c r="P324" t="s">
        <v>197</v>
      </c>
      <c r="Q324" t="s">
        <v>197</v>
      </c>
      <c r="R324" t="s">
        <v>197</v>
      </c>
      <c r="S324" t="s">
        <v>197</v>
      </c>
      <c r="T324" t="s">
        <v>95</v>
      </c>
      <c r="U324" t="s">
        <v>197</v>
      </c>
      <c r="V324" t="s">
        <v>197</v>
      </c>
    </row>
    <row r="325">
      <c r="A325">
        <v>3292</v>
      </c>
      <c r="B325" t="s">
        <v>199</v>
      </c>
      <c r="C325" t="s">
        <v>114</v>
      </c>
      <c r="D325" t="s">
        <v>548</v>
      </c>
      <c r="E325" t="s">
        <v>119</v>
      </c>
      <c r="F325" t="s">
        <v>94</v>
      </c>
      <c r="G325" t="s">
        <v>195</v>
      </c>
      <c r="H325" t="s">
        <v>195</v>
      </c>
      <c r="I325" t="s">
        <v>195</v>
      </c>
      <c r="J325">
        <v>4.1</v>
      </c>
      <c r="K325" t="s">
        <v>195</v>
      </c>
      <c r="L325" t="s">
        <v>197</v>
      </c>
      <c r="M325" t="s">
        <v>268</v>
      </c>
      <c r="N325" t="s">
        <v>94</v>
      </c>
      <c r="O325">
        <v>0.3</v>
      </c>
      <c r="P325" t="s">
        <v>195</v>
      </c>
      <c r="Q325" t="s">
        <v>195</v>
      </c>
      <c r="R325" t="s">
        <v>197</v>
      </c>
      <c r="S325" t="s">
        <v>197</v>
      </c>
      <c r="T325" t="s">
        <v>94</v>
      </c>
      <c r="U325" t="s">
        <v>195</v>
      </c>
      <c r="V325" t="s">
        <v>195</v>
      </c>
    </row>
    <row r="326">
      <c r="A326">
        <v>3337</v>
      </c>
      <c r="B326" t="s">
        <v>20</v>
      </c>
      <c r="C326" t="s">
        <v>114</v>
      </c>
      <c r="D326" t="s">
        <v>549</v>
      </c>
      <c r="E326" t="s">
        <v>119</v>
      </c>
      <c r="F326" t="s">
        <v>93</v>
      </c>
      <c r="G326" t="s">
        <v>195</v>
      </c>
      <c r="H326" t="s">
        <v>197</v>
      </c>
      <c r="I326" t="s">
        <v>195</v>
      </c>
      <c r="J326">
        <v>10.3</v>
      </c>
      <c r="K326" t="s">
        <v>195</v>
      </c>
      <c r="L326" t="s">
        <v>195</v>
      </c>
      <c r="M326" t="s">
        <v>135</v>
      </c>
      <c r="P326" t="s">
        <v>197</v>
      </c>
      <c r="Q326" t="s">
        <v>197</v>
      </c>
      <c r="R326" t="s">
        <v>197</v>
      </c>
      <c r="S326" t="s">
        <v>197</v>
      </c>
      <c r="T326" t="s">
        <v>93</v>
      </c>
      <c r="U326" t="s">
        <v>195</v>
      </c>
    </row>
    <row r="327">
      <c r="A327">
        <v>3339</v>
      </c>
      <c r="B327" t="s">
        <v>20</v>
      </c>
      <c r="C327" t="s">
        <v>114</v>
      </c>
      <c r="D327" t="s">
        <v>550</v>
      </c>
      <c r="E327" t="s">
        <v>119</v>
      </c>
      <c r="F327" t="s">
        <v>93</v>
      </c>
      <c r="G327" t="s">
        <v>195</v>
      </c>
      <c r="H327" t="s">
        <v>195</v>
      </c>
      <c r="I327" t="s">
        <v>197</v>
      </c>
      <c r="K327" t="s">
        <v>197</v>
      </c>
      <c r="L327" t="s">
        <v>197</v>
      </c>
      <c r="M327" t="s">
        <v>121</v>
      </c>
      <c r="N327" t="s">
        <v>13</v>
      </c>
      <c r="O327">
        <v>4.3</v>
      </c>
      <c r="P327" t="s">
        <v>197</v>
      </c>
      <c r="Q327" t="s">
        <v>197</v>
      </c>
      <c r="R327" t="s">
        <v>197</v>
      </c>
      <c r="S327" t="s">
        <v>197</v>
      </c>
      <c r="T327" t="s">
        <v>93</v>
      </c>
      <c r="U327" t="s">
        <v>197</v>
      </c>
      <c r="V327" t="s">
        <v>197</v>
      </c>
    </row>
    <row r="328">
      <c r="A328">
        <v>3341</v>
      </c>
      <c r="B328" t="s">
        <v>20</v>
      </c>
      <c r="C328" t="s">
        <v>114</v>
      </c>
      <c r="D328" t="s">
        <v>551</v>
      </c>
      <c r="E328" t="s">
        <v>119</v>
      </c>
      <c r="F328" t="s">
        <v>93</v>
      </c>
      <c r="G328" t="s">
        <v>195</v>
      </c>
      <c r="H328" t="s">
        <v>195</v>
      </c>
      <c r="I328" t="s">
        <v>195</v>
      </c>
      <c r="J328">
        <v>118.9</v>
      </c>
      <c r="K328" t="s">
        <v>195</v>
      </c>
      <c r="L328" t="s">
        <v>197</v>
      </c>
      <c r="M328" t="s">
        <v>121</v>
      </c>
      <c r="N328" t="s">
        <v>13</v>
      </c>
      <c r="O328">
        <v>4.3</v>
      </c>
      <c r="P328" t="s">
        <v>197</v>
      </c>
      <c r="Q328" t="s">
        <v>197</v>
      </c>
      <c r="R328" t="s">
        <v>197</v>
      </c>
      <c r="S328" t="s">
        <v>195</v>
      </c>
      <c r="T328" t="s">
        <v>93</v>
      </c>
      <c r="U328" t="s">
        <v>197</v>
      </c>
      <c r="V328" t="s">
        <v>197</v>
      </c>
    </row>
    <row r="329">
      <c r="A329">
        <v>3347</v>
      </c>
      <c r="B329" t="s">
        <v>20</v>
      </c>
      <c r="C329" t="s">
        <v>114</v>
      </c>
      <c r="D329" t="s">
        <v>552</v>
      </c>
      <c r="E329" t="s">
        <v>119</v>
      </c>
      <c r="F329" t="s">
        <v>93</v>
      </c>
      <c r="G329" t="s">
        <v>195</v>
      </c>
      <c r="H329" t="s">
        <v>195</v>
      </c>
      <c r="I329" t="s">
        <v>197</v>
      </c>
      <c r="K329" t="s">
        <v>197</v>
      </c>
      <c r="L329" t="s">
        <v>197</v>
      </c>
      <c r="M329" t="s">
        <v>121</v>
      </c>
      <c r="N329" t="s">
        <v>13</v>
      </c>
      <c r="O329">
        <v>4.3</v>
      </c>
      <c r="P329" t="s">
        <v>197</v>
      </c>
      <c r="Q329" t="s">
        <v>197</v>
      </c>
      <c r="R329" t="s">
        <v>197</v>
      </c>
      <c r="S329" t="s">
        <v>197</v>
      </c>
      <c r="T329" t="s">
        <v>93</v>
      </c>
      <c r="U329" t="s">
        <v>197</v>
      </c>
      <c r="V329" t="s">
        <v>197</v>
      </c>
    </row>
    <row r="330">
      <c r="A330">
        <v>3350</v>
      </c>
      <c r="B330" t="s">
        <v>20</v>
      </c>
      <c r="C330" t="s">
        <v>114</v>
      </c>
      <c r="D330" t="s">
        <v>553</v>
      </c>
      <c r="E330" t="s">
        <v>119</v>
      </c>
      <c r="F330" t="s">
        <v>93</v>
      </c>
      <c r="G330" t="s">
        <v>195</v>
      </c>
      <c r="H330" t="s">
        <v>195</v>
      </c>
      <c r="I330" t="s">
        <v>195</v>
      </c>
      <c r="J330">
        <v>10.6</v>
      </c>
      <c r="K330" t="s">
        <v>195</v>
      </c>
      <c r="L330" t="s">
        <v>195</v>
      </c>
      <c r="M330" t="s">
        <v>135</v>
      </c>
      <c r="P330" t="s">
        <v>197</v>
      </c>
      <c r="Q330" t="s">
        <v>197</v>
      </c>
      <c r="R330" t="s">
        <v>197</v>
      </c>
      <c r="S330" t="s">
        <v>197</v>
      </c>
      <c r="T330" t="s">
        <v>93</v>
      </c>
      <c r="U330" t="s">
        <v>195</v>
      </c>
      <c r="V330" t="s">
        <v>195</v>
      </c>
    </row>
    <row r="331">
      <c r="A331">
        <v>3361</v>
      </c>
      <c r="B331" t="s">
        <v>20</v>
      </c>
      <c r="C331" t="s">
        <v>114</v>
      </c>
      <c r="D331" t="s">
        <v>554</v>
      </c>
      <c r="E331" t="s">
        <v>119</v>
      </c>
      <c r="F331" t="s">
        <v>93</v>
      </c>
      <c r="G331" t="s">
        <v>195</v>
      </c>
      <c r="H331" t="s">
        <v>195</v>
      </c>
      <c r="I331" t="s">
        <v>195</v>
      </c>
      <c r="J331">
        <v>4.4</v>
      </c>
      <c r="K331" t="s">
        <v>195</v>
      </c>
      <c r="L331" t="s">
        <v>197</v>
      </c>
      <c r="M331" t="s">
        <v>135</v>
      </c>
      <c r="P331" t="s">
        <v>197</v>
      </c>
      <c r="Q331" t="s">
        <v>197</v>
      </c>
      <c r="R331" t="s">
        <v>197</v>
      </c>
      <c r="S331" t="s">
        <v>197</v>
      </c>
      <c r="T331" t="s">
        <v>93</v>
      </c>
      <c r="U331" t="s">
        <v>195</v>
      </c>
      <c r="V331" t="s">
        <v>195</v>
      </c>
    </row>
    <row r="332">
      <c r="A332">
        <v>3373</v>
      </c>
      <c r="B332" t="s">
        <v>20</v>
      </c>
      <c r="C332" t="s">
        <v>114</v>
      </c>
      <c r="D332" t="s">
        <v>555</v>
      </c>
      <c r="E332" t="s">
        <v>119</v>
      </c>
      <c r="F332" t="s">
        <v>93</v>
      </c>
      <c r="G332" t="s">
        <v>195</v>
      </c>
      <c r="H332" t="s">
        <v>195</v>
      </c>
      <c r="I332" t="s">
        <v>197</v>
      </c>
      <c r="K332" t="s">
        <v>197</v>
      </c>
      <c r="L332" t="s">
        <v>197</v>
      </c>
      <c r="M332" t="s">
        <v>121</v>
      </c>
      <c r="N332" t="s">
        <v>13</v>
      </c>
      <c r="O332">
        <v>4.3</v>
      </c>
      <c r="P332" t="s">
        <v>197</v>
      </c>
      <c r="Q332" t="s">
        <v>197</v>
      </c>
      <c r="R332" t="s">
        <v>197</v>
      </c>
      <c r="S332" t="s">
        <v>197</v>
      </c>
      <c r="T332" t="s">
        <v>93</v>
      </c>
      <c r="U332" t="s">
        <v>197</v>
      </c>
      <c r="V332" t="s">
        <v>197</v>
      </c>
    </row>
    <row r="333">
      <c r="A333">
        <v>3407</v>
      </c>
      <c r="B333" t="s">
        <v>20</v>
      </c>
      <c r="C333" t="s">
        <v>114</v>
      </c>
      <c r="D333" t="s">
        <v>556</v>
      </c>
      <c r="E333" t="s">
        <v>119</v>
      </c>
      <c r="F333" t="s">
        <v>93</v>
      </c>
      <c r="G333" t="s">
        <v>195</v>
      </c>
      <c r="H333" t="s">
        <v>195</v>
      </c>
      <c r="I333" t="s">
        <v>195</v>
      </c>
      <c r="J333">
        <v>2.2</v>
      </c>
      <c r="K333" t="s">
        <v>197</v>
      </c>
      <c r="L333" t="s">
        <v>197</v>
      </c>
      <c r="M333" t="s">
        <v>121</v>
      </c>
      <c r="N333" t="s">
        <v>13</v>
      </c>
      <c r="O333">
        <v>4.3</v>
      </c>
      <c r="P333" t="s">
        <v>197</v>
      </c>
      <c r="Q333" t="s">
        <v>197</v>
      </c>
      <c r="R333" t="s">
        <v>197</v>
      </c>
      <c r="S333" t="s">
        <v>195</v>
      </c>
      <c r="T333" t="s">
        <v>93</v>
      </c>
      <c r="U333" t="s">
        <v>197</v>
      </c>
      <c r="V333" t="s">
        <v>197</v>
      </c>
    </row>
    <row r="334">
      <c r="A334">
        <v>3418</v>
      </c>
      <c r="B334" t="s">
        <v>20</v>
      </c>
      <c r="C334" t="s">
        <v>114</v>
      </c>
      <c r="D334" t="s">
        <v>557</v>
      </c>
      <c r="E334" t="s">
        <v>119</v>
      </c>
      <c r="F334" t="s">
        <v>95</v>
      </c>
      <c r="G334" t="s">
        <v>195</v>
      </c>
      <c r="H334" t="s">
        <v>195</v>
      </c>
      <c r="I334" t="s">
        <v>195</v>
      </c>
      <c r="J334">
        <v>1.9</v>
      </c>
      <c r="K334" t="s">
        <v>195</v>
      </c>
      <c r="L334" t="s">
        <v>197</v>
      </c>
      <c r="M334" t="s">
        <v>207</v>
      </c>
      <c r="N334" t="s">
        <v>95</v>
      </c>
      <c r="O334">
        <v>0.3</v>
      </c>
      <c r="P334" t="s">
        <v>195</v>
      </c>
      <c r="Q334" t="s">
        <v>197</v>
      </c>
      <c r="R334" t="s">
        <v>197</v>
      </c>
      <c r="S334" t="s">
        <v>197</v>
      </c>
      <c r="T334" t="s">
        <v>95</v>
      </c>
      <c r="U334" t="s">
        <v>195</v>
      </c>
      <c r="V334" t="s">
        <v>195</v>
      </c>
    </row>
    <row r="335">
      <c r="A335">
        <v>3428</v>
      </c>
      <c r="B335" t="s">
        <v>194</v>
      </c>
      <c r="C335" t="s">
        <v>115</v>
      </c>
      <c r="D335" t="s">
        <v>558</v>
      </c>
      <c r="E335" t="s">
        <v>121</v>
      </c>
      <c r="F335" t="s">
        <v>93</v>
      </c>
      <c r="G335" t="s">
        <v>195</v>
      </c>
      <c r="H335" t="s">
        <v>195</v>
      </c>
      <c r="I335" t="s">
        <v>195</v>
      </c>
      <c r="J335">
        <v>16</v>
      </c>
      <c r="K335" t="s">
        <v>195</v>
      </c>
      <c r="L335" t="s">
        <v>197</v>
      </c>
      <c r="M335" t="s">
        <v>121</v>
      </c>
      <c r="N335" t="s">
        <v>13</v>
      </c>
      <c r="O335">
        <v>4.3</v>
      </c>
      <c r="P335" t="s">
        <v>197</v>
      </c>
      <c r="Q335" t="s">
        <v>197</v>
      </c>
      <c r="R335" t="s">
        <v>197</v>
      </c>
      <c r="S335" t="s">
        <v>195</v>
      </c>
      <c r="T335" t="s">
        <v>93</v>
      </c>
      <c r="U335" t="s">
        <v>195</v>
      </c>
      <c r="V335" t="s">
        <v>195</v>
      </c>
    </row>
    <row r="336">
      <c r="A336">
        <v>3446</v>
      </c>
      <c r="B336" t="s">
        <v>20</v>
      </c>
      <c r="C336" t="s">
        <v>115</v>
      </c>
      <c r="D336" t="s">
        <v>559</v>
      </c>
      <c r="E336" t="s">
        <v>119</v>
      </c>
      <c r="F336" t="s">
        <v>93</v>
      </c>
      <c r="G336" t="s">
        <v>195</v>
      </c>
      <c r="H336" t="s">
        <v>195</v>
      </c>
      <c r="I336" t="s">
        <v>197</v>
      </c>
      <c r="K336" t="s">
        <v>197</v>
      </c>
      <c r="L336" t="s">
        <v>197</v>
      </c>
      <c r="M336" t="s">
        <v>121</v>
      </c>
      <c r="N336" t="s">
        <v>13</v>
      </c>
      <c r="O336">
        <v>4.3</v>
      </c>
      <c r="P336" t="s">
        <v>197</v>
      </c>
      <c r="Q336" t="s">
        <v>197</v>
      </c>
      <c r="R336" t="s">
        <v>197</v>
      </c>
      <c r="S336" t="s">
        <v>197</v>
      </c>
      <c r="T336" t="s">
        <v>93</v>
      </c>
      <c r="U336" t="s">
        <v>197</v>
      </c>
      <c r="V336" t="s">
        <v>197</v>
      </c>
    </row>
    <row r="337">
      <c r="A337">
        <v>3449</v>
      </c>
      <c r="B337" t="s">
        <v>199</v>
      </c>
      <c r="C337" t="s">
        <v>115</v>
      </c>
      <c r="D337" t="s">
        <v>560</v>
      </c>
      <c r="E337" t="s">
        <v>119</v>
      </c>
      <c r="F337" t="s">
        <v>93</v>
      </c>
      <c r="G337" t="s">
        <v>195</v>
      </c>
      <c r="H337" t="s">
        <v>195</v>
      </c>
      <c r="I337" t="s">
        <v>195</v>
      </c>
      <c r="J337">
        <v>4</v>
      </c>
      <c r="K337" t="s">
        <v>195</v>
      </c>
      <c r="L337" t="s">
        <v>197</v>
      </c>
      <c r="M337" t="s">
        <v>121</v>
      </c>
      <c r="N337" t="s">
        <v>13</v>
      </c>
      <c r="O337">
        <v>4.3</v>
      </c>
      <c r="P337" t="s">
        <v>197</v>
      </c>
      <c r="Q337" t="s">
        <v>197</v>
      </c>
      <c r="R337" t="s">
        <v>197</v>
      </c>
      <c r="S337" t="s">
        <v>195</v>
      </c>
      <c r="T337" t="s">
        <v>93</v>
      </c>
      <c r="U337" t="s">
        <v>195</v>
      </c>
      <c r="V337" t="s">
        <v>195</v>
      </c>
    </row>
    <row r="338">
      <c r="A338">
        <v>3459</v>
      </c>
      <c r="B338" t="s">
        <v>20</v>
      </c>
      <c r="C338" t="s">
        <v>115</v>
      </c>
      <c r="D338" t="s">
        <v>561</v>
      </c>
      <c r="E338" t="s">
        <v>119</v>
      </c>
      <c r="F338" t="s">
        <v>93</v>
      </c>
      <c r="G338" t="s">
        <v>195</v>
      </c>
      <c r="H338" t="s">
        <v>195</v>
      </c>
      <c r="I338" t="s">
        <v>197</v>
      </c>
      <c r="K338" t="s">
        <v>197</v>
      </c>
      <c r="L338" t="s">
        <v>197</v>
      </c>
      <c r="M338" t="s">
        <v>121</v>
      </c>
      <c r="N338" t="s">
        <v>13</v>
      </c>
      <c r="O338">
        <v>4.3</v>
      </c>
      <c r="P338" t="s">
        <v>197</v>
      </c>
      <c r="Q338" t="s">
        <v>197</v>
      </c>
      <c r="R338" t="s">
        <v>197</v>
      </c>
      <c r="S338" t="s">
        <v>197</v>
      </c>
      <c r="T338" t="s">
        <v>93</v>
      </c>
      <c r="U338" t="s">
        <v>197</v>
      </c>
      <c r="V338" t="s">
        <v>197</v>
      </c>
    </row>
    <row r="339">
      <c r="A339">
        <v>3481</v>
      </c>
      <c r="B339" t="s">
        <v>20</v>
      </c>
      <c r="C339" t="s">
        <v>115</v>
      </c>
      <c r="D339" t="s">
        <v>562</v>
      </c>
      <c r="E339" t="s">
        <v>119</v>
      </c>
      <c r="F339" t="s">
        <v>93</v>
      </c>
      <c r="G339" t="s">
        <v>195</v>
      </c>
      <c r="H339" t="s">
        <v>195</v>
      </c>
      <c r="I339" t="s">
        <v>195</v>
      </c>
      <c r="J339">
        <v>20.6</v>
      </c>
      <c r="K339" t="s">
        <v>195</v>
      </c>
      <c r="L339" t="s">
        <v>197</v>
      </c>
      <c r="M339" t="s">
        <v>135</v>
      </c>
      <c r="P339" t="s">
        <v>197</v>
      </c>
      <c r="Q339" t="s">
        <v>197</v>
      </c>
      <c r="R339" t="s">
        <v>197</v>
      </c>
      <c r="S339" t="s">
        <v>197</v>
      </c>
      <c r="T339" t="s">
        <v>93</v>
      </c>
      <c r="U339" t="s">
        <v>195</v>
      </c>
      <c r="V339" t="s">
        <v>195</v>
      </c>
    </row>
    <row r="340">
      <c r="A340">
        <v>3482</v>
      </c>
      <c r="B340" t="s">
        <v>20</v>
      </c>
      <c r="C340" t="s">
        <v>115</v>
      </c>
      <c r="D340" t="s">
        <v>563</v>
      </c>
      <c r="E340" t="s">
        <v>119</v>
      </c>
      <c r="F340" t="s">
        <v>93</v>
      </c>
      <c r="G340" t="s">
        <v>195</v>
      </c>
      <c r="H340" t="s">
        <v>195</v>
      </c>
      <c r="I340" t="s">
        <v>195</v>
      </c>
      <c r="J340">
        <v>17</v>
      </c>
      <c r="K340" t="s">
        <v>195</v>
      </c>
      <c r="L340" t="s">
        <v>197</v>
      </c>
      <c r="M340" t="s">
        <v>121</v>
      </c>
      <c r="N340" t="s">
        <v>13</v>
      </c>
      <c r="O340">
        <v>4.3</v>
      </c>
      <c r="P340" t="s">
        <v>197</v>
      </c>
      <c r="Q340" t="s">
        <v>197</v>
      </c>
      <c r="R340" t="s">
        <v>197</v>
      </c>
      <c r="S340" t="s">
        <v>195</v>
      </c>
      <c r="T340" t="s">
        <v>93</v>
      </c>
      <c r="U340" t="s">
        <v>195</v>
      </c>
      <c r="V340" t="s">
        <v>195</v>
      </c>
    </row>
    <row r="341">
      <c r="A341">
        <v>3484</v>
      </c>
      <c r="B341" t="s">
        <v>20</v>
      </c>
      <c r="C341" t="s">
        <v>115</v>
      </c>
      <c r="D341" t="s">
        <v>564</v>
      </c>
      <c r="E341" t="s">
        <v>119</v>
      </c>
      <c r="F341" t="s">
        <v>93</v>
      </c>
      <c r="G341" t="s">
        <v>195</v>
      </c>
      <c r="H341" t="s">
        <v>195</v>
      </c>
      <c r="I341" t="s">
        <v>195</v>
      </c>
      <c r="J341">
        <v>34.9</v>
      </c>
      <c r="K341" t="s">
        <v>195</v>
      </c>
      <c r="L341" t="s">
        <v>197</v>
      </c>
      <c r="M341" t="s">
        <v>135</v>
      </c>
      <c r="P341" t="s">
        <v>197</v>
      </c>
      <c r="Q341" t="s">
        <v>197</v>
      </c>
      <c r="R341" t="s">
        <v>197</v>
      </c>
      <c r="S341" t="s">
        <v>197</v>
      </c>
      <c r="T341" t="s">
        <v>93</v>
      </c>
      <c r="U341" t="s">
        <v>195</v>
      </c>
      <c r="V341" t="s">
        <v>195</v>
      </c>
    </row>
    <row r="342">
      <c r="A342">
        <v>3494</v>
      </c>
      <c r="B342" t="s">
        <v>199</v>
      </c>
      <c r="C342" t="s">
        <v>115</v>
      </c>
      <c r="D342" t="s">
        <v>565</v>
      </c>
      <c r="E342" t="s">
        <v>119</v>
      </c>
      <c r="F342" t="s">
        <v>93</v>
      </c>
      <c r="G342" t="s">
        <v>195</v>
      </c>
      <c r="H342" t="s">
        <v>197</v>
      </c>
      <c r="I342" t="s">
        <v>195</v>
      </c>
      <c r="J342">
        <v>4.8</v>
      </c>
      <c r="K342" t="s">
        <v>195</v>
      </c>
      <c r="L342" t="s">
        <v>195</v>
      </c>
      <c r="M342" t="s">
        <v>135</v>
      </c>
      <c r="P342" t="s">
        <v>197</v>
      </c>
      <c r="Q342" t="s">
        <v>197</v>
      </c>
      <c r="R342" t="s">
        <v>197</v>
      </c>
      <c r="S342" t="s">
        <v>197</v>
      </c>
      <c r="T342" t="s">
        <v>93</v>
      </c>
      <c r="U342" t="s">
        <v>195</v>
      </c>
    </row>
    <row r="343">
      <c r="A343">
        <v>3501</v>
      </c>
      <c r="B343" t="s">
        <v>199</v>
      </c>
      <c r="C343" t="s">
        <v>115</v>
      </c>
      <c r="D343" t="s">
        <v>566</v>
      </c>
      <c r="E343" t="s">
        <v>119</v>
      </c>
      <c r="F343" t="s">
        <v>93</v>
      </c>
      <c r="G343" t="s">
        <v>195</v>
      </c>
      <c r="H343" t="s">
        <v>195</v>
      </c>
      <c r="I343" t="s">
        <v>197</v>
      </c>
      <c r="K343" t="s">
        <v>197</v>
      </c>
      <c r="L343" t="s">
        <v>197</v>
      </c>
      <c r="M343" t="s">
        <v>121</v>
      </c>
      <c r="N343" t="s">
        <v>13</v>
      </c>
      <c r="O343">
        <v>4.3</v>
      </c>
      <c r="P343" t="s">
        <v>197</v>
      </c>
      <c r="Q343" t="s">
        <v>197</v>
      </c>
      <c r="R343" t="s">
        <v>197</v>
      </c>
      <c r="S343" t="s">
        <v>197</v>
      </c>
      <c r="T343" t="s">
        <v>93</v>
      </c>
      <c r="U343" t="s">
        <v>197</v>
      </c>
      <c r="V343" t="s">
        <v>197</v>
      </c>
    </row>
    <row r="344">
      <c r="A344">
        <v>3510</v>
      </c>
      <c r="B344" t="s">
        <v>20</v>
      </c>
      <c r="C344" t="s">
        <v>115</v>
      </c>
      <c r="D344" t="s">
        <v>567</v>
      </c>
      <c r="E344" t="s">
        <v>119</v>
      </c>
      <c r="F344" t="s">
        <v>94</v>
      </c>
      <c r="G344" t="s">
        <v>195</v>
      </c>
      <c r="H344" t="s">
        <v>195</v>
      </c>
      <c r="I344" t="s">
        <v>195</v>
      </c>
      <c r="J344">
        <v>5.7</v>
      </c>
      <c r="K344" t="s">
        <v>195</v>
      </c>
      <c r="L344" t="s">
        <v>197</v>
      </c>
      <c r="M344" t="s">
        <v>135</v>
      </c>
      <c r="P344" t="s">
        <v>197</v>
      </c>
      <c r="Q344" t="s">
        <v>197</v>
      </c>
      <c r="R344" t="s">
        <v>197</v>
      </c>
      <c r="S344" t="s">
        <v>197</v>
      </c>
      <c r="T344" t="s">
        <v>94</v>
      </c>
      <c r="U344" t="s">
        <v>195</v>
      </c>
      <c r="V344" t="s">
        <v>197</v>
      </c>
    </row>
    <row r="345">
      <c r="A345">
        <v>3516</v>
      </c>
      <c r="B345" t="s">
        <v>199</v>
      </c>
      <c r="C345" t="s">
        <v>115</v>
      </c>
      <c r="D345" t="s">
        <v>568</v>
      </c>
      <c r="E345" t="s">
        <v>119</v>
      </c>
      <c r="F345" t="s">
        <v>94</v>
      </c>
      <c r="G345" t="s">
        <v>195</v>
      </c>
      <c r="H345" t="s">
        <v>195</v>
      </c>
      <c r="I345" t="s">
        <v>197</v>
      </c>
      <c r="K345" t="s">
        <v>195</v>
      </c>
      <c r="L345" t="s">
        <v>197</v>
      </c>
      <c r="M345" t="s">
        <v>121</v>
      </c>
      <c r="N345" t="s">
        <v>13</v>
      </c>
      <c r="O345">
        <v>4.3</v>
      </c>
      <c r="P345" t="s">
        <v>197</v>
      </c>
      <c r="Q345" t="s">
        <v>197</v>
      </c>
      <c r="R345" t="s">
        <v>197</v>
      </c>
      <c r="S345" t="s">
        <v>197</v>
      </c>
      <c r="T345" t="s">
        <v>94</v>
      </c>
      <c r="U345" t="s">
        <v>197</v>
      </c>
      <c r="V345" t="s">
        <v>197</v>
      </c>
    </row>
    <row r="346">
      <c r="A346">
        <v>3487</v>
      </c>
      <c r="B346" t="s">
        <v>20</v>
      </c>
      <c r="C346" t="s">
        <v>115</v>
      </c>
      <c r="D346" t="s">
        <v>569</v>
      </c>
      <c r="E346" t="s">
        <v>121</v>
      </c>
      <c r="F346" t="s">
        <v>95</v>
      </c>
      <c r="G346" t="s">
        <v>195</v>
      </c>
      <c r="H346" t="s">
        <v>195</v>
      </c>
      <c r="I346" t="s">
        <v>195</v>
      </c>
      <c r="J346">
        <v>4.6</v>
      </c>
      <c r="K346" t="s">
        <v>195</v>
      </c>
      <c r="L346" t="s">
        <v>197</v>
      </c>
      <c r="M346" t="s">
        <v>121</v>
      </c>
      <c r="N346" t="s">
        <v>13</v>
      </c>
      <c r="O346">
        <v>4.3</v>
      </c>
      <c r="P346" t="s">
        <v>197</v>
      </c>
      <c r="Q346" t="s">
        <v>197</v>
      </c>
      <c r="R346" t="s">
        <v>197</v>
      </c>
      <c r="S346" t="s">
        <v>195</v>
      </c>
      <c r="T346" t="s">
        <v>95</v>
      </c>
      <c r="U346" t="s">
        <v>195</v>
      </c>
      <c r="V346" t="s">
        <v>197</v>
      </c>
    </row>
    <row r="347">
      <c r="A347">
        <v>3539</v>
      </c>
      <c r="B347" t="s">
        <v>199</v>
      </c>
      <c r="C347" t="s">
        <v>115</v>
      </c>
      <c r="D347" t="s">
        <v>570</v>
      </c>
      <c r="E347" t="s">
        <v>119</v>
      </c>
      <c r="F347" t="s">
        <v>94</v>
      </c>
      <c r="G347" t="s">
        <v>195</v>
      </c>
      <c r="H347" t="s">
        <v>195</v>
      </c>
      <c r="I347" t="s">
        <v>195</v>
      </c>
      <c r="J347">
        <v>15.5</v>
      </c>
      <c r="K347" t="s">
        <v>195</v>
      </c>
      <c r="L347" t="s">
        <v>197</v>
      </c>
      <c r="M347" t="s">
        <v>207</v>
      </c>
      <c r="N347" t="s">
        <v>94</v>
      </c>
      <c r="O347">
        <v>0.3</v>
      </c>
      <c r="P347" t="s">
        <v>195</v>
      </c>
      <c r="Q347" t="s">
        <v>197</v>
      </c>
      <c r="R347" t="s">
        <v>197</v>
      </c>
      <c r="S347" t="s">
        <v>197</v>
      </c>
      <c r="T347" t="s">
        <v>94</v>
      </c>
      <c r="U347" t="s">
        <v>195</v>
      </c>
      <c r="V347" t="s">
        <v>195</v>
      </c>
    </row>
    <row r="348">
      <c r="A348">
        <v>3546</v>
      </c>
      <c r="B348" t="s">
        <v>20</v>
      </c>
      <c r="C348" t="s">
        <v>115</v>
      </c>
      <c r="D348" t="s">
        <v>571</v>
      </c>
      <c r="E348" t="s">
        <v>119</v>
      </c>
      <c r="F348" t="s">
        <v>94</v>
      </c>
      <c r="G348" t="s">
        <v>195</v>
      </c>
      <c r="H348" t="s">
        <v>195</v>
      </c>
      <c r="I348" t="s">
        <v>195</v>
      </c>
      <c r="J348">
        <v>5</v>
      </c>
      <c r="K348" t="s">
        <v>195</v>
      </c>
      <c r="L348" t="s">
        <v>197</v>
      </c>
      <c r="M348" t="s">
        <v>121</v>
      </c>
      <c r="N348" t="s">
        <v>13</v>
      </c>
      <c r="O348">
        <v>4.3</v>
      </c>
      <c r="P348" t="s">
        <v>197</v>
      </c>
      <c r="Q348" t="s">
        <v>197</v>
      </c>
      <c r="R348" t="s">
        <v>197</v>
      </c>
      <c r="S348" t="s">
        <v>195</v>
      </c>
      <c r="T348" t="s">
        <v>94</v>
      </c>
      <c r="U348" t="s">
        <v>195</v>
      </c>
      <c r="V348" t="s">
        <v>195</v>
      </c>
    </row>
    <row r="349">
      <c r="A349">
        <v>3551</v>
      </c>
      <c r="B349" t="s">
        <v>194</v>
      </c>
      <c r="C349" t="s">
        <v>115</v>
      </c>
      <c r="D349" t="s">
        <v>572</v>
      </c>
      <c r="E349" t="s">
        <v>119</v>
      </c>
      <c r="F349" t="s">
        <v>94</v>
      </c>
      <c r="G349" t="s">
        <v>195</v>
      </c>
      <c r="H349" t="s">
        <v>195</v>
      </c>
      <c r="I349" t="s">
        <v>195</v>
      </c>
      <c r="J349">
        <v>8.800000000000001</v>
      </c>
      <c r="K349" t="s">
        <v>195</v>
      </c>
      <c r="L349" t="s">
        <v>197</v>
      </c>
      <c r="M349" t="s">
        <v>121</v>
      </c>
      <c r="N349" t="s">
        <v>13</v>
      </c>
      <c r="O349">
        <v>4.3</v>
      </c>
      <c r="P349" t="s">
        <v>197</v>
      </c>
      <c r="Q349" t="s">
        <v>197</v>
      </c>
      <c r="R349" t="s">
        <v>197</v>
      </c>
      <c r="S349" t="s">
        <v>195</v>
      </c>
      <c r="T349" t="s">
        <v>94</v>
      </c>
      <c r="U349" t="s">
        <v>195</v>
      </c>
      <c r="V349" t="s">
        <v>197</v>
      </c>
    </row>
    <row r="350">
      <c r="A350">
        <v>3561</v>
      </c>
      <c r="B350" t="s">
        <v>194</v>
      </c>
      <c r="C350" t="s">
        <v>115</v>
      </c>
      <c r="D350" t="s">
        <v>573</v>
      </c>
      <c r="E350" t="s">
        <v>119</v>
      </c>
      <c r="F350" t="s">
        <v>95</v>
      </c>
      <c r="G350" t="s">
        <v>195</v>
      </c>
      <c r="H350" t="s">
        <v>195</v>
      </c>
      <c r="I350" t="s">
        <v>197</v>
      </c>
      <c r="K350" t="s">
        <v>195</v>
      </c>
      <c r="L350" t="s">
        <v>197</v>
      </c>
      <c r="M350" t="s">
        <v>135</v>
      </c>
      <c r="P350" t="s">
        <v>197</v>
      </c>
      <c r="Q350" t="s">
        <v>197</v>
      </c>
      <c r="R350" t="s">
        <v>197</v>
      </c>
      <c r="S350" t="s">
        <v>197</v>
      </c>
      <c r="T350" t="s">
        <v>95</v>
      </c>
      <c r="U350" t="s">
        <v>197</v>
      </c>
      <c r="V350" t="s">
        <v>197</v>
      </c>
    </row>
    <row r="351">
      <c r="A351">
        <v>3583</v>
      </c>
      <c r="B351" t="s">
        <v>199</v>
      </c>
      <c r="C351" t="s">
        <v>115</v>
      </c>
      <c r="D351" t="s">
        <v>574</v>
      </c>
      <c r="E351" t="s">
        <v>119</v>
      </c>
      <c r="F351" t="s">
        <v>94</v>
      </c>
      <c r="G351" t="s">
        <v>195</v>
      </c>
      <c r="H351" t="s">
        <v>195</v>
      </c>
      <c r="I351" t="s">
        <v>197</v>
      </c>
      <c r="K351" t="s">
        <v>195</v>
      </c>
      <c r="L351" t="s">
        <v>197</v>
      </c>
      <c r="M351" t="s">
        <v>121</v>
      </c>
      <c r="N351" t="s">
        <v>13</v>
      </c>
      <c r="O351">
        <v>4.3</v>
      </c>
      <c r="P351" t="s">
        <v>197</v>
      </c>
      <c r="Q351" t="s">
        <v>197</v>
      </c>
      <c r="R351" t="s">
        <v>197</v>
      </c>
      <c r="S351" t="s">
        <v>197</v>
      </c>
      <c r="T351" t="s">
        <v>94</v>
      </c>
      <c r="U351" t="s">
        <v>197</v>
      </c>
      <c r="V351" t="s">
        <v>197</v>
      </c>
    </row>
    <row r="352">
      <c r="A352">
        <v>3613</v>
      </c>
      <c r="B352" t="s">
        <v>199</v>
      </c>
      <c r="C352" t="s">
        <v>115</v>
      </c>
      <c r="D352" t="s">
        <v>575</v>
      </c>
      <c r="E352" t="s">
        <v>119</v>
      </c>
      <c r="F352" t="s">
        <v>93</v>
      </c>
      <c r="G352" t="s">
        <v>195</v>
      </c>
      <c r="H352" t="s">
        <v>195</v>
      </c>
      <c r="I352" t="s">
        <v>195</v>
      </c>
      <c r="J352">
        <v>218.5</v>
      </c>
      <c r="K352" t="s">
        <v>195</v>
      </c>
      <c r="L352" t="s">
        <v>197</v>
      </c>
      <c r="M352" t="s">
        <v>121</v>
      </c>
      <c r="N352" t="s">
        <v>13</v>
      </c>
      <c r="O352">
        <v>4.3</v>
      </c>
      <c r="P352" t="s">
        <v>197</v>
      </c>
      <c r="Q352" t="s">
        <v>197</v>
      </c>
      <c r="R352" t="s">
        <v>197</v>
      </c>
      <c r="S352" t="s">
        <v>195</v>
      </c>
      <c r="T352" t="s">
        <v>93</v>
      </c>
      <c r="U352" t="s">
        <v>197</v>
      </c>
      <c r="V352" t="s">
        <v>197</v>
      </c>
    </row>
    <row r="353">
      <c r="A353">
        <v>3606</v>
      </c>
      <c r="B353" t="s">
        <v>199</v>
      </c>
      <c r="C353" t="s">
        <v>115</v>
      </c>
      <c r="D353" t="s">
        <v>576</v>
      </c>
      <c r="E353" t="s">
        <v>119</v>
      </c>
      <c r="F353" t="s">
        <v>93</v>
      </c>
      <c r="G353" t="s">
        <v>197</v>
      </c>
      <c r="H353" t="s">
        <v>197</v>
      </c>
      <c r="I353" t="s">
        <v>195</v>
      </c>
      <c r="J353">
        <v>0.9</v>
      </c>
      <c r="K353" t="s">
        <v>195</v>
      </c>
      <c r="L353" t="s">
        <v>197</v>
      </c>
      <c r="M353" t="s">
        <v>135</v>
      </c>
      <c r="P353" t="s">
        <v>197</v>
      </c>
      <c r="Q353" t="s">
        <v>197</v>
      </c>
      <c r="R353" t="s">
        <v>197</v>
      </c>
      <c r="S353" t="s">
        <v>197</v>
      </c>
      <c r="T353" t="s">
        <v>93</v>
      </c>
    </row>
    <row r="354">
      <c r="A354">
        <v>3604</v>
      </c>
      <c r="B354" t="s">
        <v>20</v>
      </c>
      <c r="C354" t="s">
        <v>115</v>
      </c>
      <c r="D354" t="s">
        <v>577</v>
      </c>
      <c r="E354" t="s">
        <v>119</v>
      </c>
      <c r="F354" t="s">
        <v>93</v>
      </c>
      <c r="G354" t="s">
        <v>195</v>
      </c>
      <c r="H354" t="s">
        <v>195</v>
      </c>
      <c r="I354" t="s">
        <v>195</v>
      </c>
      <c r="J354">
        <v>9.9</v>
      </c>
      <c r="K354" t="s">
        <v>195</v>
      </c>
      <c r="L354" t="s">
        <v>197</v>
      </c>
      <c r="M354" t="s">
        <v>121</v>
      </c>
      <c r="N354" t="s">
        <v>13</v>
      </c>
      <c r="O354">
        <v>4.3</v>
      </c>
      <c r="P354" t="s">
        <v>197</v>
      </c>
      <c r="Q354" t="s">
        <v>197</v>
      </c>
      <c r="R354" t="s">
        <v>197</v>
      </c>
      <c r="S354" t="s">
        <v>195</v>
      </c>
      <c r="T354" t="s">
        <v>93</v>
      </c>
      <c r="U354" t="s">
        <v>195</v>
      </c>
      <c r="V354" t="s">
        <v>197</v>
      </c>
    </row>
    <row r="355">
      <c r="A355">
        <v>3622</v>
      </c>
      <c r="B355" t="s">
        <v>20</v>
      </c>
      <c r="C355" t="s">
        <v>115</v>
      </c>
      <c r="D355" t="s">
        <v>578</v>
      </c>
      <c r="E355" t="s">
        <v>119</v>
      </c>
      <c r="F355" t="s">
        <v>93</v>
      </c>
      <c r="G355" t="s">
        <v>197</v>
      </c>
      <c r="H355" t="s">
        <v>197</v>
      </c>
      <c r="I355" t="s">
        <v>195</v>
      </c>
      <c r="J355">
        <v>0.7</v>
      </c>
      <c r="K355" t="s">
        <v>195</v>
      </c>
      <c r="L355" t="s">
        <v>197</v>
      </c>
      <c r="M355" t="s">
        <v>135</v>
      </c>
      <c r="P355" t="s">
        <v>197</v>
      </c>
      <c r="Q355" t="s">
        <v>197</v>
      </c>
      <c r="R355" t="s">
        <v>197</v>
      </c>
      <c r="S355" t="s">
        <v>197</v>
      </c>
      <c r="T355" t="s">
        <v>93</v>
      </c>
    </row>
    <row r="356">
      <c r="A356">
        <v>3635</v>
      </c>
      <c r="B356" t="s">
        <v>20</v>
      </c>
      <c r="C356" t="s">
        <v>115</v>
      </c>
      <c r="D356" t="s">
        <v>579</v>
      </c>
      <c r="E356" t="s">
        <v>119</v>
      </c>
      <c r="F356" t="s">
        <v>93</v>
      </c>
      <c r="G356" t="s">
        <v>195</v>
      </c>
      <c r="H356" t="s">
        <v>195</v>
      </c>
      <c r="I356" t="s">
        <v>197</v>
      </c>
      <c r="K356" t="s">
        <v>197</v>
      </c>
      <c r="L356" t="s">
        <v>197</v>
      </c>
      <c r="M356" t="s">
        <v>135</v>
      </c>
      <c r="P356" t="s">
        <v>197</v>
      </c>
      <c r="Q356" t="s">
        <v>197</v>
      </c>
      <c r="R356" t="s">
        <v>197</v>
      </c>
      <c r="S356" t="s">
        <v>197</v>
      </c>
      <c r="T356" t="s">
        <v>93</v>
      </c>
      <c r="U356" t="s">
        <v>197</v>
      </c>
      <c r="V356" t="s">
        <v>197</v>
      </c>
    </row>
    <row r="357">
      <c r="A357">
        <v>3636</v>
      </c>
      <c r="B357" t="s">
        <v>199</v>
      </c>
      <c r="C357" t="s">
        <v>115</v>
      </c>
      <c r="D357" t="s">
        <v>580</v>
      </c>
      <c r="E357" t="s">
        <v>119</v>
      </c>
      <c r="F357" t="s">
        <v>93</v>
      </c>
      <c r="G357" t="s">
        <v>195</v>
      </c>
      <c r="H357" t="s">
        <v>195</v>
      </c>
      <c r="I357" t="s">
        <v>197</v>
      </c>
      <c r="K357" t="s">
        <v>197</v>
      </c>
      <c r="L357" t="s">
        <v>197</v>
      </c>
      <c r="M357" t="s">
        <v>135</v>
      </c>
      <c r="P357" t="s">
        <v>197</v>
      </c>
      <c r="Q357" t="s">
        <v>197</v>
      </c>
      <c r="R357" t="s">
        <v>197</v>
      </c>
      <c r="S357" t="s">
        <v>197</v>
      </c>
      <c r="T357" t="s">
        <v>93</v>
      </c>
      <c r="U357" t="s">
        <v>197</v>
      </c>
      <c r="V357" t="s">
        <v>197</v>
      </c>
    </row>
    <row r="358">
      <c r="A358">
        <v>3644</v>
      </c>
      <c r="B358" t="s">
        <v>20</v>
      </c>
      <c r="C358" t="s">
        <v>115</v>
      </c>
      <c r="D358" t="s">
        <v>581</v>
      </c>
      <c r="E358" t="s">
        <v>119</v>
      </c>
      <c r="F358" t="s">
        <v>93</v>
      </c>
      <c r="G358" t="s">
        <v>195</v>
      </c>
      <c r="H358" t="s">
        <v>195</v>
      </c>
      <c r="I358" t="s">
        <v>197</v>
      </c>
      <c r="K358" t="s">
        <v>197</v>
      </c>
      <c r="L358" t="s">
        <v>197</v>
      </c>
      <c r="M358" t="s">
        <v>135</v>
      </c>
      <c r="P358" t="s">
        <v>197</v>
      </c>
      <c r="Q358" t="s">
        <v>197</v>
      </c>
      <c r="R358" t="s">
        <v>197</v>
      </c>
      <c r="S358" t="s">
        <v>197</v>
      </c>
      <c r="T358" t="s">
        <v>93</v>
      </c>
      <c r="U358" t="s">
        <v>197</v>
      </c>
      <c r="V358" t="s">
        <v>197</v>
      </c>
    </row>
    <row r="359">
      <c r="A359">
        <v>3649</v>
      </c>
      <c r="B359" t="s">
        <v>194</v>
      </c>
      <c r="C359" t="s">
        <v>115</v>
      </c>
      <c r="D359" t="s">
        <v>582</v>
      </c>
      <c r="E359" t="s">
        <v>119</v>
      </c>
      <c r="F359" t="s">
        <v>93</v>
      </c>
      <c r="G359" t="s">
        <v>195</v>
      </c>
      <c r="H359" t="s">
        <v>195</v>
      </c>
      <c r="I359" t="s">
        <v>195</v>
      </c>
      <c r="J359">
        <v>5.3</v>
      </c>
      <c r="K359" t="s">
        <v>195</v>
      </c>
      <c r="L359" t="s">
        <v>197</v>
      </c>
      <c r="M359" t="s">
        <v>135</v>
      </c>
      <c r="P359" t="s">
        <v>197</v>
      </c>
      <c r="Q359" t="s">
        <v>197</v>
      </c>
      <c r="R359" t="s">
        <v>197</v>
      </c>
      <c r="S359" t="s">
        <v>197</v>
      </c>
      <c r="T359" t="s">
        <v>93</v>
      </c>
      <c r="U359" t="s">
        <v>195</v>
      </c>
      <c r="V359" t="s">
        <v>197</v>
      </c>
    </row>
    <row r="360">
      <c r="A360">
        <v>3655</v>
      </c>
      <c r="B360" t="s">
        <v>199</v>
      </c>
      <c r="C360" t="s">
        <v>115</v>
      </c>
      <c r="D360" t="s">
        <v>583</v>
      </c>
      <c r="E360" t="s">
        <v>119</v>
      </c>
      <c r="F360" t="s">
        <v>95</v>
      </c>
      <c r="G360" t="s">
        <v>195</v>
      </c>
      <c r="H360" t="s">
        <v>197</v>
      </c>
      <c r="I360" t="s">
        <v>195</v>
      </c>
      <c r="J360">
        <v>1.9</v>
      </c>
      <c r="K360" t="s">
        <v>195</v>
      </c>
      <c r="L360" t="s">
        <v>197</v>
      </c>
      <c r="M360" t="s">
        <v>135</v>
      </c>
      <c r="P360" t="s">
        <v>197</v>
      </c>
      <c r="Q360" t="s">
        <v>197</v>
      </c>
      <c r="R360" t="s">
        <v>197</v>
      </c>
      <c r="S360" t="s">
        <v>197</v>
      </c>
      <c r="T360" t="s">
        <v>95</v>
      </c>
      <c r="U360" t="s">
        <v>197</v>
      </c>
    </row>
  </sheetData>
  <autoFilter ref="A4:V360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6B6B6B"/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10" customWidth="1" min="3" max="3"/>
    <col width="3" customWidth="1" min="4" max="4"/>
  </cols>
  <sheetData>
    <row r="1" ht="46" customHeight="1">
      <c r="B1" s="1" t="s">
        <v>584</v>
      </c>
    </row>
    <row r="2" ht="20" customHeight="1">
      <c r="B2" s="2" t="s">
        <v>585</v>
      </c>
    </row>
    <row r="3" ht="6" customHeight="1">
      <c r="A3" s="3"/>
      <c r="B3" s="3"/>
      <c r="C3" s="3"/>
      <c r="D3" s="3"/>
    </row>
    <row r="5" ht="24" customHeight="1">
      <c r="B5" s="4" t="s">
        <v>586</v>
      </c>
      <c r="C5" s="5"/>
    </row>
    <row r="6" ht="34" customHeight="1">
      <c r="B6" s="25" t="s">
        <v>587</v>
      </c>
      <c r="C6" s="38" t="s">
        <v>588</v>
      </c>
    </row>
    <row r="7" ht="34" customHeight="1">
      <c r="B7" s="25" t="s">
        <v>589</v>
      </c>
      <c r="C7" s="38" t="s">
        <v>590</v>
      </c>
    </row>
    <row r="8" ht="32" customHeight="1">
      <c r="B8" s="25" t="s">
        <v>591</v>
      </c>
      <c r="C8" s="38" t="s">
        <v>592</v>
      </c>
    </row>
    <row r="9" ht="34" customHeight="1">
      <c r="B9" s="25" t="s">
        <v>59</v>
      </c>
      <c r="C9" s="38" t="s">
        <v>593</v>
      </c>
    </row>
    <row r="10" ht="34" customHeight="1">
      <c r="B10" s="25" t="s">
        <v>60</v>
      </c>
      <c r="C10" s="38" t="s">
        <v>594</v>
      </c>
    </row>
    <row r="11" ht="34" customHeight="1">
      <c r="B11" s="25" t="s">
        <v>13</v>
      </c>
      <c r="C11" s="38" t="s">
        <v>595</v>
      </c>
    </row>
    <row r="12" ht="34" customHeight="1">
      <c r="B12" s="25" t="s">
        <v>596</v>
      </c>
      <c r="C12" s="38" t="s">
        <v>597</v>
      </c>
    </row>
    <row r="13" ht="34" customHeight="1">
      <c r="B13" s="25" t="s">
        <v>162</v>
      </c>
      <c r="C13" s="38" t="s">
        <v>598</v>
      </c>
    </row>
    <row r="14" ht="34" customHeight="1">
      <c r="B14" s="25" t="s">
        <v>192</v>
      </c>
      <c r="C14" s="38" t="s">
        <v>599</v>
      </c>
    </row>
    <row r="15" ht="32" customHeight="1">
      <c r="B15" s="25" t="s">
        <v>600</v>
      </c>
      <c r="C15" s="38" t="s">
        <v>601</v>
      </c>
    </row>
    <row r="16" ht="32" customHeight="1">
      <c r="B16" s="25" t="s">
        <v>602</v>
      </c>
      <c r="C16" s="38" t="s">
        <v>603</v>
      </c>
    </row>
    <row r="17"/>
    <row r="18" ht="24" customHeight="1">
      <c r="B18" s="4" t="s">
        <v>604</v>
      </c>
      <c r="C18" s="5"/>
    </row>
    <row r="19" ht="30" customHeight="1">
      <c r="B19" s="25" t="s">
        <v>605</v>
      </c>
      <c r="C19" s="38" t="s">
        <v>606</v>
      </c>
    </row>
    <row r="20" ht="30" customHeight="1">
      <c r="B20" s="25" t="s">
        <v>607</v>
      </c>
      <c r="C20" s="38" t="s">
        <v>608</v>
      </c>
    </row>
    <row r="21" ht="34" customHeight="1">
      <c r="B21" s="25" t="s">
        <v>609</v>
      </c>
      <c r="C21" s="38" t="s">
        <v>610</v>
      </c>
    </row>
    <row r="22" ht="34" customHeight="1">
      <c r="B22" s="25" t="s">
        <v>611</v>
      </c>
      <c r="C22" s="38" t="s">
        <v>612</v>
      </c>
    </row>
    <row r="23" ht="30" customHeight="1">
      <c r="B23" s="25" t="s">
        <v>613</v>
      </c>
      <c r="C23" s="38" t="s">
        <v>614</v>
      </c>
    </row>
    <row r="24" ht="34" customHeight="1">
      <c r="B24" s="25" t="s">
        <v>615</v>
      </c>
      <c r="C24" s="38" t="s">
        <v>616</v>
      </c>
    </row>
    <row r="25" ht="30" customHeight="1">
      <c r="B25" s="25" t="s">
        <v>617</v>
      </c>
      <c r="C25" s="38" t="s">
        <v>618</v>
      </c>
    </row>
    <row r="26" ht="30" customHeight="1">
      <c r="B26" s="25" t="s">
        <v>619</v>
      </c>
      <c r="C26" s="38" t="s">
        <v>620</v>
      </c>
    </row>
    <row r="27" ht="34" customHeight="1">
      <c r="B27" s="25" t="s">
        <v>621</v>
      </c>
      <c r="C27" s="38" t="s">
        <v>622</v>
      </c>
    </row>
    <row r="28" ht="34" customHeight="1">
      <c r="B28" s="25" t="s">
        <v>623</v>
      </c>
      <c r="C28" s="38" t="s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2026-10-27T20:18:56Z</dcterms:created>
  <dcterms:modified xmlns:dcterms="http://purl.org/dc/terms/" xmlns:xsi="http://www.w3.org/2001/XMLSchema-instance" xsi:type="dcterms:W3CDTF">2026-10-27T20:18:56Z</dcterms:modified>
</cp:coreProperties>
</file>